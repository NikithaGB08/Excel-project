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a575a9c544e69359/Documents/"/>
    </mc:Choice>
  </mc:AlternateContent>
  <xr:revisionPtr revIDLastSave="0" documentId="8_{2E92F853-9932-482F-8E12-902A58A42C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_Data" sheetId="1" r:id="rId1"/>
    <sheet name="DashBoard" sheetId="4" r:id="rId2"/>
    <sheet name="KPI Summary" sheetId="3" r:id="rId3"/>
  </sheets>
  <definedNames>
    <definedName name="_xlnm._FilterDatabase" localSheetId="0" hidden="1">Raw_Data!$A$1:$V$2002</definedName>
  </definedNames>
  <calcPr calcId="191029"/>
  <pivotCaches>
    <pivotCache cacheId="4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4" l="1"/>
  <c r="E4" i="4"/>
  <c r="D4" i="4"/>
  <c r="C4" i="4"/>
  <c r="B4" i="4"/>
  <c r="B5" i="3"/>
  <c r="B4" i="3"/>
  <c r="B3" i="3"/>
  <c r="B2" i="3"/>
  <c r="A2" i="3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W2" i="1"/>
  <c r="W3" i="1"/>
  <c r="W4" i="1"/>
  <c r="W5" i="1"/>
  <c r="W6" i="1"/>
  <c r="W7" i="1"/>
  <c r="W8" i="1"/>
  <c r="W9" i="1"/>
  <c r="W10" i="1"/>
  <c r="W11" i="1"/>
  <c r="W12" i="1"/>
  <c r="W13" i="1"/>
  <c r="X13" i="1" s="1"/>
  <c r="W14" i="1"/>
  <c r="W15" i="1"/>
  <c r="W16" i="1"/>
  <c r="W17" i="1"/>
  <c r="X17" i="1" s="1"/>
  <c r="W18" i="1"/>
  <c r="W19" i="1"/>
  <c r="W20" i="1"/>
  <c r="W21" i="1"/>
  <c r="X21" i="1" s="1"/>
  <c r="W22" i="1"/>
  <c r="W23" i="1"/>
  <c r="W24" i="1"/>
  <c r="W25" i="1"/>
  <c r="W26" i="1"/>
  <c r="W27" i="1"/>
  <c r="W28" i="1"/>
  <c r="W29" i="1"/>
  <c r="X29" i="1" s="1"/>
  <c r="W30" i="1"/>
  <c r="W31" i="1"/>
  <c r="W32" i="1"/>
  <c r="W33" i="1"/>
  <c r="X33" i="1" s="1"/>
  <c r="W34" i="1"/>
  <c r="W35" i="1"/>
  <c r="W36" i="1"/>
  <c r="W37" i="1"/>
  <c r="W38" i="1"/>
  <c r="W39" i="1"/>
  <c r="W40" i="1"/>
  <c r="W41" i="1"/>
  <c r="W42" i="1"/>
  <c r="W43" i="1"/>
  <c r="W44" i="1"/>
  <c r="W45" i="1"/>
  <c r="X45" i="1" s="1"/>
  <c r="W46" i="1"/>
  <c r="W47" i="1"/>
  <c r="W48" i="1"/>
  <c r="W49" i="1"/>
  <c r="X49" i="1" s="1"/>
  <c r="W50" i="1"/>
  <c r="W51" i="1"/>
  <c r="W52" i="1"/>
  <c r="W53" i="1"/>
  <c r="X53" i="1" s="1"/>
  <c r="W54" i="1"/>
  <c r="W55" i="1"/>
  <c r="W56" i="1"/>
  <c r="W57" i="1"/>
  <c r="W58" i="1"/>
  <c r="W59" i="1"/>
  <c r="W60" i="1"/>
  <c r="W61" i="1"/>
  <c r="W62" i="1"/>
  <c r="W63" i="1"/>
  <c r="W64" i="1"/>
  <c r="W65" i="1"/>
  <c r="X65" i="1" s="1"/>
  <c r="W66" i="1"/>
  <c r="W67" i="1"/>
  <c r="W68" i="1"/>
  <c r="W69" i="1"/>
  <c r="W70" i="1"/>
  <c r="W71" i="1"/>
  <c r="W72" i="1"/>
  <c r="X72" i="1" s="1"/>
  <c r="W73" i="1"/>
  <c r="X73" i="1" s="1"/>
  <c r="W74" i="1"/>
  <c r="W75" i="1"/>
  <c r="W76" i="1"/>
  <c r="W77" i="1"/>
  <c r="X77" i="1" s="1"/>
  <c r="W78" i="1"/>
  <c r="W79" i="1"/>
  <c r="W80" i="1"/>
  <c r="W81" i="1"/>
  <c r="W82" i="1"/>
  <c r="W83" i="1"/>
  <c r="W84" i="1"/>
  <c r="W85" i="1"/>
  <c r="X85" i="1" s="1"/>
  <c r="W86" i="1"/>
  <c r="W87" i="1"/>
  <c r="W88" i="1"/>
  <c r="W89" i="1"/>
  <c r="W90" i="1"/>
  <c r="W91" i="1"/>
  <c r="W92" i="1"/>
  <c r="W93" i="1"/>
  <c r="X93" i="1" s="1"/>
  <c r="W94" i="1"/>
  <c r="W95" i="1"/>
  <c r="W96" i="1"/>
  <c r="W97" i="1"/>
  <c r="X97" i="1" s="1"/>
  <c r="W98" i="1"/>
  <c r="W99" i="1"/>
  <c r="W100" i="1"/>
  <c r="W101" i="1"/>
  <c r="W102" i="1"/>
  <c r="W103" i="1"/>
  <c r="W104" i="1"/>
  <c r="X104" i="1" s="1"/>
  <c r="W105" i="1"/>
  <c r="X105" i="1" s="1"/>
  <c r="W106" i="1"/>
  <c r="W107" i="1"/>
  <c r="W108" i="1"/>
  <c r="W109" i="1"/>
  <c r="W110" i="1"/>
  <c r="W111" i="1"/>
  <c r="W112" i="1"/>
  <c r="W113" i="1"/>
  <c r="X113" i="1" s="1"/>
  <c r="W114" i="1"/>
  <c r="W115" i="1"/>
  <c r="W116" i="1"/>
  <c r="W117" i="1"/>
  <c r="X117" i="1" s="1"/>
  <c r="W118" i="1"/>
  <c r="W119" i="1"/>
  <c r="W120" i="1"/>
  <c r="W121" i="1"/>
  <c r="W122" i="1"/>
  <c r="W123" i="1"/>
  <c r="W124" i="1"/>
  <c r="W125" i="1"/>
  <c r="X125" i="1" s="1"/>
  <c r="W126" i="1"/>
  <c r="W127" i="1"/>
  <c r="W128" i="1"/>
  <c r="X128" i="1" s="1"/>
  <c r="W129" i="1"/>
  <c r="W130" i="1"/>
  <c r="W131" i="1"/>
  <c r="W132" i="1"/>
  <c r="W133" i="1"/>
  <c r="W134" i="1"/>
  <c r="W135" i="1"/>
  <c r="W136" i="1"/>
  <c r="W137" i="1"/>
  <c r="X137" i="1" s="1"/>
  <c r="W138" i="1"/>
  <c r="W139" i="1"/>
  <c r="W140" i="1"/>
  <c r="W141" i="1"/>
  <c r="X141" i="1" s="1"/>
  <c r="W142" i="1"/>
  <c r="W143" i="1"/>
  <c r="W144" i="1"/>
  <c r="W145" i="1"/>
  <c r="X145" i="1" s="1"/>
  <c r="W146" i="1"/>
  <c r="W147" i="1"/>
  <c r="W148" i="1"/>
  <c r="W149" i="1"/>
  <c r="X149" i="1" s="1"/>
  <c r="W150" i="1"/>
  <c r="W151" i="1"/>
  <c r="W152" i="1"/>
  <c r="W153" i="1"/>
  <c r="W154" i="1"/>
  <c r="W155" i="1"/>
  <c r="W156" i="1"/>
  <c r="W157" i="1"/>
  <c r="W158" i="1"/>
  <c r="W159" i="1"/>
  <c r="W160" i="1"/>
  <c r="X160" i="1" s="1"/>
  <c r="W161" i="1"/>
  <c r="X161" i="1" s="1"/>
  <c r="W162" i="1"/>
  <c r="W163" i="1"/>
  <c r="W164" i="1"/>
  <c r="W165" i="1"/>
  <c r="W166" i="1"/>
  <c r="W167" i="1"/>
  <c r="W168" i="1"/>
  <c r="W169" i="1"/>
  <c r="X169" i="1" s="1"/>
  <c r="W170" i="1"/>
  <c r="W171" i="1"/>
  <c r="W172" i="1"/>
  <c r="W173" i="1"/>
  <c r="X173" i="1" s="1"/>
  <c r="Y173" i="1" s="1"/>
  <c r="Z173" i="1" s="1"/>
  <c r="AA173" i="1" s="1"/>
  <c r="W174" i="1"/>
  <c r="W175" i="1"/>
  <c r="W176" i="1"/>
  <c r="W177" i="1"/>
  <c r="X177" i="1" s="1"/>
  <c r="W178" i="1"/>
  <c r="W179" i="1"/>
  <c r="W180" i="1"/>
  <c r="W181" i="1"/>
  <c r="X181" i="1" s="1"/>
  <c r="W182" i="1"/>
  <c r="W183" i="1"/>
  <c r="W184" i="1"/>
  <c r="X184" i="1" s="1"/>
  <c r="W185" i="1"/>
  <c r="W186" i="1"/>
  <c r="W187" i="1"/>
  <c r="W188" i="1"/>
  <c r="W189" i="1"/>
  <c r="X189" i="1" s="1"/>
  <c r="W190" i="1"/>
  <c r="W191" i="1"/>
  <c r="W192" i="1"/>
  <c r="W193" i="1"/>
  <c r="X193" i="1" s="1"/>
  <c r="W194" i="1"/>
  <c r="W195" i="1"/>
  <c r="W196" i="1"/>
  <c r="W197" i="1"/>
  <c r="W198" i="1"/>
  <c r="W199" i="1"/>
  <c r="W200" i="1"/>
  <c r="W201" i="1"/>
  <c r="W202" i="1"/>
  <c r="W203" i="1"/>
  <c r="W204" i="1"/>
  <c r="W205" i="1"/>
  <c r="X205" i="1" s="1"/>
  <c r="W206" i="1"/>
  <c r="W207" i="1"/>
  <c r="W208" i="1"/>
  <c r="W209" i="1"/>
  <c r="X209" i="1" s="1"/>
  <c r="W210" i="1"/>
  <c r="W211" i="1"/>
  <c r="W212" i="1"/>
  <c r="W213" i="1"/>
  <c r="X213" i="1" s="1"/>
  <c r="W214" i="1"/>
  <c r="W215" i="1"/>
  <c r="W216" i="1"/>
  <c r="W217" i="1"/>
  <c r="W218" i="1"/>
  <c r="W219" i="1"/>
  <c r="W220" i="1"/>
  <c r="W221" i="1"/>
  <c r="X221" i="1" s="1"/>
  <c r="W222" i="1"/>
  <c r="W223" i="1"/>
  <c r="W224" i="1"/>
  <c r="W225" i="1"/>
  <c r="W226" i="1"/>
  <c r="W227" i="1"/>
  <c r="W228" i="1"/>
  <c r="W229" i="1"/>
  <c r="W230" i="1"/>
  <c r="W231" i="1"/>
  <c r="W232" i="1"/>
  <c r="X232" i="1" s="1"/>
  <c r="W233" i="1"/>
  <c r="X233" i="1" s="1"/>
  <c r="W234" i="1"/>
  <c r="W235" i="1"/>
  <c r="W236" i="1"/>
  <c r="W237" i="1"/>
  <c r="X237" i="1" s="1"/>
  <c r="W238" i="1"/>
  <c r="W239" i="1"/>
  <c r="W240" i="1"/>
  <c r="W241" i="1"/>
  <c r="X241" i="1" s="1"/>
  <c r="W242" i="1"/>
  <c r="W243" i="1"/>
  <c r="W244" i="1"/>
  <c r="W245" i="1"/>
  <c r="X245" i="1" s="1"/>
  <c r="W246" i="1"/>
  <c r="W247" i="1"/>
  <c r="W248" i="1"/>
  <c r="W249" i="1"/>
  <c r="W250" i="1"/>
  <c r="W251" i="1"/>
  <c r="W252" i="1"/>
  <c r="W253" i="1"/>
  <c r="W254" i="1"/>
  <c r="W255" i="1"/>
  <c r="W256" i="1"/>
  <c r="X256" i="1" s="1"/>
  <c r="W257" i="1"/>
  <c r="X257" i="1" s="1"/>
  <c r="W258" i="1"/>
  <c r="W259" i="1"/>
  <c r="W260" i="1"/>
  <c r="W261" i="1"/>
  <c r="W262" i="1"/>
  <c r="W263" i="1"/>
  <c r="W264" i="1"/>
  <c r="W265" i="1"/>
  <c r="X265" i="1" s="1"/>
  <c r="W266" i="1"/>
  <c r="W267" i="1"/>
  <c r="W268" i="1"/>
  <c r="W269" i="1"/>
  <c r="X269" i="1" s="1"/>
  <c r="W270" i="1"/>
  <c r="W271" i="1"/>
  <c r="W272" i="1"/>
  <c r="W273" i="1"/>
  <c r="W274" i="1"/>
  <c r="W275" i="1"/>
  <c r="W276" i="1"/>
  <c r="W277" i="1"/>
  <c r="X277" i="1" s="1"/>
  <c r="W278" i="1"/>
  <c r="W279" i="1"/>
  <c r="W280" i="1"/>
  <c r="W281" i="1"/>
  <c r="W282" i="1"/>
  <c r="W283" i="1"/>
  <c r="W284" i="1"/>
  <c r="W285" i="1"/>
  <c r="X285" i="1" s="1"/>
  <c r="W286" i="1"/>
  <c r="W287" i="1"/>
  <c r="W288" i="1"/>
  <c r="X288" i="1" s="1"/>
  <c r="W289" i="1"/>
  <c r="X289" i="1" s="1"/>
  <c r="W290" i="1"/>
  <c r="W291" i="1"/>
  <c r="W292" i="1"/>
  <c r="W293" i="1"/>
  <c r="W294" i="1"/>
  <c r="W295" i="1"/>
  <c r="W296" i="1"/>
  <c r="W297" i="1"/>
  <c r="X297" i="1" s="1"/>
  <c r="W298" i="1"/>
  <c r="W299" i="1"/>
  <c r="W300" i="1"/>
  <c r="W301" i="1"/>
  <c r="W302" i="1"/>
  <c r="W303" i="1"/>
  <c r="W304" i="1"/>
  <c r="W305" i="1"/>
  <c r="X305" i="1" s="1"/>
  <c r="W306" i="1"/>
  <c r="W307" i="1"/>
  <c r="W308" i="1"/>
  <c r="W309" i="1"/>
  <c r="X309" i="1" s="1"/>
  <c r="W310" i="1"/>
  <c r="W311" i="1"/>
  <c r="W312" i="1"/>
  <c r="W313" i="1"/>
  <c r="W314" i="1"/>
  <c r="W315" i="1"/>
  <c r="W316" i="1"/>
  <c r="W317" i="1"/>
  <c r="X317" i="1" s="1"/>
  <c r="W318" i="1"/>
  <c r="W319" i="1"/>
  <c r="W320" i="1"/>
  <c r="W321" i="1"/>
  <c r="W322" i="1"/>
  <c r="W323" i="1"/>
  <c r="W324" i="1"/>
  <c r="W325" i="1"/>
  <c r="W326" i="1"/>
  <c r="W327" i="1"/>
  <c r="W328" i="1"/>
  <c r="X328" i="1" s="1"/>
  <c r="W329" i="1"/>
  <c r="X329" i="1" s="1"/>
  <c r="W330" i="1"/>
  <c r="W331" i="1"/>
  <c r="W332" i="1"/>
  <c r="W333" i="1"/>
  <c r="X333" i="1" s="1"/>
  <c r="W334" i="1"/>
  <c r="W335" i="1"/>
  <c r="W336" i="1"/>
  <c r="W337" i="1"/>
  <c r="X337" i="1" s="1"/>
  <c r="W338" i="1"/>
  <c r="W339" i="1"/>
  <c r="W340" i="1"/>
  <c r="W341" i="1"/>
  <c r="W342" i="1"/>
  <c r="X342" i="1" s="1"/>
  <c r="W343" i="1"/>
  <c r="W344" i="1"/>
  <c r="W345" i="1"/>
  <c r="X345" i="1" s="1"/>
  <c r="W346" i="1"/>
  <c r="W347" i="1"/>
  <c r="X347" i="1" s="1"/>
  <c r="W348" i="1"/>
  <c r="W349" i="1"/>
  <c r="W350" i="1"/>
  <c r="W351" i="1"/>
  <c r="W352" i="1"/>
  <c r="W353" i="1"/>
  <c r="X353" i="1" s="1"/>
  <c r="W354" i="1"/>
  <c r="W355" i="1"/>
  <c r="X355" i="1" s="1"/>
  <c r="W356" i="1"/>
  <c r="W357" i="1"/>
  <c r="W358" i="1"/>
  <c r="W359" i="1"/>
  <c r="W360" i="1"/>
  <c r="W361" i="1"/>
  <c r="X361" i="1" s="1"/>
  <c r="W362" i="1"/>
  <c r="X362" i="1" s="1"/>
  <c r="W363" i="1"/>
  <c r="W364" i="1"/>
  <c r="W365" i="1"/>
  <c r="W366" i="1"/>
  <c r="W367" i="1"/>
  <c r="W368" i="1"/>
  <c r="W369" i="1"/>
  <c r="X369" i="1" s="1"/>
  <c r="W370" i="1"/>
  <c r="W371" i="1"/>
  <c r="X371" i="1" s="1"/>
  <c r="W372" i="1"/>
  <c r="W373" i="1"/>
  <c r="X373" i="1" s="1"/>
  <c r="W374" i="1"/>
  <c r="W375" i="1"/>
  <c r="W376" i="1"/>
  <c r="W377" i="1"/>
  <c r="X377" i="1" s="1"/>
  <c r="Y377" i="1" s="1"/>
  <c r="Z377" i="1" s="1"/>
  <c r="AA377" i="1" s="1"/>
  <c r="W378" i="1"/>
  <c r="X378" i="1" s="1"/>
  <c r="W379" i="1"/>
  <c r="W380" i="1"/>
  <c r="W381" i="1"/>
  <c r="W382" i="1"/>
  <c r="W383" i="1"/>
  <c r="W384" i="1"/>
  <c r="W385" i="1"/>
  <c r="X385" i="1" s="1"/>
  <c r="W386" i="1"/>
  <c r="W387" i="1"/>
  <c r="W388" i="1"/>
  <c r="W389" i="1"/>
  <c r="X389" i="1" s="1"/>
  <c r="W390" i="1"/>
  <c r="W391" i="1"/>
  <c r="W392" i="1"/>
  <c r="W393" i="1"/>
  <c r="X393" i="1" s="1"/>
  <c r="W394" i="1"/>
  <c r="W395" i="1"/>
  <c r="W396" i="1"/>
  <c r="W397" i="1"/>
  <c r="W398" i="1"/>
  <c r="W399" i="1"/>
  <c r="X399" i="1" s="1"/>
  <c r="W400" i="1"/>
  <c r="W401" i="1"/>
  <c r="X401" i="1" s="1"/>
  <c r="W402" i="1"/>
  <c r="W403" i="1"/>
  <c r="W404" i="1"/>
  <c r="W405" i="1"/>
  <c r="W406" i="1"/>
  <c r="W407" i="1"/>
  <c r="W408" i="1"/>
  <c r="W409" i="1"/>
  <c r="X409" i="1" s="1"/>
  <c r="W410" i="1"/>
  <c r="W411" i="1"/>
  <c r="X411" i="1" s="1"/>
  <c r="W412" i="1"/>
  <c r="W413" i="1"/>
  <c r="W414" i="1"/>
  <c r="X414" i="1" s="1"/>
  <c r="W415" i="1"/>
  <c r="W416" i="1"/>
  <c r="W417" i="1"/>
  <c r="X417" i="1" s="1"/>
  <c r="W418" i="1"/>
  <c r="W419" i="1"/>
  <c r="X419" i="1" s="1"/>
  <c r="W420" i="1"/>
  <c r="W421" i="1"/>
  <c r="X421" i="1" s="1"/>
  <c r="W422" i="1"/>
  <c r="W423" i="1"/>
  <c r="W424" i="1"/>
  <c r="W425" i="1"/>
  <c r="W426" i="1"/>
  <c r="W427" i="1"/>
  <c r="X427" i="1" s="1"/>
  <c r="W428" i="1"/>
  <c r="W429" i="1"/>
  <c r="W430" i="1"/>
  <c r="W431" i="1"/>
  <c r="W432" i="1"/>
  <c r="W433" i="1"/>
  <c r="X433" i="1" s="1"/>
  <c r="W434" i="1"/>
  <c r="W435" i="1"/>
  <c r="X435" i="1" s="1"/>
  <c r="W436" i="1"/>
  <c r="W437" i="1"/>
  <c r="X437" i="1" s="1"/>
  <c r="W438" i="1"/>
  <c r="W439" i="1"/>
  <c r="W440" i="1"/>
  <c r="W441" i="1"/>
  <c r="X441" i="1" s="1"/>
  <c r="W442" i="1"/>
  <c r="X442" i="1" s="1"/>
  <c r="W443" i="1"/>
  <c r="W444" i="1"/>
  <c r="W445" i="1"/>
  <c r="W446" i="1"/>
  <c r="W447" i="1"/>
  <c r="X447" i="1" s="1"/>
  <c r="W448" i="1"/>
  <c r="W449" i="1"/>
  <c r="W450" i="1"/>
  <c r="W451" i="1"/>
  <c r="W452" i="1"/>
  <c r="W453" i="1"/>
  <c r="X453" i="1" s="1"/>
  <c r="W454" i="1"/>
  <c r="X454" i="1" s="1"/>
  <c r="W455" i="1"/>
  <c r="W456" i="1"/>
  <c r="W457" i="1"/>
  <c r="X457" i="1" s="1"/>
  <c r="W458" i="1"/>
  <c r="W459" i="1"/>
  <c r="W460" i="1"/>
  <c r="W461" i="1"/>
  <c r="W462" i="1"/>
  <c r="W463" i="1"/>
  <c r="X463" i="1" s="1"/>
  <c r="W464" i="1"/>
  <c r="W465" i="1"/>
  <c r="X465" i="1" s="1"/>
  <c r="W466" i="1"/>
  <c r="W467" i="1"/>
  <c r="W468" i="1"/>
  <c r="W469" i="1"/>
  <c r="W470" i="1"/>
  <c r="X470" i="1" s="1"/>
  <c r="W471" i="1"/>
  <c r="W472" i="1"/>
  <c r="W473" i="1"/>
  <c r="X473" i="1" s="1"/>
  <c r="W474" i="1"/>
  <c r="W475" i="1"/>
  <c r="X475" i="1" s="1"/>
  <c r="W476" i="1"/>
  <c r="W477" i="1"/>
  <c r="W478" i="1"/>
  <c r="X478" i="1" s="1"/>
  <c r="W479" i="1"/>
  <c r="W480" i="1"/>
  <c r="W481" i="1"/>
  <c r="X481" i="1" s="1"/>
  <c r="W482" i="1"/>
  <c r="W483" i="1"/>
  <c r="X483" i="1" s="1"/>
  <c r="W484" i="1"/>
  <c r="W485" i="1"/>
  <c r="X485" i="1" s="1"/>
  <c r="W486" i="1"/>
  <c r="W487" i="1"/>
  <c r="W488" i="1"/>
  <c r="W489" i="1"/>
  <c r="X489" i="1" s="1"/>
  <c r="W490" i="1"/>
  <c r="X490" i="1" s="1"/>
  <c r="W491" i="1"/>
  <c r="X491" i="1" s="1"/>
  <c r="W492" i="1"/>
  <c r="W493" i="1"/>
  <c r="W494" i="1"/>
  <c r="W495" i="1"/>
  <c r="W496" i="1"/>
  <c r="W497" i="1"/>
  <c r="W498" i="1"/>
  <c r="W499" i="1"/>
  <c r="X499" i="1" s="1"/>
  <c r="W500" i="1"/>
  <c r="W501" i="1"/>
  <c r="X501" i="1" s="1"/>
  <c r="W502" i="1"/>
  <c r="W503" i="1"/>
  <c r="W504" i="1"/>
  <c r="W505" i="1"/>
  <c r="X505" i="1" s="1"/>
  <c r="W506" i="1"/>
  <c r="X506" i="1" s="1"/>
  <c r="W507" i="1"/>
  <c r="W508" i="1"/>
  <c r="W509" i="1"/>
  <c r="W510" i="1"/>
  <c r="W511" i="1"/>
  <c r="X511" i="1" s="1"/>
  <c r="W512" i="1"/>
  <c r="W513" i="1"/>
  <c r="X513" i="1" s="1"/>
  <c r="W514" i="1"/>
  <c r="W515" i="1"/>
  <c r="W516" i="1"/>
  <c r="W517" i="1"/>
  <c r="W518" i="1"/>
  <c r="W519" i="1"/>
  <c r="W520" i="1"/>
  <c r="W521" i="1"/>
  <c r="X521" i="1" s="1"/>
  <c r="W522" i="1"/>
  <c r="W523" i="1"/>
  <c r="W524" i="1"/>
  <c r="W525" i="1"/>
  <c r="W526" i="1"/>
  <c r="W527" i="1"/>
  <c r="X527" i="1" s="1"/>
  <c r="W528" i="1"/>
  <c r="W529" i="1"/>
  <c r="X529" i="1" s="1"/>
  <c r="W530" i="1"/>
  <c r="W531" i="1"/>
  <c r="W532" i="1"/>
  <c r="W533" i="1"/>
  <c r="X533" i="1" s="1"/>
  <c r="W534" i="1"/>
  <c r="W535" i="1"/>
  <c r="W536" i="1"/>
  <c r="W537" i="1"/>
  <c r="X537" i="1" s="1"/>
  <c r="W538" i="1"/>
  <c r="W539" i="1"/>
  <c r="W540" i="1"/>
  <c r="W541" i="1"/>
  <c r="W542" i="1"/>
  <c r="X542" i="1" s="1"/>
  <c r="W543" i="1"/>
  <c r="W544" i="1"/>
  <c r="W545" i="1"/>
  <c r="X545" i="1" s="1"/>
  <c r="W546" i="1"/>
  <c r="W547" i="1"/>
  <c r="X547" i="1" s="1"/>
  <c r="W548" i="1"/>
  <c r="W549" i="1"/>
  <c r="X549" i="1" s="1"/>
  <c r="W550" i="1"/>
  <c r="W551" i="1"/>
  <c r="W552" i="1"/>
  <c r="W553" i="1"/>
  <c r="X553" i="1" s="1"/>
  <c r="W554" i="1"/>
  <c r="W555" i="1"/>
  <c r="X555" i="1" s="1"/>
  <c r="W556" i="1"/>
  <c r="W557" i="1"/>
  <c r="W558" i="1"/>
  <c r="W559" i="1"/>
  <c r="W560" i="1"/>
  <c r="W561" i="1"/>
  <c r="W562" i="1"/>
  <c r="W563" i="1"/>
  <c r="X563" i="1" s="1"/>
  <c r="W564" i="1"/>
  <c r="W565" i="1"/>
  <c r="X565" i="1" s="1"/>
  <c r="W566" i="1"/>
  <c r="W567" i="1"/>
  <c r="W568" i="1"/>
  <c r="W569" i="1"/>
  <c r="X569" i="1" s="1"/>
  <c r="W570" i="1"/>
  <c r="W571" i="1"/>
  <c r="W572" i="1"/>
  <c r="W573" i="1"/>
  <c r="W574" i="1"/>
  <c r="W575" i="1"/>
  <c r="X575" i="1" s="1"/>
  <c r="W576" i="1"/>
  <c r="W577" i="1"/>
  <c r="W578" i="1"/>
  <c r="W579" i="1"/>
  <c r="W580" i="1"/>
  <c r="W581" i="1"/>
  <c r="X581" i="1" s="1"/>
  <c r="W582" i="1"/>
  <c r="W583" i="1"/>
  <c r="W584" i="1"/>
  <c r="W585" i="1"/>
  <c r="X585" i="1" s="1"/>
  <c r="W586" i="1"/>
  <c r="W587" i="1"/>
  <c r="W588" i="1"/>
  <c r="W589" i="1"/>
  <c r="W590" i="1"/>
  <c r="X590" i="1" s="1"/>
  <c r="W591" i="1"/>
  <c r="X591" i="1" s="1"/>
  <c r="W592" i="1"/>
  <c r="W593" i="1"/>
  <c r="X593" i="1" s="1"/>
  <c r="W594" i="1"/>
  <c r="W595" i="1"/>
  <c r="W596" i="1"/>
  <c r="W597" i="1"/>
  <c r="X597" i="1" s="1"/>
  <c r="W598" i="1"/>
  <c r="W599" i="1"/>
  <c r="W600" i="1"/>
  <c r="W601" i="1"/>
  <c r="X601" i="1" s="1"/>
  <c r="W602" i="1"/>
  <c r="W603" i="1"/>
  <c r="W604" i="1"/>
  <c r="W605" i="1"/>
  <c r="W606" i="1"/>
  <c r="W607" i="1"/>
  <c r="W608" i="1"/>
  <c r="W609" i="1"/>
  <c r="X609" i="1" s="1"/>
  <c r="W610" i="1"/>
  <c r="W611" i="1"/>
  <c r="X611" i="1" s="1"/>
  <c r="W612" i="1"/>
  <c r="W613" i="1"/>
  <c r="X613" i="1" s="1"/>
  <c r="W614" i="1"/>
  <c r="W615" i="1"/>
  <c r="W616" i="1"/>
  <c r="W617" i="1"/>
  <c r="W618" i="1"/>
  <c r="W619" i="1"/>
  <c r="W620" i="1"/>
  <c r="W621" i="1"/>
  <c r="W622" i="1"/>
  <c r="W623" i="1"/>
  <c r="W624" i="1"/>
  <c r="W625" i="1"/>
  <c r="X625" i="1" s="1"/>
  <c r="W626" i="1"/>
  <c r="W627" i="1"/>
  <c r="X627" i="1" s="1"/>
  <c r="W628" i="1"/>
  <c r="W629" i="1"/>
  <c r="X629" i="1" s="1"/>
  <c r="W630" i="1"/>
  <c r="W631" i="1"/>
  <c r="W632" i="1"/>
  <c r="W633" i="1"/>
  <c r="X633" i="1" s="1"/>
  <c r="W634" i="1"/>
  <c r="X634" i="1" s="1"/>
  <c r="W635" i="1"/>
  <c r="W636" i="1"/>
  <c r="W637" i="1"/>
  <c r="W638" i="1"/>
  <c r="W639" i="1"/>
  <c r="W640" i="1"/>
  <c r="W641" i="1"/>
  <c r="X641" i="1" s="1"/>
  <c r="W642" i="1"/>
  <c r="W643" i="1"/>
  <c r="W644" i="1"/>
  <c r="W645" i="1"/>
  <c r="X645" i="1" s="1"/>
  <c r="W646" i="1"/>
  <c r="X646" i="1" s="1"/>
  <c r="W647" i="1"/>
  <c r="W648" i="1"/>
  <c r="W649" i="1"/>
  <c r="X649" i="1" s="1"/>
  <c r="W650" i="1"/>
  <c r="W651" i="1"/>
  <c r="W652" i="1"/>
  <c r="W653" i="1"/>
  <c r="W654" i="1"/>
  <c r="X654" i="1" s="1"/>
  <c r="W655" i="1"/>
  <c r="X655" i="1" s="1"/>
  <c r="W656" i="1"/>
  <c r="W657" i="1"/>
  <c r="X657" i="1" s="1"/>
  <c r="W658" i="1"/>
  <c r="W659" i="1"/>
  <c r="W660" i="1"/>
  <c r="W661" i="1"/>
  <c r="W662" i="1"/>
  <c r="X662" i="1" s="1"/>
  <c r="W663" i="1"/>
  <c r="W664" i="1"/>
  <c r="W665" i="1"/>
  <c r="X665" i="1" s="1"/>
  <c r="W666" i="1"/>
  <c r="W667" i="1"/>
  <c r="X667" i="1" s="1"/>
  <c r="W668" i="1"/>
  <c r="W669" i="1"/>
  <c r="W670" i="1"/>
  <c r="X670" i="1" s="1"/>
  <c r="W671" i="1"/>
  <c r="W672" i="1"/>
  <c r="W673" i="1"/>
  <c r="X673" i="1" s="1"/>
  <c r="W674" i="1"/>
  <c r="W675" i="1"/>
  <c r="X675" i="1" s="1"/>
  <c r="W676" i="1"/>
  <c r="W677" i="1"/>
  <c r="X677" i="1" s="1"/>
  <c r="W678" i="1"/>
  <c r="W679" i="1"/>
  <c r="W680" i="1"/>
  <c r="W681" i="1"/>
  <c r="W682" i="1"/>
  <c r="X682" i="1" s="1"/>
  <c r="W683" i="1"/>
  <c r="W684" i="1"/>
  <c r="W685" i="1"/>
  <c r="W686" i="1"/>
  <c r="W687" i="1"/>
  <c r="W688" i="1"/>
  <c r="W689" i="1"/>
  <c r="X689" i="1" s="1"/>
  <c r="W690" i="1"/>
  <c r="W691" i="1"/>
  <c r="X691" i="1" s="1"/>
  <c r="W692" i="1"/>
  <c r="W693" i="1"/>
  <c r="X693" i="1" s="1"/>
  <c r="W694" i="1"/>
  <c r="W695" i="1"/>
  <c r="W696" i="1"/>
  <c r="W697" i="1"/>
  <c r="X697" i="1" s="1"/>
  <c r="W698" i="1"/>
  <c r="W699" i="1"/>
  <c r="W700" i="1"/>
  <c r="W701" i="1"/>
  <c r="W702" i="1"/>
  <c r="W703" i="1"/>
  <c r="W704" i="1"/>
  <c r="W705" i="1"/>
  <c r="W706" i="1"/>
  <c r="W707" i="1"/>
  <c r="W708" i="1"/>
  <c r="W709" i="1"/>
  <c r="X709" i="1" s="1"/>
  <c r="W710" i="1"/>
  <c r="X710" i="1" s="1"/>
  <c r="W711" i="1"/>
  <c r="W712" i="1"/>
  <c r="W713" i="1"/>
  <c r="X713" i="1" s="1"/>
  <c r="W714" i="1"/>
  <c r="W715" i="1"/>
  <c r="W716" i="1"/>
  <c r="W717" i="1"/>
  <c r="W718" i="1"/>
  <c r="X718" i="1" s="1"/>
  <c r="W719" i="1"/>
  <c r="X719" i="1" s="1"/>
  <c r="W720" i="1"/>
  <c r="W721" i="1"/>
  <c r="X721" i="1" s="1"/>
  <c r="W722" i="1"/>
  <c r="W723" i="1"/>
  <c r="W724" i="1"/>
  <c r="W725" i="1"/>
  <c r="W726" i="1"/>
  <c r="X726" i="1" s="1"/>
  <c r="W727" i="1"/>
  <c r="W728" i="1"/>
  <c r="W729" i="1"/>
  <c r="X729" i="1" s="1"/>
  <c r="W730" i="1"/>
  <c r="W731" i="1"/>
  <c r="X731" i="1" s="1"/>
  <c r="W732" i="1"/>
  <c r="W733" i="1"/>
  <c r="W734" i="1"/>
  <c r="X734" i="1" s="1"/>
  <c r="W735" i="1"/>
  <c r="W736" i="1"/>
  <c r="W737" i="1"/>
  <c r="X737" i="1" s="1"/>
  <c r="W738" i="1"/>
  <c r="W739" i="1"/>
  <c r="X739" i="1" s="1"/>
  <c r="W740" i="1"/>
  <c r="W741" i="1"/>
  <c r="X741" i="1" s="1"/>
  <c r="W742" i="1"/>
  <c r="W743" i="1"/>
  <c r="W744" i="1"/>
  <c r="W745" i="1"/>
  <c r="X745" i="1" s="1"/>
  <c r="W746" i="1"/>
  <c r="X746" i="1" s="1"/>
  <c r="W747" i="1"/>
  <c r="X747" i="1" s="1"/>
  <c r="W748" i="1"/>
  <c r="W749" i="1"/>
  <c r="W750" i="1"/>
  <c r="W751" i="1"/>
  <c r="W752" i="1"/>
  <c r="W753" i="1"/>
  <c r="W754" i="1"/>
  <c r="W755" i="1"/>
  <c r="X755" i="1" s="1"/>
  <c r="W756" i="1"/>
  <c r="W757" i="1"/>
  <c r="X757" i="1" s="1"/>
  <c r="W758" i="1"/>
  <c r="W759" i="1"/>
  <c r="W760" i="1"/>
  <c r="W761" i="1"/>
  <c r="X761" i="1" s="1"/>
  <c r="W762" i="1"/>
  <c r="X762" i="1" s="1"/>
  <c r="W763" i="1"/>
  <c r="W764" i="1"/>
  <c r="W765" i="1"/>
  <c r="W766" i="1"/>
  <c r="W767" i="1"/>
  <c r="X767" i="1" s="1"/>
  <c r="W768" i="1"/>
  <c r="W769" i="1"/>
  <c r="X769" i="1" s="1"/>
  <c r="W770" i="1"/>
  <c r="W771" i="1"/>
  <c r="W772" i="1"/>
  <c r="W773" i="1"/>
  <c r="W774" i="1"/>
  <c r="X774" i="1" s="1"/>
  <c r="W775" i="1"/>
  <c r="W776" i="1"/>
  <c r="W777" i="1"/>
  <c r="X777" i="1" s="1"/>
  <c r="W778" i="1"/>
  <c r="W779" i="1"/>
  <c r="W780" i="1"/>
  <c r="W781" i="1"/>
  <c r="W782" i="1"/>
  <c r="X782" i="1" s="1"/>
  <c r="W783" i="1"/>
  <c r="X783" i="1" s="1"/>
  <c r="W784" i="1"/>
  <c r="W785" i="1"/>
  <c r="X785" i="1" s="1"/>
  <c r="W786" i="1"/>
  <c r="W787" i="1"/>
  <c r="W788" i="1"/>
  <c r="W789" i="1"/>
  <c r="X789" i="1" s="1"/>
  <c r="Y789" i="1" s="1"/>
  <c r="Z789" i="1" s="1"/>
  <c r="AA789" i="1" s="1"/>
  <c r="W790" i="1"/>
  <c r="X790" i="1" s="1"/>
  <c r="W791" i="1"/>
  <c r="W792" i="1"/>
  <c r="W793" i="1"/>
  <c r="X793" i="1" s="1"/>
  <c r="W794" i="1"/>
  <c r="W795" i="1"/>
  <c r="X795" i="1" s="1"/>
  <c r="W796" i="1"/>
  <c r="W797" i="1"/>
  <c r="W798" i="1"/>
  <c r="X798" i="1" s="1"/>
  <c r="W799" i="1"/>
  <c r="W800" i="1"/>
  <c r="W801" i="1"/>
  <c r="W802" i="1"/>
  <c r="W803" i="1"/>
  <c r="X803" i="1" s="1"/>
  <c r="W804" i="1"/>
  <c r="W805" i="1"/>
  <c r="X805" i="1" s="1"/>
  <c r="W806" i="1"/>
  <c r="W807" i="1"/>
  <c r="W808" i="1"/>
  <c r="W809" i="1"/>
  <c r="X809" i="1" s="1"/>
  <c r="W810" i="1"/>
  <c r="X810" i="1" s="1"/>
  <c r="W811" i="1"/>
  <c r="X811" i="1" s="1"/>
  <c r="W812" i="1"/>
  <c r="W813" i="1"/>
  <c r="W814" i="1"/>
  <c r="W815" i="1"/>
  <c r="W816" i="1"/>
  <c r="W817" i="1"/>
  <c r="X817" i="1" s="1"/>
  <c r="W818" i="1"/>
  <c r="W819" i="1"/>
  <c r="W820" i="1"/>
  <c r="W821" i="1"/>
  <c r="X821" i="1" s="1"/>
  <c r="W822" i="1"/>
  <c r="W823" i="1"/>
  <c r="W824" i="1"/>
  <c r="W825" i="1"/>
  <c r="X825" i="1" s="1"/>
  <c r="W826" i="1"/>
  <c r="X826" i="1" s="1"/>
  <c r="W827" i="1"/>
  <c r="W828" i="1"/>
  <c r="W829" i="1"/>
  <c r="W830" i="1"/>
  <c r="W831" i="1"/>
  <c r="W832" i="1"/>
  <c r="W833" i="1"/>
  <c r="X833" i="1" s="1"/>
  <c r="W834" i="1"/>
  <c r="W835" i="1"/>
  <c r="W836" i="1"/>
  <c r="W837" i="1"/>
  <c r="W838" i="1"/>
  <c r="X838" i="1" s="1"/>
  <c r="W839" i="1"/>
  <c r="W840" i="1"/>
  <c r="W841" i="1"/>
  <c r="X841" i="1" s="1"/>
  <c r="W842" i="1"/>
  <c r="W843" i="1"/>
  <c r="W844" i="1"/>
  <c r="W845" i="1"/>
  <c r="W846" i="1"/>
  <c r="X846" i="1" s="1"/>
  <c r="W847" i="1"/>
  <c r="X847" i="1" s="1"/>
  <c r="W848" i="1"/>
  <c r="W849" i="1"/>
  <c r="X849" i="1" s="1"/>
  <c r="W850" i="1"/>
  <c r="W851" i="1"/>
  <c r="W852" i="1"/>
  <c r="X852" i="1" s="1"/>
  <c r="W853" i="1"/>
  <c r="X853" i="1" s="1"/>
  <c r="W854" i="1"/>
  <c r="W855" i="1"/>
  <c r="W856" i="1"/>
  <c r="W857" i="1"/>
  <c r="X857" i="1" s="1"/>
  <c r="W858" i="1"/>
  <c r="W859" i="1"/>
  <c r="X859" i="1" s="1"/>
  <c r="W860" i="1"/>
  <c r="W861" i="1"/>
  <c r="W862" i="1"/>
  <c r="W863" i="1"/>
  <c r="X863" i="1" s="1"/>
  <c r="W864" i="1"/>
  <c r="W865" i="1"/>
  <c r="X865" i="1" s="1"/>
  <c r="W866" i="1"/>
  <c r="W867" i="1"/>
  <c r="W868" i="1"/>
  <c r="X868" i="1" s="1"/>
  <c r="W869" i="1"/>
  <c r="X869" i="1" s="1"/>
  <c r="Y869" i="1" s="1"/>
  <c r="Z869" i="1" s="1"/>
  <c r="AA869" i="1" s="1"/>
  <c r="W870" i="1"/>
  <c r="W871" i="1"/>
  <c r="W872" i="1"/>
  <c r="W873" i="1"/>
  <c r="X873" i="1" s="1"/>
  <c r="W874" i="1"/>
  <c r="W875" i="1"/>
  <c r="W876" i="1"/>
  <c r="W877" i="1"/>
  <c r="X877" i="1" s="1"/>
  <c r="W878" i="1"/>
  <c r="W879" i="1"/>
  <c r="X879" i="1" s="1"/>
  <c r="W880" i="1"/>
  <c r="W881" i="1"/>
  <c r="X881" i="1" s="1"/>
  <c r="W882" i="1"/>
  <c r="W883" i="1"/>
  <c r="W884" i="1"/>
  <c r="X884" i="1" s="1"/>
  <c r="W885" i="1"/>
  <c r="W886" i="1"/>
  <c r="W887" i="1"/>
  <c r="W888" i="1"/>
  <c r="W889" i="1"/>
  <c r="X889" i="1" s="1"/>
  <c r="W890" i="1"/>
  <c r="W891" i="1"/>
  <c r="X891" i="1" s="1"/>
  <c r="W892" i="1"/>
  <c r="W893" i="1"/>
  <c r="X893" i="1" s="1"/>
  <c r="W894" i="1"/>
  <c r="W895" i="1"/>
  <c r="X895" i="1" s="1"/>
  <c r="W896" i="1"/>
  <c r="X896" i="1" s="1"/>
  <c r="W897" i="1"/>
  <c r="X897" i="1" s="1"/>
  <c r="W898" i="1"/>
  <c r="W899" i="1"/>
  <c r="W900" i="1"/>
  <c r="X900" i="1" s="1"/>
  <c r="W901" i="1"/>
  <c r="W902" i="1"/>
  <c r="W903" i="1"/>
  <c r="W904" i="1"/>
  <c r="W905" i="1"/>
  <c r="W906" i="1"/>
  <c r="W907" i="1"/>
  <c r="X907" i="1" s="1"/>
  <c r="W908" i="1"/>
  <c r="W909" i="1"/>
  <c r="W910" i="1"/>
  <c r="W911" i="1"/>
  <c r="W912" i="1"/>
  <c r="X912" i="1" s="1"/>
  <c r="W913" i="1"/>
  <c r="X913" i="1" s="1"/>
  <c r="W914" i="1"/>
  <c r="W915" i="1"/>
  <c r="W916" i="1"/>
  <c r="X916" i="1" s="1"/>
  <c r="W917" i="1"/>
  <c r="X917" i="1" s="1"/>
  <c r="W918" i="1"/>
  <c r="W919" i="1"/>
  <c r="W920" i="1"/>
  <c r="W921" i="1"/>
  <c r="W922" i="1"/>
  <c r="W923" i="1"/>
  <c r="X923" i="1" s="1"/>
  <c r="W924" i="1"/>
  <c r="W925" i="1"/>
  <c r="W926" i="1"/>
  <c r="W927" i="1"/>
  <c r="X927" i="1" s="1"/>
  <c r="Y927" i="1" s="1"/>
  <c r="Z927" i="1" s="1"/>
  <c r="AA927" i="1" s="1"/>
  <c r="W928" i="1"/>
  <c r="X928" i="1" s="1"/>
  <c r="W929" i="1"/>
  <c r="X929" i="1" s="1"/>
  <c r="W930" i="1"/>
  <c r="W931" i="1"/>
  <c r="W932" i="1"/>
  <c r="X932" i="1" s="1"/>
  <c r="W933" i="1"/>
  <c r="W934" i="1"/>
  <c r="W935" i="1"/>
  <c r="W936" i="1"/>
  <c r="W937" i="1"/>
  <c r="X937" i="1" s="1"/>
  <c r="W938" i="1"/>
  <c r="W939" i="1"/>
  <c r="X939" i="1" s="1"/>
  <c r="W940" i="1"/>
  <c r="W941" i="1"/>
  <c r="W942" i="1"/>
  <c r="W943" i="1"/>
  <c r="X943" i="1" s="1"/>
  <c r="W944" i="1"/>
  <c r="X944" i="1" s="1"/>
  <c r="W945" i="1"/>
  <c r="X945" i="1" s="1"/>
  <c r="W946" i="1"/>
  <c r="W947" i="1"/>
  <c r="W948" i="1"/>
  <c r="X948" i="1" s="1"/>
  <c r="W949" i="1"/>
  <c r="X949" i="1" s="1"/>
  <c r="W950" i="1"/>
  <c r="W951" i="1"/>
  <c r="W952" i="1"/>
  <c r="W953" i="1"/>
  <c r="W954" i="1"/>
  <c r="W955" i="1"/>
  <c r="X955" i="1" s="1"/>
  <c r="W956" i="1"/>
  <c r="W957" i="1"/>
  <c r="W958" i="1"/>
  <c r="W959" i="1"/>
  <c r="X959" i="1" s="1"/>
  <c r="W960" i="1"/>
  <c r="X960" i="1" s="1"/>
  <c r="W961" i="1"/>
  <c r="X961" i="1" s="1"/>
  <c r="W962" i="1"/>
  <c r="W963" i="1"/>
  <c r="W964" i="1"/>
  <c r="W965" i="1"/>
  <c r="W966" i="1"/>
  <c r="W967" i="1"/>
  <c r="W968" i="1"/>
  <c r="W969" i="1"/>
  <c r="X969" i="1" s="1"/>
  <c r="Y969" i="1" s="1"/>
  <c r="Z969" i="1" s="1"/>
  <c r="AA969" i="1" s="1"/>
  <c r="W970" i="1"/>
  <c r="W971" i="1"/>
  <c r="X971" i="1" s="1"/>
  <c r="W972" i="1"/>
  <c r="W973" i="1"/>
  <c r="X973" i="1" s="1"/>
  <c r="W974" i="1"/>
  <c r="W975" i="1"/>
  <c r="X975" i="1" s="1"/>
  <c r="W976" i="1"/>
  <c r="X976" i="1" s="1"/>
  <c r="W977" i="1"/>
  <c r="X977" i="1" s="1"/>
  <c r="W978" i="1"/>
  <c r="W979" i="1"/>
  <c r="W980" i="1"/>
  <c r="X980" i="1" s="1"/>
  <c r="W981" i="1"/>
  <c r="W982" i="1"/>
  <c r="W983" i="1"/>
  <c r="W984" i="1"/>
  <c r="W985" i="1"/>
  <c r="W986" i="1"/>
  <c r="W987" i="1"/>
  <c r="X987" i="1" s="1"/>
  <c r="W988" i="1"/>
  <c r="W989" i="1"/>
  <c r="W990" i="1"/>
  <c r="W991" i="1"/>
  <c r="X991" i="1" s="1"/>
  <c r="W992" i="1"/>
  <c r="X992" i="1" s="1"/>
  <c r="W993" i="1"/>
  <c r="X993" i="1" s="1"/>
  <c r="W994" i="1"/>
  <c r="W995" i="1"/>
  <c r="W996" i="1"/>
  <c r="X996" i="1" s="1"/>
  <c r="W997" i="1"/>
  <c r="W998" i="1"/>
  <c r="W999" i="1"/>
  <c r="W1000" i="1"/>
  <c r="W1001" i="1"/>
  <c r="W1002" i="1"/>
  <c r="W1003" i="1"/>
  <c r="W1004" i="1"/>
  <c r="W1005" i="1"/>
  <c r="X1005" i="1" s="1"/>
  <c r="W1006" i="1"/>
  <c r="W1007" i="1"/>
  <c r="X1007" i="1" s="1"/>
  <c r="W1008" i="1"/>
  <c r="X1008" i="1" s="1"/>
  <c r="W1009" i="1"/>
  <c r="X1009" i="1" s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X1021" i="1" s="1"/>
  <c r="W1022" i="1"/>
  <c r="W1023" i="1"/>
  <c r="X1023" i="1" s="1"/>
  <c r="W1024" i="1"/>
  <c r="X1024" i="1" s="1"/>
  <c r="W1025" i="1"/>
  <c r="X1025" i="1" s="1"/>
  <c r="W1026" i="1"/>
  <c r="W1027" i="1"/>
  <c r="W1028" i="1"/>
  <c r="X1028" i="1" s="1"/>
  <c r="W1029" i="1"/>
  <c r="W1030" i="1"/>
  <c r="W1031" i="1"/>
  <c r="W1032" i="1"/>
  <c r="W1033" i="1"/>
  <c r="W1034" i="1"/>
  <c r="W1035" i="1"/>
  <c r="X1035" i="1" s="1"/>
  <c r="W1036" i="1"/>
  <c r="W1037" i="1"/>
  <c r="W1038" i="1"/>
  <c r="W1039" i="1"/>
  <c r="W1040" i="1"/>
  <c r="X1040" i="1" s="1"/>
  <c r="W1041" i="1"/>
  <c r="X1041" i="1" s="1"/>
  <c r="W1042" i="1"/>
  <c r="W1043" i="1"/>
  <c r="W1044" i="1"/>
  <c r="X1044" i="1" s="1"/>
  <c r="W1045" i="1"/>
  <c r="W1046" i="1"/>
  <c r="W1047" i="1"/>
  <c r="W1048" i="1"/>
  <c r="W1049" i="1"/>
  <c r="W1050" i="1"/>
  <c r="W1051" i="1"/>
  <c r="X1051" i="1" s="1"/>
  <c r="W1052" i="1"/>
  <c r="W1053" i="1"/>
  <c r="W1054" i="1"/>
  <c r="W1055" i="1"/>
  <c r="W1056" i="1"/>
  <c r="X1056" i="1" s="1"/>
  <c r="W1057" i="1"/>
  <c r="X1057" i="1" s="1"/>
  <c r="W1058" i="1"/>
  <c r="W1059" i="1"/>
  <c r="W1060" i="1"/>
  <c r="X1060" i="1" s="1"/>
  <c r="W1061" i="1"/>
  <c r="W1062" i="1"/>
  <c r="W1063" i="1"/>
  <c r="W1064" i="1"/>
  <c r="W1065" i="1"/>
  <c r="W1066" i="1"/>
  <c r="W1067" i="1"/>
  <c r="X1067" i="1" s="1"/>
  <c r="W1068" i="1"/>
  <c r="W1069" i="1"/>
  <c r="W1070" i="1"/>
  <c r="W1071" i="1"/>
  <c r="X1071" i="1" s="1"/>
  <c r="W1072" i="1"/>
  <c r="X1072" i="1" s="1"/>
  <c r="W1073" i="1"/>
  <c r="X1073" i="1" s="1"/>
  <c r="W1074" i="1"/>
  <c r="W1075" i="1"/>
  <c r="W1076" i="1"/>
  <c r="X1076" i="1" s="1"/>
  <c r="W1077" i="1"/>
  <c r="W1078" i="1"/>
  <c r="W1079" i="1"/>
  <c r="W1080" i="1"/>
  <c r="W1081" i="1"/>
  <c r="W1082" i="1"/>
  <c r="W1083" i="1"/>
  <c r="W1084" i="1"/>
  <c r="W1085" i="1"/>
  <c r="W1086" i="1"/>
  <c r="W1087" i="1"/>
  <c r="X1087" i="1" s="1"/>
  <c r="W1088" i="1"/>
  <c r="X1088" i="1" s="1"/>
  <c r="W1089" i="1"/>
  <c r="X1089" i="1" s="1"/>
  <c r="W1090" i="1"/>
  <c r="W1091" i="1"/>
  <c r="W1092" i="1"/>
  <c r="W1093" i="1"/>
  <c r="W1094" i="1"/>
  <c r="W1095" i="1"/>
  <c r="W1096" i="1"/>
  <c r="W1097" i="1"/>
  <c r="X1097" i="1" s="1"/>
  <c r="Y1097" i="1" s="1"/>
  <c r="Z1097" i="1" s="1"/>
  <c r="AA1097" i="1" s="1"/>
  <c r="W1098" i="1"/>
  <c r="W1099" i="1"/>
  <c r="X1099" i="1" s="1"/>
  <c r="W1100" i="1"/>
  <c r="W1101" i="1"/>
  <c r="W1102" i="1"/>
  <c r="W1103" i="1"/>
  <c r="X1103" i="1" s="1"/>
  <c r="W1104" i="1"/>
  <c r="X1104" i="1" s="1"/>
  <c r="W1105" i="1"/>
  <c r="X1105" i="1" s="1"/>
  <c r="W1106" i="1"/>
  <c r="W1107" i="1"/>
  <c r="W1108" i="1"/>
  <c r="X1108" i="1" s="1"/>
  <c r="W1109" i="1"/>
  <c r="W1110" i="1"/>
  <c r="W1111" i="1"/>
  <c r="W1112" i="1"/>
  <c r="W1113" i="1"/>
  <c r="X1113" i="1" s="1"/>
  <c r="W1114" i="1"/>
  <c r="W1115" i="1"/>
  <c r="X1115" i="1" s="1"/>
  <c r="W1116" i="1"/>
  <c r="W1117" i="1"/>
  <c r="W1118" i="1"/>
  <c r="W1119" i="1"/>
  <c r="X1119" i="1" s="1"/>
  <c r="W1120" i="1"/>
  <c r="W1121" i="1"/>
  <c r="X1121" i="1" s="1"/>
  <c r="W1122" i="1"/>
  <c r="W1123" i="1"/>
  <c r="W1124" i="1"/>
  <c r="X1124" i="1" s="1"/>
  <c r="W1125" i="1"/>
  <c r="W1126" i="1"/>
  <c r="W1127" i="1"/>
  <c r="W1128" i="1"/>
  <c r="W1129" i="1"/>
  <c r="W1130" i="1"/>
  <c r="W1131" i="1"/>
  <c r="X1131" i="1" s="1"/>
  <c r="W1132" i="1"/>
  <c r="W1133" i="1"/>
  <c r="W1134" i="1"/>
  <c r="W1135" i="1"/>
  <c r="X1135" i="1" s="1"/>
  <c r="W1136" i="1"/>
  <c r="X1136" i="1" s="1"/>
  <c r="W1137" i="1"/>
  <c r="X1137" i="1" s="1"/>
  <c r="W1138" i="1"/>
  <c r="W1139" i="1"/>
  <c r="W1140" i="1"/>
  <c r="X1140" i="1" s="1"/>
  <c r="W1141" i="1"/>
  <c r="W1142" i="1"/>
  <c r="W1143" i="1"/>
  <c r="W1144" i="1"/>
  <c r="W1145" i="1"/>
  <c r="X1145" i="1" s="1"/>
  <c r="W1146" i="1"/>
  <c r="W1147" i="1"/>
  <c r="X1147" i="1" s="1"/>
  <c r="W1148" i="1"/>
  <c r="W1149" i="1"/>
  <c r="W1150" i="1"/>
  <c r="W1151" i="1"/>
  <c r="X1151" i="1" s="1"/>
  <c r="W1152" i="1"/>
  <c r="X1152" i="1" s="1"/>
  <c r="W1153" i="1"/>
  <c r="X1153" i="1" s="1"/>
  <c r="W1154" i="1"/>
  <c r="W1155" i="1"/>
  <c r="W1156" i="1"/>
  <c r="W1157" i="1"/>
  <c r="W1158" i="1"/>
  <c r="W1159" i="1"/>
  <c r="W1160" i="1"/>
  <c r="W1161" i="1"/>
  <c r="X1161" i="1" s="1"/>
  <c r="W1162" i="1"/>
  <c r="W1163" i="1"/>
  <c r="X1163" i="1" s="1"/>
  <c r="W1164" i="1"/>
  <c r="W1165" i="1"/>
  <c r="W1166" i="1"/>
  <c r="W1167" i="1"/>
  <c r="X1167" i="1" s="1"/>
  <c r="W1168" i="1"/>
  <c r="X1168" i="1" s="1"/>
  <c r="W1169" i="1"/>
  <c r="X1169" i="1" s="1"/>
  <c r="W1170" i="1"/>
  <c r="W1171" i="1"/>
  <c r="W1172" i="1"/>
  <c r="X1172" i="1" s="1"/>
  <c r="W1173" i="1"/>
  <c r="W1174" i="1"/>
  <c r="W1175" i="1"/>
  <c r="W1176" i="1"/>
  <c r="W1177" i="1"/>
  <c r="W1178" i="1"/>
  <c r="W1179" i="1"/>
  <c r="X1179" i="1" s="1"/>
  <c r="W1180" i="1"/>
  <c r="W1181" i="1"/>
  <c r="W1182" i="1"/>
  <c r="W1183" i="1"/>
  <c r="X1183" i="1" s="1"/>
  <c r="W1184" i="1"/>
  <c r="X1184" i="1" s="1"/>
  <c r="W1185" i="1"/>
  <c r="X1185" i="1" s="1"/>
  <c r="W1186" i="1"/>
  <c r="W1187" i="1"/>
  <c r="W1188" i="1"/>
  <c r="X1188" i="1" s="1"/>
  <c r="W1189" i="1"/>
  <c r="W1190" i="1"/>
  <c r="W1191" i="1"/>
  <c r="W1192" i="1"/>
  <c r="W1193" i="1"/>
  <c r="W1194" i="1"/>
  <c r="W1195" i="1"/>
  <c r="W1196" i="1"/>
  <c r="W1197" i="1"/>
  <c r="X1197" i="1" s="1"/>
  <c r="W1198" i="1"/>
  <c r="W1199" i="1"/>
  <c r="X1199" i="1" s="1"/>
  <c r="W1200" i="1"/>
  <c r="X1200" i="1" s="1"/>
  <c r="W1201" i="1"/>
  <c r="X1201" i="1" s="1"/>
  <c r="W1202" i="1"/>
  <c r="W1203" i="1"/>
  <c r="W1204" i="1"/>
  <c r="X1204" i="1" s="1"/>
  <c r="W1205" i="1"/>
  <c r="W1206" i="1"/>
  <c r="W1207" i="1"/>
  <c r="W1208" i="1"/>
  <c r="W1209" i="1"/>
  <c r="W1210" i="1"/>
  <c r="W1211" i="1"/>
  <c r="X1211" i="1" s="1"/>
  <c r="Y1211" i="1" s="1"/>
  <c r="Z1211" i="1" s="1"/>
  <c r="AA1211" i="1" s="1"/>
  <c r="W1212" i="1"/>
  <c r="W1213" i="1"/>
  <c r="X1213" i="1" s="1"/>
  <c r="W1214" i="1"/>
  <c r="W1215" i="1"/>
  <c r="X1215" i="1" s="1"/>
  <c r="W1216" i="1"/>
  <c r="X1216" i="1" s="1"/>
  <c r="W1217" i="1"/>
  <c r="X1217" i="1" s="1"/>
  <c r="W1218" i="1"/>
  <c r="W1219" i="1"/>
  <c r="W1220" i="1"/>
  <c r="X1220" i="1" s="1"/>
  <c r="W1221" i="1"/>
  <c r="W1222" i="1"/>
  <c r="W1223" i="1"/>
  <c r="W1224" i="1"/>
  <c r="W1225" i="1"/>
  <c r="W1226" i="1"/>
  <c r="W1227" i="1"/>
  <c r="X1227" i="1" s="1"/>
  <c r="W1228" i="1"/>
  <c r="W1229" i="1"/>
  <c r="W1230" i="1"/>
  <c r="W1231" i="1"/>
  <c r="W1232" i="1"/>
  <c r="X1232" i="1" s="1"/>
  <c r="W1233" i="1"/>
  <c r="X1233" i="1" s="1"/>
  <c r="W1234" i="1"/>
  <c r="W1235" i="1"/>
  <c r="W1236" i="1"/>
  <c r="X1236" i="1" s="1"/>
  <c r="W1237" i="1"/>
  <c r="X1237" i="1" s="1"/>
  <c r="W1238" i="1"/>
  <c r="W1239" i="1"/>
  <c r="W1240" i="1"/>
  <c r="W1241" i="1"/>
  <c r="W1242" i="1"/>
  <c r="W1243" i="1"/>
  <c r="X1243" i="1" s="1"/>
  <c r="W1244" i="1"/>
  <c r="W1245" i="1"/>
  <c r="W1246" i="1"/>
  <c r="W1247" i="1"/>
  <c r="W1248" i="1"/>
  <c r="W1249" i="1"/>
  <c r="X1249" i="1" s="1"/>
  <c r="W1250" i="1"/>
  <c r="W1251" i="1"/>
  <c r="W1252" i="1"/>
  <c r="X1252" i="1" s="1"/>
  <c r="W1253" i="1"/>
  <c r="X1253" i="1" s="1"/>
  <c r="W1254" i="1"/>
  <c r="W1255" i="1"/>
  <c r="W1256" i="1"/>
  <c r="W1257" i="1"/>
  <c r="W1258" i="1"/>
  <c r="W1259" i="1"/>
  <c r="W1260" i="1"/>
  <c r="W1261" i="1"/>
  <c r="W1262" i="1"/>
  <c r="W1263" i="1"/>
  <c r="X1263" i="1" s="1"/>
  <c r="W1264" i="1"/>
  <c r="W1265" i="1"/>
  <c r="X1265" i="1" s="1"/>
  <c r="W1266" i="1"/>
  <c r="W1267" i="1"/>
  <c r="W1268" i="1"/>
  <c r="X1268" i="1" s="1"/>
  <c r="W1269" i="1"/>
  <c r="W1270" i="1"/>
  <c r="W1271" i="1"/>
  <c r="W1272" i="1"/>
  <c r="W1273" i="1"/>
  <c r="W1274" i="1"/>
  <c r="W1275" i="1"/>
  <c r="X1275" i="1" s="1"/>
  <c r="W1276" i="1"/>
  <c r="W1277" i="1"/>
  <c r="W1278" i="1"/>
  <c r="W1279" i="1"/>
  <c r="X1279" i="1" s="1"/>
  <c r="W1280" i="1"/>
  <c r="X1280" i="1" s="1"/>
  <c r="W1281" i="1"/>
  <c r="X1281" i="1" s="1"/>
  <c r="W1282" i="1"/>
  <c r="W1283" i="1"/>
  <c r="W1284" i="1"/>
  <c r="X1284" i="1" s="1"/>
  <c r="W1285" i="1"/>
  <c r="X1285" i="1" s="1"/>
  <c r="W1286" i="1"/>
  <c r="W1287" i="1"/>
  <c r="W1288" i="1"/>
  <c r="W1289" i="1"/>
  <c r="W1290" i="1"/>
  <c r="W1291" i="1"/>
  <c r="X1291" i="1" s="1"/>
  <c r="W1292" i="1"/>
  <c r="W1293" i="1"/>
  <c r="W1294" i="1"/>
  <c r="W1295" i="1"/>
  <c r="W1296" i="1"/>
  <c r="X1296" i="1" s="1"/>
  <c r="W1297" i="1"/>
  <c r="X1297" i="1" s="1"/>
  <c r="W1298" i="1"/>
  <c r="W1299" i="1"/>
  <c r="W1300" i="1"/>
  <c r="X1300" i="1" s="1"/>
  <c r="W1301" i="1"/>
  <c r="W1302" i="1"/>
  <c r="W1303" i="1"/>
  <c r="W1304" i="1"/>
  <c r="W1305" i="1"/>
  <c r="X1305" i="1" s="1"/>
  <c r="W1306" i="1"/>
  <c r="W1307" i="1"/>
  <c r="X1307" i="1" s="1"/>
  <c r="W1308" i="1"/>
  <c r="W1309" i="1"/>
  <c r="W1310" i="1"/>
  <c r="W1311" i="1"/>
  <c r="W1312" i="1"/>
  <c r="W1313" i="1"/>
  <c r="X1313" i="1" s="1"/>
  <c r="W1314" i="1"/>
  <c r="W1315" i="1"/>
  <c r="W1316" i="1"/>
  <c r="X1316" i="1" s="1"/>
  <c r="W1317" i="1"/>
  <c r="W1318" i="1"/>
  <c r="W1319" i="1"/>
  <c r="W1320" i="1"/>
  <c r="W1321" i="1"/>
  <c r="X1321" i="1" s="1"/>
  <c r="W1322" i="1"/>
  <c r="W1323" i="1"/>
  <c r="W1324" i="1"/>
  <c r="W1325" i="1"/>
  <c r="X1325" i="1" s="1"/>
  <c r="Y1325" i="1" s="1"/>
  <c r="Z1325" i="1" s="1"/>
  <c r="AA1325" i="1" s="1"/>
  <c r="W1326" i="1"/>
  <c r="W1327" i="1"/>
  <c r="X1327" i="1" s="1"/>
  <c r="W1328" i="1"/>
  <c r="X1328" i="1" s="1"/>
  <c r="W1329" i="1"/>
  <c r="X1329" i="1" s="1"/>
  <c r="W1330" i="1"/>
  <c r="W1331" i="1"/>
  <c r="W1332" i="1"/>
  <c r="X1332" i="1" s="1"/>
  <c r="W1333" i="1"/>
  <c r="W1334" i="1"/>
  <c r="W1335" i="1"/>
  <c r="W1336" i="1"/>
  <c r="W1337" i="1"/>
  <c r="W1338" i="1"/>
  <c r="W1339" i="1"/>
  <c r="X1339" i="1" s="1"/>
  <c r="W1340" i="1"/>
  <c r="W1341" i="1"/>
  <c r="W1342" i="1"/>
  <c r="W1343" i="1"/>
  <c r="X1343" i="1" s="1"/>
  <c r="W1344" i="1"/>
  <c r="X1344" i="1" s="1"/>
  <c r="W1345" i="1"/>
  <c r="X1345" i="1" s="1"/>
  <c r="W1346" i="1"/>
  <c r="W1347" i="1"/>
  <c r="W1348" i="1"/>
  <c r="X1348" i="1" s="1"/>
  <c r="W1349" i="1"/>
  <c r="W1350" i="1"/>
  <c r="W1351" i="1"/>
  <c r="W1352" i="1"/>
  <c r="W1353" i="1"/>
  <c r="W1354" i="1"/>
  <c r="W1355" i="1"/>
  <c r="X1355" i="1" s="1"/>
  <c r="W1356" i="1"/>
  <c r="W1357" i="1"/>
  <c r="W1358" i="1"/>
  <c r="W1359" i="1"/>
  <c r="W1360" i="1"/>
  <c r="W1361" i="1"/>
  <c r="X1361" i="1" s="1"/>
  <c r="W1362" i="1"/>
  <c r="W1363" i="1"/>
  <c r="W1364" i="1"/>
  <c r="X1364" i="1" s="1"/>
  <c r="W1365" i="1"/>
  <c r="W1366" i="1"/>
  <c r="W1367" i="1"/>
  <c r="W1368" i="1"/>
  <c r="W1369" i="1"/>
  <c r="W1370" i="1"/>
  <c r="W1371" i="1"/>
  <c r="X1371" i="1" s="1"/>
  <c r="W1372" i="1"/>
  <c r="W1373" i="1"/>
  <c r="W1374" i="1"/>
  <c r="W1375" i="1"/>
  <c r="X1375" i="1" s="1"/>
  <c r="W1376" i="1"/>
  <c r="X1376" i="1" s="1"/>
  <c r="W1377" i="1"/>
  <c r="X1377" i="1" s="1"/>
  <c r="W1378" i="1"/>
  <c r="W1379" i="1"/>
  <c r="W1380" i="1"/>
  <c r="X1380" i="1" s="1"/>
  <c r="W1381" i="1"/>
  <c r="X1381" i="1" s="1"/>
  <c r="Y1381" i="1" s="1"/>
  <c r="Z1381" i="1" s="1"/>
  <c r="AA1381" i="1" s="1"/>
  <c r="W1382" i="1"/>
  <c r="W1383" i="1"/>
  <c r="W1384" i="1"/>
  <c r="W1385" i="1"/>
  <c r="W1386" i="1"/>
  <c r="W1387" i="1"/>
  <c r="X1387" i="1" s="1"/>
  <c r="W1388" i="1"/>
  <c r="W1389" i="1"/>
  <c r="W1390" i="1"/>
  <c r="W1391" i="1"/>
  <c r="X1391" i="1" s="1"/>
  <c r="W1392" i="1"/>
  <c r="X1392" i="1" s="1"/>
  <c r="W1393" i="1"/>
  <c r="X1393" i="1" s="1"/>
  <c r="W1394" i="1"/>
  <c r="W1395" i="1"/>
  <c r="W1396" i="1"/>
  <c r="X1396" i="1" s="1"/>
  <c r="W1397" i="1"/>
  <c r="X1397" i="1" s="1"/>
  <c r="W1398" i="1"/>
  <c r="W1399" i="1"/>
  <c r="W1400" i="1"/>
  <c r="W1401" i="1"/>
  <c r="W1402" i="1"/>
  <c r="W1403" i="1"/>
  <c r="X1403" i="1" s="1"/>
  <c r="W1404" i="1"/>
  <c r="W1405" i="1"/>
  <c r="W1406" i="1"/>
  <c r="W1407" i="1"/>
  <c r="W1408" i="1"/>
  <c r="X1408" i="1" s="1"/>
  <c r="W1409" i="1"/>
  <c r="X1409" i="1" s="1"/>
  <c r="W1410" i="1"/>
  <c r="W1411" i="1"/>
  <c r="W1412" i="1"/>
  <c r="X1412" i="1" s="1"/>
  <c r="W1413" i="1"/>
  <c r="W1414" i="1"/>
  <c r="W1415" i="1"/>
  <c r="W1416" i="1"/>
  <c r="W1417" i="1"/>
  <c r="X1417" i="1" s="1"/>
  <c r="W1418" i="1"/>
  <c r="W1419" i="1"/>
  <c r="X1419" i="1" s="1"/>
  <c r="W1420" i="1"/>
  <c r="W1421" i="1"/>
  <c r="W1422" i="1"/>
  <c r="W1423" i="1"/>
  <c r="W1424" i="1"/>
  <c r="X1424" i="1" s="1"/>
  <c r="W1425" i="1"/>
  <c r="X1425" i="1" s="1"/>
  <c r="W1426" i="1"/>
  <c r="W1427" i="1"/>
  <c r="W1428" i="1"/>
  <c r="X1428" i="1" s="1"/>
  <c r="W1429" i="1"/>
  <c r="W1430" i="1"/>
  <c r="W1431" i="1"/>
  <c r="W1432" i="1"/>
  <c r="W1433" i="1"/>
  <c r="X1433" i="1" s="1"/>
  <c r="W1434" i="1"/>
  <c r="W1435" i="1"/>
  <c r="W1436" i="1"/>
  <c r="W1437" i="1"/>
  <c r="W1438" i="1"/>
  <c r="W1439" i="1"/>
  <c r="X1439" i="1" s="1"/>
  <c r="W1440" i="1"/>
  <c r="W1441" i="1"/>
  <c r="X1441" i="1" s="1"/>
  <c r="W1442" i="1"/>
  <c r="W1443" i="1"/>
  <c r="W1444" i="1"/>
  <c r="X1444" i="1" s="1"/>
  <c r="W1445" i="1"/>
  <c r="W1446" i="1"/>
  <c r="W1447" i="1"/>
  <c r="W1448" i="1"/>
  <c r="W1449" i="1"/>
  <c r="X1449" i="1" s="1"/>
  <c r="W1450" i="1"/>
  <c r="W1451" i="1"/>
  <c r="X1451" i="1" s="1"/>
  <c r="W1452" i="1"/>
  <c r="W1453" i="1"/>
  <c r="W1454" i="1"/>
  <c r="W1455" i="1"/>
  <c r="X1455" i="1" s="1"/>
  <c r="W1456" i="1"/>
  <c r="X1456" i="1" s="1"/>
  <c r="W1457" i="1"/>
  <c r="X1457" i="1" s="1"/>
  <c r="W1458" i="1"/>
  <c r="W1459" i="1"/>
  <c r="W1460" i="1"/>
  <c r="X1460" i="1" s="1"/>
  <c r="W1461" i="1"/>
  <c r="W1462" i="1"/>
  <c r="W1463" i="1"/>
  <c r="W1464" i="1"/>
  <c r="W1465" i="1"/>
  <c r="X1465" i="1" s="1"/>
  <c r="W1466" i="1"/>
  <c r="W1467" i="1"/>
  <c r="X1467" i="1" s="1"/>
  <c r="W1468" i="1"/>
  <c r="W1469" i="1"/>
  <c r="W1470" i="1"/>
  <c r="W1471" i="1"/>
  <c r="W1472" i="1"/>
  <c r="X1472" i="1" s="1"/>
  <c r="W1473" i="1"/>
  <c r="X1473" i="1" s="1"/>
  <c r="W1474" i="1"/>
  <c r="W1475" i="1"/>
  <c r="W1476" i="1"/>
  <c r="X1476" i="1" s="1"/>
  <c r="W1477" i="1"/>
  <c r="W1478" i="1"/>
  <c r="W1479" i="1"/>
  <c r="W1480" i="1"/>
  <c r="W1481" i="1"/>
  <c r="W1482" i="1"/>
  <c r="W1483" i="1"/>
  <c r="X1483" i="1" s="1"/>
  <c r="W1484" i="1"/>
  <c r="W1485" i="1"/>
  <c r="X1485" i="1" s="1"/>
  <c r="W1486" i="1"/>
  <c r="W1487" i="1"/>
  <c r="W1488" i="1"/>
  <c r="W1489" i="1"/>
  <c r="X1489" i="1" s="1"/>
  <c r="W1490" i="1"/>
  <c r="W1491" i="1"/>
  <c r="W1492" i="1"/>
  <c r="X1492" i="1" s="1"/>
  <c r="W1493" i="1"/>
  <c r="W1494" i="1"/>
  <c r="W1495" i="1"/>
  <c r="W1496" i="1"/>
  <c r="W1497" i="1"/>
  <c r="W1498" i="1"/>
  <c r="W1499" i="1"/>
  <c r="W1500" i="1"/>
  <c r="W1501" i="1"/>
  <c r="X1501" i="1" s="1"/>
  <c r="W1502" i="1"/>
  <c r="W1503" i="1"/>
  <c r="X1503" i="1" s="1"/>
  <c r="W1504" i="1"/>
  <c r="X1504" i="1" s="1"/>
  <c r="W1505" i="1"/>
  <c r="X1505" i="1" s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X1519" i="1" s="1"/>
  <c r="W1520" i="1"/>
  <c r="X1520" i="1" s="1"/>
  <c r="W1521" i="1"/>
  <c r="X1521" i="1" s="1"/>
  <c r="W1522" i="1"/>
  <c r="W1523" i="1"/>
  <c r="W1524" i="1"/>
  <c r="X1524" i="1" s="1"/>
  <c r="W1525" i="1"/>
  <c r="W1526" i="1"/>
  <c r="W1527" i="1"/>
  <c r="W1528" i="1"/>
  <c r="W1529" i="1"/>
  <c r="W1530" i="1"/>
  <c r="W1531" i="1"/>
  <c r="X1531" i="1" s="1"/>
  <c r="W1532" i="1"/>
  <c r="W1533" i="1"/>
  <c r="X1533" i="1" s="1"/>
  <c r="W1534" i="1"/>
  <c r="W1535" i="1"/>
  <c r="W1536" i="1"/>
  <c r="X1536" i="1" s="1"/>
  <c r="W1537" i="1"/>
  <c r="X1537" i="1" s="1"/>
  <c r="W1538" i="1"/>
  <c r="W1539" i="1"/>
  <c r="W1540" i="1"/>
  <c r="X1540" i="1" s="1"/>
  <c r="W1541" i="1"/>
  <c r="W1542" i="1"/>
  <c r="W1543" i="1"/>
  <c r="W1544" i="1"/>
  <c r="W1545" i="1"/>
  <c r="W1546" i="1"/>
  <c r="W1547" i="1"/>
  <c r="X1547" i="1" s="1"/>
  <c r="W1548" i="1"/>
  <c r="W1549" i="1"/>
  <c r="W1550" i="1"/>
  <c r="W1551" i="1"/>
  <c r="W1552" i="1"/>
  <c r="X1552" i="1" s="1"/>
  <c r="W1553" i="1"/>
  <c r="X1553" i="1" s="1"/>
  <c r="W1554" i="1"/>
  <c r="W1555" i="1"/>
  <c r="W1556" i="1"/>
  <c r="X1556" i="1" s="1"/>
  <c r="W1557" i="1"/>
  <c r="W1558" i="1"/>
  <c r="W1559" i="1"/>
  <c r="W1560" i="1"/>
  <c r="W1561" i="1"/>
  <c r="W1562" i="1"/>
  <c r="W1563" i="1"/>
  <c r="W1564" i="1"/>
  <c r="W1565" i="1"/>
  <c r="W1566" i="1"/>
  <c r="W1567" i="1"/>
  <c r="X1567" i="1" s="1"/>
  <c r="W1568" i="1"/>
  <c r="W1569" i="1"/>
  <c r="X1569" i="1" s="1"/>
  <c r="W1570" i="1"/>
  <c r="W1571" i="1"/>
  <c r="W1572" i="1"/>
  <c r="W1573" i="1"/>
  <c r="W1574" i="1"/>
  <c r="W1575" i="1"/>
  <c r="W1576" i="1"/>
  <c r="W1577" i="1"/>
  <c r="W1578" i="1"/>
  <c r="W1579" i="1"/>
  <c r="X1579" i="1" s="1"/>
  <c r="W1580" i="1"/>
  <c r="W1581" i="1"/>
  <c r="X1581" i="1" s="1"/>
  <c r="W1582" i="1"/>
  <c r="W1583" i="1"/>
  <c r="X1583" i="1" s="1"/>
  <c r="W1584" i="1"/>
  <c r="X1584" i="1" s="1"/>
  <c r="W1585" i="1"/>
  <c r="X1585" i="1" s="1"/>
  <c r="W1586" i="1"/>
  <c r="W1587" i="1"/>
  <c r="W1588" i="1"/>
  <c r="X1588" i="1" s="1"/>
  <c r="W1589" i="1"/>
  <c r="W1590" i="1"/>
  <c r="W1591" i="1"/>
  <c r="W1592" i="1"/>
  <c r="W1593" i="1"/>
  <c r="W1594" i="1"/>
  <c r="W1595" i="1"/>
  <c r="X1595" i="1" s="1"/>
  <c r="W1596" i="1"/>
  <c r="W1597" i="1"/>
  <c r="W1598" i="1"/>
  <c r="W1599" i="1"/>
  <c r="W1600" i="1"/>
  <c r="X1600" i="1" s="1"/>
  <c r="W1601" i="1"/>
  <c r="X1601" i="1" s="1"/>
  <c r="W1602" i="1"/>
  <c r="W1603" i="1"/>
  <c r="W1604" i="1"/>
  <c r="X1604" i="1" s="1"/>
  <c r="W1605" i="1"/>
  <c r="X1605" i="1" s="1"/>
  <c r="W1606" i="1"/>
  <c r="W1607" i="1"/>
  <c r="W1608" i="1"/>
  <c r="W1609" i="1"/>
  <c r="W1610" i="1"/>
  <c r="W1611" i="1"/>
  <c r="X1611" i="1" s="1"/>
  <c r="W1612" i="1"/>
  <c r="W1613" i="1"/>
  <c r="W1614" i="1"/>
  <c r="W1615" i="1"/>
  <c r="W1616" i="1"/>
  <c r="W1617" i="1"/>
  <c r="X1617" i="1" s="1"/>
  <c r="W1618" i="1"/>
  <c r="W1619" i="1"/>
  <c r="W1620" i="1"/>
  <c r="X1620" i="1" s="1"/>
  <c r="W1621" i="1"/>
  <c r="X1621" i="1" s="1"/>
  <c r="W1622" i="1"/>
  <c r="W1623" i="1"/>
  <c r="W1624" i="1"/>
  <c r="W1625" i="1"/>
  <c r="W1626" i="1"/>
  <c r="W1627" i="1"/>
  <c r="W1628" i="1"/>
  <c r="W1629" i="1"/>
  <c r="W1630" i="1"/>
  <c r="W1631" i="1"/>
  <c r="X1631" i="1" s="1"/>
  <c r="W1632" i="1"/>
  <c r="X1632" i="1" s="1"/>
  <c r="W1633" i="1"/>
  <c r="X1633" i="1" s="1"/>
  <c r="W1634" i="1"/>
  <c r="W1635" i="1"/>
  <c r="W1636" i="1"/>
  <c r="X1636" i="1" s="1"/>
  <c r="W1637" i="1"/>
  <c r="W1638" i="1"/>
  <c r="W1639" i="1"/>
  <c r="W1640" i="1"/>
  <c r="W1641" i="1"/>
  <c r="W1642" i="1"/>
  <c r="W1643" i="1"/>
  <c r="X1643" i="1" s="1"/>
  <c r="W1644" i="1"/>
  <c r="W1645" i="1"/>
  <c r="W1646" i="1"/>
  <c r="W1647" i="1"/>
  <c r="X1647" i="1" s="1"/>
  <c r="W1648" i="1"/>
  <c r="X1648" i="1" s="1"/>
  <c r="W1649" i="1"/>
  <c r="X1649" i="1" s="1"/>
  <c r="W1650" i="1"/>
  <c r="W1651" i="1"/>
  <c r="W1652" i="1"/>
  <c r="X1652" i="1" s="1"/>
  <c r="W1653" i="1"/>
  <c r="X1653" i="1" s="1"/>
  <c r="W1654" i="1"/>
  <c r="W1655" i="1"/>
  <c r="W1656" i="1"/>
  <c r="W1657" i="1"/>
  <c r="W1658" i="1"/>
  <c r="W1659" i="1"/>
  <c r="X1659" i="1" s="1"/>
  <c r="W1660" i="1"/>
  <c r="W1661" i="1"/>
  <c r="W1662" i="1"/>
  <c r="W1663" i="1"/>
  <c r="W1664" i="1"/>
  <c r="X1664" i="1" s="1"/>
  <c r="W1665" i="1"/>
  <c r="X1665" i="1" s="1"/>
  <c r="W1666" i="1"/>
  <c r="W1667" i="1"/>
  <c r="X1667" i="1" s="1"/>
  <c r="W1668" i="1"/>
  <c r="X1668" i="1" s="1"/>
  <c r="W1669" i="1"/>
  <c r="W1670" i="1"/>
  <c r="W1671" i="1"/>
  <c r="W1672" i="1"/>
  <c r="W1673" i="1"/>
  <c r="X1673" i="1" s="1"/>
  <c r="W1674" i="1"/>
  <c r="W1675" i="1"/>
  <c r="X1675" i="1" s="1"/>
  <c r="W1676" i="1"/>
  <c r="W1677" i="1"/>
  <c r="W1678" i="1"/>
  <c r="W1679" i="1"/>
  <c r="W1680" i="1"/>
  <c r="W1681" i="1"/>
  <c r="X1681" i="1" s="1"/>
  <c r="W1682" i="1"/>
  <c r="W1683" i="1"/>
  <c r="W1684" i="1"/>
  <c r="X1684" i="1" s="1"/>
  <c r="W1685" i="1"/>
  <c r="W1686" i="1"/>
  <c r="W1687" i="1"/>
  <c r="W1688" i="1"/>
  <c r="W1689" i="1"/>
  <c r="X1689" i="1" s="1"/>
  <c r="W1690" i="1"/>
  <c r="W1691" i="1"/>
  <c r="W1692" i="1"/>
  <c r="W1693" i="1"/>
  <c r="W1694" i="1"/>
  <c r="W1695" i="1"/>
  <c r="X1695" i="1" s="1"/>
  <c r="W1696" i="1"/>
  <c r="X1696" i="1" s="1"/>
  <c r="W1697" i="1"/>
  <c r="X1697" i="1" s="1"/>
  <c r="W1698" i="1"/>
  <c r="W1699" i="1"/>
  <c r="W1700" i="1"/>
  <c r="X1700" i="1" s="1"/>
  <c r="W1701" i="1"/>
  <c r="W1702" i="1"/>
  <c r="W1703" i="1"/>
  <c r="W1704" i="1"/>
  <c r="W1705" i="1"/>
  <c r="X1705" i="1" s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X1725" i="1" s="1"/>
  <c r="W1726" i="1"/>
  <c r="W1727" i="1"/>
  <c r="W1728" i="1"/>
  <c r="W1729" i="1"/>
  <c r="W1730" i="1"/>
  <c r="W1731" i="1"/>
  <c r="W1732" i="1"/>
  <c r="X1732" i="1" s="1"/>
  <c r="W1733" i="1"/>
  <c r="W1734" i="1"/>
  <c r="W1735" i="1"/>
  <c r="W1736" i="1"/>
  <c r="W1737" i="1"/>
  <c r="X1737" i="1" s="1"/>
  <c r="W1738" i="1"/>
  <c r="W1739" i="1"/>
  <c r="W1740" i="1"/>
  <c r="X1740" i="1" s="1"/>
  <c r="W1741" i="1"/>
  <c r="W1742" i="1"/>
  <c r="W1743" i="1"/>
  <c r="W1744" i="1"/>
  <c r="X1744" i="1" s="1"/>
  <c r="W1745" i="1"/>
  <c r="W1746" i="1"/>
  <c r="W1747" i="1"/>
  <c r="W1748" i="1"/>
  <c r="X1748" i="1" s="1"/>
  <c r="W1749" i="1"/>
  <c r="W1750" i="1"/>
  <c r="W1751" i="1"/>
  <c r="W1752" i="1"/>
  <c r="X1752" i="1" s="1"/>
  <c r="W1753" i="1"/>
  <c r="X1753" i="1" s="1"/>
  <c r="W1754" i="1"/>
  <c r="W1755" i="1"/>
  <c r="W1756" i="1"/>
  <c r="X1756" i="1" s="1"/>
  <c r="W1757" i="1"/>
  <c r="W1758" i="1"/>
  <c r="W1759" i="1"/>
  <c r="W1760" i="1"/>
  <c r="X1760" i="1" s="1"/>
  <c r="W1761" i="1"/>
  <c r="W1762" i="1"/>
  <c r="W1763" i="1"/>
  <c r="W1764" i="1"/>
  <c r="X1764" i="1" s="1"/>
  <c r="W1765" i="1"/>
  <c r="W1766" i="1"/>
  <c r="W1767" i="1"/>
  <c r="W1768" i="1"/>
  <c r="W1769" i="1"/>
  <c r="W1770" i="1"/>
  <c r="W1771" i="1"/>
  <c r="W1772" i="1"/>
  <c r="X1772" i="1" s="1"/>
  <c r="W1773" i="1"/>
  <c r="W1774" i="1"/>
  <c r="W1775" i="1"/>
  <c r="W1776" i="1"/>
  <c r="X1776" i="1" s="1"/>
  <c r="W1777" i="1"/>
  <c r="X1777" i="1" s="1"/>
  <c r="Y1777" i="1" s="1"/>
  <c r="Z1777" i="1" s="1"/>
  <c r="AA1777" i="1" s="1"/>
  <c r="W1778" i="1"/>
  <c r="W1779" i="1"/>
  <c r="W1780" i="1"/>
  <c r="W1781" i="1"/>
  <c r="W1782" i="1"/>
  <c r="W1783" i="1"/>
  <c r="W1784" i="1"/>
  <c r="X1784" i="1" s="1"/>
  <c r="W1785" i="1"/>
  <c r="W1786" i="1"/>
  <c r="W1787" i="1"/>
  <c r="W1788" i="1"/>
  <c r="X1788" i="1" s="1"/>
  <c r="W1789" i="1"/>
  <c r="W1790" i="1"/>
  <c r="W1791" i="1"/>
  <c r="W1792" i="1"/>
  <c r="X1792" i="1" s="1"/>
  <c r="W1793" i="1"/>
  <c r="W1794" i="1"/>
  <c r="W1795" i="1"/>
  <c r="W1796" i="1"/>
  <c r="X1796" i="1" s="1"/>
  <c r="W1797" i="1"/>
  <c r="W1798" i="1"/>
  <c r="W1799" i="1"/>
  <c r="W1800" i="1"/>
  <c r="W1801" i="1"/>
  <c r="W1802" i="1"/>
  <c r="W1803" i="1"/>
  <c r="W1804" i="1"/>
  <c r="X1804" i="1" s="1"/>
  <c r="W1805" i="1"/>
  <c r="W1806" i="1"/>
  <c r="W1807" i="1"/>
  <c r="W1808" i="1"/>
  <c r="X1808" i="1" s="1"/>
  <c r="W1809" i="1"/>
  <c r="X1809" i="1" s="1"/>
  <c r="Y1809" i="1" s="1"/>
  <c r="Z1809" i="1" s="1"/>
  <c r="AA1809" i="1" s="1"/>
  <c r="W1810" i="1"/>
  <c r="W1811" i="1"/>
  <c r="W1812" i="1"/>
  <c r="X1812" i="1" s="1"/>
  <c r="W1813" i="1"/>
  <c r="W1814" i="1"/>
  <c r="W1815" i="1"/>
  <c r="W1816" i="1"/>
  <c r="W1817" i="1"/>
  <c r="W1818" i="1"/>
  <c r="W1819" i="1"/>
  <c r="W1820" i="1"/>
  <c r="X1820" i="1" s="1"/>
  <c r="W1821" i="1"/>
  <c r="W1822" i="1"/>
  <c r="W1823" i="1"/>
  <c r="W1824" i="1"/>
  <c r="X1824" i="1" s="1"/>
  <c r="W1825" i="1"/>
  <c r="W1826" i="1"/>
  <c r="W1827" i="1"/>
  <c r="W1828" i="1"/>
  <c r="X1828" i="1" s="1"/>
  <c r="W1829" i="1"/>
  <c r="X1829" i="1" s="1"/>
  <c r="W1830" i="1"/>
  <c r="W1831" i="1"/>
  <c r="W1832" i="1"/>
  <c r="X1832" i="1" s="1"/>
  <c r="W1833" i="1"/>
  <c r="W1834" i="1"/>
  <c r="W1835" i="1"/>
  <c r="W1836" i="1"/>
  <c r="X1836" i="1" s="1"/>
  <c r="W1837" i="1"/>
  <c r="W1838" i="1"/>
  <c r="W1839" i="1"/>
  <c r="W1840" i="1"/>
  <c r="X1840" i="1" s="1"/>
  <c r="W1841" i="1"/>
  <c r="X1841" i="1" s="1"/>
  <c r="Y1841" i="1" s="1"/>
  <c r="Z1841" i="1" s="1"/>
  <c r="AA1841" i="1" s="1"/>
  <c r="W1842" i="1"/>
  <c r="W1843" i="1"/>
  <c r="W1844" i="1"/>
  <c r="X1844" i="1" s="1"/>
  <c r="W1845" i="1"/>
  <c r="W1846" i="1"/>
  <c r="W1847" i="1"/>
  <c r="W1848" i="1"/>
  <c r="W1849" i="1"/>
  <c r="W1850" i="1"/>
  <c r="W1851" i="1"/>
  <c r="W1852" i="1"/>
  <c r="X1852" i="1" s="1"/>
  <c r="W1853" i="1"/>
  <c r="W1854" i="1"/>
  <c r="W1855" i="1"/>
  <c r="W1856" i="1"/>
  <c r="X1856" i="1" s="1"/>
  <c r="W1857" i="1"/>
  <c r="W1858" i="1"/>
  <c r="W1859" i="1"/>
  <c r="W1860" i="1"/>
  <c r="W1861" i="1"/>
  <c r="X1861" i="1" s="1"/>
  <c r="W1862" i="1"/>
  <c r="W1863" i="1"/>
  <c r="W1864" i="1"/>
  <c r="X1864" i="1" s="1"/>
  <c r="W1865" i="1"/>
  <c r="W1866" i="1"/>
  <c r="W1867" i="1"/>
  <c r="W1868" i="1"/>
  <c r="X1868" i="1" s="1"/>
  <c r="W1869" i="1"/>
  <c r="W1870" i="1"/>
  <c r="W1871" i="1"/>
  <c r="W1872" i="1"/>
  <c r="X1872" i="1" s="1"/>
  <c r="W1873" i="1"/>
  <c r="X1873" i="1" s="1"/>
  <c r="Y1873" i="1" s="1"/>
  <c r="Z1873" i="1" s="1"/>
  <c r="AA1873" i="1" s="1"/>
  <c r="W1874" i="1"/>
  <c r="W1875" i="1"/>
  <c r="W1876" i="1"/>
  <c r="X1876" i="1" s="1"/>
  <c r="W1877" i="1"/>
  <c r="X1877" i="1" s="1"/>
  <c r="W1878" i="1"/>
  <c r="W1879" i="1"/>
  <c r="W1880" i="1"/>
  <c r="X1880" i="1" s="1"/>
  <c r="W1881" i="1"/>
  <c r="W1882" i="1"/>
  <c r="W1883" i="1"/>
  <c r="W1884" i="1"/>
  <c r="X1884" i="1" s="1"/>
  <c r="W1885" i="1"/>
  <c r="W1886" i="1"/>
  <c r="W1887" i="1"/>
  <c r="W1888" i="1"/>
  <c r="X1888" i="1" s="1"/>
  <c r="W1889" i="1"/>
  <c r="W1890" i="1"/>
  <c r="W1891" i="1"/>
  <c r="W1892" i="1"/>
  <c r="X1892" i="1" s="1"/>
  <c r="W1893" i="1"/>
  <c r="X1893" i="1" s="1"/>
  <c r="W1894" i="1"/>
  <c r="W1895" i="1"/>
  <c r="W1896" i="1"/>
  <c r="W1897" i="1"/>
  <c r="W1898" i="1"/>
  <c r="W1899" i="1"/>
  <c r="W1900" i="1"/>
  <c r="X1900" i="1" s="1"/>
  <c r="W1901" i="1"/>
  <c r="W1902" i="1"/>
  <c r="W1903" i="1"/>
  <c r="W1904" i="1"/>
  <c r="X1904" i="1" s="1"/>
  <c r="W1905" i="1"/>
  <c r="X1905" i="1" s="1"/>
  <c r="Y1905" i="1" s="1"/>
  <c r="Z1905" i="1" s="1"/>
  <c r="AA1905" i="1" s="1"/>
  <c r="W1906" i="1"/>
  <c r="W1907" i="1"/>
  <c r="W1908" i="1"/>
  <c r="X1908" i="1" s="1"/>
  <c r="W1909" i="1"/>
  <c r="X1909" i="1" s="1"/>
  <c r="W1910" i="1"/>
  <c r="W1911" i="1"/>
  <c r="W1912" i="1"/>
  <c r="W1913" i="1"/>
  <c r="W1914" i="1"/>
  <c r="W1915" i="1"/>
  <c r="W1916" i="1"/>
  <c r="X1916" i="1" s="1"/>
  <c r="W1917" i="1"/>
  <c r="W1918" i="1"/>
  <c r="W1919" i="1"/>
  <c r="W1920" i="1"/>
  <c r="X1920" i="1" s="1"/>
  <c r="W1921" i="1"/>
  <c r="W1922" i="1"/>
  <c r="W1923" i="1"/>
  <c r="W1924" i="1"/>
  <c r="W1925" i="1"/>
  <c r="W1926" i="1"/>
  <c r="W1927" i="1"/>
  <c r="W1928" i="1"/>
  <c r="X1928" i="1" s="1"/>
  <c r="W1929" i="1"/>
  <c r="W1930" i="1"/>
  <c r="W1931" i="1"/>
  <c r="W1932" i="1"/>
  <c r="X1932" i="1" s="1"/>
  <c r="W1933" i="1"/>
  <c r="W1934" i="1"/>
  <c r="W1935" i="1"/>
  <c r="W1936" i="1"/>
  <c r="X1936" i="1" s="1"/>
  <c r="W1937" i="1"/>
  <c r="X1937" i="1" s="1"/>
  <c r="Y1937" i="1" s="1"/>
  <c r="Z1937" i="1" s="1"/>
  <c r="AA1937" i="1" s="1"/>
  <c r="W1938" i="1"/>
  <c r="W1939" i="1"/>
  <c r="W1940" i="1"/>
  <c r="X1940" i="1" s="1"/>
  <c r="W1941" i="1"/>
  <c r="X1941" i="1" s="1"/>
  <c r="W1942" i="1"/>
  <c r="W1943" i="1"/>
  <c r="W1944" i="1"/>
  <c r="W1945" i="1"/>
  <c r="W1946" i="1"/>
  <c r="W1947" i="1"/>
  <c r="W1948" i="1"/>
  <c r="X1948" i="1" s="1"/>
  <c r="W1949" i="1"/>
  <c r="W1950" i="1"/>
  <c r="W1951" i="1"/>
  <c r="W1952" i="1"/>
  <c r="X1952" i="1" s="1"/>
  <c r="W1953" i="1"/>
  <c r="W1954" i="1"/>
  <c r="W1955" i="1"/>
  <c r="W1956" i="1"/>
  <c r="W1957" i="1"/>
  <c r="W1958" i="1"/>
  <c r="W1959" i="1"/>
  <c r="W1960" i="1"/>
  <c r="X1960" i="1" s="1"/>
  <c r="W1961" i="1"/>
  <c r="W1962" i="1"/>
  <c r="W1963" i="1"/>
  <c r="W1964" i="1"/>
  <c r="X1964" i="1" s="1"/>
  <c r="W1965" i="1"/>
  <c r="W1966" i="1"/>
  <c r="W1967" i="1"/>
  <c r="W1968" i="1"/>
  <c r="X1968" i="1" s="1"/>
  <c r="W1969" i="1"/>
  <c r="X1969" i="1" s="1"/>
  <c r="Y1969" i="1" s="1"/>
  <c r="Z1969" i="1" s="1"/>
  <c r="AA1969" i="1" s="1"/>
  <c r="W1970" i="1"/>
  <c r="W1971" i="1"/>
  <c r="W1972" i="1"/>
  <c r="X1972" i="1" s="1"/>
  <c r="W1973" i="1"/>
  <c r="W1974" i="1"/>
  <c r="W1975" i="1"/>
  <c r="W1976" i="1"/>
  <c r="X1976" i="1" s="1"/>
  <c r="W1977" i="1"/>
  <c r="W1978" i="1"/>
  <c r="W1979" i="1"/>
  <c r="W1980" i="1"/>
  <c r="X1980" i="1" s="1"/>
  <c r="W1981" i="1"/>
  <c r="W1982" i="1"/>
  <c r="W1983" i="1"/>
  <c r="W1984" i="1"/>
  <c r="X1984" i="1" s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X1996" i="1" s="1"/>
  <c r="W1997" i="1"/>
  <c r="W1998" i="1"/>
  <c r="W1999" i="1"/>
  <c r="W2000" i="1"/>
  <c r="X2000" i="1" s="1"/>
  <c r="W2001" i="1"/>
  <c r="X2001" i="1" s="1"/>
  <c r="Y2001" i="1" s="1"/>
  <c r="Z2001" i="1" s="1"/>
  <c r="AA2001" i="1" s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Y1844" i="1" l="1"/>
  <c r="Z1844" i="1" s="1"/>
  <c r="AA1844" i="1" s="1"/>
  <c r="Y1028" i="1"/>
  <c r="Z1028" i="1" s="1"/>
  <c r="AA1028" i="1" s="1"/>
  <c r="Y944" i="1"/>
  <c r="Z944" i="1" s="1"/>
  <c r="AA944" i="1" s="1"/>
  <c r="Y288" i="1"/>
  <c r="Z288" i="1" s="1"/>
  <c r="AA288" i="1" s="1"/>
  <c r="Y65" i="1"/>
  <c r="Z65" i="1" s="1"/>
  <c r="AA65" i="1" s="1"/>
  <c r="Y1533" i="1"/>
  <c r="Z1533" i="1" s="1"/>
  <c r="AA1533" i="1" s="1"/>
  <c r="Y649" i="1"/>
  <c r="Z649" i="1" s="1"/>
  <c r="AA649" i="1" s="1"/>
  <c r="Y1136" i="1"/>
  <c r="Z1136" i="1" s="1"/>
  <c r="AA1136" i="1" s="1"/>
  <c r="Y625" i="1"/>
  <c r="Z625" i="1" s="1"/>
  <c r="AA625" i="1" s="1"/>
  <c r="Y1828" i="1"/>
  <c r="Z1828" i="1" s="1"/>
  <c r="AA1828" i="1" s="1"/>
  <c r="Y1501" i="1"/>
  <c r="Z1501" i="1" s="1"/>
  <c r="AA1501" i="1" s="1"/>
  <c r="Y1972" i="1"/>
  <c r="Z1972" i="1" s="1"/>
  <c r="AA1972" i="1" s="1"/>
  <c r="Y1636" i="1"/>
  <c r="Z1636" i="1" s="1"/>
  <c r="AA1636" i="1" s="1"/>
  <c r="Y1332" i="1"/>
  <c r="Z1332" i="1" s="1"/>
  <c r="AA1332" i="1" s="1"/>
  <c r="Y1941" i="1"/>
  <c r="Z1941" i="1" s="1"/>
  <c r="AA1941" i="1" s="1"/>
  <c r="Y1632" i="1"/>
  <c r="Z1632" i="1" s="1"/>
  <c r="AA1632" i="1" s="1"/>
  <c r="Y1285" i="1"/>
  <c r="Z1285" i="1" s="1"/>
  <c r="AA1285" i="1" s="1"/>
  <c r="Y833" i="1"/>
  <c r="Z833" i="1" s="1"/>
  <c r="AA833" i="1" s="1"/>
  <c r="Y257" i="1"/>
  <c r="Z257" i="1" s="1"/>
  <c r="AA257" i="1" s="1"/>
  <c r="Y1909" i="1"/>
  <c r="Z1909" i="1" s="1"/>
  <c r="AA1909" i="1" s="1"/>
  <c r="Y1748" i="1"/>
  <c r="Z1748" i="1" s="1"/>
  <c r="AA1748" i="1" s="1"/>
  <c r="Y1581" i="1"/>
  <c r="Z1581" i="1" s="1"/>
  <c r="AA1581" i="1" s="1"/>
  <c r="Y1449" i="1"/>
  <c r="Z1449" i="1" s="1"/>
  <c r="AA1449" i="1" s="1"/>
  <c r="Y1237" i="1"/>
  <c r="Z1237" i="1" s="1"/>
  <c r="AA1237" i="1" s="1"/>
  <c r="Y1021" i="1"/>
  <c r="Z1021" i="1" s="1"/>
  <c r="AA1021" i="1" s="1"/>
  <c r="Y777" i="1"/>
  <c r="Z777" i="1" s="1"/>
  <c r="AA777" i="1" s="1"/>
  <c r="Y549" i="1"/>
  <c r="Z549" i="1" s="1"/>
  <c r="AA549" i="1" s="1"/>
  <c r="Y193" i="1"/>
  <c r="Z193" i="1" s="1"/>
  <c r="AA193" i="1" s="1"/>
  <c r="Y1976" i="1"/>
  <c r="Z1976" i="1" s="1"/>
  <c r="AA1976" i="1" s="1"/>
  <c r="Y1908" i="1"/>
  <c r="Z1908" i="1" s="1"/>
  <c r="AA1908" i="1" s="1"/>
  <c r="Y1737" i="1"/>
  <c r="Z1737" i="1" s="1"/>
  <c r="AA1737" i="1" s="1"/>
  <c r="Y1552" i="1"/>
  <c r="Z1552" i="1" s="1"/>
  <c r="AA1552" i="1" s="1"/>
  <c r="Y1444" i="1"/>
  <c r="Z1444" i="1" s="1"/>
  <c r="AA1444" i="1" s="1"/>
  <c r="Y1200" i="1"/>
  <c r="Z1200" i="1" s="1"/>
  <c r="AA1200" i="1" s="1"/>
  <c r="Y948" i="1"/>
  <c r="Z948" i="1" s="1"/>
  <c r="AA948" i="1" s="1"/>
  <c r="Y745" i="1"/>
  <c r="Z745" i="1" s="1"/>
  <c r="AA745" i="1" s="1"/>
  <c r="Y457" i="1"/>
  <c r="Z457" i="1" s="1"/>
  <c r="AA457" i="1" s="1"/>
  <c r="Y72" i="1"/>
  <c r="Z72" i="1" s="1"/>
  <c r="AA72" i="1" s="1"/>
  <c r="X1055" i="1"/>
  <c r="Y1055" i="1" s="1"/>
  <c r="Z1055" i="1" s="1"/>
  <c r="AA1055" i="1" s="1"/>
  <c r="X1003" i="1"/>
  <c r="Y1003" i="1" s="1"/>
  <c r="Z1003" i="1" s="1"/>
  <c r="AA1003" i="1" s="1"/>
  <c r="X831" i="1"/>
  <c r="Y831" i="1" s="1"/>
  <c r="Z831" i="1" s="1"/>
  <c r="AA831" i="1" s="1"/>
  <c r="X619" i="1"/>
  <c r="Y619" i="1" s="1"/>
  <c r="Z619" i="1" s="1"/>
  <c r="AA619" i="1" s="1"/>
  <c r="X363" i="1"/>
  <c r="Y363" i="1" s="1"/>
  <c r="Z363" i="1" s="1"/>
  <c r="AA363" i="1" s="1"/>
  <c r="X1515" i="1"/>
  <c r="Y1515" i="1" s="1"/>
  <c r="Z1515" i="1" s="1"/>
  <c r="AA1515" i="1" s="1"/>
  <c r="X1359" i="1"/>
  <c r="Y1359" i="1" s="1"/>
  <c r="Z1359" i="1" s="1"/>
  <c r="AA1359" i="1" s="1"/>
  <c r="X1195" i="1"/>
  <c r="Y1195" i="1" s="1"/>
  <c r="Z1195" i="1" s="1"/>
  <c r="AA1195" i="1" s="1"/>
  <c r="X1039" i="1"/>
  <c r="Y1039" i="1" s="1"/>
  <c r="Z1039" i="1" s="1"/>
  <c r="AA1039" i="1" s="1"/>
  <c r="X683" i="1"/>
  <c r="Y683" i="1" s="1"/>
  <c r="Z683" i="1" s="1"/>
  <c r="AA683" i="1" s="1"/>
  <c r="Y1343" i="1"/>
  <c r="Z1343" i="1" s="1"/>
  <c r="AA1343" i="1" s="1"/>
  <c r="Y863" i="1"/>
  <c r="Z863" i="1" s="1"/>
  <c r="AA863" i="1" s="1"/>
  <c r="Y1131" i="1"/>
  <c r="Z1131" i="1" s="1"/>
  <c r="AA1131" i="1" s="1"/>
  <c r="Y427" i="1"/>
  <c r="Z427" i="1" s="1"/>
  <c r="AA427" i="1" s="1"/>
  <c r="Y1876" i="1"/>
  <c r="Z1876" i="1" s="1"/>
  <c r="AA1876" i="1" s="1"/>
  <c r="Y1796" i="1"/>
  <c r="Z1796" i="1" s="1"/>
  <c r="AA1796" i="1" s="1"/>
  <c r="Y1700" i="1"/>
  <c r="Z1700" i="1" s="1"/>
  <c r="AA1700" i="1" s="1"/>
  <c r="Y1504" i="1"/>
  <c r="Z1504" i="1" s="1"/>
  <c r="AA1504" i="1" s="1"/>
  <c r="Y1424" i="1"/>
  <c r="Z1424" i="1" s="1"/>
  <c r="AA1424" i="1" s="1"/>
  <c r="Y1184" i="1"/>
  <c r="Z1184" i="1" s="1"/>
  <c r="AA1184" i="1" s="1"/>
  <c r="Y1076" i="1"/>
  <c r="Z1076" i="1" s="1"/>
  <c r="AA1076" i="1" s="1"/>
  <c r="Y992" i="1"/>
  <c r="Z992" i="1" s="1"/>
  <c r="AA992" i="1" s="1"/>
  <c r="Y891" i="1"/>
  <c r="Z891" i="1" s="1"/>
  <c r="AA891" i="1" s="1"/>
  <c r="Y575" i="1"/>
  <c r="Z575" i="1" s="1"/>
  <c r="AA575" i="1" s="1"/>
  <c r="Y347" i="1"/>
  <c r="Z347" i="1" s="1"/>
  <c r="AA347" i="1" s="1"/>
  <c r="X1992" i="1"/>
  <c r="Y1992" i="1" s="1"/>
  <c r="Z1992" i="1" s="1"/>
  <c r="AA1992" i="1" s="1"/>
  <c r="X1988" i="1"/>
  <c r="Y1988" i="1" s="1"/>
  <c r="Z1988" i="1" s="1"/>
  <c r="AA1988" i="1" s="1"/>
  <c r="X1956" i="1"/>
  <c r="Y1956" i="1" s="1"/>
  <c r="Z1956" i="1" s="1"/>
  <c r="AA1956" i="1" s="1"/>
  <c r="X1944" i="1"/>
  <c r="Y1944" i="1" s="1"/>
  <c r="Z1944" i="1" s="1"/>
  <c r="AA1944" i="1" s="1"/>
  <c r="X1924" i="1"/>
  <c r="Y1924" i="1" s="1"/>
  <c r="Z1924" i="1" s="1"/>
  <c r="AA1924" i="1" s="1"/>
  <c r="X1912" i="1"/>
  <c r="Y1912" i="1" s="1"/>
  <c r="Z1912" i="1" s="1"/>
  <c r="AA1912" i="1" s="1"/>
  <c r="X1896" i="1"/>
  <c r="Y1896" i="1" s="1"/>
  <c r="Z1896" i="1" s="1"/>
  <c r="AA1896" i="1" s="1"/>
  <c r="X1860" i="1"/>
  <c r="Y1860" i="1" s="1"/>
  <c r="Z1860" i="1" s="1"/>
  <c r="AA1860" i="1" s="1"/>
  <c r="X1848" i="1"/>
  <c r="Y1848" i="1" s="1"/>
  <c r="Z1848" i="1" s="1"/>
  <c r="AA1848" i="1" s="1"/>
  <c r="X1816" i="1"/>
  <c r="Y1816" i="1" s="1"/>
  <c r="Z1816" i="1" s="1"/>
  <c r="AA1816" i="1" s="1"/>
  <c r="X1800" i="1"/>
  <c r="Y1800" i="1" s="1"/>
  <c r="Z1800" i="1" s="1"/>
  <c r="AA1800" i="1" s="1"/>
  <c r="X1780" i="1"/>
  <c r="Y1780" i="1" s="1"/>
  <c r="Z1780" i="1" s="1"/>
  <c r="AA1780" i="1" s="1"/>
  <c r="X1768" i="1"/>
  <c r="Y1768" i="1" s="1"/>
  <c r="Z1768" i="1" s="1"/>
  <c r="AA1768" i="1" s="1"/>
  <c r="X1736" i="1"/>
  <c r="Y1736" i="1" s="1"/>
  <c r="Z1736" i="1" s="1"/>
  <c r="AA1736" i="1" s="1"/>
  <c r="X1680" i="1"/>
  <c r="Y1680" i="1" s="1"/>
  <c r="Z1680" i="1" s="1"/>
  <c r="AA1680" i="1" s="1"/>
  <c r="X1616" i="1"/>
  <c r="Y1616" i="1" s="1"/>
  <c r="Z1616" i="1" s="1"/>
  <c r="AA1616" i="1" s="1"/>
  <c r="X1572" i="1"/>
  <c r="Y1572" i="1" s="1"/>
  <c r="Z1572" i="1" s="1"/>
  <c r="AA1572" i="1" s="1"/>
  <c r="X1568" i="1"/>
  <c r="Y1568" i="1" s="1"/>
  <c r="Z1568" i="1" s="1"/>
  <c r="AA1568" i="1" s="1"/>
  <c r="X1508" i="1"/>
  <c r="Y1508" i="1" s="1"/>
  <c r="Z1508" i="1" s="1"/>
  <c r="AA1508" i="1" s="1"/>
  <c r="X1488" i="1"/>
  <c r="Y1488" i="1" s="1"/>
  <c r="Z1488" i="1" s="1"/>
  <c r="AA1488" i="1" s="1"/>
  <c r="X1440" i="1"/>
  <c r="Y1440" i="1" s="1"/>
  <c r="Z1440" i="1" s="1"/>
  <c r="AA1440" i="1" s="1"/>
  <c r="X1360" i="1"/>
  <c r="Y1360" i="1" s="1"/>
  <c r="Z1360" i="1" s="1"/>
  <c r="AA1360" i="1" s="1"/>
  <c r="X1312" i="1"/>
  <c r="Y1312" i="1" s="1"/>
  <c r="Z1312" i="1" s="1"/>
  <c r="AA1312" i="1" s="1"/>
  <c r="X1264" i="1"/>
  <c r="Y1264" i="1" s="1"/>
  <c r="Z1264" i="1" s="1"/>
  <c r="AA1264" i="1" s="1"/>
  <c r="X1248" i="1"/>
  <c r="Y1248" i="1" s="1"/>
  <c r="Z1248" i="1" s="1"/>
  <c r="AA1248" i="1" s="1"/>
  <c r="X1156" i="1"/>
  <c r="Y1156" i="1" s="1"/>
  <c r="Z1156" i="1" s="1"/>
  <c r="AA1156" i="1" s="1"/>
  <c r="X1120" i="1"/>
  <c r="Y1120" i="1" s="1"/>
  <c r="Z1120" i="1" s="1"/>
  <c r="AA1120" i="1" s="1"/>
  <c r="X1092" i="1"/>
  <c r="Y1092" i="1" s="1"/>
  <c r="Z1092" i="1" s="1"/>
  <c r="AA1092" i="1" s="1"/>
  <c r="X1012" i="1"/>
  <c r="Y1012" i="1" s="1"/>
  <c r="Z1012" i="1" s="1"/>
  <c r="AA1012" i="1" s="1"/>
  <c r="X964" i="1"/>
  <c r="Y964" i="1" s="1"/>
  <c r="Z964" i="1" s="1"/>
  <c r="AA964" i="1" s="1"/>
  <c r="X880" i="1"/>
  <c r="Y880" i="1" s="1"/>
  <c r="Z880" i="1" s="1"/>
  <c r="AA880" i="1" s="1"/>
  <c r="X864" i="1"/>
  <c r="Y864" i="1" s="1"/>
  <c r="Z864" i="1" s="1"/>
  <c r="AA864" i="1" s="1"/>
  <c r="X312" i="1"/>
  <c r="Y312" i="1" s="1"/>
  <c r="Z312" i="1" s="1"/>
  <c r="AA312" i="1" s="1"/>
  <c r="X216" i="1"/>
  <c r="Y216" i="1" s="1"/>
  <c r="Z216" i="1" s="1"/>
  <c r="AA216" i="1" s="1"/>
  <c r="X200" i="1"/>
  <c r="Y200" i="1" s="1"/>
  <c r="Z200" i="1" s="1"/>
  <c r="AA200" i="1" s="1"/>
  <c r="X88" i="1"/>
  <c r="Y88" i="1" s="1"/>
  <c r="Z88" i="1" s="1"/>
  <c r="AA88" i="1" s="1"/>
  <c r="X56" i="1"/>
  <c r="Y56" i="1" s="1"/>
  <c r="Z56" i="1" s="1"/>
  <c r="AA56" i="1" s="1"/>
  <c r="Y1928" i="1"/>
  <c r="Z1928" i="1" s="1"/>
  <c r="AA1928" i="1" s="1"/>
  <c r="Y1864" i="1"/>
  <c r="Z1864" i="1" s="1"/>
  <c r="AA1864" i="1" s="1"/>
  <c r="Y1784" i="1"/>
  <c r="Z1784" i="1" s="1"/>
  <c r="AA1784" i="1" s="1"/>
  <c r="Y1696" i="1"/>
  <c r="Z1696" i="1" s="1"/>
  <c r="AA1696" i="1" s="1"/>
  <c r="Y1579" i="1"/>
  <c r="Z1579" i="1" s="1"/>
  <c r="AA1579" i="1" s="1"/>
  <c r="Y1376" i="1"/>
  <c r="Z1376" i="1" s="1"/>
  <c r="AA1376" i="1" s="1"/>
  <c r="Y1268" i="1"/>
  <c r="Z1268" i="1" s="1"/>
  <c r="AA1268" i="1" s="1"/>
  <c r="Y1183" i="1"/>
  <c r="Z1183" i="1" s="1"/>
  <c r="AA1183" i="1" s="1"/>
  <c r="Y1056" i="1"/>
  <c r="Z1056" i="1" s="1"/>
  <c r="AA1056" i="1" s="1"/>
  <c r="Y991" i="1"/>
  <c r="Z991" i="1" s="1"/>
  <c r="AA991" i="1" s="1"/>
  <c r="Y884" i="1"/>
  <c r="Z884" i="1" s="1"/>
  <c r="AA884" i="1" s="1"/>
  <c r="Y328" i="1"/>
  <c r="Z328" i="1" s="1"/>
  <c r="AA328" i="1" s="1"/>
  <c r="Y160" i="1"/>
  <c r="Z160" i="1" s="1"/>
  <c r="AA160" i="1" s="1"/>
  <c r="Y1621" i="1"/>
  <c r="Z1621" i="1" s="1"/>
  <c r="AA1621" i="1" s="1"/>
  <c r="Y1321" i="1"/>
  <c r="Z1321" i="1" s="1"/>
  <c r="AA1321" i="1" s="1"/>
  <c r="Y1197" i="1"/>
  <c r="Z1197" i="1" s="1"/>
  <c r="AA1197" i="1" s="1"/>
  <c r="Y1161" i="1"/>
  <c r="Z1161" i="1" s="1"/>
  <c r="AA1161" i="1" s="1"/>
  <c r="Y937" i="1"/>
  <c r="Z937" i="1" s="1"/>
  <c r="AA937" i="1" s="1"/>
  <c r="Y713" i="1"/>
  <c r="Z713" i="1" s="1"/>
  <c r="AA713" i="1" s="1"/>
  <c r="Y521" i="1"/>
  <c r="Z521" i="1" s="1"/>
  <c r="AA521" i="1" s="1"/>
  <c r="Y393" i="1"/>
  <c r="Z393" i="1" s="1"/>
  <c r="AA393" i="1" s="1"/>
  <c r="Y317" i="1"/>
  <c r="Z317" i="1" s="1"/>
  <c r="AA317" i="1" s="1"/>
  <c r="Y125" i="1"/>
  <c r="Z125" i="1" s="1"/>
  <c r="AA125" i="1" s="1"/>
  <c r="Y1877" i="1"/>
  <c r="Z1877" i="1" s="1"/>
  <c r="AA1877" i="1" s="1"/>
  <c r="Y1705" i="1"/>
  <c r="Z1705" i="1" s="1"/>
  <c r="AA1705" i="1" s="1"/>
  <c r="Y1673" i="1"/>
  <c r="Z1673" i="1" s="1"/>
  <c r="AA1673" i="1" s="1"/>
  <c r="Y1465" i="1"/>
  <c r="Z1465" i="1" s="1"/>
  <c r="AA1465" i="1" s="1"/>
  <c r="Y1433" i="1"/>
  <c r="Z1433" i="1" s="1"/>
  <c r="AA1433" i="1" s="1"/>
  <c r="Y949" i="1"/>
  <c r="Z949" i="1" s="1"/>
  <c r="AA949" i="1" s="1"/>
  <c r="Y917" i="1"/>
  <c r="Z917" i="1" s="1"/>
  <c r="AA917" i="1" s="1"/>
  <c r="Y809" i="1"/>
  <c r="Z809" i="1" s="1"/>
  <c r="AA809" i="1" s="1"/>
  <c r="Y609" i="1"/>
  <c r="Z609" i="1" s="1"/>
  <c r="AA609" i="1" s="1"/>
  <c r="Y489" i="1"/>
  <c r="Z489" i="1" s="1"/>
  <c r="AA489" i="1" s="1"/>
  <c r="Y29" i="1"/>
  <c r="Z29" i="1" s="1"/>
  <c r="AA29" i="1" s="1"/>
  <c r="X1997" i="1"/>
  <c r="Y1997" i="1" s="1"/>
  <c r="Z1997" i="1" s="1"/>
  <c r="AA1997" i="1" s="1"/>
  <c r="X1993" i="1"/>
  <c r="Y1993" i="1" s="1"/>
  <c r="Z1993" i="1" s="1"/>
  <c r="AA1993" i="1" s="1"/>
  <c r="X1985" i="1"/>
  <c r="Y1985" i="1" s="1"/>
  <c r="Z1985" i="1" s="1"/>
  <c r="AA1985" i="1" s="1"/>
  <c r="X1981" i="1"/>
  <c r="Y1981" i="1" s="1"/>
  <c r="Z1981" i="1" s="1"/>
  <c r="AA1981" i="1" s="1"/>
  <c r="X1977" i="1"/>
  <c r="Y1977" i="1" s="1"/>
  <c r="Z1977" i="1" s="1"/>
  <c r="AA1977" i="1" s="1"/>
  <c r="X1973" i="1"/>
  <c r="Y1973" i="1" s="1"/>
  <c r="Z1973" i="1" s="1"/>
  <c r="AA1973" i="1" s="1"/>
  <c r="X1965" i="1"/>
  <c r="Y1965" i="1" s="1"/>
  <c r="Z1965" i="1" s="1"/>
  <c r="AA1965" i="1" s="1"/>
  <c r="X1957" i="1"/>
  <c r="Y1957" i="1" s="1"/>
  <c r="Z1957" i="1" s="1"/>
  <c r="AA1957" i="1" s="1"/>
  <c r="X1953" i="1"/>
  <c r="Y1953" i="1" s="1"/>
  <c r="Z1953" i="1" s="1"/>
  <c r="AA1953" i="1" s="1"/>
  <c r="X1945" i="1"/>
  <c r="Y1945" i="1" s="1"/>
  <c r="Z1945" i="1" s="1"/>
  <c r="AA1945" i="1" s="1"/>
  <c r="X1933" i="1"/>
  <c r="Y1933" i="1" s="1"/>
  <c r="Z1933" i="1" s="1"/>
  <c r="AA1933" i="1" s="1"/>
  <c r="X1925" i="1"/>
  <c r="Y1925" i="1" s="1"/>
  <c r="Z1925" i="1" s="1"/>
  <c r="AA1925" i="1" s="1"/>
  <c r="X1921" i="1"/>
  <c r="Y1921" i="1" s="1"/>
  <c r="Z1921" i="1" s="1"/>
  <c r="AA1921" i="1" s="1"/>
  <c r="X1913" i="1"/>
  <c r="Y1913" i="1" s="1"/>
  <c r="Z1913" i="1" s="1"/>
  <c r="AA1913" i="1" s="1"/>
  <c r="X1901" i="1"/>
  <c r="Y1901" i="1" s="1"/>
  <c r="Z1901" i="1" s="1"/>
  <c r="AA1901" i="1" s="1"/>
  <c r="X1885" i="1"/>
  <c r="Y1885" i="1" s="1"/>
  <c r="Z1885" i="1" s="1"/>
  <c r="AA1885" i="1" s="1"/>
  <c r="X1869" i="1"/>
  <c r="Y1869" i="1" s="1"/>
  <c r="Z1869" i="1" s="1"/>
  <c r="AA1869" i="1" s="1"/>
  <c r="X1865" i="1"/>
  <c r="Y1865" i="1" s="1"/>
  <c r="Z1865" i="1" s="1"/>
  <c r="AA1865" i="1" s="1"/>
  <c r="X1857" i="1"/>
  <c r="Y1857" i="1" s="1"/>
  <c r="Z1857" i="1" s="1"/>
  <c r="AA1857" i="1" s="1"/>
  <c r="X1853" i="1"/>
  <c r="Y1853" i="1" s="1"/>
  <c r="Z1853" i="1" s="1"/>
  <c r="AA1853" i="1" s="1"/>
  <c r="X1837" i="1"/>
  <c r="Y1837" i="1" s="1"/>
  <c r="Z1837" i="1" s="1"/>
  <c r="AA1837" i="1" s="1"/>
  <c r="X1833" i="1"/>
  <c r="Y1833" i="1" s="1"/>
  <c r="Z1833" i="1" s="1"/>
  <c r="AA1833" i="1" s="1"/>
  <c r="X1825" i="1"/>
  <c r="Y1825" i="1" s="1"/>
  <c r="Z1825" i="1" s="1"/>
  <c r="AA1825" i="1" s="1"/>
  <c r="X1817" i="1"/>
  <c r="Y1817" i="1" s="1"/>
  <c r="Z1817" i="1" s="1"/>
  <c r="AA1817" i="1" s="1"/>
  <c r="X1813" i="1"/>
  <c r="Y1813" i="1" s="1"/>
  <c r="Z1813" i="1" s="1"/>
  <c r="AA1813" i="1" s="1"/>
  <c r="X1805" i="1"/>
  <c r="Y1805" i="1" s="1"/>
  <c r="Z1805" i="1" s="1"/>
  <c r="AA1805" i="1" s="1"/>
  <c r="X1797" i="1"/>
  <c r="Y1797" i="1" s="1"/>
  <c r="Z1797" i="1" s="1"/>
  <c r="AA1797" i="1" s="1"/>
  <c r="X1789" i="1"/>
  <c r="Y1789" i="1" s="1"/>
  <c r="Z1789" i="1" s="1"/>
  <c r="AA1789" i="1" s="1"/>
  <c r="X1769" i="1"/>
  <c r="Y1769" i="1" s="1"/>
  <c r="Z1769" i="1" s="1"/>
  <c r="AA1769" i="1" s="1"/>
  <c r="X1765" i="1"/>
  <c r="Y1765" i="1" s="1"/>
  <c r="Z1765" i="1" s="1"/>
  <c r="AA1765" i="1" s="1"/>
  <c r="X1761" i="1"/>
  <c r="Y1761" i="1" s="1"/>
  <c r="Z1761" i="1" s="1"/>
  <c r="AA1761" i="1" s="1"/>
  <c r="X1757" i="1"/>
  <c r="Y1757" i="1" s="1"/>
  <c r="Z1757" i="1" s="1"/>
  <c r="AA1757" i="1" s="1"/>
  <c r="X1749" i="1"/>
  <c r="Y1749" i="1" s="1"/>
  <c r="Z1749" i="1" s="1"/>
  <c r="AA1749" i="1" s="1"/>
  <c r="X1745" i="1"/>
  <c r="Y1745" i="1" s="1"/>
  <c r="Z1745" i="1" s="1"/>
  <c r="AA1745" i="1" s="1"/>
  <c r="X1741" i="1"/>
  <c r="Y1741" i="1" s="1"/>
  <c r="Z1741" i="1" s="1"/>
  <c r="AA1741" i="1" s="1"/>
  <c r="X1733" i="1"/>
  <c r="Y1733" i="1" s="1"/>
  <c r="Z1733" i="1" s="1"/>
  <c r="AA1733" i="1" s="1"/>
  <c r="X1729" i="1"/>
  <c r="Y1729" i="1" s="1"/>
  <c r="Z1729" i="1" s="1"/>
  <c r="AA1729" i="1" s="1"/>
  <c r="X1721" i="1"/>
  <c r="Y1721" i="1" s="1"/>
  <c r="Z1721" i="1" s="1"/>
  <c r="AA1721" i="1" s="1"/>
  <c r="X1713" i="1"/>
  <c r="Y1713" i="1" s="1"/>
  <c r="Z1713" i="1" s="1"/>
  <c r="AA1713" i="1" s="1"/>
  <c r="X1701" i="1"/>
  <c r="Y1701" i="1" s="1"/>
  <c r="Z1701" i="1" s="1"/>
  <c r="AA1701" i="1" s="1"/>
  <c r="X1669" i="1"/>
  <c r="Y1669" i="1" s="1"/>
  <c r="Z1669" i="1" s="1"/>
  <c r="AA1669" i="1" s="1"/>
  <c r="X1661" i="1"/>
  <c r="Y1661" i="1" s="1"/>
  <c r="Z1661" i="1" s="1"/>
  <c r="AA1661" i="1" s="1"/>
  <c r="X1645" i="1"/>
  <c r="Y1645" i="1" s="1"/>
  <c r="Z1645" i="1" s="1"/>
  <c r="AA1645" i="1" s="1"/>
  <c r="X1625" i="1"/>
  <c r="Y1625" i="1" s="1"/>
  <c r="Z1625" i="1" s="1"/>
  <c r="AA1625" i="1" s="1"/>
  <c r="X1613" i="1"/>
  <c r="Y1613" i="1" s="1"/>
  <c r="Z1613" i="1" s="1"/>
  <c r="AA1613" i="1" s="1"/>
  <c r="X1609" i="1"/>
  <c r="Y1609" i="1" s="1"/>
  <c r="Z1609" i="1" s="1"/>
  <c r="AA1609" i="1" s="1"/>
  <c r="X1593" i="1"/>
  <c r="Y1593" i="1" s="1"/>
  <c r="Z1593" i="1" s="1"/>
  <c r="AA1593" i="1" s="1"/>
  <c r="X1589" i="1"/>
  <c r="Y1589" i="1" s="1"/>
  <c r="Z1589" i="1" s="1"/>
  <c r="AA1589" i="1" s="1"/>
  <c r="X1577" i="1"/>
  <c r="Y1577" i="1" s="1"/>
  <c r="Z1577" i="1" s="1"/>
  <c r="AA1577" i="1" s="1"/>
  <c r="X1573" i="1"/>
  <c r="Y1573" i="1" s="1"/>
  <c r="Z1573" i="1" s="1"/>
  <c r="AA1573" i="1" s="1"/>
  <c r="X1565" i="1"/>
  <c r="Y1565" i="1" s="1"/>
  <c r="Z1565" i="1" s="1"/>
  <c r="AA1565" i="1" s="1"/>
  <c r="X1557" i="1"/>
  <c r="Y1557" i="1" s="1"/>
  <c r="Z1557" i="1" s="1"/>
  <c r="AA1557" i="1" s="1"/>
  <c r="X1549" i="1"/>
  <c r="Y1549" i="1" s="1"/>
  <c r="Z1549" i="1" s="1"/>
  <c r="AA1549" i="1" s="1"/>
  <c r="X1541" i="1"/>
  <c r="Y1541" i="1" s="1"/>
  <c r="Z1541" i="1" s="1"/>
  <c r="AA1541" i="1" s="1"/>
  <c r="X1529" i="1"/>
  <c r="Y1529" i="1" s="1"/>
  <c r="Z1529" i="1" s="1"/>
  <c r="AA1529" i="1" s="1"/>
  <c r="X1525" i="1"/>
  <c r="Y1525" i="1" s="1"/>
  <c r="Z1525" i="1" s="1"/>
  <c r="AA1525" i="1" s="1"/>
  <c r="X1517" i="1"/>
  <c r="Y1517" i="1" s="1"/>
  <c r="Z1517" i="1" s="1"/>
  <c r="AA1517" i="1" s="1"/>
  <c r="X1509" i="1"/>
  <c r="Y1509" i="1" s="1"/>
  <c r="Z1509" i="1" s="1"/>
  <c r="AA1509" i="1" s="1"/>
  <c r="X1493" i="1"/>
  <c r="Y1493" i="1" s="1"/>
  <c r="Z1493" i="1" s="1"/>
  <c r="AA1493" i="1" s="1"/>
  <c r="X1481" i="1"/>
  <c r="Y1481" i="1" s="1"/>
  <c r="Z1481" i="1" s="1"/>
  <c r="AA1481" i="1" s="1"/>
  <c r="X1477" i="1"/>
  <c r="Y1477" i="1" s="1"/>
  <c r="Z1477" i="1" s="1"/>
  <c r="AA1477" i="1" s="1"/>
  <c r="X1453" i="1"/>
  <c r="Y1453" i="1" s="1"/>
  <c r="Z1453" i="1" s="1"/>
  <c r="AA1453" i="1" s="1"/>
  <c r="X1429" i="1"/>
  <c r="Y1429" i="1" s="1"/>
  <c r="Z1429" i="1" s="1"/>
  <c r="AA1429" i="1" s="1"/>
  <c r="X1405" i="1"/>
  <c r="Y1405" i="1" s="1"/>
  <c r="Z1405" i="1" s="1"/>
  <c r="AA1405" i="1" s="1"/>
  <c r="X1389" i="1"/>
  <c r="Y1389" i="1" s="1"/>
  <c r="Z1389" i="1" s="1"/>
  <c r="AA1389" i="1" s="1"/>
  <c r="X1385" i="1"/>
  <c r="Y1385" i="1" s="1"/>
  <c r="Z1385" i="1" s="1"/>
  <c r="AA1385" i="1" s="1"/>
  <c r="X1369" i="1"/>
  <c r="Y1369" i="1" s="1"/>
  <c r="Z1369" i="1" s="1"/>
  <c r="AA1369" i="1" s="1"/>
  <c r="X1357" i="1"/>
  <c r="Y1357" i="1" s="1"/>
  <c r="Z1357" i="1" s="1"/>
  <c r="AA1357" i="1" s="1"/>
  <c r="X1353" i="1"/>
  <c r="Y1353" i="1" s="1"/>
  <c r="Z1353" i="1" s="1"/>
  <c r="AA1353" i="1" s="1"/>
  <c r="X1341" i="1"/>
  <c r="Y1341" i="1" s="1"/>
  <c r="Z1341" i="1" s="1"/>
  <c r="AA1341" i="1" s="1"/>
  <c r="X1337" i="1"/>
  <c r="Y1337" i="1" s="1"/>
  <c r="Z1337" i="1" s="1"/>
  <c r="AA1337" i="1" s="1"/>
  <c r="X1333" i="1"/>
  <c r="Y1333" i="1" s="1"/>
  <c r="Z1333" i="1" s="1"/>
  <c r="AA1333" i="1" s="1"/>
  <c r="X1317" i="1"/>
  <c r="Y1317" i="1" s="1"/>
  <c r="Z1317" i="1" s="1"/>
  <c r="AA1317" i="1" s="1"/>
  <c r="X1309" i="1"/>
  <c r="Y1309" i="1" s="1"/>
  <c r="Z1309" i="1" s="1"/>
  <c r="AA1309" i="1" s="1"/>
  <c r="X1301" i="1"/>
  <c r="Y1301" i="1" s="1"/>
  <c r="Z1301" i="1" s="1"/>
  <c r="AA1301" i="1" s="1"/>
  <c r="X1293" i="1"/>
  <c r="Y1293" i="1" s="1"/>
  <c r="Z1293" i="1" s="1"/>
  <c r="AA1293" i="1" s="1"/>
  <c r="X1289" i="1"/>
  <c r="Y1289" i="1" s="1"/>
  <c r="Z1289" i="1" s="1"/>
  <c r="AA1289" i="1" s="1"/>
  <c r="X1277" i="1"/>
  <c r="Y1277" i="1" s="1"/>
  <c r="Z1277" i="1" s="1"/>
  <c r="AA1277" i="1" s="1"/>
  <c r="X1273" i="1"/>
  <c r="Y1273" i="1" s="1"/>
  <c r="Z1273" i="1" s="1"/>
  <c r="AA1273" i="1" s="1"/>
  <c r="X1269" i="1"/>
  <c r="Y1269" i="1" s="1"/>
  <c r="Z1269" i="1" s="1"/>
  <c r="AA1269" i="1" s="1"/>
  <c r="X1261" i="1"/>
  <c r="Y1261" i="1" s="1"/>
  <c r="Z1261" i="1" s="1"/>
  <c r="AA1261" i="1" s="1"/>
  <c r="X1257" i="1"/>
  <c r="Y1257" i="1" s="1"/>
  <c r="Z1257" i="1" s="1"/>
  <c r="AA1257" i="1" s="1"/>
  <c r="X1245" i="1"/>
  <c r="Y1245" i="1" s="1"/>
  <c r="Z1245" i="1" s="1"/>
  <c r="AA1245" i="1" s="1"/>
  <c r="X1241" i="1"/>
  <c r="Y1241" i="1" s="1"/>
  <c r="Z1241" i="1" s="1"/>
  <c r="AA1241" i="1" s="1"/>
  <c r="X1229" i="1"/>
  <c r="Y1229" i="1" s="1"/>
  <c r="Z1229" i="1" s="1"/>
  <c r="AA1229" i="1" s="1"/>
  <c r="X1225" i="1"/>
  <c r="Y1225" i="1" s="1"/>
  <c r="Z1225" i="1" s="1"/>
  <c r="AA1225" i="1" s="1"/>
  <c r="X1221" i="1"/>
  <c r="Y1221" i="1" s="1"/>
  <c r="Z1221" i="1" s="1"/>
  <c r="AA1221" i="1" s="1"/>
  <c r="X1209" i="1"/>
  <c r="Y1209" i="1" s="1"/>
  <c r="Z1209" i="1" s="1"/>
  <c r="AA1209" i="1" s="1"/>
  <c r="X1205" i="1"/>
  <c r="Y1205" i="1" s="1"/>
  <c r="Z1205" i="1" s="1"/>
  <c r="AA1205" i="1" s="1"/>
  <c r="X1193" i="1"/>
  <c r="Y1193" i="1" s="1"/>
  <c r="Z1193" i="1" s="1"/>
  <c r="AA1193" i="1" s="1"/>
  <c r="X1189" i="1"/>
  <c r="Y1189" i="1" s="1"/>
  <c r="Z1189" i="1" s="1"/>
  <c r="AA1189" i="1" s="1"/>
  <c r="X1181" i="1"/>
  <c r="Y1181" i="1" s="1"/>
  <c r="Z1181" i="1" s="1"/>
  <c r="AA1181" i="1" s="1"/>
  <c r="X1177" i="1"/>
  <c r="Y1177" i="1" s="1"/>
  <c r="Z1177" i="1" s="1"/>
  <c r="AA1177" i="1" s="1"/>
  <c r="X1173" i="1"/>
  <c r="Y1173" i="1" s="1"/>
  <c r="Z1173" i="1" s="1"/>
  <c r="AA1173" i="1" s="1"/>
  <c r="X1165" i="1"/>
  <c r="Y1165" i="1" s="1"/>
  <c r="Z1165" i="1" s="1"/>
  <c r="AA1165" i="1" s="1"/>
  <c r="X1157" i="1"/>
  <c r="Y1157" i="1" s="1"/>
  <c r="Z1157" i="1" s="1"/>
  <c r="AA1157" i="1" s="1"/>
  <c r="X1149" i="1"/>
  <c r="Y1149" i="1" s="1"/>
  <c r="Z1149" i="1" s="1"/>
  <c r="AA1149" i="1" s="1"/>
  <c r="X1141" i="1"/>
  <c r="Y1141" i="1" s="1"/>
  <c r="Z1141" i="1" s="1"/>
  <c r="AA1141" i="1" s="1"/>
  <c r="X1133" i="1"/>
  <c r="Y1133" i="1" s="1"/>
  <c r="Z1133" i="1" s="1"/>
  <c r="AA1133" i="1" s="1"/>
  <c r="X1129" i="1"/>
  <c r="Y1129" i="1" s="1"/>
  <c r="Z1129" i="1" s="1"/>
  <c r="AA1129" i="1" s="1"/>
  <c r="X1125" i="1"/>
  <c r="Y1125" i="1" s="1"/>
  <c r="Z1125" i="1" s="1"/>
  <c r="AA1125" i="1" s="1"/>
  <c r="X1117" i="1"/>
  <c r="Y1117" i="1" s="1"/>
  <c r="Z1117" i="1" s="1"/>
  <c r="AA1117" i="1" s="1"/>
  <c r="X1109" i="1"/>
  <c r="Y1109" i="1" s="1"/>
  <c r="Z1109" i="1" s="1"/>
  <c r="AA1109" i="1" s="1"/>
  <c r="X1101" i="1"/>
  <c r="Y1101" i="1" s="1"/>
  <c r="Z1101" i="1" s="1"/>
  <c r="AA1101" i="1" s="1"/>
  <c r="X1093" i="1"/>
  <c r="Y1093" i="1" s="1"/>
  <c r="Z1093" i="1" s="1"/>
  <c r="AA1093" i="1" s="1"/>
  <c r="X1085" i="1"/>
  <c r="Y1085" i="1" s="1"/>
  <c r="Z1085" i="1" s="1"/>
  <c r="AA1085" i="1" s="1"/>
  <c r="X1081" i="1"/>
  <c r="Y1081" i="1" s="1"/>
  <c r="Z1081" i="1" s="1"/>
  <c r="AA1081" i="1" s="1"/>
  <c r="X1077" i="1"/>
  <c r="Y1077" i="1" s="1"/>
  <c r="Z1077" i="1" s="1"/>
  <c r="AA1077" i="1" s="1"/>
  <c r="X1069" i="1"/>
  <c r="Y1069" i="1" s="1"/>
  <c r="Z1069" i="1" s="1"/>
  <c r="AA1069" i="1" s="1"/>
  <c r="X1065" i="1"/>
  <c r="Y1065" i="1" s="1"/>
  <c r="Z1065" i="1" s="1"/>
  <c r="AA1065" i="1" s="1"/>
  <c r="X1061" i="1"/>
  <c r="Y1061" i="1" s="1"/>
  <c r="Z1061" i="1" s="1"/>
  <c r="AA1061" i="1" s="1"/>
  <c r="X1053" i="1"/>
  <c r="Y1053" i="1" s="1"/>
  <c r="Z1053" i="1" s="1"/>
  <c r="AA1053" i="1" s="1"/>
  <c r="X1049" i="1"/>
  <c r="Y1049" i="1" s="1"/>
  <c r="Z1049" i="1" s="1"/>
  <c r="AA1049" i="1" s="1"/>
  <c r="X1045" i="1"/>
  <c r="Y1045" i="1" s="1"/>
  <c r="Z1045" i="1" s="1"/>
  <c r="AA1045" i="1" s="1"/>
  <c r="X1037" i="1"/>
  <c r="Y1037" i="1" s="1"/>
  <c r="Z1037" i="1" s="1"/>
  <c r="AA1037" i="1" s="1"/>
  <c r="X1033" i="1"/>
  <c r="Y1033" i="1" s="1"/>
  <c r="Z1033" i="1" s="1"/>
  <c r="AA1033" i="1" s="1"/>
  <c r="X1029" i="1"/>
  <c r="Y1029" i="1" s="1"/>
  <c r="Z1029" i="1" s="1"/>
  <c r="AA1029" i="1" s="1"/>
  <c r="X1017" i="1"/>
  <c r="Y1017" i="1" s="1"/>
  <c r="Z1017" i="1" s="1"/>
  <c r="AA1017" i="1" s="1"/>
  <c r="X1013" i="1"/>
  <c r="Y1013" i="1" s="1"/>
  <c r="Z1013" i="1" s="1"/>
  <c r="AA1013" i="1" s="1"/>
  <c r="X1001" i="1"/>
  <c r="Y1001" i="1" s="1"/>
  <c r="Z1001" i="1" s="1"/>
  <c r="AA1001" i="1" s="1"/>
  <c r="X997" i="1"/>
  <c r="Y997" i="1" s="1"/>
  <c r="Z997" i="1" s="1"/>
  <c r="AA997" i="1" s="1"/>
  <c r="X989" i="1"/>
  <c r="Y989" i="1" s="1"/>
  <c r="Z989" i="1" s="1"/>
  <c r="AA989" i="1" s="1"/>
  <c r="X985" i="1"/>
  <c r="Y985" i="1" s="1"/>
  <c r="Z985" i="1" s="1"/>
  <c r="AA985" i="1" s="1"/>
  <c r="X981" i="1"/>
  <c r="Y981" i="1" s="1"/>
  <c r="Z981" i="1" s="1"/>
  <c r="AA981" i="1" s="1"/>
  <c r="X965" i="1"/>
  <c r="Y965" i="1" s="1"/>
  <c r="Z965" i="1" s="1"/>
  <c r="AA965" i="1" s="1"/>
  <c r="X957" i="1"/>
  <c r="Y957" i="1" s="1"/>
  <c r="Z957" i="1" s="1"/>
  <c r="AA957" i="1" s="1"/>
  <c r="X953" i="1"/>
  <c r="Y953" i="1" s="1"/>
  <c r="Z953" i="1" s="1"/>
  <c r="AA953" i="1" s="1"/>
  <c r="X941" i="1"/>
  <c r="Y941" i="1" s="1"/>
  <c r="Z941" i="1" s="1"/>
  <c r="AA941" i="1" s="1"/>
  <c r="X933" i="1"/>
  <c r="Y933" i="1" s="1"/>
  <c r="Z933" i="1" s="1"/>
  <c r="AA933" i="1" s="1"/>
  <c r="X925" i="1"/>
  <c r="Y925" i="1" s="1"/>
  <c r="Z925" i="1" s="1"/>
  <c r="AA925" i="1" s="1"/>
  <c r="X921" i="1"/>
  <c r="Y921" i="1" s="1"/>
  <c r="Z921" i="1" s="1"/>
  <c r="AA921" i="1" s="1"/>
  <c r="X909" i="1"/>
  <c r="Y909" i="1" s="1"/>
  <c r="Z909" i="1" s="1"/>
  <c r="AA909" i="1" s="1"/>
  <c r="X905" i="1"/>
  <c r="Y905" i="1" s="1"/>
  <c r="Z905" i="1" s="1"/>
  <c r="AA905" i="1" s="1"/>
  <c r="X901" i="1"/>
  <c r="Y901" i="1" s="1"/>
  <c r="Z901" i="1" s="1"/>
  <c r="AA901" i="1" s="1"/>
  <c r="Y1653" i="1"/>
  <c r="Z1653" i="1" s="1"/>
  <c r="AA1653" i="1" s="1"/>
  <c r="Y1417" i="1"/>
  <c r="Z1417" i="1" s="1"/>
  <c r="AA1417" i="1" s="1"/>
  <c r="Y1213" i="1"/>
  <c r="Z1213" i="1" s="1"/>
  <c r="AA1213" i="1" s="1"/>
  <c r="Y1145" i="1"/>
  <c r="Z1145" i="1" s="1"/>
  <c r="AA1145" i="1" s="1"/>
  <c r="Y1113" i="1"/>
  <c r="Z1113" i="1" s="1"/>
  <c r="AA1113" i="1" s="1"/>
  <c r="Y893" i="1"/>
  <c r="Z893" i="1" s="1"/>
  <c r="AA893" i="1" s="1"/>
  <c r="X1989" i="1"/>
  <c r="Y1989" i="1" s="1"/>
  <c r="Z1989" i="1" s="1"/>
  <c r="AA1989" i="1" s="1"/>
  <c r="X1961" i="1"/>
  <c r="Y1961" i="1" s="1"/>
  <c r="Z1961" i="1" s="1"/>
  <c r="AA1961" i="1" s="1"/>
  <c r="X1949" i="1"/>
  <c r="Y1949" i="1" s="1"/>
  <c r="Z1949" i="1" s="1"/>
  <c r="AA1949" i="1" s="1"/>
  <c r="X1929" i="1"/>
  <c r="Y1929" i="1" s="1"/>
  <c r="Z1929" i="1" s="1"/>
  <c r="AA1929" i="1" s="1"/>
  <c r="X1917" i="1"/>
  <c r="Y1917" i="1" s="1"/>
  <c r="Z1917" i="1" s="1"/>
  <c r="AA1917" i="1" s="1"/>
  <c r="X1897" i="1"/>
  <c r="Y1897" i="1" s="1"/>
  <c r="Z1897" i="1" s="1"/>
  <c r="AA1897" i="1" s="1"/>
  <c r="X1889" i="1"/>
  <c r="Y1889" i="1" s="1"/>
  <c r="Z1889" i="1" s="1"/>
  <c r="AA1889" i="1" s="1"/>
  <c r="X1881" i="1"/>
  <c r="Y1881" i="1" s="1"/>
  <c r="Z1881" i="1" s="1"/>
  <c r="AA1881" i="1" s="1"/>
  <c r="X1849" i="1"/>
  <c r="Y1849" i="1" s="1"/>
  <c r="Z1849" i="1" s="1"/>
  <c r="AA1849" i="1" s="1"/>
  <c r="X1845" i="1"/>
  <c r="Y1845" i="1" s="1"/>
  <c r="Z1845" i="1" s="1"/>
  <c r="AA1845" i="1" s="1"/>
  <c r="X1821" i="1"/>
  <c r="Y1821" i="1" s="1"/>
  <c r="Z1821" i="1" s="1"/>
  <c r="AA1821" i="1" s="1"/>
  <c r="X1801" i="1"/>
  <c r="Y1801" i="1" s="1"/>
  <c r="Z1801" i="1" s="1"/>
  <c r="AA1801" i="1" s="1"/>
  <c r="X1793" i="1"/>
  <c r="Y1793" i="1" s="1"/>
  <c r="Z1793" i="1" s="1"/>
  <c r="AA1793" i="1" s="1"/>
  <c r="X1785" i="1"/>
  <c r="Y1785" i="1" s="1"/>
  <c r="Z1785" i="1" s="1"/>
  <c r="AA1785" i="1" s="1"/>
  <c r="X1781" i="1"/>
  <c r="Y1781" i="1" s="1"/>
  <c r="Z1781" i="1" s="1"/>
  <c r="AA1781" i="1" s="1"/>
  <c r="X1773" i="1"/>
  <c r="Y1773" i="1" s="1"/>
  <c r="Z1773" i="1" s="1"/>
  <c r="AA1773" i="1" s="1"/>
  <c r="X1717" i="1"/>
  <c r="Y1717" i="1" s="1"/>
  <c r="Z1717" i="1" s="1"/>
  <c r="AA1717" i="1" s="1"/>
  <c r="X1709" i="1"/>
  <c r="Y1709" i="1" s="1"/>
  <c r="Z1709" i="1" s="1"/>
  <c r="AA1709" i="1" s="1"/>
  <c r="X1693" i="1"/>
  <c r="Y1693" i="1" s="1"/>
  <c r="Z1693" i="1" s="1"/>
  <c r="AA1693" i="1" s="1"/>
  <c r="X1685" i="1"/>
  <c r="Y1685" i="1" s="1"/>
  <c r="Z1685" i="1" s="1"/>
  <c r="AA1685" i="1" s="1"/>
  <c r="X1677" i="1"/>
  <c r="Y1677" i="1" s="1"/>
  <c r="Z1677" i="1" s="1"/>
  <c r="AA1677" i="1" s="1"/>
  <c r="X1657" i="1"/>
  <c r="Y1657" i="1" s="1"/>
  <c r="Z1657" i="1" s="1"/>
  <c r="AA1657" i="1" s="1"/>
  <c r="X1641" i="1"/>
  <c r="Y1641" i="1" s="1"/>
  <c r="Z1641" i="1" s="1"/>
  <c r="AA1641" i="1" s="1"/>
  <c r="X1637" i="1"/>
  <c r="Y1637" i="1" s="1"/>
  <c r="Z1637" i="1" s="1"/>
  <c r="AA1637" i="1" s="1"/>
  <c r="X1629" i="1"/>
  <c r="Y1629" i="1" s="1"/>
  <c r="Z1629" i="1" s="1"/>
  <c r="AA1629" i="1" s="1"/>
  <c r="X1597" i="1"/>
  <c r="Y1597" i="1" s="1"/>
  <c r="Z1597" i="1" s="1"/>
  <c r="AA1597" i="1" s="1"/>
  <c r="X1561" i="1"/>
  <c r="Y1561" i="1" s="1"/>
  <c r="Z1561" i="1" s="1"/>
  <c r="AA1561" i="1" s="1"/>
  <c r="X1545" i="1"/>
  <c r="Y1545" i="1" s="1"/>
  <c r="Z1545" i="1" s="1"/>
  <c r="AA1545" i="1" s="1"/>
  <c r="X1513" i="1"/>
  <c r="Y1513" i="1" s="1"/>
  <c r="Z1513" i="1" s="1"/>
  <c r="AA1513" i="1" s="1"/>
  <c r="X1497" i="1"/>
  <c r="Y1497" i="1" s="1"/>
  <c r="Z1497" i="1" s="1"/>
  <c r="AA1497" i="1" s="1"/>
  <c r="X1469" i="1"/>
  <c r="Y1469" i="1" s="1"/>
  <c r="Z1469" i="1" s="1"/>
  <c r="AA1469" i="1" s="1"/>
  <c r="X1461" i="1"/>
  <c r="Y1461" i="1" s="1"/>
  <c r="Z1461" i="1" s="1"/>
  <c r="AA1461" i="1" s="1"/>
  <c r="X1445" i="1"/>
  <c r="Y1445" i="1" s="1"/>
  <c r="Z1445" i="1" s="1"/>
  <c r="AA1445" i="1" s="1"/>
  <c r="X1437" i="1"/>
  <c r="Y1437" i="1" s="1"/>
  <c r="Z1437" i="1" s="1"/>
  <c r="AA1437" i="1" s="1"/>
  <c r="X1421" i="1"/>
  <c r="Y1421" i="1" s="1"/>
  <c r="Z1421" i="1" s="1"/>
  <c r="AA1421" i="1" s="1"/>
  <c r="X1413" i="1"/>
  <c r="Y1413" i="1" s="1"/>
  <c r="Z1413" i="1" s="1"/>
  <c r="AA1413" i="1" s="1"/>
  <c r="X1401" i="1"/>
  <c r="Y1401" i="1" s="1"/>
  <c r="Z1401" i="1" s="1"/>
  <c r="AA1401" i="1" s="1"/>
  <c r="X1373" i="1"/>
  <c r="Y1373" i="1" s="1"/>
  <c r="Z1373" i="1" s="1"/>
  <c r="AA1373" i="1" s="1"/>
  <c r="X1365" i="1"/>
  <c r="Y1365" i="1" s="1"/>
  <c r="Z1365" i="1" s="1"/>
  <c r="AA1365" i="1" s="1"/>
  <c r="X1349" i="1"/>
  <c r="Y1349" i="1" s="1"/>
  <c r="Z1349" i="1" s="1"/>
  <c r="AA1349" i="1" s="1"/>
  <c r="Y1893" i="1"/>
  <c r="Z1893" i="1" s="1"/>
  <c r="AA1893" i="1" s="1"/>
  <c r="Y1861" i="1"/>
  <c r="Z1861" i="1" s="1"/>
  <c r="AA1861" i="1" s="1"/>
  <c r="Y1829" i="1"/>
  <c r="Z1829" i="1" s="1"/>
  <c r="AA1829" i="1" s="1"/>
  <c r="Y1753" i="1"/>
  <c r="Z1753" i="1" s="1"/>
  <c r="AA1753" i="1" s="1"/>
  <c r="Y1725" i="1"/>
  <c r="Z1725" i="1" s="1"/>
  <c r="AA1725" i="1" s="1"/>
  <c r="Y1689" i="1"/>
  <c r="Z1689" i="1" s="1"/>
  <c r="AA1689" i="1" s="1"/>
  <c r="Y1605" i="1"/>
  <c r="Z1605" i="1" s="1"/>
  <c r="AA1605" i="1" s="1"/>
  <c r="Y1485" i="1"/>
  <c r="Z1485" i="1" s="1"/>
  <c r="AA1485" i="1" s="1"/>
  <c r="Y1397" i="1"/>
  <c r="Z1397" i="1" s="1"/>
  <c r="AA1397" i="1" s="1"/>
  <c r="Y1305" i="1"/>
  <c r="Z1305" i="1" s="1"/>
  <c r="AA1305" i="1" s="1"/>
  <c r="Y1253" i="1"/>
  <c r="Z1253" i="1" s="1"/>
  <c r="AA1253" i="1" s="1"/>
  <c r="Y1005" i="1"/>
  <c r="Z1005" i="1" s="1"/>
  <c r="AA1005" i="1" s="1"/>
  <c r="Y973" i="1"/>
  <c r="Z973" i="1" s="1"/>
  <c r="AA973" i="1" s="1"/>
  <c r="X885" i="1"/>
  <c r="Y885" i="1" s="1"/>
  <c r="Z885" i="1" s="1"/>
  <c r="AA885" i="1" s="1"/>
  <c r="X861" i="1"/>
  <c r="Y861" i="1" s="1"/>
  <c r="Z861" i="1" s="1"/>
  <c r="AA861" i="1" s="1"/>
  <c r="X801" i="1"/>
  <c r="Y801" i="1" s="1"/>
  <c r="Z801" i="1" s="1"/>
  <c r="AA801" i="1" s="1"/>
  <c r="X753" i="1"/>
  <c r="Y753" i="1" s="1"/>
  <c r="Z753" i="1" s="1"/>
  <c r="AA753" i="1" s="1"/>
  <c r="X705" i="1"/>
  <c r="Y705" i="1" s="1"/>
  <c r="Z705" i="1" s="1"/>
  <c r="AA705" i="1" s="1"/>
  <c r="X617" i="1"/>
  <c r="Y617" i="1" s="1"/>
  <c r="Z617" i="1" s="1"/>
  <c r="AA617" i="1" s="1"/>
  <c r="X577" i="1"/>
  <c r="Y577" i="1" s="1"/>
  <c r="Z577" i="1" s="1"/>
  <c r="AA577" i="1" s="1"/>
  <c r="X561" i="1"/>
  <c r="Y561" i="1" s="1"/>
  <c r="Z561" i="1" s="1"/>
  <c r="AA561" i="1" s="1"/>
  <c r="X517" i="1"/>
  <c r="Y517" i="1" s="1"/>
  <c r="Z517" i="1" s="1"/>
  <c r="AA517" i="1" s="1"/>
  <c r="X469" i="1"/>
  <c r="Y469" i="1" s="1"/>
  <c r="Z469" i="1" s="1"/>
  <c r="AA469" i="1" s="1"/>
  <c r="X449" i="1"/>
  <c r="Y449" i="1" s="1"/>
  <c r="Z449" i="1" s="1"/>
  <c r="AA449" i="1" s="1"/>
  <c r="X425" i="1"/>
  <c r="Y425" i="1" s="1"/>
  <c r="Z425" i="1" s="1"/>
  <c r="AA425" i="1" s="1"/>
  <c r="X405" i="1"/>
  <c r="Y405" i="1" s="1"/>
  <c r="Z405" i="1" s="1"/>
  <c r="AA405" i="1" s="1"/>
  <c r="X341" i="1"/>
  <c r="Y341" i="1" s="1"/>
  <c r="Z341" i="1" s="1"/>
  <c r="AA341" i="1" s="1"/>
  <c r="X273" i="1"/>
  <c r="Y273" i="1" s="1"/>
  <c r="Z273" i="1" s="1"/>
  <c r="AA273" i="1" s="1"/>
  <c r="X201" i="1"/>
  <c r="Y201" i="1" s="1"/>
  <c r="Z201" i="1" s="1"/>
  <c r="AA201" i="1" s="1"/>
  <c r="X129" i="1"/>
  <c r="Y129" i="1" s="1"/>
  <c r="Z129" i="1" s="1"/>
  <c r="AA129" i="1" s="1"/>
  <c r="X81" i="1"/>
  <c r="Y81" i="1" s="1"/>
  <c r="Z81" i="1" s="1"/>
  <c r="AA81" i="1" s="1"/>
  <c r="X61" i="1"/>
  <c r="Y61" i="1" s="1"/>
  <c r="Z61" i="1" s="1"/>
  <c r="AA61" i="1" s="1"/>
  <c r="X41" i="1"/>
  <c r="Y41" i="1" s="1"/>
  <c r="Z41" i="1" s="1"/>
  <c r="AA41" i="1" s="1"/>
  <c r="Y769" i="1"/>
  <c r="Z769" i="1" s="1"/>
  <c r="AA769" i="1" s="1"/>
  <c r="Y709" i="1"/>
  <c r="Z709" i="1" s="1"/>
  <c r="AA709" i="1" s="1"/>
  <c r="Y569" i="1"/>
  <c r="Z569" i="1" s="1"/>
  <c r="AA569" i="1" s="1"/>
  <c r="Y513" i="1"/>
  <c r="Z513" i="1" s="1"/>
  <c r="AA513" i="1" s="1"/>
  <c r="Y485" i="1"/>
  <c r="Z485" i="1" s="1"/>
  <c r="AA485" i="1" s="1"/>
  <c r="Y421" i="1"/>
  <c r="Z421" i="1" s="1"/>
  <c r="AA421" i="1" s="1"/>
  <c r="Y361" i="1"/>
  <c r="Z361" i="1" s="1"/>
  <c r="AA361" i="1" s="1"/>
  <c r="Y245" i="1"/>
  <c r="Z245" i="1" s="1"/>
  <c r="AA245" i="1" s="1"/>
  <c r="Y189" i="1"/>
  <c r="Z189" i="1" s="1"/>
  <c r="AA189" i="1" s="1"/>
  <c r="Y117" i="1"/>
  <c r="Z117" i="1" s="1"/>
  <c r="AA117" i="1" s="1"/>
  <c r="Y1643" i="1"/>
  <c r="Z1643" i="1" s="1"/>
  <c r="AA1643" i="1" s="1"/>
  <c r="Y1387" i="1"/>
  <c r="Z1387" i="1" s="1"/>
  <c r="AA1387" i="1" s="1"/>
  <c r="Y1371" i="1"/>
  <c r="Z1371" i="1" s="1"/>
  <c r="AA1371" i="1" s="1"/>
  <c r="Y1275" i="1"/>
  <c r="Z1275" i="1" s="1"/>
  <c r="AA1275" i="1" s="1"/>
  <c r="Y1103" i="1"/>
  <c r="Z1103" i="1" s="1"/>
  <c r="AA1103" i="1" s="1"/>
  <c r="Y1067" i="1"/>
  <c r="Z1067" i="1" s="1"/>
  <c r="AA1067" i="1" s="1"/>
  <c r="Y889" i="1"/>
  <c r="Z889" i="1" s="1"/>
  <c r="AA889" i="1" s="1"/>
  <c r="Y873" i="1"/>
  <c r="Z873" i="1" s="1"/>
  <c r="AA873" i="1" s="1"/>
  <c r="Y853" i="1"/>
  <c r="Z853" i="1" s="1"/>
  <c r="AA853" i="1" s="1"/>
  <c r="Y825" i="1"/>
  <c r="Z825" i="1" s="1"/>
  <c r="AA825" i="1" s="1"/>
  <c r="Y795" i="1"/>
  <c r="Z795" i="1" s="1"/>
  <c r="AA795" i="1" s="1"/>
  <c r="Y761" i="1"/>
  <c r="Z761" i="1" s="1"/>
  <c r="AA761" i="1" s="1"/>
  <c r="Y737" i="1"/>
  <c r="Z737" i="1" s="1"/>
  <c r="AA737" i="1" s="1"/>
  <c r="Y697" i="1"/>
  <c r="Z697" i="1" s="1"/>
  <c r="AA697" i="1" s="1"/>
  <c r="Y675" i="1"/>
  <c r="Z675" i="1" s="1"/>
  <c r="AA675" i="1" s="1"/>
  <c r="Y641" i="1"/>
  <c r="Z641" i="1" s="1"/>
  <c r="AA641" i="1" s="1"/>
  <c r="Y613" i="1"/>
  <c r="Z613" i="1" s="1"/>
  <c r="AA613" i="1" s="1"/>
  <c r="Y585" i="1"/>
  <c r="Z585" i="1" s="1"/>
  <c r="AA585" i="1" s="1"/>
  <c r="Y563" i="1"/>
  <c r="Z563" i="1" s="1"/>
  <c r="AA563" i="1" s="1"/>
  <c r="Y533" i="1"/>
  <c r="Z533" i="1" s="1"/>
  <c r="AA533" i="1" s="1"/>
  <c r="Y505" i="1"/>
  <c r="Z505" i="1" s="1"/>
  <c r="AA505" i="1" s="1"/>
  <c r="Y481" i="1"/>
  <c r="Z481" i="1" s="1"/>
  <c r="AA481" i="1" s="1"/>
  <c r="Y441" i="1"/>
  <c r="Z441" i="1" s="1"/>
  <c r="AA441" i="1" s="1"/>
  <c r="Y419" i="1"/>
  <c r="Z419" i="1" s="1"/>
  <c r="AA419" i="1" s="1"/>
  <c r="Y385" i="1"/>
  <c r="Z385" i="1" s="1"/>
  <c r="AA385" i="1" s="1"/>
  <c r="Y355" i="1"/>
  <c r="Z355" i="1" s="1"/>
  <c r="AA355" i="1" s="1"/>
  <c r="Y329" i="1"/>
  <c r="Z329" i="1" s="1"/>
  <c r="AA329" i="1" s="1"/>
  <c r="Y309" i="1"/>
  <c r="Z309" i="1" s="1"/>
  <c r="AA309" i="1" s="1"/>
  <c r="Y269" i="1"/>
  <c r="Z269" i="1" s="1"/>
  <c r="AA269" i="1" s="1"/>
  <c r="Y241" i="1"/>
  <c r="Z241" i="1" s="1"/>
  <c r="AA241" i="1" s="1"/>
  <c r="Y209" i="1"/>
  <c r="Z209" i="1" s="1"/>
  <c r="AA209" i="1" s="1"/>
  <c r="Y181" i="1"/>
  <c r="Z181" i="1" s="1"/>
  <c r="AA181" i="1" s="1"/>
  <c r="Y141" i="1"/>
  <c r="Z141" i="1" s="1"/>
  <c r="AA141" i="1" s="1"/>
  <c r="Y113" i="1"/>
  <c r="Z113" i="1" s="1"/>
  <c r="AA113" i="1" s="1"/>
  <c r="Y73" i="1"/>
  <c r="Z73" i="1" s="1"/>
  <c r="AA73" i="1" s="1"/>
  <c r="Y53" i="1"/>
  <c r="Z53" i="1" s="1"/>
  <c r="AA53" i="1" s="1"/>
  <c r="Y13" i="1"/>
  <c r="Z13" i="1" s="1"/>
  <c r="AA13" i="1" s="1"/>
  <c r="X837" i="1"/>
  <c r="Y837" i="1" s="1"/>
  <c r="Z837" i="1" s="1"/>
  <c r="AA837" i="1" s="1"/>
  <c r="X773" i="1"/>
  <c r="Y773" i="1" s="1"/>
  <c r="Z773" i="1" s="1"/>
  <c r="AA773" i="1" s="1"/>
  <c r="X725" i="1"/>
  <c r="Y725" i="1" s="1"/>
  <c r="Z725" i="1" s="1"/>
  <c r="AA725" i="1" s="1"/>
  <c r="X681" i="1"/>
  <c r="Y681" i="1" s="1"/>
  <c r="Z681" i="1" s="1"/>
  <c r="AA681" i="1" s="1"/>
  <c r="X661" i="1"/>
  <c r="Y661" i="1" s="1"/>
  <c r="Z661" i="1" s="1"/>
  <c r="AA661" i="1" s="1"/>
  <c r="X497" i="1"/>
  <c r="Y497" i="1" s="1"/>
  <c r="Z497" i="1" s="1"/>
  <c r="AA497" i="1" s="1"/>
  <c r="X357" i="1"/>
  <c r="Y357" i="1" s="1"/>
  <c r="Z357" i="1" s="1"/>
  <c r="AA357" i="1" s="1"/>
  <c r="X321" i="1"/>
  <c r="Y321" i="1" s="1"/>
  <c r="Z321" i="1" s="1"/>
  <c r="AA321" i="1" s="1"/>
  <c r="X301" i="1"/>
  <c r="Y301" i="1" s="1"/>
  <c r="Z301" i="1" s="1"/>
  <c r="AA301" i="1" s="1"/>
  <c r="X253" i="1"/>
  <c r="Y253" i="1" s="1"/>
  <c r="Z253" i="1" s="1"/>
  <c r="AA253" i="1" s="1"/>
  <c r="X225" i="1"/>
  <c r="Y225" i="1" s="1"/>
  <c r="Z225" i="1" s="1"/>
  <c r="AA225" i="1" s="1"/>
  <c r="X157" i="1"/>
  <c r="Y157" i="1" s="1"/>
  <c r="Z157" i="1" s="1"/>
  <c r="AA157" i="1" s="1"/>
  <c r="X109" i="1"/>
  <c r="Y109" i="1" s="1"/>
  <c r="Z109" i="1" s="1"/>
  <c r="AA109" i="1" s="1"/>
  <c r="X9" i="1"/>
  <c r="Y9" i="1" s="1"/>
  <c r="Z9" i="1" s="1"/>
  <c r="AA9" i="1" s="1"/>
  <c r="Y877" i="1"/>
  <c r="Z877" i="1" s="1"/>
  <c r="AA877" i="1" s="1"/>
  <c r="Y857" i="1"/>
  <c r="Z857" i="1" s="1"/>
  <c r="AA857" i="1" s="1"/>
  <c r="Y805" i="1"/>
  <c r="Z805" i="1" s="1"/>
  <c r="AA805" i="1" s="1"/>
  <c r="Y741" i="1"/>
  <c r="Z741" i="1" s="1"/>
  <c r="AA741" i="1" s="1"/>
  <c r="Y677" i="1"/>
  <c r="Z677" i="1" s="1"/>
  <c r="AA677" i="1" s="1"/>
  <c r="Y645" i="1"/>
  <c r="Z645" i="1" s="1"/>
  <c r="AA645" i="1" s="1"/>
  <c r="Y597" i="1"/>
  <c r="Z597" i="1" s="1"/>
  <c r="AA597" i="1" s="1"/>
  <c r="Y545" i="1"/>
  <c r="Z545" i="1" s="1"/>
  <c r="AA545" i="1" s="1"/>
  <c r="Y453" i="1"/>
  <c r="Z453" i="1" s="1"/>
  <c r="AA453" i="1" s="1"/>
  <c r="Y389" i="1"/>
  <c r="Z389" i="1" s="1"/>
  <c r="AA389" i="1" s="1"/>
  <c r="Y337" i="1"/>
  <c r="Z337" i="1" s="1"/>
  <c r="AA337" i="1" s="1"/>
  <c r="Y285" i="1"/>
  <c r="Z285" i="1" s="1"/>
  <c r="AA285" i="1" s="1"/>
  <c r="Y213" i="1"/>
  <c r="Z213" i="1" s="1"/>
  <c r="AA213" i="1" s="1"/>
  <c r="Y145" i="1"/>
  <c r="Z145" i="1" s="1"/>
  <c r="AA145" i="1" s="1"/>
  <c r="Y85" i="1"/>
  <c r="Z85" i="1" s="1"/>
  <c r="AA85" i="1" s="1"/>
  <c r="Y17" i="1"/>
  <c r="Z17" i="1" s="1"/>
  <c r="AA17" i="1" s="1"/>
  <c r="X1691" i="1"/>
  <c r="Y1691" i="1" s="1"/>
  <c r="Z1691" i="1" s="1"/>
  <c r="AA1691" i="1" s="1"/>
  <c r="X1679" i="1"/>
  <c r="Y1679" i="1" s="1"/>
  <c r="Z1679" i="1" s="1"/>
  <c r="AA1679" i="1" s="1"/>
  <c r="X1663" i="1"/>
  <c r="Y1663" i="1" s="1"/>
  <c r="Z1663" i="1" s="1"/>
  <c r="AA1663" i="1" s="1"/>
  <c r="X1627" i="1"/>
  <c r="Y1627" i="1" s="1"/>
  <c r="Z1627" i="1" s="1"/>
  <c r="AA1627" i="1" s="1"/>
  <c r="X1615" i="1"/>
  <c r="Y1615" i="1" s="1"/>
  <c r="Z1615" i="1" s="1"/>
  <c r="AA1615" i="1" s="1"/>
  <c r="X1599" i="1"/>
  <c r="Y1599" i="1" s="1"/>
  <c r="Z1599" i="1" s="1"/>
  <c r="AA1599" i="1" s="1"/>
  <c r="X1563" i="1"/>
  <c r="Y1563" i="1" s="1"/>
  <c r="Z1563" i="1" s="1"/>
  <c r="AA1563" i="1" s="1"/>
  <c r="X1551" i="1"/>
  <c r="Y1551" i="1" s="1"/>
  <c r="Z1551" i="1" s="1"/>
  <c r="AA1551" i="1" s="1"/>
  <c r="X1535" i="1"/>
  <c r="Y1535" i="1" s="1"/>
  <c r="Z1535" i="1" s="1"/>
  <c r="AA1535" i="1" s="1"/>
  <c r="X1499" i="1"/>
  <c r="Y1499" i="1" s="1"/>
  <c r="Z1499" i="1" s="1"/>
  <c r="AA1499" i="1" s="1"/>
  <c r="X1487" i="1"/>
  <c r="Y1487" i="1" s="1"/>
  <c r="Z1487" i="1" s="1"/>
  <c r="AA1487" i="1" s="1"/>
  <c r="X1471" i="1"/>
  <c r="Y1471" i="1" s="1"/>
  <c r="Z1471" i="1" s="1"/>
  <c r="AA1471" i="1" s="1"/>
  <c r="X1435" i="1"/>
  <c r="Y1435" i="1" s="1"/>
  <c r="Z1435" i="1" s="1"/>
  <c r="AA1435" i="1" s="1"/>
  <c r="X1423" i="1"/>
  <c r="Y1423" i="1" s="1"/>
  <c r="Z1423" i="1" s="1"/>
  <c r="AA1423" i="1" s="1"/>
  <c r="X1407" i="1"/>
  <c r="Y1407" i="1" s="1"/>
  <c r="Z1407" i="1" s="1"/>
  <c r="AA1407" i="1" s="1"/>
  <c r="X1323" i="1"/>
  <c r="Y1323" i="1" s="1"/>
  <c r="Z1323" i="1" s="1"/>
  <c r="AA1323" i="1" s="1"/>
  <c r="X1311" i="1"/>
  <c r="Y1311" i="1" s="1"/>
  <c r="Z1311" i="1" s="1"/>
  <c r="AA1311" i="1" s="1"/>
  <c r="X1295" i="1"/>
  <c r="Y1295" i="1" s="1"/>
  <c r="Z1295" i="1" s="1"/>
  <c r="AA1295" i="1" s="1"/>
  <c r="X1259" i="1"/>
  <c r="Y1259" i="1" s="1"/>
  <c r="Z1259" i="1" s="1"/>
  <c r="AA1259" i="1" s="1"/>
  <c r="X1247" i="1"/>
  <c r="Y1247" i="1" s="1"/>
  <c r="Z1247" i="1" s="1"/>
  <c r="AA1247" i="1" s="1"/>
  <c r="X1231" i="1"/>
  <c r="Y1231" i="1" s="1"/>
  <c r="Z1231" i="1" s="1"/>
  <c r="AA1231" i="1" s="1"/>
  <c r="X1083" i="1"/>
  <c r="Y1083" i="1" s="1"/>
  <c r="Z1083" i="1" s="1"/>
  <c r="AA1083" i="1" s="1"/>
  <c r="X1019" i="1"/>
  <c r="Y1019" i="1" s="1"/>
  <c r="Z1019" i="1" s="1"/>
  <c r="AA1019" i="1" s="1"/>
  <c r="X911" i="1"/>
  <c r="Y911" i="1" s="1"/>
  <c r="Z911" i="1" s="1"/>
  <c r="AA911" i="1" s="1"/>
  <c r="X875" i="1"/>
  <c r="Y875" i="1" s="1"/>
  <c r="Z875" i="1" s="1"/>
  <c r="AA875" i="1" s="1"/>
  <c r="X819" i="1"/>
  <c r="Y819" i="1" s="1"/>
  <c r="Z819" i="1" s="1"/>
  <c r="AA819" i="1" s="1"/>
  <c r="X639" i="1"/>
  <c r="Y639" i="1" s="1"/>
  <c r="Z639" i="1" s="1"/>
  <c r="AA639" i="1" s="1"/>
  <c r="X603" i="1"/>
  <c r="Y603" i="1" s="1"/>
  <c r="Z603" i="1" s="1"/>
  <c r="AA603" i="1" s="1"/>
  <c r="X539" i="1"/>
  <c r="Y539" i="1" s="1"/>
  <c r="Z539" i="1" s="1"/>
  <c r="AA539" i="1" s="1"/>
  <c r="X383" i="1"/>
  <c r="Y383" i="1" s="1"/>
  <c r="Z383" i="1" s="1"/>
  <c r="AA383" i="1" s="1"/>
  <c r="Y1451" i="1"/>
  <c r="Z1451" i="1" s="1"/>
  <c r="AA1451" i="1" s="1"/>
  <c r="Y1167" i="1"/>
  <c r="Z1167" i="1" s="1"/>
  <c r="AA1167" i="1" s="1"/>
  <c r="Y1147" i="1"/>
  <c r="Z1147" i="1" s="1"/>
  <c r="AA1147" i="1" s="1"/>
  <c r="Y1119" i="1"/>
  <c r="Z1119" i="1" s="1"/>
  <c r="AA1119" i="1" s="1"/>
  <c r="Y975" i="1"/>
  <c r="Z975" i="1" s="1"/>
  <c r="AA975" i="1" s="1"/>
  <c r="Y955" i="1"/>
  <c r="Z955" i="1" s="1"/>
  <c r="AA955" i="1" s="1"/>
  <c r="Y939" i="1"/>
  <c r="Z939" i="1" s="1"/>
  <c r="AA939" i="1" s="1"/>
  <c r="Y841" i="1"/>
  <c r="Z841" i="1" s="1"/>
  <c r="AA841" i="1" s="1"/>
  <c r="Y817" i="1"/>
  <c r="Z817" i="1" s="1"/>
  <c r="AA817" i="1" s="1"/>
  <c r="Y783" i="1"/>
  <c r="Z783" i="1" s="1"/>
  <c r="AA783" i="1" s="1"/>
  <c r="Y755" i="1"/>
  <c r="Z755" i="1" s="1"/>
  <c r="AA755" i="1" s="1"/>
  <c r="Y719" i="1"/>
  <c r="Z719" i="1" s="1"/>
  <c r="AA719" i="1" s="1"/>
  <c r="Y689" i="1"/>
  <c r="Z689" i="1" s="1"/>
  <c r="AA689" i="1" s="1"/>
  <c r="Y673" i="1"/>
  <c r="Z673" i="1" s="1"/>
  <c r="AA673" i="1" s="1"/>
  <c r="Y633" i="1"/>
  <c r="Z633" i="1" s="1"/>
  <c r="AA633" i="1" s="1"/>
  <c r="Y611" i="1"/>
  <c r="Z611" i="1" s="1"/>
  <c r="AA611" i="1" s="1"/>
  <c r="Y581" i="1"/>
  <c r="Z581" i="1" s="1"/>
  <c r="AA581" i="1" s="1"/>
  <c r="Y553" i="1"/>
  <c r="Z553" i="1" s="1"/>
  <c r="AA553" i="1" s="1"/>
  <c r="Y527" i="1"/>
  <c r="Z527" i="1" s="1"/>
  <c r="AA527" i="1" s="1"/>
  <c r="Y499" i="1"/>
  <c r="Z499" i="1" s="1"/>
  <c r="AA499" i="1" s="1"/>
  <c r="Y463" i="1"/>
  <c r="Z463" i="1" s="1"/>
  <c r="AA463" i="1" s="1"/>
  <c r="Y433" i="1"/>
  <c r="Z433" i="1" s="1"/>
  <c r="AA433" i="1" s="1"/>
  <c r="Y417" i="1"/>
  <c r="Z417" i="1" s="1"/>
  <c r="AA417" i="1" s="1"/>
  <c r="Y369" i="1"/>
  <c r="Z369" i="1" s="1"/>
  <c r="AA369" i="1" s="1"/>
  <c r="Y353" i="1"/>
  <c r="Z353" i="1" s="1"/>
  <c r="AA353" i="1" s="1"/>
  <c r="Y297" i="1"/>
  <c r="Z297" i="1" s="1"/>
  <c r="AA297" i="1" s="1"/>
  <c r="Y265" i="1"/>
  <c r="Z265" i="1" s="1"/>
  <c r="AA265" i="1" s="1"/>
  <c r="Y237" i="1"/>
  <c r="Z237" i="1" s="1"/>
  <c r="AA237" i="1" s="1"/>
  <c r="Y169" i="1"/>
  <c r="Z169" i="1" s="1"/>
  <c r="AA169" i="1" s="1"/>
  <c r="Y137" i="1"/>
  <c r="Z137" i="1" s="1"/>
  <c r="AA137" i="1" s="1"/>
  <c r="Y97" i="1"/>
  <c r="Z97" i="1" s="1"/>
  <c r="AA97" i="1" s="1"/>
  <c r="Y45" i="1"/>
  <c r="Z45" i="1" s="1"/>
  <c r="AA45" i="1" s="1"/>
  <c r="Y1960" i="1"/>
  <c r="Z1960" i="1" s="1"/>
  <c r="AA1960" i="1" s="1"/>
  <c r="Y1940" i="1"/>
  <c r="Z1940" i="1" s="1"/>
  <c r="AA1940" i="1" s="1"/>
  <c r="Y1892" i="1"/>
  <c r="Z1892" i="1" s="1"/>
  <c r="AA1892" i="1" s="1"/>
  <c r="Y1880" i="1"/>
  <c r="Z1880" i="1" s="1"/>
  <c r="AA1880" i="1" s="1"/>
  <c r="Y1832" i="1"/>
  <c r="Z1832" i="1" s="1"/>
  <c r="AA1832" i="1" s="1"/>
  <c r="Y1812" i="1"/>
  <c r="Z1812" i="1" s="1"/>
  <c r="AA1812" i="1" s="1"/>
  <c r="Y1764" i="1"/>
  <c r="Z1764" i="1" s="1"/>
  <c r="AA1764" i="1" s="1"/>
  <c r="Y1752" i="1"/>
  <c r="Z1752" i="1" s="1"/>
  <c r="AA1752" i="1" s="1"/>
  <c r="Y1732" i="1"/>
  <c r="Z1732" i="1" s="1"/>
  <c r="AA1732" i="1" s="1"/>
  <c r="Y1652" i="1"/>
  <c r="Z1652" i="1" s="1"/>
  <c r="AA1652" i="1" s="1"/>
  <c r="Y1588" i="1"/>
  <c r="Z1588" i="1" s="1"/>
  <c r="AA1588" i="1" s="1"/>
  <c r="Y1524" i="1"/>
  <c r="Z1524" i="1" s="1"/>
  <c r="AA1524" i="1" s="1"/>
  <c r="Y1460" i="1"/>
  <c r="Z1460" i="1" s="1"/>
  <c r="AA1460" i="1" s="1"/>
  <c r="Y1396" i="1"/>
  <c r="Z1396" i="1" s="1"/>
  <c r="AA1396" i="1" s="1"/>
  <c r="Y1380" i="1"/>
  <c r="Z1380" i="1" s="1"/>
  <c r="AA1380" i="1" s="1"/>
  <c r="Y1284" i="1"/>
  <c r="Z1284" i="1" s="1"/>
  <c r="AA1284" i="1" s="1"/>
  <c r="Y1220" i="1"/>
  <c r="Z1220" i="1" s="1"/>
  <c r="AA1220" i="1" s="1"/>
  <c r="Y1204" i="1"/>
  <c r="Z1204" i="1" s="1"/>
  <c r="AA1204" i="1" s="1"/>
  <c r="Y1140" i="1"/>
  <c r="Z1140" i="1" s="1"/>
  <c r="AA1140" i="1" s="1"/>
  <c r="Y1072" i="1"/>
  <c r="Z1072" i="1" s="1"/>
  <c r="AA1072" i="1" s="1"/>
  <c r="Y1008" i="1"/>
  <c r="Z1008" i="1" s="1"/>
  <c r="AA1008" i="1" s="1"/>
  <c r="Y928" i="1"/>
  <c r="Z928" i="1" s="1"/>
  <c r="AA928" i="1" s="1"/>
  <c r="Y900" i="1"/>
  <c r="Z900" i="1" s="1"/>
  <c r="AA900" i="1" s="1"/>
  <c r="Y184" i="1"/>
  <c r="Z184" i="1" s="1"/>
  <c r="AA184" i="1" s="1"/>
  <c r="X1994" i="1"/>
  <c r="Y1994" i="1" s="1"/>
  <c r="Z1994" i="1" s="1"/>
  <c r="AA1994" i="1" s="1"/>
  <c r="X1986" i="1"/>
  <c r="Y1986" i="1" s="1"/>
  <c r="Z1986" i="1" s="1"/>
  <c r="AA1986" i="1" s="1"/>
  <c r="X1978" i="1"/>
  <c r="Y1978" i="1" s="1"/>
  <c r="Z1978" i="1" s="1"/>
  <c r="AA1978" i="1" s="1"/>
  <c r="X1970" i="1"/>
  <c r="Y1970" i="1" s="1"/>
  <c r="Z1970" i="1" s="1"/>
  <c r="AA1970" i="1" s="1"/>
  <c r="X1962" i="1"/>
  <c r="Y1962" i="1" s="1"/>
  <c r="Z1962" i="1" s="1"/>
  <c r="AA1962" i="1" s="1"/>
  <c r="X1954" i="1"/>
  <c r="Y1954" i="1" s="1"/>
  <c r="Z1954" i="1" s="1"/>
  <c r="AA1954" i="1" s="1"/>
  <c r="X1946" i="1"/>
  <c r="Y1946" i="1" s="1"/>
  <c r="Z1946" i="1" s="1"/>
  <c r="AA1946" i="1" s="1"/>
  <c r="X1938" i="1"/>
  <c r="Y1938" i="1" s="1"/>
  <c r="Z1938" i="1" s="1"/>
  <c r="AA1938" i="1" s="1"/>
  <c r="X1930" i="1"/>
  <c r="Y1930" i="1" s="1"/>
  <c r="Z1930" i="1" s="1"/>
  <c r="AA1930" i="1" s="1"/>
  <c r="X1922" i="1"/>
  <c r="Y1922" i="1" s="1"/>
  <c r="Z1922" i="1" s="1"/>
  <c r="AA1922" i="1" s="1"/>
  <c r="X1914" i="1"/>
  <c r="Y1914" i="1" s="1"/>
  <c r="Z1914" i="1" s="1"/>
  <c r="AA1914" i="1" s="1"/>
  <c r="X1906" i="1"/>
  <c r="Y1906" i="1" s="1"/>
  <c r="Z1906" i="1" s="1"/>
  <c r="AA1906" i="1" s="1"/>
  <c r="X1898" i="1"/>
  <c r="Y1898" i="1" s="1"/>
  <c r="Z1898" i="1" s="1"/>
  <c r="AA1898" i="1" s="1"/>
  <c r="X1890" i="1"/>
  <c r="Y1890" i="1" s="1"/>
  <c r="Z1890" i="1" s="1"/>
  <c r="AA1890" i="1" s="1"/>
  <c r="X1882" i="1"/>
  <c r="Y1882" i="1" s="1"/>
  <c r="Z1882" i="1" s="1"/>
  <c r="AA1882" i="1" s="1"/>
  <c r="X1874" i="1"/>
  <c r="Y1874" i="1" s="1"/>
  <c r="Z1874" i="1" s="1"/>
  <c r="AA1874" i="1" s="1"/>
  <c r="X1866" i="1"/>
  <c r="Y1866" i="1" s="1"/>
  <c r="Z1866" i="1" s="1"/>
  <c r="AA1866" i="1" s="1"/>
  <c r="X1858" i="1"/>
  <c r="Y1858" i="1" s="1"/>
  <c r="Z1858" i="1" s="1"/>
  <c r="AA1858" i="1" s="1"/>
  <c r="X1850" i="1"/>
  <c r="Y1850" i="1" s="1"/>
  <c r="Z1850" i="1" s="1"/>
  <c r="AA1850" i="1" s="1"/>
  <c r="X1842" i="1"/>
  <c r="Y1842" i="1" s="1"/>
  <c r="Z1842" i="1" s="1"/>
  <c r="AA1842" i="1" s="1"/>
  <c r="X1834" i="1"/>
  <c r="Y1834" i="1" s="1"/>
  <c r="Z1834" i="1" s="1"/>
  <c r="AA1834" i="1" s="1"/>
  <c r="X1826" i="1"/>
  <c r="Y1826" i="1" s="1"/>
  <c r="Z1826" i="1" s="1"/>
  <c r="AA1826" i="1" s="1"/>
  <c r="X1818" i="1"/>
  <c r="Y1818" i="1" s="1"/>
  <c r="Z1818" i="1" s="1"/>
  <c r="AA1818" i="1" s="1"/>
  <c r="X1810" i="1"/>
  <c r="Y1810" i="1" s="1"/>
  <c r="Z1810" i="1" s="1"/>
  <c r="AA1810" i="1" s="1"/>
  <c r="X1802" i="1"/>
  <c r="Y1802" i="1" s="1"/>
  <c r="Z1802" i="1" s="1"/>
  <c r="AA1802" i="1" s="1"/>
  <c r="X1794" i="1"/>
  <c r="Y1794" i="1" s="1"/>
  <c r="Z1794" i="1" s="1"/>
  <c r="AA1794" i="1" s="1"/>
  <c r="X1786" i="1"/>
  <c r="Y1786" i="1" s="1"/>
  <c r="Z1786" i="1" s="1"/>
  <c r="AA1786" i="1" s="1"/>
  <c r="X1778" i="1"/>
  <c r="Y1778" i="1" s="1"/>
  <c r="Z1778" i="1" s="1"/>
  <c r="AA1778" i="1" s="1"/>
  <c r="X1766" i="1"/>
  <c r="Y1766" i="1" s="1"/>
  <c r="Z1766" i="1" s="1"/>
  <c r="AA1766" i="1" s="1"/>
  <c r="X1758" i="1"/>
  <c r="Y1758" i="1" s="1"/>
  <c r="Z1758" i="1" s="1"/>
  <c r="AA1758" i="1" s="1"/>
  <c r="X1750" i="1"/>
  <c r="Y1750" i="1" s="1"/>
  <c r="Z1750" i="1" s="1"/>
  <c r="AA1750" i="1" s="1"/>
  <c r="X1746" i="1"/>
  <c r="Y1746" i="1" s="1"/>
  <c r="Z1746" i="1" s="1"/>
  <c r="AA1746" i="1" s="1"/>
  <c r="X1738" i="1"/>
  <c r="Y1738" i="1" s="1"/>
  <c r="Z1738" i="1" s="1"/>
  <c r="AA1738" i="1" s="1"/>
  <c r="X1730" i="1"/>
  <c r="Y1730" i="1" s="1"/>
  <c r="Z1730" i="1" s="1"/>
  <c r="AA1730" i="1" s="1"/>
  <c r="X1722" i="1"/>
  <c r="Y1722" i="1" s="1"/>
  <c r="Z1722" i="1" s="1"/>
  <c r="AA1722" i="1" s="1"/>
  <c r="X1718" i="1"/>
  <c r="Y1718" i="1" s="1"/>
  <c r="Z1718" i="1" s="1"/>
  <c r="AA1718" i="1" s="1"/>
  <c r="X1710" i="1"/>
  <c r="Y1710" i="1" s="1"/>
  <c r="Z1710" i="1" s="1"/>
  <c r="AA1710" i="1" s="1"/>
  <c r="X1702" i="1"/>
  <c r="Y1702" i="1" s="1"/>
  <c r="Z1702" i="1" s="1"/>
  <c r="AA1702" i="1" s="1"/>
  <c r="X1694" i="1"/>
  <c r="Y1694" i="1" s="1"/>
  <c r="Z1694" i="1" s="1"/>
  <c r="AA1694" i="1" s="1"/>
  <c r="X1686" i="1"/>
  <c r="Y1686" i="1" s="1"/>
  <c r="Z1686" i="1" s="1"/>
  <c r="AA1686" i="1" s="1"/>
  <c r="X1678" i="1"/>
  <c r="Y1678" i="1" s="1"/>
  <c r="Z1678" i="1" s="1"/>
  <c r="AA1678" i="1" s="1"/>
  <c r="X1670" i="1"/>
  <c r="Y1670" i="1" s="1"/>
  <c r="Z1670" i="1" s="1"/>
  <c r="AA1670" i="1" s="1"/>
  <c r="X1998" i="1"/>
  <c r="Y1998" i="1" s="1"/>
  <c r="Z1998" i="1" s="1"/>
  <c r="AA1998" i="1" s="1"/>
  <c r="X1990" i="1"/>
  <c r="Y1990" i="1" s="1"/>
  <c r="Z1990" i="1" s="1"/>
  <c r="AA1990" i="1" s="1"/>
  <c r="X1982" i="1"/>
  <c r="Y1982" i="1" s="1"/>
  <c r="Z1982" i="1" s="1"/>
  <c r="AA1982" i="1" s="1"/>
  <c r="X1974" i="1"/>
  <c r="Y1974" i="1" s="1"/>
  <c r="Z1974" i="1" s="1"/>
  <c r="AA1974" i="1" s="1"/>
  <c r="X1966" i="1"/>
  <c r="Y1966" i="1" s="1"/>
  <c r="Z1966" i="1" s="1"/>
  <c r="AA1966" i="1" s="1"/>
  <c r="X1958" i="1"/>
  <c r="Y1958" i="1" s="1"/>
  <c r="Z1958" i="1" s="1"/>
  <c r="AA1958" i="1" s="1"/>
  <c r="X1950" i="1"/>
  <c r="Y1950" i="1" s="1"/>
  <c r="Z1950" i="1" s="1"/>
  <c r="AA1950" i="1" s="1"/>
  <c r="X1942" i="1"/>
  <c r="Y1942" i="1" s="1"/>
  <c r="Z1942" i="1" s="1"/>
  <c r="AA1942" i="1" s="1"/>
  <c r="X1934" i="1"/>
  <c r="Y1934" i="1" s="1"/>
  <c r="Z1934" i="1" s="1"/>
  <c r="AA1934" i="1" s="1"/>
  <c r="X1926" i="1"/>
  <c r="Y1926" i="1" s="1"/>
  <c r="Z1926" i="1" s="1"/>
  <c r="AA1926" i="1" s="1"/>
  <c r="X1918" i="1"/>
  <c r="Y1918" i="1" s="1"/>
  <c r="Z1918" i="1" s="1"/>
  <c r="AA1918" i="1" s="1"/>
  <c r="X1910" i="1"/>
  <c r="Y1910" i="1" s="1"/>
  <c r="Z1910" i="1" s="1"/>
  <c r="AA1910" i="1" s="1"/>
  <c r="X1902" i="1"/>
  <c r="Y1902" i="1" s="1"/>
  <c r="Z1902" i="1" s="1"/>
  <c r="AA1902" i="1" s="1"/>
  <c r="X1894" i="1"/>
  <c r="Y1894" i="1" s="1"/>
  <c r="Z1894" i="1" s="1"/>
  <c r="AA1894" i="1" s="1"/>
  <c r="X1886" i="1"/>
  <c r="Y1886" i="1" s="1"/>
  <c r="Z1886" i="1" s="1"/>
  <c r="AA1886" i="1" s="1"/>
  <c r="X1878" i="1"/>
  <c r="Y1878" i="1" s="1"/>
  <c r="Z1878" i="1" s="1"/>
  <c r="AA1878" i="1" s="1"/>
  <c r="X1870" i="1"/>
  <c r="Y1870" i="1" s="1"/>
  <c r="Z1870" i="1" s="1"/>
  <c r="AA1870" i="1" s="1"/>
  <c r="X1862" i="1"/>
  <c r="Y1862" i="1" s="1"/>
  <c r="Z1862" i="1" s="1"/>
  <c r="AA1862" i="1" s="1"/>
  <c r="X1854" i="1"/>
  <c r="Y1854" i="1" s="1"/>
  <c r="Z1854" i="1" s="1"/>
  <c r="AA1854" i="1" s="1"/>
  <c r="X1846" i="1"/>
  <c r="Y1846" i="1" s="1"/>
  <c r="Z1846" i="1" s="1"/>
  <c r="AA1846" i="1" s="1"/>
  <c r="X1838" i="1"/>
  <c r="Y1838" i="1" s="1"/>
  <c r="Z1838" i="1" s="1"/>
  <c r="AA1838" i="1" s="1"/>
  <c r="X1830" i="1"/>
  <c r="Y1830" i="1" s="1"/>
  <c r="Z1830" i="1" s="1"/>
  <c r="AA1830" i="1" s="1"/>
  <c r="X1822" i="1"/>
  <c r="Y1822" i="1" s="1"/>
  <c r="Z1822" i="1" s="1"/>
  <c r="AA1822" i="1" s="1"/>
  <c r="X1814" i="1"/>
  <c r="Y1814" i="1" s="1"/>
  <c r="Z1814" i="1" s="1"/>
  <c r="AA1814" i="1" s="1"/>
  <c r="X1806" i="1"/>
  <c r="Y1806" i="1" s="1"/>
  <c r="Z1806" i="1" s="1"/>
  <c r="AA1806" i="1" s="1"/>
  <c r="X1798" i="1"/>
  <c r="Y1798" i="1" s="1"/>
  <c r="Z1798" i="1" s="1"/>
  <c r="AA1798" i="1" s="1"/>
  <c r="X1790" i="1"/>
  <c r="Y1790" i="1" s="1"/>
  <c r="Z1790" i="1" s="1"/>
  <c r="AA1790" i="1" s="1"/>
  <c r="X1782" i="1"/>
  <c r="Y1782" i="1" s="1"/>
  <c r="Z1782" i="1" s="1"/>
  <c r="AA1782" i="1" s="1"/>
  <c r="X1774" i="1"/>
  <c r="Y1774" i="1" s="1"/>
  <c r="Z1774" i="1" s="1"/>
  <c r="AA1774" i="1" s="1"/>
  <c r="X1770" i="1"/>
  <c r="Y1770" i="1" s="1"/>
  <c r="Z1770" i="1" s="1"/>
  <c r="AA1770" i="1" s="1"/>
  <c r="X1762" i="1"/>
  <c r="Y1762" i="1" s="1"/>
  <c r="Z1762" i="1" s="1"/>
  <c r="AA1762" i="1" s="1"/>
  <c r="X1754" i="1"/>
  <c r="Y1754" i="1" s="1"/>
  <c r="Z1754" i="1" s="1"/>
  <c r="AA1754" i="1" s="1"/>
  <c r="X1742" i="1"/>
  <c r="Y1742" i="1" s="1"/>
  <c r="Z1742" i="1" s="1"/>
  <c r="AA1742" i="1" s="1"/>
  <c r="X1734" i="1"/>
  <c r="Y1734" i="1" s="1"/>
  <c r="Z1734" i="1" s="1"/>
  <c r="AA1734" i="1" s="1"/>
  <c r="X1726" i="1"/>
  <c r="Y1726" i="1" s="1"/>
  <c r="Z1726" i="1" s="1"/>
  <c r="AA1726" i="1" s="1"/>
  <c r="X1714" i="1"/>
  <c r="Y1714" i="1" s="1"/>
  <c r="Z1714" i="1" s="1"/>
  <c r="AA1714" i="1" s="1"/>
  <c r="X1706" i="1"/>
  <c r="Y1706" i="1" s="1"/>
  <c r="Z1706" i="1" s="1"/>
  <c r="AA1706" i="1" s="1"/>
  <c r="X1698" i="1"/>
  <c r="Y1698" i="1" s="1"/>
  <c r="Z1698" i="1" s="1"/>
  <c r="AA1698" i="1" s="1"/>
  <c r="X1690" i="1"/>
  <c r="Y1690" i="1" s="1"/>
  <c r="Z1690" i="1" s="1"/>
  <c r="AA1690" i="1" s="1"/>
  <c r="X1682" i="1"/>
  <c r="Y1682" i="1" s="1"/>
  <c r="Z1682" i="1" s="1"/>
  <c r="AA1682" i="1" s="1"/>
  <c r="X1674" i="1"/>
  <c r="Y1674" i="1" s="1"/>
  <c r="Z1674" i="1" s="1"/>
  <c r="AA1674" i="1" s="1"/>
  <c r="X1666" i="1"/>
  <c r="Y1666" i="1" s="1"/>
  <c r="Z1666" i="1" s="1"/>
  <c r="AA1666" i="1" s="1"/>
  <c r="X1658" i="1"/>
  <c r="Y1658" i="1" s="1"/>
  <c r="Z1658" i="1" s="1"/>
  <c r="AA1658" i="1" s="1"/>
  <c r="X1650" i="1"/>
  <c r="Y1650" i="1" s="1"/>
  <c r="Z1650" i="1" s="1"/>
  <c r="AA1650" i="1" s="1"/>
  <c r="X1646" i="1"/>
  <c r="Y1646" i="1" s="1"/>
  <c r="Z1646" i="1" s="1"/>
  <c r="AA1646" i="1" s="1"/>
  <c r="X1634" i="1"/>
  <c r="Y1634" i="1" s="1"/>
  <c r="Z1634" i="1" s="1"/>
  <c r="AA1634" i="1" s="1"/>
  <c r="X1626" i="1"/>
  <c r="Y1626" i="1" s="1"/>
  <c r="Z1626" i="1" s="1"/>
  <c r="AA1626" i="1" s="1"/>
  <c r="X1618" i="1"/>
  <c r="Y1618" i="1" s="1"/>
  <c r="Z1618" i="1" s="1"/>
  <c r="AA1618" i="1" s="1"/>
  <c r="X1614" i="1"/>
  <c r="Y1614" i="1" s="1"/>
  <c r="Z1614" i="1" s="1"/>
  <c r="AA1614" i="1" s="1"/>
  <c r="X1606" i="1"/>
  <c r="Y1606" i="1" s="1"/>
  <c r="Z1606" i="1" s="1"/>
  <c r="AA1606" i="1" s="1"/>
  <c r="X1598" i="1"/>
  <c r="Y1598" i="1" s="1"/>
  <c r="Z1598" i="1" s="1"/>
  <c r="AA1598" i="1" s="1"/>
  <c r="X1590" i="1"/>
  <c r="Y1590" i="1" s="1"/>
  <c r="Z1590" i="1" s="1"/>
  <c r="AA1590" i="1" s="1"/>
  <c r="X1582" i="1"/>
  <c r="Y1582" i="1" s="1"/>
  <c r="Z1582" i="1" s="1"/>
  <c r="AA1582" i="1" s="1"/>
  <c r="X1574" i="1"/>
  <c r="Y1574" i="1" s="1"/>
  <c r="Z1574" i="1" s="1"/>
  <c r="AA1574" i="1" s="1"/>
  <c r="X1566" i="1"/>
  <c r="Y1566" i="1" s="1"/>
  <c r="Z1566" i="1" s="1"/>
  <c r="AA1566" i="1" s="1"/>
  <c r="X1558" i="1"/>
  <c r="Y1558" i="1" s="1"/>
  <c r="Z1558" i="1" s="1"/>
  <c r="AA1558" i="1" s="1"/>
  <c r="X1550" i="1"/>
  <c r="Y1550" i="1" s="1"/>
  <c r="Z1550" i="1" s="1"/>
  <c r="AA1550" i="1" s="1"/>
  <c r="X1542" i="1"/>
  <c r="Y1542" i="1" s="1"/>
  <c r="Z1542" i="1" s="1"/>
  <c r="AA1542" i="1" s="1"/>
  <c r="X1534" i="1"/>
  <c r="Y1534" i="1" s="1"/>
  <c r="Z1534" i="1" s="1"/>
  <c r="AA1534" i="1" s="1"/>
  <c r="X1526" i="1"/>
  <c r="Y1526" i="1" s="1"/>
  <c r="Z1526" i="1" s="1"/>
  <c r="AA1526" i="1" s="1"/>
  <c r="X1518" i="1"/>
  <c r="Y1518" i="1" s="1"/>
  <c r="Z1518" i="1" s="1"/>
  <c r="AA1518" i="1" s="1"/>
  <c r="X1510" i="1"/>
  <c r="Y1510" i="1" s="1"/>
  <c r="Z1510" i="1" s="1"/>
  <c r="AA1510" i="1" s="1"/>
  <c r="X1502" i="1"/>
  <c r="Y1502" i="1" s="1"/>
  <c r="Z1502" i="1" s="1"/>
  <c r="AA1502" i="1" s="1"/>
  <c r="X1494" i="1"/>
  <c r="Y1494" i="1" s="1"/>
  <c r="Z1494" i="1" s="1"/>
  <c r="AA1494" i="1" s="1"/>
  <c r="X1486" i="1"/>
  <c r="Y1486" i="1" s="1"/>
  <c r="Z1486" i="1" s="1"/>
  <c r="AA1486" i="1" s="1"/>
  <c r="X1478" i="1"/>
  <c r="Y1478" i="1" s="1"/>
  <c r="Z1478" i="1" s="1"/>
  <c r="AA1478" i="1" s="1"/>
  <c r="X1466" i="1"/>
  <c r="Y1466" i="1" s="1"/>
  <c r="Z1466" i="1" s="1"/>
  <c r="AA1466" i="1" s="1"/>
  <c r="X1458" i="1"/>
  <c r="Y1458" i="1" s="1"/>
  <c r="Z1458" i="1" s="1"/>
  <c r="AA1458" i="1" s="1"/>
  <c r="X1450" i="1"/>
  <c r="Y1450" i="1" s="1"/>
  <c r="Z1450" i="1" s="1"/>
  <c r="AA1450" i="1" s="1"/>
  <c r="X1442" i="1"/>
  <c r="Y1442" i="1" s="1"/>
  <c r="Z1442" i="1" s="1"/>
  <c r="AA1442" i="1" s="1"/>
  <c r="X1434" i="1"/>
  <c r="Y1434" i="1" s="1"/>
  <c r="Z1434" i="1" s="1"/>
  <c r="AA1434" i="1" s="1"/>
  <c r="X1430" i="1"/>
  <c r="Y1430" i="1" s="1"/>
  <c r="Z1430" i="1" s="1"/>
  <c r="AA1430" i="1" s="1"/>
  <c r="X1422" i="1"/>
  <c r="Y1422" i="1" s="1"/>
  <c r="Z1422" i="1" s="1"/>
  <c r="AA1422" i="1" s="1"/>
  <c r="X1414" i="1"/>
  <c r="Y1414" i="1" s="1"/>
  <c r="Z1414" i="1" s="1"/>
  <c r="AA1414" i="1" s="1"/>
  <c r="X1406" i="1"/>
  <c r="Y1406" i="1" s="1"/>
  <c r="Z1406" i="1" s="1"/>
  <c r="AA1406" i="1" s="1"/>
  <c r="X1398" i="1"/>
  <c r="Y1398" i="1" s="1"/>
  <c r="Z1398" i="1" s="1"/>
  <c r="AA1398" i="1" s="1"/>
  <c r="X1390" i="1"/>
  <c r="Y1390" i="1" s="1"/>
  <c r="Z1390" i="1" s="1"/>
  <c r="AA1390" i="1" s="1"/>
  <c r="X1378" i="1"/>
  <c r="Y1378" i="1" s="1"/>
  <c r="Z1378" i="1" s="1"/>
  <c r="AA1378" i="1" s="1"/>
  <c r="X1374" i="1"/>
  <c r="Y1374" i="1" s="1"/>
  <c r="Z1374" i="1" s="1"/>
  <c r="AA1374" i="1" s="1"/>
  <c r="X1362" i="1"/>
  <c r="Y1362" i="1" s="1"/>
  <c r="Z1362" i="1" s="1"/>
  <c r="AA1362" i="1" s="1"/>
  <c r="X1354" i="1"/>
  <c r="Y1354" i="1" s="1"/>
  <c r="Z1354" i="1" s="1"/>
  <c r="AA1354" i="1" s="1"/>
  <c r="X1350" i="1"/>
  <c r="Y1350" i="1" s="1"/>
  <c r="Z1350" i="1" s="1"/>
  <c r="AA1350" i="1" s="1"/>
  <c r="X1342" i="1"/>
  <c r="Y1342" i="1" s="1"/>
  <c r="Z1342" i="1" s="1"/>
  <c r="AA1342" i="1" s="1"/>
  <c r="X1334" i="1"/>
  <c r="Y1334" i="1" s="1"/>
  <c r="Z1334" i="1" s="1"/>
  <c r="AA1334" i="1" s="1"/>
  <c r="X1326" i="1"/>
  <c r="Y1326" i="1" s="1"/>
  <c r="Z1326" i="1" s="1"/>
  <c r="AA1326" i="1" s="1"/>
  <c r="X1318" i="1"/>
  <c r="Y1318" i="1" s="1"/>
  <c r="Z1318" i="1" s="1"/>
  <c r="AA1318" i="1" s="1"/>
  <c r="X1310" i="1"/>
  <c r="Y1310" i="1" s="1"/>
  <c r="Z1310" i="1" s="1"/>
  <c r="AA1310" i="1" s="1"/>
  <c r="X1302" i="1"/>
  <c r="Y1302" i="1" s="1"/>
  <c r="Z1302" i="1" s="1"/>
  <c r="AA1302" i="1" s="1"/>
  <c r="X1294" i="1"/>
  <c r="Y1294" i="1" s="1"/>
  <c r="Z1294" i="1" s="1"/>
  <c r="AA1294" i="1" s="1"/>
  <c r="X1286" i="1"/>
  <c r="Y1286" i="1" s="1"/>
  <c r="Z1286" i="1" s="1"/>
  <c r="AA1286" i="1" s="1"/>
  <c r="X1278" i="1"/>
  <c r="Y1278" i="1" s="1"/>
  <c r="Z1278" i="1" s="1"/>
  <c r="AA1278" i="1" s="1"/>
  <c r="X1270" i="1"/>
  <c r="Y1270" i="1" s="1"/>
  <c r="Z1270" i="1" s="1"/>
  <c r="AA1270" i="1" s="1"/>
  <c r="X1262" i="1"/>
  <c r="Y1262" i="1" s="1"/>
  <c r="Z1262" i="1" s="1"/>
  <c r="AA1262" i="1" s="1"/>
  <c r="X1250" i="1"/>
  <c r="Y1250" i="1" s="1"/>
  <c r="Z1250" i="1" s="1"/>
  <c r="AA1250" i="1" s="1"/>
  <c r="X1242" i="1"/>
  <c r="Y1242" i="1" s="1"/>
  <c r="Z1242" i="1" s="1"/>
  <c r="AA1242" i="1" s="1"/>
  <c r="X1234" i="1"/>
  <c r="Y1234" i="1" s="1"/>
  <c r="Z1234" i="1" s="1"/>
  <c r="AA1234" i="1" s="1"/>
  <c r="X1226" i="1"/>
  <c r="Y1226" i="1" s="1"/>
  <c r="Z1226" i="1" s="1"/>
  <c r="AA1226" i="1" s="1"/>
  <c r="X1218" i="1"/>
  <c r="Y1218" i="1" s="1"/>
  <c r="Z1218" i="1" s="1"/>
  <c r="AA1218" i="1" s="1"/>
  <c r="X1210" i="1"/>
  <c r="Y1210" i="1" s="1"/>
  <c r="Z1210" i="1" s="1"/>
  <c r="AA1210" i="1" s="1"/>
  <c r="X1202" i="1"/>
  <c r="Y1202" i="1" s="1"/>
  <c r="Z1202" i="1" s="1"/>
  <c r="AA1202" i="1" s="1"/>
  <c r="X1194" i="1"/>
  <c r="Y1194" i="1" s="1"/>
  <c r="Z1194" i="1" s="1"/>
  <c r="AA1194" i="1" s="1"/>
  <c r="X1190" i="1"/>
  <c r="Y1190" i="1" s="1"/>
  <c r="Z1190" i="1" s="1"/>
  <c r="AA1190" i="1" s="1"/>
  <c r="X1182" i="1"/>
  <c r="Y1182" i="1" s="1"/>
  <c r="Z1182" i="1" s="1"/>
  <c r="AA1182" i="1" s="1"/>
  <c r="X1174" i="1"/>
  <c r="Y1174" i="1" s="1"/>
  <c r="Z1174" i="1" s="1"/>
  <c r="AA1174" i="1" s="1"/>
  <c r="X1166" i="1"/>
  <c r="Y1166" i="1" s="1"/>
  <c r="Z1166" i="1" s="1"/>
  <c r="AA1166" i="1" s="1"/>
  <c r="X1158" i="1"/>
  <c r="Y1158" i="1" s="1"/>
  <c r="Z1158" i="1" s="1"/>
  <c r="AA1158" i="1" s="1"/>
  <c r="X1150" i="1"/>
  <c r="Y1150" i="1" s="1"/>
  <c r="Z1150" i="1" s="1"/>
  <c r="AA1150" i="1" s="1"/>
  <c r="X1142" i="1"/>
  <c r="Y1142" i="1" s="1"/>
  <c r="Z1142" i="1" s="1"/>
  <c r="AA1142" i="1" s="1"/>
  <c r="X1134" i="1"/>
  <c r="Y1134" i="1" s="1"/>
  <c r="Z1134" i="1" s="1"/>
  <c r="AA1134" i="1" s="1"/>
  <c r="X1126" i="1"/>
  <c r="Y1126" i="1" s="1"/>
  <c r="Z1126" i="1" s="1"/>
  <c r="AA1126" i="1" s="1"/>
  <c r="X1118" i="1"/>
  <c r="Y1118" i="1" s="1"/>
  <c r="Z1118" i="1" s="1"/>
  <c r="AA1118" i="1" s="1"/>
  <c r="X1114" i="1"/>
  <c r="Y1114" i="1" s="1"/>
  <c r="Z1114" i="1" s="1"/>
  <c r="AA1114" i="1" s="1"/>
  <c r="X1102" i="1"/>
  <c r="Y1102" i="1" s="1"/>
  <c r="Z1102" i="1" s="1"/>
  <c r="AA1102" i="1" s="1"/>
  <c r="X1094" i="1"/>
  <c r="Y1094" i="1" s="1"/>
  <c r="Z1094" i="1" s="1"/>
  <c r="AA1094" i="1" s="1"/>
  <c r="X1086" i="1"/>
  <c r="Y1086" i="1" s="1"/>
  <c r="Z1086" i="1" s="1"/>
  <c r="AA1086" i="1" s="1"/>
  <c r="X1078" i="1"/>
  <c r="Y1078" i="1" s="1"/>
  <c r="Z1078" i="1" s="1"/>
  <c r="AA1078" i="1" s="1"/>
  <c r="X1070" i="1"/>
  <c r="Y1070" i="1" s="1"/>
  <c r="Z1070" i="1" s="1"/>
  <c r="AA1070" i="1" s="1"/>
  <c r="X1066" i="1"/>
  <c r="Y1066" i="1" s="1"/>
  <c r="Z1066" i="1" s="1"/>
  <c r="AA1066" i="1" s="1"/>
  <c r="X1058" i="1"/>
  <c r="Y1058" i="1" s="1"/>
  <c r="Z1058" i="1" s="1"/>
  <c r="AA1058" i="1" s="1"/>
  <c r="X1050" i="1"/>
  <c r="Y1050" i="1" s="1"/>
  <c r="Z1050" i="1" s="1"/>
  <c r="AA1050" i="1" s="1"/>
  <c r="X1042" i="1"/>
  <c r="Y1042" i="1" s="1"/>
  <c r="Z1042" i="1" s="1"/>
  <c r="AA1042" i="1" s="1"/>
  <c r="X1038" i="1"/>
  <c r="Y1038" i="1" s="1"/>
  <c r="Z1038" i="1" s="1"/>
  <c r="AA1038" i="1" s="1"/>
  <c r="X1030" i="1"/>
  <c r="Y1030" i="1" s="1"/>
  <c r="Z1030" i="1" s="1"/>
  <c r="AA1030" i="1" s="1"/>
  <c r="X1022" i="1"/>
  <c r="Y1022" i="1" s="1"/>
  <c r="Z1022" i="1" s="1"/>
  <c r="AA1022" i="1" s="1"/>
  <c r="X1014" i="1"/>
  <c r="Y1014" i="1" s="1"/>
  <c r="Z1014" i="1" s="1"/>
  <c r="AA1014" i="1" s="1"/>
  <c r="X1006" i="1"/>
  <c r="Y1006" i="1" s="1"/>
  <c r="Z1006" i="1" s="1"/>
  <c r="AA1006" i="1" s="1"/>
  <c r="X998" i="1"/>
  <c r="Y998" i="1" s="1"/>
  <c r="Z998" i="1" s="1"/>
  <c r="AA998" i="1" s="1"/>
  <c r="X990" i="1"/>
  <c r="Y990" i="1" s="1"/>
  <c r="Z990" i="1" s="1"/>
  <c r="AA990" i="1" s="1"/>
  <c r="X986" i="1"/>
  <c r="Y986" i="1" s="1"/>
  <c r="Z986" i="1" s="1"/>
  <c r="AA986" i="1" s="1"/>
  <c r="X978" i="1"/>
  <c r="Y978" i="1" s="1"/>
  <c r="Z978" i="1" s="1"/>
  <c r="AA978" i="1" s="1"/>
  <c r="X970" i="1"/>
  <c r="Y970" i="1" s="1"/>
  <c r="Z970" i="1" s="1"/>
  <c r="AA970" i="1" s="1"/>
  <c r="X958" i="1"/>
  <c r="Y958" i="1" s="1"/>
  <c r="Z958" i="1" s="1"/>
  <c r="AA958" i="1" s="1"/>
  <c r="X950" i="1"/>
  <c r="Y950" i="1" s="1"/>
  <c r="Z950" i="1" s="1"/>
  <c r="AA950" i="1" s="1"/>
  <c r="X942" i="1"/>
  <c r="Y942" i="1" s="1"/>
  <c r="Z942" i="1" s="1"/>
  <c r="AA942" i="1" s="1"/>
  <c r="X934" i="1"/>
  <c r="Y934" i="1" s="1"/>
  <c r="Z934" i="1" s="1"/>
  <c r="AA934" i="1" s="1"/>
  <c r="X926" i="1"/>
  <c r="Y926" i="1" s="1"/>
  <c r="Z926" i="1" s="1"/>
  <c r="AA926" i="1" s="1"/>
  <c r="X918" i="1"/>
  <c r="Y918" i="1" s="1"/>
  <c r="Z918" i="1" s="1"/>
  <c r="AA918" i="1" s="1"/>
  <c r="X910" i="1"/>
  <c r="Y910" i="1" s="1"/>
  <c r="Z910" i="1" s="1"/>
  <c r="AA910" i="1" s="1"/>
  <c r="X902" i="1"/>
  <c r="Y902" i="1" s="1"/>
  <c r="Z902" i="1" s="1"/>
  <c r="AA902" i="1" s="1"/>
  <c r="X894" i="1"/>
  <c r="Y894" i="1" s="1"/>
  <c r="Z894" i="1" s="1"/>
  <c r="AA894" i="1" s="1"/>
  <c r="X886" i="1"/>
  <c r="Y886" i="1" s="1"/>
  <c r="Z886" i="1" s="1"/>
  <c r="AA886" i="1" s="1"/>
  <c r="X878" i="1"/>
  <c r="Y878" i="1" s="1"/>
  <c r="Z878" i="1" s="1"/>
  <c r="AA878" i="1" s="1"/>
  <c r="X866" i="1"/>
  <c r="Y866" i="1" s="1"/>
  <c r="Z866" i="1" s="1"/>
  <c r="AA866" i="1" s="1"/>
  <c r="X862" i="1"/>
  <c r="Y862" i="1" s="1"/>
  <c r="Z862" i="1" s="1"/>
  <c r="AA862" i="1" s="1"/>
  <c r="X818" i="1"/>
  <c r="Y818" i="1" s="1"/>
  <c r="Z818" i="1" s="1"/>
  <c r="AA818" i="1" s="1"/>
  <c r="X802" i="1"/>
  <c r="Y802" i="1" s="1"/>
  <c r="Z802" i="1" s="1"/>
  <c r="AA802" i="1" s="1"/>
  <c r="X794" i="1"/>
  <c r="Y794" i="1" s="1"/>
  <c r="Z794" i="1" s="1"/>
  <c r="AA794" i="1" s="1"/>
  <c r="X786" i="1"/>
  <c r="Y786" i="1" s="1"/>
  <c r="Z786" i="1" s="1"/>
  <c r="AA786" i="1" s="1"/>
  <c r="X754" i="1"/>
  <c r="Y754" i="1" s="1"/>
  <c r="Z754" i="1" s="1"/>
  <c r="AA754" i="1" s="1"/>
  <c r="X750" i="1"/>
  <c r="Y750" i="1" s="1"/>
  <c r="Z750" i="1" s="1"/>
  <c r="AA750" i="1" s="1"/>
  <c r="X742" i="1"/>
  <c r="Y742" i="1" s="1"/>
  <c r="Z742" i="1" s="1"/>
  <c r="AA742" i="1" s="1"/>
  <c r="X738" i="1"/>
  <c r="Y738" i="1" s="1"/>
  <c r="Z738" i="1" s="1"/>
  <c r="AA738" i="1" s="1"/>
  <c r="X722" i="1"/>
  <c r="Y722" i="1" s="1"/>
  <c r="Z722" i="1" s="1"/>
  <c r="AA722" i="1" s="1"/>
  <c r="X694" i="1"/>
  <c r="Y694" i="1" s="1"/>
  <c r="Z694" i="1" s="1"/>
  <c r="AA694" i="1" s="1"/>
  <c r="X686" i="1"/>
  <c r="Y686" i="1" s="1"/>
  <c r="Z686" i="1" s="1"/>
  <c r="AA686" i="1" s="1"/>
  <c r="X678" i="1"/>
  <c r="Y678" i="1" s="1"/>
  <c r="Z678" i="1" s="1"/>
  <c r="AA678" i="1" s="1"/>
  <c r="X666" i="1"/>
  <c r="Y666" i="1" s="1"/>
  <c r="Z666" i="1" s="1"/>
  <c r="AA666" i="1" s="1"/>
  <c r="X650" i="1"/>
  <c r="Y650" i="1" s="1"/>
  <c r="Z650" i="1" s="1"/>
  <c r="AA650" i="1" s="1"/>
  <c r="X642" i="1"/>
  <c r="Y642" i="1" s="1"/>
  <c r="Z642" i="1" s="1"/>
  <c r="AA642" i="1" s="1"/>
  <c r="X638" i="1"/>
  <c r="Y638" i="1" s="1"/>
  <c r="Z638" i="1" s="1"/>
  <c r="AA638" i="1" s="1"/>
  <c r="X630" i="1"/>
  <c r="Y630" i="1" s="1"/>
  <c r="Z630" i="1" s="1"/>
  <c r="AA630" i="1" s="1"/>
  <c r="X622" i="1"/>
  <c r="Y622" i="1" s="1"/>
  <c r="Z622" i="1" s="1"/>
  <c r="AA622" i="1" s="1"/>
  <c r="X614" i="1"/>
  <c r="Y614" i="1" s="1"/>
  <c r="Z614" i="1" s="1"/>
  <c r="AA614" i="1" s="1"/>
  <c r="X562" i="1"/>
  <c r="Y562" i="1" s="1"/>
  <c r="Z562" i="1" s="1"/>
  <c r="AA562" i="1" s="1"/>
  <c r="X510" i="1"/>
  <c r="Y510" i="1" s="1"/>
  <c r="Z510" i="1" s="1"/>
  <c r="AA510" i="1" s="1"/>
  <c r="X502" i="1"/>
  <c r="Y502" i="1" s="1"/>
  <c r="Z502" i="1" s="1"/>
  <c r="AA502" i="1" s="1"/>
  <c r="X494" i="1"/>
  <c r="Y494" i="1" s="1"/>
  <c r="Z494" i="1" s="1"/>
  <c r="AA494" i="1" s="1"/>
  <c r="X486" i="1"/>
  <c r="Y486" i="1" s="1"/>
  <c r="Z486" i="1" s="1"/>
  <c r="AA486" i="1" s="1"/>
  <c r="X466" i="1"/>
  <c r="Y466" i="1" s="1"/>
  <c r="Z466" i="1" s="1"/>
  <c r="AA466" i="1" s="1"/>
  <c r="X458" i="1"/>
  <c r="Y458" i="1" s="1"/>
  <c r="Z458" i="1" s="1"/>
  <c r="AA458" i="1" s="1"/>
  <c r="X430" i="1"/>
  <c r="Y430" i="1" s="1"/>
  <c r="Z430" i="1" s="1"/>
  <c r="AA430" i="1" s="1"/>
  <c r="X422" i="1"/>
  <c r="Y422" i="1" s="1"/>
  <c r="Z422" i="1" s="1"/>
  <c r="AA422" i="1" s="1"/>
  <c r="X354" i="1"/>
  <c r="Y354" i="1" s="1"/>
  <c r="Z354" i="1" s="1"/>
  <c r="AA354" i="1" s="1"/>
  <c r="X338" i="1"/>
  <c r="Y338" i="1" s="1"/>
  <c r="Z338" i="1" s="1"/>
  <c r="AA338" i="1" s="1"/>
  <c r="X330" i="1"/>
  <c r="Y330" i="1" s="1"/>
  <c r="Z330" i="1" s="1"/>
  <c r="AA330" i="1" s="1"/>
  <c r="X322" i="1"/>
  <c r="Y322" i="1" s="1"/>
  <c r="Z322" i="1" s="1"/>
  <c r="AA322" i="1" s="1"/>
  <c r="X314" i="1"/>
  <c r="Y314" i="1" s="1"/>
  <c r="Z314" i="1" s="1"/>
  <c r="AA314" i="1" s="1"/>
  <c r="X306" i="1"/>
  <c r="Y306" i="1" s="1"/>
  <c r="Z306" i="1" s="1"/>
  <c r="AA306" i="1" s="1"/>
  <c r="X298" i="1"/>
  <c r="Y298" i="1" s="1"/>
  <c r="Z298" i="1" s="1"/>
  <c r="AA298" i="1" s="1"/>
  <c r="X294" i="1"/>
  <c r="Y294" i="1" s="1"/>
  <c r="Z294" i="1" s="1"/>
  <c r="AA294" i="1" s="1"/>
  <c r="X282" i="1"/>
  <c r="Y282" i="1" s="1"/>
  <c r="Z282" i="1" s="1"/>
  <c r="AA282" i="1" s="1"/>
  <c r="X274" i="1"/>
  <c r="Y274" i="1" s="1"/>
  <c r="Z274" i="1" s="1"/>
  <c r="AA274" i="1" s="1"/>
  <c r="X266" i="1"/>
  <c r="Y266" i="1" s="1"/>
  <c r="Z266" i="1" s="1"/>
  <c r="AA266" i="1" s="1"/>
  <c r="X258" i="1"/>
  <c r="Y258" i="1" s="1"/>
  <c r="Z258" i="1" s="1"/>
  <c r="AA258" i="1" s="1"/>
  <c r="X250" i="1"/>
  <c r="Y250" i="1" s="1"/>
  <c r="Z250" i="1" s="1"/>
  <c r="AA250" i="1" s="1"/>
  <c r="X242" i="1"/>
  <c r="Y242" i="1" s="1"/>
  <c r="Z242" i="1" s="1"/>
  <c r="AA242" i="1" s="1"/>
  <c r="X238" i="1"/>
  <c r="Y238" i="1" s="1"/>
  <c r="Z238" i="1" s="1"/>
  <c r="AA238" i="1" s="1"/>
  <c r="X230" i="1"/>
  <c r="Y230" i="1" s="1"/>
  <c r="Z230" i="1" s="1"/>
  <c r="AA230" i="1" s="1"/>
  <c r="X222" i="1"/>
  <c r="Y222" i="1" s="1"/>
  <c r="Z222" i="1" s="1"/>
  <c r="AA222" i="1" s="1"/>
  <c r="X214" i="1"/>
  <c r="Y214" i="1" s="1"/>
  <c r="Z214" i="1" s="1"/>
  <c r="AA214" i="1" s="1"/>
  <c r="X206" i="1"/>
  <c r="Y206" i="1" s="1"/>
  <c r="Z206" i="1" s="1"/>
  <c r="AA206" i="1" s="1"/>
  <c r="X198" i="1"/>
  <c r="Y198" i="1" s="1"/>
  <c r="Z198" i="1" s="1"/>
  <c r="AA198" i="1" s="1"/>
  <c r="X190" i="1"/>
  <c r="Y190" i="1" s="1"/>
  <c r="Z190" i="1" s="1"/>
  <c r="AA190" i="1" s="1"/>
  <c r="X178" i="1"/>
  <c r="Y178" i="1" s="1"/>
  <c r="Z178" i="1" s="1"/>
  <c r="AA178" i="1" s="1"/>
  <c r="X170" i="1"/>
  <c r="Y170" i="1" s="1"/>
  <c r="Z170" i="1" s="1"/>
  <c r="AA170" i="1" s="1"/>
  <c r="X162" i="1"/>
  <c r="Y162" i="1" s="1"/>
  <c r="Z162" i="1" s="1"/>
  <c r="AA162" i="1" s="1"/>
  <c r="X154" i="1"/>
  <c r="Y154" i="1" s="1"/>
  <c r="Z154" i="1" s="1"/>
  <c r="AA154" i="1" s="1"/>
  <c r="X142" i="1"/>
  <c r="Y142" i="1" s="1"/>
  <c r="Z142" i="1" s="1"/>
  <c r="AA142" i="1" s="1"/>
  <c r="X138" i="1"/>
  <c r="Y138" i="1" s="1"/>
  <c r="Z138" i="1" s="1"/>
  <c r="AA138" i="1" s="1"/>
  <c r="X130" i="1"/>
  <c r="Y130" i="1" s="1"/>
  <c r="Z130" i="1" s="1"/>
  <c r="AA130" i="1" s="1"/>
  <c r="X122" i="1"/>
  <c r="Y122" i="1" s="1"/>
  <c r="Z122" i="1" s="1"/>
  <c r="AA122" i="1" s="1"/>
  <c r="X114" i="1"/>
  <c r="Y114" i="1" s="1"/>
  <c r="Z114" i="1" s="1"/>
  <c r="AA114" i="1" s="1"/>
  <c r="X106" i="1"/>
  <c r="Y106" i="1" s="1"/>
  <c r="Z106" i="1" s="1"/>
  <c r="AA106" i="1" s="1"/>
  <c r="X98" i="1"/>
  <c r="Y98" i="1" s="1"/>
  <c r="Z98" i="1" s="1"/>
  <c r="AA98" i="1" s="1"/>
  <c r="X90" i="1"/>
  <c r="Y90" i="1" s="1"/>
  <c r="Z90" i="1" s="1"/>
  <c r="AA90" i="1" s="1"/>
  <c r="X82" i="1"/>
  <c r="Y82" i="1" s="1"/>
  <c r="Z82" i="1" s="1"/>
  <c r="AA82" i="1" s="1"/>
  <c r="X74" i="1"/>
  <c r="Y74" i="1" s="1"/>
  <c r="Z74" i="1" s="1"/>
  <c r="AA74" i="1" s="1"/>
  <c r="X66" i="1"/>
  <c r="Y66" i="1" s="1"/>
  <c r="Z66" i="1" s="1"/>
  <c r="AA66" i="1" s="1"/>
  <c r="X58" i="1"/>
  <c r="Y58" i="1" s="1"/>
  <c r="Z58" i="1" s="1"/>
  <c r="AA58" i="1" s="1"/>
  <c r="X50" i="1"/>
  <c r="Y50" i="1"/>
  <c r="Z50" i="1" s="1"/>
  <c r="AA50" i="1" s="1"/>
  <c r="X42" i="1"/>
  <c r="Y42" i="1" s="1"/>
  <c r="Z42" i="1" s="1"/>
  <c r="AA42" i="1" s="1"/>
  <c r="X34" i="1"/>
  <c r="Y34" i="1" s="1"/>
  <c r="Z34" i="1" s="1"/>
  <c r="AA34" i="1" s="1"/>
  <c r="X26" i="1"/>
  <c r="Y26" i="1" s="1"/>
  <c r="Z26" i="1" s="1"/>
  <c r="AA26" i="1" s="1"/>
  <c r="X18" i="1"/>
  <c r="Y18" i="1" s="1"/>
  <c r="Z18" i="1" s="1"/>
  <c r="AA18" i="1" s="1"/>
  <c r="X10" i="1"/>
  <c r="Y10" i="1" s="1"/>
  <c r="Z10" i="1" s="1"/>
  <c r="AA10" i="1" s="1"/>
  <c r="X2" i="1"/>
  <c r="Y2" i="1" s="1"/>
  <c r="Z2" i="1" s="1"/>
  <c r="AA2" i="1" s="1"/>
  <c r="X698" i="1"/>
  <c r="Y698" i="1" s="1"/>
  <c r="Z698" i="1" s="1"/>
  <c r="AA698" i="1" s="1"/>
  <c r="X534" i="1"/>
  <c r="Y534" i="1" s="1"/>
  <c r="Z534" i="1" s="1"/>
  <c r="AA534" i="1" s="1"/>
  <c r="X446" i="1"/>
  <c r="Y446" i="1" s="1"/>
  <c r="Z446" i="1" s="1"/>
  <c r="AA446" i="1" s="1"/>
  <c r="X406" i="1"/>
  <c r="Y406" i="1" s="1"/>
  <c r="Z406" i="1" s="1"/>
  <c r="AA406" i="1" s="1"/>
  <c r="Y846" i="1"/>
  <c r="Z846" i="1" s="1"/>
  <c r="AA846" i="1" s="1"/>
  <c r="Y746" i="1"/>
  <c r="Z746" i="1" s="1"/>
  <c r="AA746" i="1" s="1"/>
  <c r="Y590" i="1"/>
  <c r="Z590" i="1" s="1"/>
  <c r="AA590" i="1" s="1"/>
  <c r="Y490" i="1"/>
  <c r="Z490" i="1" s="1"/>
  <c r="AA490" i="1" s="1"/>
  <c r="Y454" i="1"/>
  <c r="Z454" i="1" s="1"/>
  <c r="AA454" i="1" s="1"/>
  <c r="X582" i="1"/>
  <c r="Y582" i="1" s="1"/>
  <c r="Z582" i="1" s="1"/>
  <c r="AA582" i="1" s="1"/>
  <c r="X526" i="1"/>
  <c r="Y526" i="1" s="1"/>
  <c r="Z526" i="1" s="1"/>
  <c r="AA526" i="1" s="1"/>
  <c r="X438" i="1"/>
  <c r="Y438" i="1" s="1"/>
  <c r="Z438" i="1" s="1"/>
  <c r="AA438" i="1" s="1"/>
  <c r="X374" i="1"/>
  <c r="Y374" i="1" s="1"/>
  <c r="Z374" i="1" s="1"/>
  <c r="AA374" i="1" s="1"/>
  <c r="Y782" i="1"/>
  <c r="Z782" i="1" s="1"/>
  <c r="AA782" i="1" s="1"/>
  <c r="Y634" i="1"/>
  <c r="Z634" i="1" s="1"/>
  <c r="AA634" i="1" s="1"/>
  <c r="Y478" i="1"/>
  <c r="Z478" i="1" s="1"/>
  <c r="AA478" i="1" s="1"/>
  <c r="Y378" i="1"/>
  <c r="Z378" i="1" s="1"/>
  <c r="AA378" i="1" s="1"/>
  <c r="Y342" i="1"/>
  <c r="Z342" i="1" s="1"/>
  <c r="AA342" i="1" s="1"/>
  <c r="X1728" i="1"/>
  <c r="Y1728" i="1" s="1"/>
  <c r="Z1728" i="1" s="1"/>
  <c r="AA1728" i="1" s="1"/>
  <c r="X1724" i="1"/>
  <c r="Y1724" i="1" s="1"/>
  <c r="Z1724" i="1" s="1"/>
  <c r="AA1724" i="1" s="1"/>
  <c r="X1720" i="1"/>
  <c r="Y1720" i="1" s="1"/>
  <c r="Z1720" i="1" s="1"/>
  <c r="AA1720" i="1" s="1"/>
  <c r="X1716" i="1"/>
  <c r="Y1716" i="1" s="1"/>
  <c r="Z1716" i="1" s="1"/>
  <c r="AA1716" i="1" s="1"/>
  <c r="X1712" i="1"/>
  <c r="Y1712" i="1" s="1"/>
  <c r="Z1712" i="1" s="1"/>
  <c r="AA1712" i="1" s="1"/>
  <c r="X1708" i="1"/>
  <c r="Y1708" i="1" s="1"/>
  <c r="Z1708" i="1" s="1"/>
  <c r="AA1708" i="1" s="1"/>
  <c r="X1704" i="1"/>
  <c r="Y1704" i="1" s="1"/>
  <c r="Z1704" i="1" s="1"/>
  <c r="AA1704" i="1" s="1"/>
  <c r="X1692" i="1"/>
  <c r="Y1692" i="1" s="1"/>
  <c r="Z1692" i="1" s="1"/>
  <c r="AA1692" i="1" s="1"/>
  <c r="X1688" i="1"/>
  <c r="Y1688" i="1" s="1"/>
  <c r="Z1688" i="1" s="1"/>
  <c r="AA1688" i="1" s="1"/>
  <c r="X1676" i="1"/>
  <c r="Y1676" i="1" s="1"/>
  <c r="Z1676" i="1" s="1"/>
  <c r="AA1676" i="1" s="1"/>
  <c r="X1672" i="1"/>
  <c r="Y1672" i="1" s="1"/>
  <c r="Z1672" i="1" s="1"/>
  <c r="AA1672" i="1" s="1"/>
  <c r="X1660" i="1"/>
  <c r="Y1660" i="1" s="1"/>
  <c r="Z1660" i="1" s="1"/>
  <c r="AA1660" i="1" s="1"/>
  <c r="X1656" i="1"/>
  <c r="Y1656" i="1" s="1"/>
  <c r="Z1656" i="1" s="1"/>
  <c r="AA1656" i="1" s="1"/>
  <c r="X1644" i="1"/>
  <c r="Y1644" i="1" s="1"/>
  <c r="Z1644" i="1" s="1"/>
  <c r="AA1644" i="1" s="1"/>
  <c r="X1640" i="1"/>
  <c r="Y1640" i="1" s="1"/>
  <c r="Z1640" i="1" s="1"/>
  <c r="AA1640" i="1" s="1"/>
  <c r="X1628" i="1"/>
  <c r="Y1628" i="1" s="1"/>
  <c r="Z1628" i="1" s="1"/>
  <c r="AA1628" i="1" s="1"/>
  <c r="X1624" i="1"/>
  <c r="Y1624" i="1" s="1"/>
  <c r="Z1624" i="1" s="1"/>
  <c r="AA1624" i="1" s="1"/>
  <c r="X1612" i="1"/>
  <c r="Y1612" i="1" s="1"/>
  <c r="Z1612" i="1" s="1"/>
  <c r="AA1612" i="1" s="1"/>
  <c r="X1608" i="1"/>
  <c r="Y1608" i="1" s="1"/>
  <c r="Z1608" i="1" s="1"/>
  <c r="AA1608" i="1" s="1"/>
  <c r="X1596" i="1"/>
  <c r="Y1596" i="1" s="1"/>
  <c r="Z1596" i="1" s="1"/>
  <c r="AA1596" i="1" s="1"/>
  <c r="X1592" i="1"/>
  <c r="Y1592" i="1" s="1"/>
  <c r="Z1592" i="1" s="1"/>
  <c r="AA1592" i="1" s="1"/>
  <c r="X1580" i="1"/>
  <c r="Y1580" i="1" s="1"/>
  <c r="Z1580" i="1" s="1"/>
  <c r="AA1580" i="1" s="1"/>
  <c r="X1576" i="1"/>
  <c r="Y1576" i="1" s="1"/>
  <c r="Z1576" i="1" s="1"/>
  <c r="AA1576" i="1" s="1"/>
  <c r="X1564" i="1"/>
  <c r="Y1564" i="1" s="1"/>
  <c r="Z1564" i="1" s="1"/>
  <c r="AA1564" i="1" s="1"/>
  <c r="X1560" i="1"/>
  <c r="Y1560" i="1" s="1"/>
  <c r="Z1560" i="1" s="1"/>
  <c r="AA1560" i="1" s="1"/>
  <c r="X1548" i="1"/>
  <c r="Y1548" i="1" s="1"/>
  <c r="Z1548" i="1" s="1"/>
  <c r="AA1548" i="1" s="1"/>
  <c r="X1544" i="1"/>
  <c r="Y1544" i="1" s="1"/>
  <c r="Z1544" i="1" s="1"/>
  <c r="AA1544" i="1" s="1"/>
  <c r="X1532" i="1"/>
  <c r="Y1532" i="1" s="1"/>
  <c r="Z1532" i="1" s="1"/>
  <c r="AA1532" i="1" s="1"/>
  <c r="X1528" i="1"/>
  <c r="Y1528" i="1" s="1"/>
  <c r="Z1528" i="1" s="1"/>
  <c r="AA1528" i="1" s="1"/>
  <c r="X1516" i="1"/>
  <c r="Y1516" i="1" s="1"/>
  <c r="Z1516" i="1" s="1"/>
  <c r="AA1516" i="1" s="1"/>
  <c r="X1512" i="1"/>
  <c r="Y1512" i="1" s="1"/>
  <c r="Z1512" i="1" s="1"/>
  <c r="AA1512" i="1" s="1"/>
  <c r="X1500" i="1"/>
  <c r="Y1500" i="1" s="1"/>
  <c r="Z1500" i="1" s="1"/>
  <c r="AA1500" i="1" s="1"/>
  <c r="X1496" i="1"/>
  <c r="Y1496" i="1" s="1"/>
  <c r="Z1496" i="1" s="1"/>
  <c r="AA1496" i="1" s="1"/>
  <c r="X1484" i="1"/>
  <c r="Y1484" i="1" s="1"/>
  <c r="Z1484" i="1" s="1"/>
  <c r="AA1484" i="1" s="1"/>
  <c r="X1480" i="1"/>
  <c r="Y1480" i="1" s="1"/>
  <c r="Z1480" i="1" s="1"/>
  <c r="AA1480" i="1" s="1"/>
  <c r="X1468" i="1"/>
  <c r="Y1468" i="1" s="1"/>
  <c r="Z1468" i="1" s="1"/>
  <c r="AA1468" i="1" s="1"/>
  <c r="X1464" i="1"/>
  <c r="Y1464" i="1" s="1"/>
  <c r="Z1464" i="1" s="1"/>
  <c r="AA1464" i="1" s="1"/>
  <c r="X1452" i="1"/>
  <c r="Y1452" i="1" s="1"/>
  <c r="Z1452" i="1" s="1"/>
  <c r="AA1452" i="1" s="1"/>
  <c r="X1448" i="1"/>
  <c r="Y1448" i="1" s="1"/>
  <c r="Z1448" i="1" s="1"/>
  <c r="AA1448" i="1" s="1"/>
  <c r="X1436" i="1"/>
  <c r="Y1436" i="1" s="1"/>
  <c r="Z1436" i="1" s="1"/>
  <c r="AA1436" i="1" s="1"/>
  <c r="X1432" i="1"/>
  <c r="Y1432" i="1" s="1"/>
  <c r="Z1432" i="1" s="1"/>
  <c r="AA1432" i="1" s="1"/>
  <c r="X1420" i="1"/>
  <c r="Y1420" i="1" s="1"/>
  <c r="Z1420" i="1" s="1"/>
  <c r="AA1420" i="1" s="1"/>
  <c r="X1416" i="1"/>
  <c r="Y1416" i="1" s="1"/>
  <c r="Z1416" i="1" s="1"/>
  <c r="AA1416" i="1" s="1"/>
  <c r="X1404" i="1"/>
  <c r="Y1404" i="1" s="1"/>
  <c r="Z1404" i="1" s="1"/>
  <c r="AA1404" i="1" s="1"/>
  <c r="X1400" i="1"/>
  <c r="Y1400" i="1" s="1"/>
  <c r="Z1400" i="1" s="1"/>
  <c r="AA1400" i="1" s="1"/>
  <c r="X1388" i="1"/>
  <c r="Y1388" i="1" s="1"/>
  <c r="Z1388" i="1" s="1"/>
  <c r="AA1388" i="1" s="1"/>
  <c r="X1384" i="1"/>
  <c r="Y1384" i="1" s="1"/>
  <c r="Z1384" i="1" s="1"/>
  <c r="AA1384" i="1" s="1"/>
  <c r="X1372" i="1"/>
  <c r="Y1372" i="1" s="1"/>
  <c r="Z1372" i="1" s="1"/>
  <c r="AA1372" i="1" s="1"/>
  <c r="X1368" i="1"/>
  <c r="Y1368" i="1" s="1"/>
  <c r="Z1368" i="1" s="1"/>
  <c r="AA1368" i="1" s="1"/>
  <c r="X1356" i="1"/>
  <c r="Y1356" i="1" s="1"/>
  <c r="Z1356" i="1" s="1"/>
  <c r="AA1356" i="1" s="1"/>
  <c r="X1352" i="1"/>
  <c r="Y1352" i="1" s="1"/>
  <c r="Z1352" i="1" s="1"/>
  <c r="AA1352" i="1" s="1"/>
  <c r="X1340" i="1"/>
  <c r="Y1340" i="1" s="1"/>
  <c r="Z1340" i="1" s="1"/>
  <c r="AA1340" i="1" s="1"/>
  <c r="X1336" i="1"/>
  <c r="Y1336" i="1" s="1"/>
  <c r="Z1336" i="1" s="1"/>
  <c r="AA1336" i="1" s="1"/>
  <c r="X1324" i="1"/>
  <c r="Y1324" i="1" s="1"/>
  <c r="Z1324" i="1" s="1"/>
  <c r="AA1324" i="1" s="1"/>
  <c r="X1320" i="1"/>
  <c r="Y1320" i="1" s="1"/>
  <c r="Z1320" i="1" s="1"/>
  <c r="AA1320" i="1" s="1"/>
  <c r="X1308" i="1"/>
  <c r="Y1308" i="1" s="1"/>
  <c r="Z1308" i="1" s="1"/>
  <c r="AA1308" i="1" s="1"/>
  <c r="X1304" i="1"/>
  <c r="Y1304" i="1" s="1"/>
  <c r="Z1304" i="1" s="1"/>
  <c r="AA1304" i="1" s="1"/>
  <c r="X1292" i="1"/>
  <c r="Y1292" i="1" s="1"/>
  <c r="Z1292" i="1" s="1"/>
  <c r="AA1292" i="1" s="1"/>
  <c r="X1288" i="1"/>
  <c r="Y1288" i="1" s="1"/>
  <c r="Z1288" i="1" s="1"/>
  <c r="AA1288" i="1" s="1"/>
  <c r="X1276" i="1"/>
  <c r="Y1276" i="1" s="1"/>
  <c r="Z1276" i="1" s="1"/>
  <c r="AA1276" i="1" s="1"/>
  <c r="X1272" i="1"/>
  <c r="Y1272" i="1" s="1"/>
  <c r="Z1272" i="1" s="1"/>
  <c r="AA1272" i="1" s="1"/>
  <c r="X1260" i="1"/>
  <c r="Y1260" i="1" s="1"/>
  <c r="Z1260" i="1" s="1"/>
  <c r="AA1260" i="1" s="1"/>
  <c r="X1256" i="1"/>
  <c r="Y1256" i="1" s="1"/>
  <c r="Z1256" i="1" s="1"/>
  <c r="AA1256" i="1" s="1"/>
  <c r="X1244" i="1"/>
  <c r="Y1244" i="1" s="1"/>
  <c r="Z1244" i="1" s="1"/>
  <c r="AA1244" i="1" s="1"/>
  <c r="X1240" i="1"/>
  <c r="Y1240" i="1" s="1"/>
  <c r="Z1240" i="1" s="1"/>
  <c r="AA1240" i="1" s="1"/>
  <c r="X1228" i="1"/>
  <c r="Y1228" i="1" s="1"/>
  <c r="Z1228" i="1" s="1"/>
  <c r="AA1228" i="1" s="1"/>
  <c r="X1224" i="1"/>
  <c r="Y1224" i="1" s="1"/>
  <c r="Z1224" i="1" s="1"/>
  <c r="AA1224" i="1" s="1"/>
  <c r="X1212" i="1"/>
  <c r="Y1212" i="1" s="1"/>
  <c r="Z1212" i="1" s="1"/>
  <c r="AA1212" i="1" s="1"/>
  <c r="X1208" i="1"/>
  <c r="Y1208" i="1" s="1"/>
  <c r="Z1208" i="1" s="1"/>
  <c r="AA1208" i="1" s="1"/>
  <c r="X1196" i="1"/>
  <c r="Y1196" i="1" s="1"/>
  <c r="Z1196" i="1" s="1"/>
  <c r="AA1196" i="1" s="1"/>
  <c r="X1192" i="1"/>
  <c r="Y1192" i="1" s="1"/>
  <c r="Z1192" i="1" s="1"/>
  <c r="AA1192" i="1" s="1"/>
  <c r="X1180" i="1"/>
  <c r="Y1180" i="1" s="1"/>
  <c r="Z1180" i="1" s="1"/>
  <c r="AA1180" i="1" s="1"/>
  <c r="X1176" i="1"/>
  <c r="Y1176" i="1" s="1"/>
  <c r="Z1176" i="1" s="1"/>
  <c r="AA1176" i="1" s="1"/>
  <c r="X1164" i="1"/>
  <c r="Y1164" i="1" s="1"/>
  <c r="Z1164" i="1" s="1"/>
  <c r="AA1164" i="1" s="1"/>
  <c r="X1160" i="1"/>
  <c r="Y1160" i="1" s="1"/>
  <c r="Z1160" i="1" s="1"/>
  <c r="AA1160" i="1" s="1"/>
  <c r="X1148" i="1"/>
  <c r="Y1148" i="1" s="1"/>
  <c r="Z1148" i="1" s="1"/>
  <c r="AA1148" i="1" s="1"/>
  <c r="X1144" i="1"/>
  <c r="Y1144" i="1" s="1"/>
  <c r="Z1144" i="1" s="1"/>
  <c r="AA1144" i="1" s="1"/>
  <c r="X1132" i="1"/>
  <c r="Y1132" i="1" s="1"/>
  <c r="Z1132" i="1" s="1"/>
  <c r="AA1132" i="1" s="1"/>
  <c r="X1128" i="1"/>
  <c r="Y1128" i="1" s="1"/>
  <c r="Z1128" i="1" s="1"/>
  <c r="AA1128" i="1" s="1"/>
  <c r="X1116" i="1"/>
  <c r="Y1116" i="1" s="1"/>
  <c r="Z1116" i="1" s="1"/>
  <c r="AA1116" i="1" s="1"/>
  <c r="X1112" i="1"/>
  <c r="Y1112" i="1" s="1"/>
  <c r="Z1112" i="1" s="1"/>
  <c r="AA1112" i="1" s="1"/>
  <c r="X1100" i="1"/>
  <c r="Y1100" i="1" s="1"/>
  <c r="Z1100" i="1" s="1"/>
  <c r="AA1100" i="1" s="1"/>
  <c r="X1096" i="1"/>
  <c r="Y1096" i="1" s="1"/>
  <c r="Z1096" i="1" s="1"/>
  <c r="AA1096" i="1" s="1"/>
  <c r="X1084" i="1"/>
  <c r="Y1084" i="1" s="1"/>
  <c r="Z1084" i="1" s="1"/>
  <c r="AA1084" i="1" s="1"/>
  <c r="X1080" i="1"/>
  <c r="Y1080" i="1" s="1"/>
  <c r="Z1080" i="1" s="1"/>
  <c r="AA1080" i="1" s="1"/>
  <c r="X1068" i="1"/>
  <c r="Y1068" i="1" s="1"/>
  <c r="Z1068" i="1" s="1"/>
  <c r="AA1068" i="1" s="1"/>
  <c r="X1064" i="1"/>
  <c r="Y1064" i="1" s="1"/>
  <c r="Z1064" i="1" s="1"/>
  <c r="AA1064" i="1" s="1"/>
  <c r="X1052" i="1"/>
  <c r="Y1052" i="1" s="1"/>
  <c r="Z1052" i="1" s="1"/>
  <c r="AA1052" i="1" s="1"/>
  <c r="X1048" i="1"/>
  <c r="Y1048" i="1" s="1"/>
  <c r="Z1048" i="1" s="1"/>
  <c r="AA1048" i="1" s="1"/>
  <c r="X1036" i="1"/>
  <c r="Y1036" i="1" s="1"/>
  <c r="Z1036" i="1" s="1"/>
  <c r="AA1036" i="1" s="1"/>
  <c r="X1032" i="1"/>
  <c r="Y1032" i="1" s="1"/>
  <c r="Z1032" i="1" s="1"/>
  <c r="AA1032" i="1" s="1"/>
  <c r="X1020" i="1"/>
  <c r="Y1020" i="1" s="1"/>
  <c r="Z1020" i="1" s="1"/>
  <c r="AA1020" i="1" s="1"/>
  <c r="X1016" i="1"/>
  <c r="Y1016" i="1" s="1"/>
  <c r="Z1016" i="1" s="1"/>
  <c r="AA1016" i="1" s="1"/>
  <c r="X1004" i="1"/>
  <c r="Y1004" i="1" s="1"/>
  <c r="Z1004" i="1" s="1"/>
  <c r="AA1004" i="1" s="1"/>
  <c r="X1000" i="1"/>
  <c r="Y1000" i="1" s="1"/>
  <c r="Z1000" i="1" s="1"/>
  <c r="AA1000" i="1" s="1"/>
  <c r="X988" i="1"/>
  <c r="Y988" i="1" s="1"/>
  <c r="Z988" i="1" s="1"/>
  <c r="AA988" i="1" s="1"/>
  <c r="X984" i="1"/>
  <c r="Y984" i="1" s="1"/>
  <c r="Z984" i="1" s="1"/>
  <c r="AA984" i="1" s="1"/>
  <c r="X972" i="1"/>
  <c r="Y972" i="1" s="1"/>
  <c r="Z972" i="1" s="1"/>
  <c r="AA972" i="1" s="1"/>
  <c r="X968" i="1"/>
  <c r="Y968" i="1" s="1"/>
  <c r="Z968" i="1" s="1"/>
  <c r="AA968" i="1" s="1"/>
  <c r="X956" i="1"/>
  <c r="Y956" i="1" s="1"/>
  <c r="Z956" i="1" s="1"/>
  <c r="AA956" i="1" s="1"/>
  <c r="X952" i="1"/>
  <c r="Y952" i="1" s="1"/>
  <c r="Z952" i="1" s="1"/>
  <c r="AA952" i="1" s="1"/>
  <c r="X940" i="1"/>
  <c r="Y940" i="1" s="1"/>
  <c r="Z940" i="1" s="1"/>
  <c r="AA940" i="1" s="1"/>
  <c r="X936" i="1"/>
  <c r="Y936" i="1" s="1"/>
  <c r="Z936" i="1" s="1"/>
  <c r="AA936" i="1" s="1"/>
  <c r="X924" i="1"/>
  <c r="Y924" i="1" s="1"/>
  <c r="Z924" i="1" s="1"/>
  <c r="AA924" i="1" s="1"/>
  <c r="X920" i="1"/>
  <c r="Y920" i="1" s="1"/>
  <c r="Z920" i="1" s="1"/>
  <c r="AA920" i="1" s="1"/>
  <c r="X908" i="1"/>
  <c r="Y908" i="1" s="1"/>
  <c r="Z908" i="1" s="1"/>
  <c r="AA908" i="1" s="1"/>
  <c r="X904" i="1"/>
  <c r="Y904" i="1" s="1"/>
  <c r="Z904" i="1" s="1"/>
  <c r="AA904" i="1" s="1"/>
  <c r="X892" i="1"/>
  <c r="Y892" i="1" s="1"/>
  <c r="Z892" i="1" s="1"/>
  <c r="AA892" i="1" s="1"/>
  <c r="X888" i="1"/>
  <c r="Y888" i="1" s="1"/>
  <c r="Z888" i="1" s="1"/>
  <c r="AA888" i="1" s="1"/>
  <c r="X876" i="1"/>
  <c r="Y876" i="1" s="1"/>
  <c r="Z876" i="1" s="1"/>
  <c r="AA876" i="1" s="1"/>
  <c r="X872" i="1"/>
  <c r="Y872" i="1" s="1"/>
  <c r="Z872" i="1" s="1"/>
  <c r="AA872" i="1" s="1"/>
  <c r="X860" i="1"/>
  <c r="Y860" i="1" s="1"/>
  <c r="Z860" i="1" s="1"/>
  <c r="AA860" i="1" s="1"/>
  <c r="X856" i="1"/>
  <c r="Y856" i="1" s="1"/>
  <c r="Z856" i="1" s="1"/>
  <c r="AA856" i="1" s="1"/>
  <c r="X848" i="1"/>
  <c r="Y848" i="1" s="1"/>
  <c r="Z848" i="1" s="1"/>
  <c r="AA848" i="1" s="1"/>
  <c r="X844" i="1"/>
  <c r="Y844" i="1" s="1"/>
  <c r="Z844" i="1" s="1"/>
  <c r="AA844" i="1" s="1"/>
  <c r="X840" i="1"/>
  <c r="Y840" i="1" s="1"/>
  <c r="Z840" i="1" s="1"/>
  <c r="AA840" i="1" s="1"/>
  <c r="X836" i="1"/>
  <c r="Y836" i="1" s="1"/>
  <c r="Z836" i="1" s="1"/>
  <c r="AA836" i="1" s="1"/>
  <c r="X832" i="1"/>
  <c r="Y832" i="1" s="1"/>
  <c r="Z832" i="1" s="1"/>
  <c r="AA832" i="1" s="1"/>
  <c r="X828" i="1"/>
  <c r="Y828" i="1" s="1"/>
  <c r="Z828" i="1" s="1"/>
  <c r="AA828" i="1" s="1"/>
  <c r="X824" i="1"/>
  <c r="Y824" i="1" s="1"/>
  <c r="Z824" i="1" s="1"/>
  <c r="AA824" i="1" s="1"/>
  <c r="X820" i="1"/>
  <c r="Y820" i="1" s="1"/>
  <c r="Z820" i="1" s="1"/>
  <c r="AA820" i="1" s="1"/>
  <c r="X816" i="1"/>
  <c r="Y816" i="1" s="1"/>
  <c r="Z816" i="1" s="1"/>
  <c r="AA816" i="1" s="1"/>
  <c r="X812" i="1"/>
  <c r="Y812" i="1" s="1"/>
  <c r="Z812" i="1" s="1"/>
  <c r="AA812" i="1" s="1"/>
  <c r="X808" i="1"/>
  <c r="Y808" i="1" s="1"/>
  <c r="Z808" i="1" s="1"/>
  <c r="AA808" i="1" s="1"/>
  <c r="X804" i="1"/>
  <c r="Y804" i="1" s="1"/>
  <c r="Z804" i="1" s="1"/>
  <c r="AA804" i="1" s="1"/>
  <c r="X800" i="1"/>
  <c r="Y800" i="1" s="1"/>
  <c r="Z800" i="1" s="1"/>
  <c r="AA800" i="1" s="1"/>
  <c r="X796" i="1"/>
  <c r="Y796" i="1" s="1"/>
  <c r="Z796" i="1" s="1"/>
  <c r="AA796" i="1" s="1"/>
  <c r="X792" i="1"/>
  <c r="Y792" i="1" s="1"/>
  <c r="Z792" i="1" s="1"/>
  <c r="AA792" i="1" s="1"/>
  <c r="X788" i="1"/>
  <c r="Y788" i="1" s="1"/>
  <c r="Z788" i="1" s="1"/>
  <c r="AA788" i="1" s="1"/>
  <c r="X784" i="1"/>
  <c r="Y784" i="1" s="1"/>
  <c r="Z784" i="1" s="1"/>
  <c r="AA784" i="1" s="1"/>
  <c r="X780" i="1"/>
  <c r="Y780" i="1" s="1"/>
  <c r="Z780" i="1" s="1"/>
  <c r="AA780" i="1" s="1"/>
  <c r="X776" i="1"/>
  <c r="Y776" i="1" s="1"/>
  <c r="Z776" i="1" s="1"/>
  <c r="AA776" i="1" s="1"/>
  <c r="X772" i="1"/>
  <c r="Y772" i="1" s="1"/>
  <c r="Z772" i="1" s="1"/>
  <c r="AA772" i="1" s="1"/>
  <c r="X768" i="1"/>
  <c r="Y768" i="1" s="1"/>
  <c r="Z768" i="1" s="1"/>
  <c r="AA768" i="1" s="1"/>
  <c r="X764" i="1"/>
  <c r="Y764" i="1" s="1"/>
  <c r="Z764" i="1" s="1"/>
  <c r="AA764" i="1" s="1"/>
  <c r="X760" i="1"/>
  <c r="Y760" i="1" s="1"/>
  <c r="Z760" i="1" s="1"/>
  <c r="AA760" i="1" s="1"/>
  <c r="X756" i="1"/>
  <c r="Y756" i="1" s="1"/>
  <c r="Z756" i="1" s="1"/>
  <c r="AA756" i="1" s="1"/>
  <c r="X752" i="1"/>
  <c r="Y752" i="1" s="1"/>
  <c r="Z752" i="1" s="1"/>
  <c r="AA752" i="1" s="1"/>
  <c r="X748" i="1"/>
  <c r="Y748" i="1" s="1"/>
  <c r="Z748" i="1" s="1"/>
  <c r="AA748" i="1" s="1"/>
  <c r="X744" i="1"/>
  <c r="Y744" i="1" s="1"/>
  <c r="Z744" i="1" s="1"/>
  <c r="AA744" i="1" s="1"/>
  <c r="X740" i="1"/>
  <c r="Y740" i="1" s="1"/>
  <c r="Z740" i="1" s="1"/>
  <c r="AA740" i="1" s="1"/>
  <c r="X736" i="1"/>
  <c r="Y736" i="1" s="1"/>
  <c r="Z736" i="1" s="1"/>
  <c r="AA736" i="1" s="1"/>
  <c r="X732" i="1"/>
  <c r="Y732" i="1" s="1"/>
  <c r="Z732" i="1" s="1"/>
  <c r="AA732" i="1" s="1"/>
  <c r="X728" i="1"/>
  <c r="Y728" i="1" s="1"/>
  <c r="Z728" i="1" s="1"/>
  <c r="AA728" i="1" s="1"/>
  <c r="X724" i="1"/>
  <c r="Y724" i="1" s="1"/>
  <c r="Z724" i="1" s="1"/>
  <c r="AA724" i="1" s="1"/>
  <c r="X720" i="1"/>
  <c r="Y720" i="1" s="1"/>
  <c r="Z720" i="1" s="1"/>
  <c r="AA720" i="1" s="1"/>
  <c r="X716" i="1"/>
  <c r="Y716" i="1" s="1"/>
  <c r="Z716" i="1" s="1"/>
  <c r="AA716" i="1" s="1"/>
  <c r="X712" i="1"/>
  <c r="Y712" i="1" s="1"/>
  <c r="Z712" i="1" s="1"/>
  <c r="AA712" i="1" s="1"/>
  <c r="X708" i="1"/>
  <c r="Y708" i="1" s="1"/>
  <c r="Z708" i="1" s="1"/>
  <c r="AA708" i="1" s="1"/>
  <c r="X704" i="1"/>
  <c r="Y704" i="1" s="1"/>
  <c r="Z704" i="1" s="1"/>
  <c r="AA704" i="1" s="1"/>
  <c r="X700" i="1"/>
  <c r="Y700" i="1" s="1"/>
  <c r="Z700" i="1" s="1"/>
  <c r="AA700" i="1" s="1"/>
  <c r="X696" i="1"/>
  <c r="Y696" i="1" s="1"/>
  <c r="Z696" i="1" s="1"/>
  <c r="AA696" i="1" s="1"/>
  <c r="X692" i="1"/>
  <c r="Y692" i="1" s="1"/>
  <c r="Z692" i="1" s="1"/>
  <c r="AA692" i="1" s="1"/>
  <c r="X688" i="1"/>
  <c r="Y688" i="1" s="1"/>
  <c r="Z688" i="1" s="1"/>
  <c r="AA688" i="1" s="1"/>
  <c r="X684" i="1"/>
  <c r="Y684" i="1" s="1"/>
  <c r="Z684" i="1" s="1"/>
  <c r="AA684" i="1" s="1"/>
  <c r="X680" i="1"/>
  <c r="Y680" i="1" s="1"/>
  <c r="Z680" i="1" s="1"/>
  <c r="AA680" i="1" s="1"/>
  <c r="X676" i="1"/>
  <c r="Y676" i="1" s="1"/>
  <c r="Z676" i="1" s="1"/>
  <c r="AA676" i="1" s="1"/>
  <c r="X672" i="1"/>
  <c r="Y672" i="1" s="1"/>
  <c r="Z672" i="1" s="1"/>
  <c r="AA672" i="1" s="1"/>
  <c r="X668" i="1"/>
  <c r="Y668" i="1" s="1"/>
  <c r="Z668" i="1" s="1"/>
  <c r="AA668" i="1" s="1"/>
  <c r="X664" i="1"/>
  <c r="Y664" i="1" s="1"/>
  <c r="Z664" i="1" s="1"/>
  <c r="AA664" i="1" s="1"/>
  <c r="X660" i="1"/>
  <c r="Y660" i="1" s="1"/>
  <c r="Z660" i="1" s="1"/>
  <c r="AA660" i="1" s="1"/>
  <c r="X656" i="1"/>
  <c r="Y656" i="1" s="1"/>
  <c r="Z656" i="1" s="1"/>
  <c r="AA656" i="1" s="1"/>
  <c r="X652" i="1"/>
  <c r="Y652" i="1" s="1"/>
  <c r="Z652" i="1" s="1"/>
  <c r="AA652" i="1" s="1"/>
  <c r="X648" i="1"/>
  <c r="Y648" i="1" s="1"/>
  <c r="Z648" i="1" s="1"/>
  <c r="AA648" i="1" s="1"/>
  <c r="X644" i="1"/>
  <c r="Y644" i="1" s="1"/>
  <c r="Z644" i="1" s="1"/>
  <c r="AA644" i="1" s="1"/>
  <c r="X640" i="1"/>
  <c r="Y640" i="1" s="1"/>
  <c r="Z640" i="1" s="1"/>
  <c r="AA640" i="1" s="1"/>
  <c r="X636" i="1"/>
  <c r="Y636" i="1" s="1"/>
  <c r="Z636" i="1" s="1"/>
  <c r="AA636" i="1" s="1"/>
  <c r="X632" i="1"/>
  <c r="Y632" i="1" s="1"/>
  <c r="Z632" i="1" s="1"/>
  <c r="AA632" i="1" s="1"/>
  <c r="X628" i="1"/>
  <c r="Y628" i="1" s="1"/>
  <c r="Z628" i="1" s="1"/>
  <c r="AA628" i="1" s="1"/>
  <c r="X624" i="1"/>
  <c r="Y624" i="1" s="1"/>
  <c r="Z624" i="1" s="1"/>
  <c r="AA624" i="1" s="1"/>
  <c r="X620" i="1"/>
  <c r="Y620" i="1" s="1"/>
  <c r="Z620" i="1" s="1"/>
  <c r="AA620" i="1" s="1"/>
  <c r="X616" i="1"/>
  <c r="Y616" i="1" s="1"/>
  <c r="Z616" i="1" s="1"/>
  <c r="AA616" i="1" s="1"/>
  <c r="X612" i="1"/>
  <c r="Y612" i="1" s="1"/>
  <c r="Z612" i="1" s="1"/>
  <c r="AA612" i="1" s="1"/>
  <c r="X608" i="1"/>
  <c r="Y608" i="1" s="1"/>
  <c r="Z608" i="1" s="1"/>
  <c r="AA608" i="1" s="1"/>
  <c r="X604" i="1"/>
  <c r="Y604" i="1" s="1"/>
  <c r="Z604" i="1" s="1"/>
  <c r="AA604" i="1" s="1"/>
  <c r="X600" i="1"/>
  <c r="Y600" i="1" s="1"/>
  <c r="Z600" i="1" s="1"/>
  <c r="AA600" i="1" s="1"/>
  <c r="X596" i="1"/>
  <c r="Y596" i="1" s="1"/>
  <c r="Z596" i="1" s="1"/>
  <c r="AA596" i="1" s="1"/>
  <c r="X592" i="1"/>
  <c r="Y592" i="1" s="1"/>
  <c r="Z592" i="1" s="1"/>
  <c r="AA592" i="1" s="1"/>
  <c r="X588" i="1"/>
  <c r="Y588" i="1" s="1"/>
  <c r="Z588" i="1" s="1"/>
  <c r="AA588" i="1" s="1"/>
  <c r="X584" i="1"/>
  <c r="Y584" i="1" s="1"/>
  <c r="Z584" i="1" s="1"/>
  <c r="AA584" i="1" s="1"/>
  <c r="X580" i="1"/>
  <c r="Y580" i="1" s="1"/>
  <c r="Z580" i="1" s="1"/>
  <c r="AA580" i="1" s="1"/>
  <c r="X576" i="1"/>
  <c r="Y576" i="1" s="1"/>
  <c r="Z576" i="1" s="1"/>
  <c r="AA576" i="1" s="1"/>
  <c r="X572" i="1"/>
  <c r="Y572" i="1" s="1"/>
  <c r="Z572" i="1" s="1"/>
  <c r="AA572" i="1" s="1"/>
  <c r="X568" i="1"/>
  <c r="Y568" i="1" s="1"/>
  <c r="Z568" i="1" s="1"/>
  <c r="AA568" i="1" s="1"/>
  <c r="X564" i="1"/>
  <c r="Y564" i="1" s="1"/>
  <c r="Z564" i="1" s="1"/>
  <c r="AA564" i="1" s="1"/>
  <c r="X560" i="1"/>
  <c r="Y560" i="1" s="1"/>
  <c r="Z560" i="1" s="1"/>
  <c r="AA560" i="1" s="1"/>
  <c r="X556" i="1"/>
  <c r="Y556" i="1" s="1"/>
  <c r="Z556" i="1" s="1"/>
  <c r="AA556" i="1" s="1"/>
  <c r="X552" i="1"/>
  <c r="Y552" i="1" s="1"/>
  <c r="Z552" i="1" s="1"/>
  <c r="AA552" i="1" s="1"/>
  <c r="X548" i="1"/>
  <c r="Y548" i="1" s="1"/>
  <c r="Z548" i="1" s="1"/>
  <c r="AA548" i="1" s="1"/>
  <c r="X544" i="1"/>
  <c r="Y544" i="1" s="1"/>
  <c r="Z544" i="1" s="1"/>
  <c r="AA544" i="1" s="1"/>
  <c r="X540" i="1"/>
  <c r="Y540" i="1" s="1"/>
  <c r="Z540" i="1" s="1"/>
  <c r="AA540" i="1" s="1"/>
  <c r="X536" i="1"/>
  <c r="Y536" i="1" s="1"/>
  <c r="Z536" i="1" s="1"/>
  <c r="AA536" i="1" s="1"/>
  <c r="X532" i="1"/>
  <c r="Y532" i="1" s="1"/>
  <c r="Z532" i="1" s="1"/>
  <c r="AA532" i="1" s="1"/>
  <c r="X528" i="1"/>
  <c r="Y528" i="1" s="1"/>
  <c r="Z528" i="1" s="1"/>
  <c r="AA528" i="1" s="1"/>
  <c r="X524" i="1"/>
  <c r="Y524" i="1" s="1"/>
  <c r="Z524" i="1" s="1"/>
  <c r="AA524" i="1" s="1"/>
  <c r="X520" i="1"/>
  <c r="Y520" i="1" s="1"/>
  <c r="Z520" i="1" s="1"/>
  <c r="AA520" i="1" s="1"/>
  <c r="X516" i="1"/>
  <c r="Y516" i="1" s="1"/>
  <c r="Z516" i="1" s="1"/>
  <c r="AA516" i="1" s="1"/>
  <c r="X512" i="1"/>
  <c r="Y512" i="1" s="1"/>
  <c r="Z512" i="1" s="1"/>
  <c r="AA512" i="1" s="1"/>
  <c r="X508" i="1"/>
  <c r="Y508" i="1" s="1"/>
  <c r="Z508" i="1" s="1"/>
  <c r="AA508" i="1" s="1"/>
  <c r="X504" i="1"/>
  <c r="Y504" i="1" s="1"/>
  <c r="Z504" i="1" s="1"/>
  <c r="AA504" i="1" s="1"/>
  <c r="X500" i="1"/>
  <c r="Y500" i="1" s="1"/>
  <c r="Z500" i="1" s="1"/>
  <c r="AA500" i="1" s="1"/>
  <c r="X496" i="1"/>
  <c r="Y496" i="1" s="1"/>
  <c r="Z496" i="1" s="1"/>
  <c r="AA496" i="1" s="1"/>
  <c r="X492" i="1"/>
  <c r="Y492" i="1" s="1"/>
  <c r="Z492" i="1" s="1"/>
  <c r="AA492" i="1" s="1"/>
  <c r="X488" i="1"/>
  <c r="Y488" i="1" s="1"/>
  <c r="Z488" i="1" s="1"/>
  <c r="AA488" i="1" s="1"/>
  <c r="X484" i="1"/>
  <c r="Y484" i="1" s="1"/>
  <c r="Z484" i="1" s="1"/>
  <c r="AA484" i="1" s="1"/>
  <c r="X480" i="1"/>
  <c r="Y480" i="1" s="1"/>
  <c r="Z480" i="1" s="1"/>
  <c r="AA480" i="1" s="1"/>
  <c r="X476" i="1"/>
  <c r="Y476" i="1" s="1"/>
  <c r="Z476" i="1" s="1"/>
  <c r="AA476" i="1" s="1"/>
  <c r="X472" i="1"/>
  <c r="Y472" i="1" s="1"/>
  <c r="Z472" i="1" s="1"/>
  <c r="AA472" i="1" s="1"/>
  <c r="X468" i="1"/>
  <c r="Y468" i="1" s="1"/>
  <c r="Z468" i="1" s="1"/>
  <c r="AA468" i="1" s="1"/>
  <c r="X464" i="1"/>
  <c r="Y464" i="1" s="1"/>
  <c r="Z464" i="1" s="1"/>
  <c r="AA464" i="1" s="1"/>
  <c r="X460" i="1"/>
  <c r="Y460" i="1" s="1"/>
  <c r="Z460" i="1" s="1"/>
  <c r="AA460" i="1" s="1"/>
  <c r="X456" i="1"/>
  <c r="Y456" i="1" s="1"/>
  <c r="Z456" i="1" s="1"/>
  <c r="AA456" i="1" s="1"/>
  <c r="X452" i="1"/>
  <c r="Y452" i="1" s="1"/>
  <c r="Z452" i="1" s="1"/>
  <c r="AA452" i="1" s="1"/>
  <c r="X448" i="1"/>
  <c r="Y448" i="1" s="1"/>
  <c r="Z448" i="1" s="1"/>
  <c r="AA448" i="1" s="1"/>
  <c r="X444" i="1"/>
  <c r="Y444" i="1" s="1"/>
  <c r="Z444" i="1" s="1"/>
  <c r="AA444" i="1" s="1"/>
  <c r="X440" i="1"/>
  <c r="Y440" i="1" s="1"/>
  <c r="Z440" i="1" s="1"/>
  <c r="AA440" i="1" s="1"/>
  <c r="X436" i="1"/>
  <c r="Y436" i="1" s="1"/>
  <c r="Z436" i="1" s="1"/>
  <c r="AA436" i="1" s="1"/>
  <c r="X432" i="1"/>
  <c r="Y432" i="1" s="1"/>
  <c r="Z432" i="1" s="1"/>
  <c r="AA432" i="1" s="1"/>
  <c r="X428" i="1"/>
  <c r="Y428" i="1" s="1"/>
  <c r="Z428" i="1" s="1"/>
  <c r="AA428" i="1" s="1"/>
  <c r="X424" i="1"/>
  <c r="Y424" i="1" s="1"/>
  <c r="Z424" i="1" s="1"/>
  <c r="AA424" i="1" s="1"/>
  <c r="X420" i="1"/>
  <c r="Y420" i="1" s="1"/>
  <c r="Z420" i="1" s="1"/>
  <c r="AA420" i="1" s="1"/>
  <c r="X416" i="1"/>
  <c r="Y416" i="1" s="1"/>
  <c r="Z416" i="1" s="1"/>
  <c r="AA416" i="1" s="1"/>
  <c r="X412" i="1"/>
  <c r="Y412" i="1" s="1"/>
  <c r="Z412" i="1" s="1"/>
  <c r="AA412" i="1" s="1"/>
  <c r="X408" i="1"/>
  <c r="Y408" i="1" s="1"/>
  <c r="Z408" i="1" s="1"/>
  <c r="AA408" i="1" s="1"/>
  <c r="X404" i="1"/>
  <c r="Y404" i="1" s="1"/>
  <c r="Z404" i="1" s="1"/>
  <c r="AA404" i="1" s="1"/>
  <c r="X400" i="1"/>
  <c r="Y400" i="1" s="1"/>
  <c r="Z400" i="1" s="1"/>
  <c r="AA400" i="1" s="1"/>
  <c r="X396" i="1"/>
  <c r="Y396" i="1" s="1"/>
  <c r="Z396" i="1" s="1"/>
  <c r="AA396" i="1" s="1"/>
  <c r="X392" i="1"/>
  <c r="Y392" i="1" s="1"/>
  <c r="Z392" i="1" s="1"/>
  <c r="AA392" i="1" s="1"/>
  <c r="X388" i="1"/>
  <c r="Y388" i="1" s="1"/>
  <c r="Z388" i="1" s="1"/>
  <c r="AA388" i="1" s="1"/>
  <c r="X384" i="1"/>
  <c r="Y384" i="1" s="1"/>
  <c r="Z384" i="1" s="1"/>
  <c r="AA384" i="1" s="1"/>
  <c r="X380" i="1"/>
  <c r="Y380" i="1" s="1"/>
  <c r="Z380" i="1" s="1"/>
  <c r="AA380" i="1" s="1"/>
  <c r="X376" i="1"/>
  <c r="Y376" i="1" s="1"/>
  <c r="Z376" i="1" s="1"/>
  <c r="AA376" i="1" s="1"/>
  <c r="X372" i="1"/>
  <c r="Y372" i="1" s="1"/>
  <c r="Z372" i="1" s="1"/>
  <c r="AA372" i="1" s="1"/>
  <c r="X368" i="1"/>
  <c r="Y368" i="1" s="1"/>
  <c r="Z368" i="1" s="1"/>
  <c r="AA368" i="1" s="1"/>
  <c r="X364" i="1"/>
  <c r="Y364" i="1" s="1"/>
  <c r="Z364" i="1" s="1"/>
  <c r="AA364" i="1" s="1"/>
  <c r="X360" i="1"/>
  <c r="Y360" i="1" s="1"/>
  <c r="Z360" i="1" s="1"/>
  <c r="AA360" i="1" s="1"/>
  <c r="X356" i="1"/>
  <c r="Y356" i="1" s="1"/>
  <c r="Z356" i="1" s="1"/>
  <c r="AA356" i="1" s="1"/>
  <c r="X352" i="1"/>
  <c r="Y352" i="1" s="1"/>
  <c r="Z352" i="1" s="1"/>
  <c r="AA352" i="1" s="1"/>
  <c r="X348" i="1"/>
  <c r="Y348" i="1" s="1"/>
  <c r="Z348" i="1" s="1"/>
  <c r="AA348" i="1" s="1"/>
  <c r="X344" i="1"/>
  <c r="Y344" i="1" s="1"/>
  <c r="Z344" i="1" s="1"/>
  <c r="AA344" i="1" s="1"/>
  <c r="X340" i="1"/>
  <c r="Y340" i="1" s="1"/>
  <c r="Z340" i="1" s="1"/>
  <c r="AA340" i="1" s="1"/>
  <c r="X336" i="1"/>
  <c r="Y336" i="1" s="1"/>
  <c r="Z336" i="1" s="1"/>
  <c r="AA336" i="1" s="1"/>
  <c r="X332" i="1"/>
  <c r="Y332" i="1" s="1"/>
  <c r="Z332" i="1" s="1"/>
  <c r="AA332" i="1" s="1"/>
  <c r="X324" i="1"/>
  <c r="Y324" i="1" s="1"/>
  <c r="Z324" i="1" s="1"/>
  <c r="AA324" i="1" s="1"/>
  <c r="X320" i="1"/>
  <c r="Y320" i="1" s="1"/>
  <c r="Z320" i="1" s="1"/>
  <c r="AA320" i="1" s="1"/>
  <c r="X316" i="1"/>
  <c r="Y316" i="1" s="1"/>
  <c r="Z316" i="1" s="1"/>
  <c r="AA316" i="1" s="1"/>
  <c r="X308" i="1"/>
  <c r="Y308" i="1" s="1"/>
  <c r="Z308" i="1" s="1"/>
  <c r="AA308" i="1" s="1"/>
  <c r="X304" i="1"/>
  <c r="Y304" i="1" s="1"/>
  <c r="Z304" i="1" s="1"/>
  <c r="AA304" i="1" s="1"/>
  <c r="X300" i="1"/>
  <c r="Y300" i="1" s="1"/>
  <c r="Z300" i="1" s="1"/>
  <c r="AA300" i="1" s="1"/>
  <c r="X296" i="1"/>
  <c r="Y296" i="1" s="1"/>
  <c r="Z296" i="1" s="1"/>
  <c r="AA296" i="1" s="1"/>
  <c r="X292" i="1"/>
  <c r="Y292" i="1" s="1"/>
  <c r="Z292" i="1" s="1"/>
  <c r="AA292" i="1" s="1"/>
  <c r="X284" i="1"/>
  <c r="Y284" i="1" s="1"/>
  <c r="Z284" i="1" s="1"/>
  <c r="AA284" i="1" s="1"/>
  <c r="X280" i="1"/>
  <c r="Y280" i="1" s="1"/>
  <c r="Z280" i="1" s="1"/>
  <c r="AA280" i="1" s="1"/>
  <c r="X276" i="1"/>
  <c r="Y276" i="1" s="1"/>
  <c r="Z276" i="1" s="1"/>
  <c r="AA276" i="1" s="1"/>
  <c r="X272" i="1"/>
  <c r="Y272" i="1" s="1"/>
  <c r="Z272" i="1" s="1"/>
  <c r="AA272" i="1" s="1"/>
  <c r="X268" i="1"/>
  <c r="Y268" i="1" s="1"/>
  <c r="Z268" i="1" s="1"/>
  <c r="AA268" i="1" s="1"/>
  <c r="X264" i="1"/>
  <c r="Y264" i="1" s="1"/>
  <c r="Z264" i="1" s="1"/>
  <c r="AA264" i="1" s="1"/>
  <c r="X260" i="1"/>
  <c r="Y260" i="1" s="1"/>
  <c r="Z260" i="1" s="1"/>
  <c r="AA260" i="1" s="1"/>
  <c r="X252" i="1"/>
  <c r="Y252" i="1" s="1"/>
  <c r="Z252" i="1" s="1"/>
  <c r="AA252" i="1" s="1"/>
  <c r="X248" i="1"/>
  <c r="Y248" i="1" s="1"/>
  <c r="Z248" i="1" s="1"/>
  <c r="AA248" i="1" s="1"/>
  <c r="X244" i="1"/>
  <c r="Y244" i="1" s="1"/>
  <c r="Z244" i="1" s="1"/>
  <c r="AA244" i="1" s="1"/>
  <c r="X240" i="1"/>
  <c r="Y240" i="1" s="1"/>
  <c r="Z240" i="1" s="1"/>
  <c r="AA240" i="1" s="1"/>
  <c r="X236" i="1"/>
  <c r="Y236" i="1" s="1"/>
  <c r="Z236" i="1" s="1"/>
  <c r="AA236" i="1" s="1"/>
  <c r="X228" i="1"/>
  <c r="Y228" i="1" s="1"/>
  <c r="Z228" i="1" s="1"/>
  <c r="AA228" i="1" s="1"/>
  <c r="X224" i="1"/>
  <c r="Y224" i="1" s="1"/>
  <c r="Z224" i="1" s="1"/>
  <c r="AA224" i="1" s="1"/>
  <c r="X220" i="1"/>
  <c r="Y220" i="1" s="1"/>
  <c r="Z220" i="1" s="1"/>
  <c r="AA220" i="1" s="1"/>
  <c r="X212" i="1"/>
  <c r="Y212" i="1" s="1"/>
  <c r="Z212" i="1" s="1"/>
  <c r="AA212" i="1" s="1"/>
  <c r="X208" i="1"/>
  <c r="Y208" i="1" s="1"/>
  <c r="Z208" i="1" s="1"/>
  <c r="AA208" i="1" s="1"/>
  <c r="X204" i="1"/>
  <c r="Y204" i="1" s="1"/>
  <c r="Z204" i="1" s="1"/>
  <c r="AA204" i="1" s="1"/>
  <c r="X196" i="1"/>
  <c r="Y196" i="1" s="1"/>
  <c r="Z196" i="1" s="1"/>
  <c r="AA196" i="1" s="1"/>
  <c r="X192" i="1"/>
  <c r="Y192" i="1" s="1"/>
  <c r="Z192" i="1" s="1"/>
  <c r="AA192" i="1" s="1"/>
  <c r="X188" i="1"/>
  <c r="Y188" i="1" s="1"/>
  <c r="Z188" i="1" s="1"/>
  <c r="AA188" i="1" s="1"/>
  <c r="X180" i="1"/>
  <c r="Y180" i="1" s="1"/>
  <c r="Z180" i="1" s="1"/>
  <c r="AA180" i="1" s="1"/>
  <c r="X176" i="1"/>
  <c r="Y176" i="1" s="1"/>
  <c r="Z176" i="1" s="1"/>
  <c r="AA176" i="1" s="1"/>
  <c r="X172" i="1"/>
  <c r="Y172" i="1" s="1"/>
  <c r="Z172" i="1" s="1"/>
  <c r="AA172" i="1" s="1"/>
  <c r="X168" i="1"/>
  <c r="Y168" i="1" s="1"/>
  <c r="Z168" i="1" s="1"/>
  <c r="AA168" i="1" s="1"/>
  <c r="X164" i="1"/>
  <c r="Y164" i="1" s="1"/>
  <c r="Z164" i="1" s="1"/>
  <c r="AA164" i="1" s="1"/>
  <c r="X156" i="1"/>
  <c r="Y156" i="1" s="1"/>
  <c r="Z156" i="1" s="1"/>
  <c r="AA156" i="1" s="1"/>
  <c r="X152" i="1"/>
  <c r="Y152" i="1" s="1"/>
  <c r="Z152" i="1" s="1"/>
  <c r="AA152" i="1" s="1"/>
  <c r="X148" i="1"/>
  <c r="Y148" i="1" s="1"/>
  <c r="Z148" i="1" s="1"/>
  <c r="AA148" i="1" s="1"/>
  <c r="X144" i="1"/>
  <c r="Y144" i="1" s="1"/>
  <c r="Z144" i="1" s="1"/>
  <c r="AA144" i="1" s="1"/>
  <c r="X140" i="1"/>
  <c r="Y140" i="1" s="1"/>
  <c r="Z140" i="1" s="1"/>
  <c r="AA140" i="1" s="1"/>
  <c r="X136" i="1"/>
  <c r="Y136" i="1" s="1"/>
  <c r="Z136" i="1" s="1"/>
  <c r="AA136" i="1" s="1"/>
  <c r="X132" i="1"/>
  <c r="Y132" i="1" s="1"/>
  <c r="Z132" i="1" s="1"/>
  <c r="AA132" i="1" s="1"/>
  <c r="X124" i="1"/>
  <c r="Y124" i="1" s="1"/>
  <c r="Z124" i="1" s="1"/>
  <c r="AA124" i="1" s="1"/>
  <c r="X120" i="1"/>
  <c r="Y120" i="1" s="1"/>
  <c r="Z120" i="1" s="1"/>
  <c r="AA120" i="1" s="1"/>
  <c r="X116" i="1"/>
  <c r="Y116" i="1" s="1"/>
  <c r="Z116" i="1" s="1"/>
  <c r="AA116" i="1" s="1"/>
  <c r="X112" i="1"/>
  <c r="Y112" i="1" s="1"/>
  <c r="Z112" i="1" s="1"/>
  <c r="AA112" i="1" s="1"/>
  <c r="X108" i="1"/>
  <c r="Y108" i="1" s="1"/>
  <c r="Z108" i="1" s="1"/>
  <c r="AA108" i="1" s="1"/>
  <c r="X100" i="1"/>
  <c r="Y100" i="1" s="1"/>
  <c r="Z100" i="1" s="1"/>
  <c r="AA100" i="1" s="1"/>
  <c r="X96" i="1"/>
  <c r="Y96" i="1" s="1"/>
  <c r="Z96" i="1" s="1"/>
  <c r="AA96" i="1" s="1"/>
  <c r="X92" i="1"/>
  <c r="Y92" i="1" s="1"/>
  <c r="Z92" i="1" s="1"/>
  <c r="AA92" i="1" s="1"/>
  <c r="X84" i="1"/>
  <c r="Y84" i="1" s="1"/>
  <c r="Z84" i="1" s="1"/>
  <c r="AA84" i="1" s="1"/>
  <c r="X80" i="1"/>
  <c r="Y80" i="1" s="1"/>
  <c r="Z80" i="1" s="1"/>
  <c r="AA80" i="1" s="1"/>
  <c r="X76" i="1"/>
  <c r="Y76" i="1" s="1"/>
  <c r="Z76" i="1" s="1"/>
  <c r="AA76" i="1" s="1"/>
  <c r="X68" i="1"/>
  <c r="Y68" i="1" s="1"/>
  <c r="Z68" i="1" s="1"/>
  <c r="AA68" i="1" s="1"/>
  <c r="X64" i="1"/>
  <c r="Y64" i="1" s="1"/>
  <c r="Z64" i="1" s="1"/>
  <c r="AA64" i="1" s="1"/>
  <c r="X60" i="1"/>
  <c r="Y60" i="1" s="1"/>
  <c r="Z60" i="1" s="1"/>
  <c r="AA60" i="1" s="1"/>
  <c r="X52" i="1"/>
  <c r="Y52" i="1" s="1"/>
  <c r="Z52" i="1" s="1"/>
  <c r="AA52" i="1" s="1"/>
  <c r="X48" i="1"/>
  <c r="Y48" i="1" s="1"/>
  <c r="Z48" i="1" s="1"/>
  <c r="AA48" i="1" s="1"/>
  <c r="X44" i="1"/>
  <c r="Y44" i="1" s="1"/>
  <c r="Z44" i="1" s="1"/>
  <c r="AA44" i="1" s="1"/>
  <c r="X40" i="1"/>
  <c r="Y40" i="1" s="1"/>
  <c r="Z40" i="1" s="1"/>
  <c r="AA40" i="1" s="1"/>
  <c r="X36" i="1"/>
  <c r="Y36" i="1" s="1"/>
  <c r="Z36" i="1" s="1"/>
  <c r="AA36" i="1" s="1"/>
  <c r="X32" i="1"/>
  <c r="Y32" i="1" s="1"/>
  <c r="Z32" i="1" s="1"/>
  <c r="AA32" i="1" s="1"/>
  <c r="X28" i="1"/>
  <c r="Y28" i="1" s="1"/>
  <c r="Z28" i="1" s="1"/>
  <c r="AA28" i="1" s="1"/>
  <c r="X24" i="1"/>
  <c r="Y24" i="1" s="1"/>
  <c r="Z24" i="1" s="1"/>
  <c r="AA24" i="1" s="1"/>
  <c r="X20" i="1"/>
  <c r="Y20" i="1" s="1"/>
  <c r="Z20" i="1" s="1"/>
  <c r="AA20" i="1" s="1"/>
  <c r="X16" i="1"/>
  <c r="Y16" i="1" s="1"/>
  <c r="Z16" i="1" s="1"/>
  <c r="AA16" i="1" s="1"/>
  <c r="X12" i="1"/>
  <c r="Y12" i="1" s="1"/>
  <c r="Z12" i="1" s="1"/>
  <c r="AA12" i="1" s="1"/>
  <c r="X8" i="1"/>
  <c r="Y8" i="1" s="1"/>
  <c r="Z8" i="1" s="1"/>
  <c r="AA8" i="1" s="1"/>
  <c r="X4" i="1"/>
  <c r="Y4" i="1" s="1"/>
  <c r="Z4" i="1" s="1"/>
  <c r="AA4" i="1" s="1"/>
  <c r="X618" i="1"/>
  <c r="Y618" i="1" s="1"/>
  <c r="Z618" i="1" s="1"/>
  <c r="AA618" i="1" s="1"/>
  <c r="X570" i="1"/>
  <c r="Y570" i="1" s="1"/>
  <c r="Z570" i="1" s="1"/>
  <c r="AA570" i="1" s="1"/>
  <c r="X518" i="1"/>
  <c r="Y518" i="1" s="1"/>
  <c r="Z518" i="1" s="1"/>
  <c r="AA518" i="1" s="1"/>
  <c r="X462" i="1"/>
  <c r="Y462" i="1" s="1"/>
  <c r="Z462" i="1" s="1"/>
  <c r="AA462" i="1" s="1"/>
  <c r="X426" i="1"/>
  <c r="Y426" i="1" s="1"/>
  <c r="Z426" i="1" s="1"/>
  <c r="AA426" i="1" s="1"/>
  <c r="X390" i="1"/>
  <c r="Y390" i="1" s="1"/>
  <c r="Z390" i="1" s="1"/>
  <c r="AA390" i="1" s="1"/>
  <c r="X350" i="1"/>
  <c r="Y350" i="1" s="1"/>
  <c r="Z350" i="1" s="1"/>
  <c r="AA350" i="1" s="1"/>
  <c r="Y1996" i="1"/>
  <c r="Z1996" i="1" s="1"/>
  <c r="AA1996" i="1" s="1"/>
  <c r="Y1980" i="1"/>
  <c r="Z1980" i="1" s="1"/>
  <c r="AA1980" i="1" s="1"/>
  <c r="Y1964" i="1"/>
  <c r="Z1964" i="1" s="1"/>
  <c r="AA1964" i="1" s="1"/>
  <c r="Y1948" i="1"/>
  <c r="Z1948" i="1" s="1"/>
  <c r="AA1948" i="1" s="1"/>
  <c r="Y1932" i="1"/>
  <c r="Z1932" i="1" s="1"/>
  <c r="AA1932" i="1" s="1"/>
  <c r="Y1916" i="1"/>
  <c r="Z1916" i="1" s="1"/>
  <c r="AA1916" i="1" s="1"/>
  <c r="Y1900" i="1"/>
  <c r="Z1900" i="1" s="1"/>
  <c r="AA1900" i="1" s="1"/>
  <c r="Y1884" i="1"/>
  <c r="Z1884" i="1" s="1"/>
  <c r="AA1884" i="1" s="1"/>
  <c r="Y1868" i="1"/>
  <c r="Z1868" i="1" s="1"/>
  <c r="AA1868" i="1" s="1"/>
  <c r="Y1852" i="1"/>
  <c r="Z1852" i="1" s="1"/>
  <c r="AA1852" i="1" s="1"/>
  <c r="Y1836" i="1"/>
  <c r="Z1836" i="1" s="1"/>
  <c r="AA1836" i="1" s="1"/>
  <c r="Y1820" i="1"/>
  <c r="Z1820" i="1" s="1"/>
  <c r="AA1820" i="1" s="1"/>
  <c r="Y1804" i="1"/>
  <c r="Z1804" i="1" s="1"/>
  <c r="AA1804" i="1" s="1"/>
  <c r="Y1788" i="1"/>
  <c r="Z1788" i="1" s="1"/>
  <c r="AA1788" i="1" s="1"/>
  <c r="Y1772" i="1"/>
  <c r="Z1772" i="1" s="1"/>
  <c r="AA1772" i="1" s="1"/>
  <c r="Y1756" i="1"/>
  <c r="Z1756" i="1" s="1"/>
  <c r="AA1756" i="1" s="1"/>
  <c r="Y1740" i="1"/>
  <c r="Z1740" i="1" s="1"/>
  <c r="AA1740" i="1" s="1"/>
  <c r="Y1695" i="1"/>
  <c r="Z1695" i="1" s="1"/>
  <c r="AA1695" i="1" s="1"/>
  <c r="Y1668" i="1"/>
  <c r="Z1668" i="1" s="1"/>
  <c r="AA1668" i="1" s="1"/>
  <c r="Y1659" i="1"/>
  <c r="Z1659" i="1" s="1"/>
  <c r="AA1659" i="1" s="1"/>
  <c r="Y1648" i="1"/>
  <c r="Z1648" i="1" s="1"/>
  <c r="AA1648" i="1" s="1"/>
  <c r="Y1631" i="1"/>
  <c r="Z1631" i="1" s="1"/>
  <c r="AA1631" i="1" s="1"/>
  <c r="Y1604" i="1"/>
  <c r="Z1604" i="1" s="1"/>
  <c r="AA1604" i="1" s="1"/>
  <c r="Y1595" i="1"/>
  <c r="Z1595" i="1" s="1"/>
  <c r="AA1595" i="1" s="1"/>
  <c r="Y1584" i="1"/>
  <c r="Z1584" i="1" s="1"/>
  <c r="AA1584" i="1" s="1"/>
  <c r="Y1567" i="1"/>
  <c r="Z1567" i="1" s="1"/>
  <c r="AA1567" i="1" s="1"/>
  <c r="Y1540" i="1"/>
  <c r="Z1540" i="1" s="1"/>
  <c r="AA1540" i="1" s="1"/>
  <c r="Y1531" i="1"/>
  <c r="Z1531" i="1" s="1"/>
  <c r="AA1531" i="1" s="1"/>
  <c r="Y1520" i="1"/>
  <c r="Z1520" i="1" s="1"/>
  <c r="AA1520" i="1" s="1"/>
  <c r="Y1503" i="1"/>
  <c r="Z1503" i="1" s="1"/>
  <c r="AA1503" i="1" s="1"/>
  <c r="Y1476" i="1"/>
  <c r="Z1476" i="1" s="1"/>
  <c r="AA1476" i="1" s="1"/>
  <c r="Y1467" i="1"/>
  <c r="Z1467" i="1" s="1"/>
  <c r="AA1467" i="1" s="1"/>
  <c r="Y1456" i="1"/>
  <c r="Z1456" i="1" s="1"/>
  <c r="AA1456" i="1" s="1"/>
  <c r="Y1439" i="1"/>
  <c r="Z1439" i="1" s="1"/>
  <c r="AA1439" i="1" s="1"/>
  <c r="Y1412" i="1"/>
  <c r="Z1412" i="1" s="1"/>
  <c r="AA1412" i="1" s="1"/>
  <c r="Y1403" i="1"/>
  <c r="Z1403" i="1" s="1"/>
  <c r="AA1403" i="1" s="1"/>
  <c r="Y1392" i="1"/>
  <c r="Z1392" i="1" s="1"/>
  <c r="AA1392" i="1" s="1"/>
  <c r="Y1375" i="1"/>
  <c r="Z1375" i="1" s="1"/>
  <c r="AA1375" i="1" s="1"/>
  <c r="Y1348" i="1"/>
  <c r="Z1348" i="1" s="1"/>
  <c r="AA1348" i="1" s="1"/>
  <c r="Y1339" i="1"/>
  <c r="Z1339" i="1" s="1"/>
  <c r="AA1339" i="1" s="1"/>
  <c r="Y1328" i="1"/>
  <c r="Z1328" i="1" s="1"/>
  <c r="AA1328" i="1" s="1"/>
  <c r="Y1300" i="1"/>
  <c r="Z1300" i="1" s="1"/>
  <c r="AA1300" i="1" s="1"/>
  <c r="Y1291" i="1"/>
  <c r="Z1291" i="1" s="1"/>
  <c r="AA1291" i="1" s="1"/>
  <c r="Y1280" i="1"/>
  <c r="Z1280" i="1" s="1"/>
  <c r="AA1280" i="1" s="1"/>
  <c r="Y1263" i="1"/>
  <c r="Z1263" i="1" s="1"/>
  <c r="AA1263" i="1" s="1"/>
  <c r="Y1236" i="1"/>
  <c r="Z1236" i="1" s="1"/>
  <c r="AA1236" i="1" s="1"/>
  <c r="Y1227" i="1"/>
  <c r="Z1227" i="1" s="1"/>
  <c r="AA1227" i="1" s="1"/>
  <c r="Y1216" i="1"/>
  <c r="Z1216" i="1" s="1"/>
  <c r="AA1216" i="1" s="1"/>
  <c r="Y1199" i="1"/>
  <c r="Z1199" i="1" s="1"/>
  <c r="AA1199" i="1" s="1"/>
  <c r="Y1172" i="1"/>
  <c r="Z1172" i="1" s="1"/>
  <c r="AA1172" i="1" s="1"/>
  <c r="Y1163" i="1"/>
  <c r="Z1163" i="1" s="1"/>
  <c r="AA1163" i="1" s="1"/>
  <c r="Y1152" i="1"/>
  <c r="Z1152" i="1" s="1"/>
  <c r="AA1152" i="1" s="1"/>
  <c r="Y1135" i="1"/>
  <c r="Z1135" i="1" s="1"/>
  <c r="AA1135" i="1" s="1"/>
  <c r="Y1108" i="1"/>
  <c r="Z1108" i="1" s="1"/>
  <c r="AA1108" i="1" s="1"/>
  <c r="Y1099" i="1"/>
  <c r="Z1099" i="1" s="1"/>
  <c r="AA1099" i="1" s="1"/>
  <c r="Y1088" i="1"/>
  <c r="Z1088" i="1" s="1"/>
  <c r="AA1088" i="1" s="1"/>
  <c r="Y1071" i="1"/>
  <c r="Z1071" i="1" s="1"/>
  <c r="AA1071" i="1" s="1"/>
  <c r="Y1044" i="1"/>
  <c r="Z1044" i="1" s="1"/>
  <c r="AA1044" i="1" s="1"/>
  <c r="Y1035" i="1"/>
  <c r="Z1035" i="1" s="1"/>
  <c r="AA1035" i="1" s="1"/>
  <c r="Y1024" i="1"/>
  <c r="Z1024" i="1" s="1"/>
  <c r="AA1024" i="1" s="1"/>
  <c r="Y1007" i="1"/>
  <c r="Z1007" i="1" s="1"/>
  <c r="AA1007" i="1" s="1"/>
  <c r="Y980" i="1"/>
  <c r="Z980" i="1" s="1"/>
  <c r="AA980" i="1" s="1"/>
  <c r="Y971" i="1"/>
  <c r="Z971" i="1" s="1"/>
  <c r="AA971" i="1" s="1"/>
  <c r="Y960" i="1"/>
  <c r="Z960" i="1" s="1"/>
  <c r="AA960" i="1" s="1"/>
  <c r="Y943" i="1"/>
  <c r="Z943" i="1" s="1"/>
  <c r="AA943" i="1" s="1"/>
  <c r="Y916" i="1"/>
  <c r="Z916" i="1" s="1"/>
  <c r="AA916" i="1" s="1"/>
  <c r="Y907" i="1"/>
  <c r="Z907" i="1" s="1"/>
  <c r="AA907" i="1" s="1"/>
  <c r="Y896" i="1"/>
  <c r="Z896" i="1" s="1"/>
  <c r="AA896" i="1" s="1"/>
  <c r="Y879" i="1"/>
  <c r="Z879" i="1" s="1"/>
  <c r="AA879" i="1" s="1"/>
  <c r="Y852" i="1"/>
  <c r="Z852" i="1" s="1"/>
  <c r="AA852" i="1" s="1"/>
  <c r="Y838" i="1"/>
  <c r="Z838" i="1" s="1"/>
  <c r="AA838" i="1" s="1"/>
  <c r="Y826" i="1"/>
  <c r="Z826" i="1" s="1"/>
  <c r="AA826" i="1" s="1"/>
  <c r="Y811" i="1"/>
  <c r="Z811" i="1" s="1"/>
  <c r="AA811" i="1" s="1"/>
  <c r="Y803" i="1"/>
  <c r="Z803" i="1" s="1"/>
  <c r="AA803" i="1" s="1"/>
  <c r="Y790" i="1"/>
  <c r="Z790" i="1" s="1"/>
  <c r="AA790" i="1" s="1"/>
  <c r="Y767" i="1"/>
  <c r="Z767" i="1" s="1"/>
  <c r="AA767" i="1" s="1"/>
  <c r="Y731" i="1"/>
  <c r="Z731" i="1" s="1"/>
  <c r="AA731" i="1" s="1"/>
  <c r="Y718" i="1"/>
  <c r="Z718" i="1" s="1"/>
  <c r="AA718" i="1" s="1"/>
  <c r="Y691" i="1"/>
  <c r="Z691" i="1" s="1"/>
  <c r="AA691" i="1" s="1"/>
  <c r="Y670" i="1"/>
  <c r="Z670" i="1" s="1"/>
  <c r="AA670" i="1" s="1"/>
  <c r="Y655" i="1"/>
  <c r="Z655" i="1" s="1"/>
  <c r="AA655" i="1" s="1"/>
  <c r="Y555" i="1"/>
  <c r="Z555" i="1" s="1"/>
  <c r="AA555" i="1" s="1"/>
  <c r="Y547" i="1"/>
  <c r="Z547" i="1" s="1"/>
  <c r="AA547" i="1" s="1"/>
  <c r="Y511" i="1"/>
  <c r="Z511" i="1" s="1"/>
  <c r="AA511" i="1" s="1"/>
  <c r="Y475" i="1"/>
  <c r="Z475" i="1" s="1"/>
  <c r="AA475" i="1" s="1"/>
  <c r="Y435" i="1"/>
  <c r="Z435" i="1" s="1"/>
  <c r="AA435" i="1" s="1"/>
  <c r="Y414" i="1"/>
  <c r="Z414" i="1" s="1"/>
  <c r="AA414" i="1" s="1"/>
  <c r="Y399" i="1"/>
  <c r="Z399" i="1" s="1"/>
  <c r="AA399" i="1" s="1"/>
  <c r="Y362" i="1"/>
  <c r="Z362" i="1" s="1"/>
  <c r="AA362" i="1" s="1"/>
  <c r="Y256" i="1"/>
  <c r="Z256" i="1" s="1"/>
  <c r="AA256" i="1" s="1"/>
  <c r="Y128" i="1"/>
  <c r="Z128" i="1" s="1"/>
  <c r="AA128" i="1" s="1"/>
  <c r="X1662" i="1"/>
  <c r="Y1662" i="1" s="1"/>
  <c r="Z1662" i="1" s="1"/>
  <c r="AA1662" i="1" s="1"/>
  <c r="X1654" i="1"/>
  <c r="Y1654" i="1" s="1"/>
  <c r="Z1654" i="1" s="1"/>
  <c r="AA1654" i="1" s="1"/>
  <c r="X1642" i="1"/>
  <c r="Y1642" i="1" s="1"/>
  <c r="Z1642" i="1" s="1"/>
  <c r="AA1642" i="1" s="1"/>
  <c r="X1638" i="1"/>
  <c r="Y1638" i="1" s="1"/>
  <c r="Z1638" i="1" s="1"/>
  <c r="AA1638" i="1" s="1"/>
  <c r="X1630" i="1"/>
  <c r="Y1630" i="1" s="1"/>
  <c r="Z1630" i="1" s="1"/>
  <c r="AA1630" i="1" s="1"/>
  <c r="X1622" i="1"/>
  <c r="Y1622" i="1" s="1"/>
  <c r="Z1622" i="1" s="1"/>
  <c r="AA1622" i="1" s="1"/>
  <c r="X1610" i="1"/>
  <c r="Y1610" i="1" s="1"/>
  <c r="Z1610" i="1" s="1"/>
  <c r="AA1610" i="1" s="1"/>
  <c r="X1602" i="1"/>
  <c r="Y1602" i="1" s="1"/>
  <c r="Z1602" i="1" s="1"/>
  <c r="AA1602" i="1" s="1"/>
  <c r="X1594" i="1"/>
  <c r="Y1594" i="1" s="1"/>
  <c r="Z1594" i="1" s="1"/>
  <c r="AA1594" i="1" s="1"/>
  <c r="X1586" i="1"/>
  <c r="Y1586" i="1" s="1"/>
  <c r="Z1586" i="1" s="1"/>
  <c r="AA1586" i="1" s="1"/>
  <c r="X1578" i="1"/>
  <c r="Y1578" i="1" s="1"/>
  <c r="Z1578" i="1" s="1"/>
  <c r="AA1578" i="1" s="1"/>
  <c r="X1570" i="1"/>
  <c r="Y1570" i="1" s="1"/>
  <c r="Z1570" i="1" s="1"/>
  <c r="AA1570" i="1" s="1"/>
  <c r="X1562" i="1"/>
  <c r="Y1562" i="1" s="1"/>
  <c r="Z1562" i="1" s="1"/>
  <c r="AA1562" i="1" s="1"/>
  <c r="X1554" i="1"/>
  <c r="Y1554" i="1" s="1"/>
  <c r="Z1554" i="1" s="1"/>
  <c r="AA1554" i="1" s="1"/>
  <c r="X1546" i="1"/>
  <c r="Y1546" i="1" s="1"/>
  <c r="Z1546" i="1" s="1"/>
  <c r="AA1546" i="1" s="1"/>
  <c r="X1538" i="1"/>
  <c r="Y1538" i="1" s="1"/>
  <c r="Z1538" i="1" s="1"/>
  <c r="AA1538" i="1" s="1"/>
  <c r="X1530" i="1"/>
  <c r="Y1530" i="1" s="1"/>
  <c r="Z1530" i="1" s="1"/>
  <c r="AA1530" i="1" s="1"/>
  <c r="X1522" i="1"/>
  <c r="Y1522" i="1" s="1"/>
  <c r="Z1522" i="1" s="1"/>
  <c r="AA1522" i="1" s="1"/>
  <c r="X1514" i="1"/>
  <c r="Y1514" i="1" s="1"/>
  <c r="Z1514" i="1" s="1"/>
  <c r="AA1514" i="1" s="1"/>
  <c r="X1506" i="1"/>
  <c r="Y1506" i="1" s="1"/>
  <c r="Z1506" i="1" s="1"/>
  <c r="AA1506" i="1" s="1"/>
  <c r="X1498" i="1"/>
  <c r="Y1498" i="1" s="1"/>
  <c r="Z1498" i="1" s="1"/>
  <c r="AA1498" i="1" s="1"/>
  <c r="X1490" i="1"/>
  <c r="Y1490" i="1" s="1"/>
  <c r="Z1490" i="1" s="1"/>
  <c r="AA1490" i="1" s="1"/>
  <c r="X1482" i="1"/>
  <c r="Y1482" i="1" s="1"/>
  <c r="Z1482" i="1" s="1"/>
  <c r="AA1482" i="1" s="1"/>
  <c r="X1474" i="1"/>
  <c r="Y1474" i="1" s="1"/>
  <c r="Z1474" i="1" s="1"/>
  <c r="AA1474" i="1" s="1"/>
  <c r="X1470" i="1"/>
  <c r="Y1470" i="1" s="1"/>
  <c r="Z1470" i="1" s="1"/>
  <c r="AA1470" i="1" s="1"/>
  <c r="X1462" i="1"/>
  <c r="Y1462" i="1" s="1"/>
  <c r="Z1462" i="1" s="1"/>
  <c r="AA1462" i="1" s="1"/>
  <c r="X1454" i="1"/>
  <c r="Y1454" i="1" s="1"/>
  <c r="Z1454" i="1" s="1"/>
  <c r="AA1454" i="1" s="1"/>
  <c r="X1446" i="1"/>
  <c r="Y1446" i="1" s="1"/>
  <c r="Z1446" i="1" s="1"/>
  <c r="AA1446" i="1" s="1"/>
  <c r="X1438" i="1"/>
  <c r="Y1438" i="1" s="1"/>
  <c r="Z1438" i="1" s="1"/>
  <c r="AA1438" i="1" s="1"/>
  <c r="X1426" i="1"/>
  <c r="Y1426" i="1" s="1"/>
  <c r="Z1426" i="1" s="1"/>
  <c r="AA1426" i="1" s="1"/>
  <c r="X1418" i="1"/>
  <c r="Y1418" i="1" s="1"/>
  <c r="Z1418" i="1" s="1"/>
  <c r="AA1418" i="1" s="1"/>
  <c r="X1410" i="1"/>
  <c r="Y1410" i="1" s="1"/>
  <c r="Z1410" i="1" s="1"/>
  <c r="AA1410" i="1" s="1"/>
  <c r="X1402" i="1"/>
  <c r="Y1402" i="1" s="1"/>
  <c r="Z1402" i="1" s="1"/>
  <c r="AA1402" i="1" s="1"/>
  <c r="X1394" i="1"/>
  <c r="Y1394" i="1" s="1"/>
  <c r="Z1394" i="1" s="1"/>
  <c r="AA1394" i="1" s="1"/>
  <c r="X1386" i="1"/>
  <c r="Y1386" i="1" s="1"/>
  <c r="Z1386" i="1" s="1"/>
  <c r="AA1386" i="1" s="1"/>
  <c r="X1382" i="1"/>
  <c r="Y1382" i="1" s="1"/>
  <c r="Z1382" i="1" s="1"/>
  <c r="AA1382" i="1" s="1"/>
  <c r="X1370" i="1"/>
  <c r="Y1370" i="1" s="1"/>
  <c r="Z1370" i="1" s="1"/>
  <c r="AA1370" i="1" s="1"/>
  <c r="X1366" i="1"/>
  <c r="Y1366" i="1" s="1"/>
  <c r="Z1366" i="1" s="1"/>
  <c r="AA1366" i="1" s="1"/>
  <c r="X1358" i="1"/>
  <c r="Y1358" i="1" s="1"/>
  <c r="Z1358" i="1" s="1"/>
  <c r="AA1358" i="1" s="1"/>
  <c r="X1346" i="1"/>
  <c r="Y1346" i="1" s="1"/>
  <c r="Z1346" i="1" s="1"/>
  <c r="AA1346" i="1" s="1"/>
  <c r="X1338" i="1"/>
  <c r="Y1338" i="1" s="1"/>
  <c r="Z1338" i="1" s="1"/>
  <c r="AA1338" i="1" s="1"/>
  <c r="X1330" i="1"/>
  <c r="Y1330" i="1" s="1"/>
  <c r="Z1330" i="1" s="1"/>
  <c r="AA1330" i="1" s="1"/>
  <c r="X1322" i="1"/>
  <c r="Y1322" i="1" s="1"/>
  <c r="Z1322" i="1" s="1"/>
  <c r="AA1322" i="1" s="1"/>
  <c r="X1314" i="1"/>
  <c r="Y1314" i="1" s="1"/>
  <c r="Z1314" i="1" s="1"/>
  <c r="AA1314" i="1" s="1"/>
  <c r="X1306" i="1"/>
  <c r="Y1306" i="1" s="1"/>
  <c r="Z1306" i="1" s="1"/>
  <c r="AA1306" i="1" s="1"/>
  <c r="X1298" i="1"/>
  <c r="Y1298" i="1" s="1"/>
  <c r="Z1298" i="1" s="1"/>
  <c r="AA1298" i="1" s="1"/>
  <c r="X1290" i="1"/>
  <c r="Y1290" i="1" s="1"/>
  <c r="Z1290" i="1" s="1"/>
  <c r="AA1290" i="1" s="1"/>
  <c r="X1282" i="1"/>
  <c r="Y1282" i="1" s="1"/>
  <c r="Z1282" i="1" s="1"/>
  <c r="AA1282" i="1" s="1"/>
  <c r="X1274" i="1"/>
  <c r="Y1274" i="1" s="1"/>
  <c r="Z1274" i="1" s="1"/>
  <c r="AA1274" i="1" s="1"/>
  <c r="X1266" i="1"/>
  <c r="Y1266" i="1" s="1"/>
  <c r="Z1266" i="1" s="1"/>
  <c r="AA1266" i="1" s="1"/>
  <c r="X1258" i="1"/>
  <c r="Y1258" i="1" s="1"/>
  <c r="Z1258" i="1" s="1"/>
  <c r="AA1258" i="1" s="1"/>
  <c r="X1254" i="1"/>
  <c r="Y1254" i="1" s="1"/>
  <c r="Z1254" i="1" s="1"/>
  <c r="AA1254" i="1" s="1"/>
  <c r="X1246" i="1"/>
  <c r="Y1246" i="1" s="1"/>
  <c r="Z1246" i="1" s="1"/>
  <c r="AA1246" i="1" s="1"/>
  <c r="X1238" i="1"/>
  <c r="Y1238" i="1" s="1"/>
  <c r="Z1238" i="1" s="1"/>
  <c r="AA1238" i="1" s="1"/>
  <c r="X1230" i="1"/>
  <c r="Y1230" i="1" s="1"/>
  <c r="Z1230" i="1" s="1"/>
  <c r="AA1230" i="1" s="1"/>
  <c r="X1222" i="1"/>
  <c r="Y1222" i="1" s="1"/>
  <c r="Z1222" i="1" s="1"/>
  <c r="AA1222" i="1" s="1"/>
  <c r="X1214" i="1"/>
  <c r="Y1214" i="1" s="1"/>
  <c r="Z1214" i="1" s="1"/>
  <c r="AA1214" i="1" s="1"/>
  <c r="X1206" i="1"/>
  <c r="Y1206" i="1" s="1"/>
  <c r="Z1206" i="1" s="1"/>
  <c r="AA1206" i="1" s="1"/>
  <c r="X1198" i="1"/>
  <c r="Y1198" i="1" s="1"/>
  <c r="Z1198" i="1" s="1"/>
  <c r="AA1198" i="1" s="1"/>
  <c r="X1186" i="1"/>
  <c r="Y1186" i="1" s="1"/>
  <c r="Z1186" i="1" s="1"/>
  <c r="AA1186" i="1" s="1"/>
  <c r="X1178" i="1"/>
  <c r="Y1178" i="1" s="1"/>
  <c r="Z1178" i="1" s="1"/>
  <c r="AA1178" i="1" s="1"/>
  <c r="X1170" i="1"/>
  <c r="Y1170" i="1" s="1"/>
  <c r="Z1170" i="1" s="1"/>
  <c r="AA1170" i="1" s="1"/>
  <c r="X1162" i="1"/>
  <c r="Y1162" i="1" s="1"/>
  <c r="Z1162" i="1" s="1"/>
  <c r="AA1162" i="1" s="1"/>
  <c r="X1154" i="1"/>
  <c r="Y1154" i="1" s="1"/>
  <c r="Z1154" i="1" s="1"/>
  <c r="AA1154" i="1" s="1"/>
  <c r="X1146" i="1"/>
  <c r="Y1146" i="1" s="1"/>
  <c r="Z1146" i="1" s="1"/>
  <c r="AA1146" i="1" s="1"/>
  <c r="X1138" i="1"/>
  <c r="Y1138" i="1" s="1"/>
  <c r="Z1138" i="1" s="1"/>
  <c r="AA1138" i="1" s="1"/>
  <c r="X1130" i="1"/>
  <c r="Y1130" i="1" s="1"/>
  <c r="Z1130" i="1" s="1"/>
  <c r="AA1130" i="1" s="1"/>
  <c r="X1122" i="1"/>
  <c r="Y1122" i="1" s="1"/>
  <c r="Z1122" i="1" s="1"/>
  <c r="AA1122" i="1" s="1"/>
  <c r="X1110" i="1"/>
  <c r="Y1110" i="1" s="1"/>
  <c r="Z1110" i="1" s="1"/>
  <c r="AA1110" i="1" s="1"/>
  <c r="X1106" i="1"/>
  <c r="Y1106" i="1" s="1"/>
  <c r="Z1106" i="1" s="1"/>
  <c r="AA1106" i="1" s="1"/>
  <c r="X1098" i="1"/>
  <c r="Y1098" i="1" s="1"/>
  <c r="Z1098" i="1" s="1"/>
  <c r="AA1098" i="1" s="1"/>
  <c r="X1090" i="1"/>
  <c r="Y1090" i="1" s="1"/>
  <c r="Z1090" i="1" s="1"/>
  <c r="AA1090" i="1" s="1"/>
  <c r="X1082" i="1"/>
  <c r="Y1082" i="1" s="1"/>
  <c r="Z1082" i="1" s="1"/>
  <c r="AA1082" i="1" s="1"/>
  <c r="X1074" i="1"/>
  <c r="Y1074" i="1" s="1"/>
  <c r="Z1074" i="1" s="1"/>
  <c r="AA1074" i="1" s="1"/>
  <c r="X1062" i="1"/>
  <c r="Y1062" i="1" s="1"/>
  <c r="Z1062" i="1" s="1"/>
  <c r="AA1062" i="1" s="1"/>
  <c r="X1054" i="1"/>
  <c r="Y1054" i="1" s="1"/>
  <c r="Z1054" i="1" s="1"/>
  <c r="AA1054" i="1" s="1"/>
  <c r="X1046" i="1"/>
  <c r="Y1046" i="1" s="1"/>
  <c r="Z1046" i="1" s="1"/>
  <c r="AA1046" i="1" s="1"/>
  <c r="X1034" i="1"/>
  <c r="Y1034" i="1" s="1"/>
  <c r="Z1034" i="1" s="1"/>
  <c r="AA1034" i="1" s="1"/>
  <c r="X1026" i="1"/>
  <c r="Y1026" i="1" s="1"/>
  <c r="Z1026" i="1" s="1"/>
  <c r="AA1026" i="1" s="1"/>
  <c r="X1018" i="1"/>
  <c r="Y1018" i="1" s="1"/>
  <c r="Z1018" i="1" s="1"/>
  <c r="AA1018" i="1" s="1"/>
  <c r="X1010" i="1"/>
  <c r="Y1010" i="1" s="1"/>
  <c r="Z1010" i="1" s="1"/>
  <c r="AA1010" i="1" s="1"/>
  <c r="X1002" i="1"/>
  <c r="Y1002" i="1" s="1"/>
  <c r="Z1002" i="1" s="1"/>
  <c r="AA1002" i="1" s="1"/>
  <c r="X994" i="1"/>
  <c r="Y994" i="1" s="1"/>
  <c r="Z994" i="1" s="1"/>
  <c r="AA994" i="1" s="1"/>
  <c r="X982" i="1"/>
  <c r="Y982" i="1" s="1"/>
  <c r="Z982" i="1" s="1"/>
  <c r="AA982" i="1" s="1"/>
  <c r="X974" i="1"/>
  <c r="Y974" i="1" s="1"/>
  <c r="Z974" i="1" s="1"/>
  <c r="AA974" i="1" s="1"/>
  <c r="X966" i="1"/>
  <c r="Y966" i="1" s="1"/>
  <c r="Z966" i="1" s="1"/>
  <c r="AA966" i="1" s="1"/>
  <c r="X962" i="1"/>
  <c r="Y962" i="1" s="1"/>
  <c r="Z962" i="1" s="1"/>
  <c r="AA962" i="1" s="1"/>
  <c r="X954" i="1"/>
  <c r="Y954" i="1" s="1"/>
  <c r="Z954" i="1" s="1"/>
  <c r="AA954" i="1" s="1"/>
  <c r="X946" i="1"/>
  <c r="Y946" i="1" s="1"/>
  <c r="Z946" i="1" s="1"/>
  <c r="AA946" i="1" s="1"/>
  <c r="X938" i="1"/>
  <c r="Y938" i="1" s="1"/>
  <c r="Z938" i="1" s="1"/>
  <c r="AA938" i="1" s="1"/>
  <c r="X930" i="1"/>
  <c r="Y930" i="1" s="1"/>
  <c r="Z930" i="1" s="1"/>
  <c r="AA930" i="1" s="1"/>
  <c r="X922" i="1"/>
  <c r="Y922" i="1" s="1"/>
  <c r="Z922" i="1" s="1"/>
  <c r="AA922" i="1" s="1"/>
  <c r="X914" i="1"/>
  <c r="Y914" i="1" s="1"/>
  <c r="Z914" i="1" s="1"/>
  <c r="AA914" i="1" s="1"/>
  <c r="X906" i="1"/>
  <c r="Y906" i="1" s="1"/>
  <c r="Z906" i="1" s="1"/>
  <c r="AA906" i="1" s="1"/>
  <c r="X898" i="1"/>
  <c r="Y898" i="1" s="1"/>
  <c r="Z898" i="1" s="1"/>
  <c r="AA898" i="1" s="1"/>
  <c r="X890" i="1"/>
  <c r="Y890" i="1" s="1"/>
  <c r="Z890" i="1" s="1"/>
  <c r="AA890" i="1" s="1"/>
  <c r="X882" i="1"/>
  <c r="Y882" i="1" s="1"/>
  <c r="Z882" i="1" s="1"/>
  <c r="AA882" i="1" s="1"/>
  <c r="X874" i="1"/>
  <c r="Y874" i="1" s="1"/>
  <c r="Z874" i="1" s="1"/>
  <c r="AA874" i="1" s="1"/>
  <c r="X870" i="1"/>
  <c r="Y870" i="1" s="1"/>
  <c r="Z870" i="1" s="1"/>
  <c r="AA870" i="1" s="1"/>
  <c r="X858" i="1"/>
  <c r="Y858" i="1" s="1"/>
  <c r="Z858" i="1" s="1"/>
  <c r="AA858" i="1" s="1"/>
  <c r="X854" i="1"/>
  <c r="Y854" i="1" s="1"/>
  <c r="Z854" i="1" s="1"/>
  <c r="AA854" i="1" s="1"/>
  <c r="X850" i="1"/>
  <c r="Y850" i="1" s="1"/>
  <c r="Z850" i="1" s="1"/>
  <c r="AA850" i="1" s="1"/>
  <c r="X842" i="1"/>
  <c r="Y842" i="1" s="1"/>
  <c r="Z842" i="1" s="1"/>
  <c r="AA842" i="1" s="1"/>
  <c r="X834" i="1"/>
  <c r="Y834" i="1" s="1"/>
  <c r="Z834" i="1" s="1"/>
  <c r="AA834" i="1" s="1"/>
  <c r="X830" i="1"/>
  <c r="Y830" i="1" s="1"/>
  <c r="Z830" i="1" s="1"/>
  <c r="AA830" i="1" s="1"/>
  <c r="X822" i="1"/>
  <c r="Y822" i="1" s="1"/>
  <c r="Z822" i="1" s="1"/>
  <c r="AA822" i="1" s="1"/>
  <c r="X814" i="1"/>
  <c r="Y814" i="1" s="1"/>
  <c r="Z814" i="1" s="1"/>
  <c r="AA814" i="1" s="1"/>
  <c r="X806" i="1"/>
  <c r="Y806" i="1" s="1"/>
  <c r="Z806" i="1" s="1"/>
  <c r="AA806" i="1" s="1"/>
  <c r="X778" i="1"/>
  <c r="Y778" i="1" s="1"/>
  <c r="Z778" i="1" s="1"/>
  <c r="AA778" i="1" s="1"/>
  <c r="X770" i="1"/>
  <c r="Y770" i="1" s="1"/>
  <c r="Z770" i="1" s="1"/>
  <c r="AA770" i="1" s="1"/>
  <c r="X766" i="1"/>
  <c r="Y766" i="1" s="1"/>
  <c r="Z766" i="1" s="1"/>
  <c r="AA766" i="1" s="1"/>
  <c r="X758" i="1"/>
  <c r="Y758" i="1" s="1"/>
  <c r="Z758" i="1" s="1"/>
  <c r="AA758" i="1" s="1"/>
  <c r="X730" i="1"/>
  <c r="Y730" i="1" s="1"/>
  <c r="Z730" i="1" s="1"/>
  <c r="AA730" i="1" s="1"/>
  <c r="X714" i="1"/>
  <c r="Y714" i="1" s="1"/>
  <c r="Z714" i="1" s="1"/>
  <c r="AA714" i="1" s="1"/>
  <c r="X706" i="1"/>
  <c r="Y706" i="1" s="1"/>
  <c r="Z706" i="1" s="1"/>
  <c r="AA706" i="1" s="1"/>
  <c r="X702" i="1"/>
  <c r="Y702" i="1" s="1"/>
  <c r="Z702" i="1" s="1"/>
  <c r="AA702" i="1" s="1"/>
  <c r="X690" i="1"/>
  <c r="Y690" i="1" s="1"/>
  <c r="Z690" i="1" s="1"/>
  <c r="AA690" i="1" s="1"/>
  <c r="X674" i="1"/>
  <c r="Y674" i="1" s="1"/>
  <c r="Z674" i="1" s="1"/>
  <c r="AA674" i="1" s="1"/>
  <c r="X658" i="1"/>
  <c r="Y658" i="1" s="1"/>
  <c r="Z658" i="1" s="1"/>
  <c r="AA658" i="1" s="1"/>
  <c r="X626" i="1"/>
  <c r="Y626" i="1" s="1"/>
  <c r="Z626" i="1" s="1"/>
  <c r="AA626" i="1" s="1"/>
  <c r="X610" i="1"/>
  <c r="Y610" i="1" s="1"/>
  <c r="Z610" i="1" s="1"/>
  <c r="AA610" i="1" s="1"/>
  <c r="X602" i="1"/>
  <c r="Y602" i="1" s="1"/>
  <c r="Z602" i="1" s="1"/>
  <c r="AA602" i="1" s="1"/>
  <c r="X594" i="1"/>
  <c r="Y594" i="1" s="1"/>
  <c r="Z594" i="1" s="1"/>
  <c r="AA594" i="1" s="1"/>
  <c r="X586" i="1"/>
  <c r="Y586" i="1" s="1"/>
  <c r="Z586" i="1" s="1"/>
  <c r="AA586" i="1" s="1"/>
  <c r="X578" i="1"/>
  <c r="Y578" i="1" s="1"/>
  <c r="Z578" i="1" s="1"/>
  <c r="AA578" i="1" s="1"/>
  <c r="X574" i="1"/>
  <c r="Y574" i="1" s="1"/>
  <c r="Z574" i="1" s="1"/>
  <c r="AA574" i="1" s="1"/>
  <c r="X566" i="1"/>
  <c r="Y566" i="1" s="1"/>
  <c r="Z566" i="1" s="1"/>
  <c r="AA566" i="1" s="1"/>
  <c r="X558" i="1"/>
  <c r="Y558" i="1" s="1"/>
  <c r="Z558" i="1" s="1"/>
  <c r="AA558" i="1" s="1"/>
  <c r="X550" i="1"/>
  <c r="Y550" i="1" s="1"/>
  <c r="Z550" i="1" s="1"/>
  <c r="AA550" i="1" s="1"/>
  <c r="X546" i="1"/>
  <c r="Y546" i="1" s="1"/>
  <c r="Z546" i="1" s="1"/>
  <c r="AA546" i="1" s="1"/>
  <c r="X538" i="1"/>
  <c r="Y538" i="1" s="1"/>
  <c r="Z538" i="1" s="1"/>
  <c r="AA538" i="1" s="1"/>
  <c r="X530" i="1"/>
  <c r="Y530" i="1" s="1"/>
  <c r="Z530" i="1" s="1"/>
  <c r="AA530" i="1" s="1"/>
  <c r="X522" i="1"/>
  <c r="Y522" i="1" s="1"/>
  <c r="Z522" i="1" s="1"/>
  <c r="AA522" i="1" s="1"/>
  <c r="X514" i="1"/>
  <c r="Y514" i="1" s="1"/>
  <c r="Z514" i="1" s="1"/>
  <c r="AA514" i="1" s="1"/>
  <c r="X498" i="1"/>
  <c r="Y498" i="1" s="1"/>
  <c r="Z498" i="1" s="1"/>
  <c r="AA498" i="1" s="1"/>
  <c r="X482" i="1"/>
  <c r="Y482" i="1" s="1"/>
  <c r="Z482" i="1" s="1"/>
  <c r="AA482" i="1" s="1"/>
  <c r="X450" i="1"/>
  <c r="Y450" i="1" s="1"/>
  <c r="Z450" i="1" s="1"/>
  <c r="AA450" i="1" s="1"/>
  <c r="X434" i="1"/>
  <c r="Y434" i="1" s="1"/>
  <c r="Z434" i="1" s="1"/>
  <c r="AA434" i="1" s="1"/>
  <c r="X418" i="1"/>
  <c r="Y418" i="1" s="1"/>
  <c r="Z418" i="1" s="1"/>
  <c r="AA418" i="1" s="1"/>
  <c r="X410" i="1"/>
  <c r="Y410" i="1" s="1"/>
  <c r="Z410" i="1" s="1"/>
  <c r="AA410" i="1" s="1"/>
  <c r="X402" i="1"/>
  <c r="Y402" i="1" s="1"/>
  <c r="Z402" i="1" s="1"/>
  <c r="AA402" i="1" s="1"/>
  <c r="X394" i="1"/>
  <c r="Y394" i="1" s="1"/>
  <c r="Z394" i="1" s="1"/>
  <c r="AA394" i="1" s="1"/>
  <c r="X386" i="1"/>
  <c r="Y386" i="1" s="1"/>
  <c r="Z386" i="1" s="1"/>
  <c r="AA386" i="1" s="1"/>
  <c r="X382" i="1"/>
  <c r="Y382" i="1" s="1"/>
  <c r="Z382" i="1" s="1"/>
  <c r="AA382" i="1" s="1"/>
  <c r="X370" i="1"/>
  <c r="Y370" i="1" s="1"/>
  <c r="Z370" i="1" s="1"/>
  <c r="AA370" i="1" s="1"/>
  <c r="X366" i="1"/>
  <c r="Y366" i="1" s="1"/>
  <c r="Z366" i="1" s="1"/>
  <c r="AA366" i="1" s="1"/>
  <c r="X358" i="1"/>
  <c r="Y358" i="1" s="1"/>
  <c r="Z358" i="1" s="1"/>
  <c r="AA358" i="1" s="1"/>
  <c r="X334" i="1"/>
  <c r="Y334" i="1" s="1"/>
  <c r="Z334" i="1" s="1"/>
  <c r="AA334" i="1" s="1"/>
  <c r="X326" i="1"/>
  <c r="Y326" i="1" s="1"/>
  <c r="Z326" i="1" s="1"/>
  <c r="AA326" i="1" s="1"/>
  <c r="X318" i="1"/>
  <c r="Y318" i="1" s="1"/>
  <c r="Z318" i="1" s="1"/>
  <c r="AA318" i="1" s="1"/>
  <c r="X310" i="1"/>
  <c r="Y310" i="1" s="1"/>
  <c r="Z310" i="1" s="1"/>
  <c r="AA310" i="1" s="1"/>
  <c r="X302" i="1"/>
  <c r="Y302" i="1" s="1"/>
  <c r="Z302" i="1" s="1"/>
  <c r="AA302" i="1" s="1"/>
  <c r="X290" i="1"/>
  <c r="Y290" i="1" s="1"/>
  <c r="Z290" i="1" s="1"/>
  <c r="AA290" i="1" s="1"/>
  <c r="X286" i="1"/>
  <c r="Y286" i="1" s="1"/>
  <c r="Z286" i="1" s="1"/>
  <c r="AA286" i="1" s="1"/>
  <c r="X278" i="1"/>
  <c r="Y278" i="1" s="1"/>
  <c r="Z278" i="1" s="1"/>
  <c r="AA278" i="1" s="1"/>
  <c r="X270" i="1"/>
  <c r="Y270" i="1" s="1"/>
  <c r="Z270" i="1" s="1"/>
  <c r="AA270" i="1" s="1"/>
  <c r="X262" i="1"/>
  <c r="Y262" i="1" s="1"/>
  <c r="Z262" i="1" s="1"/>
  <c r="AA262" i="1" s="1"/>
  <c r="X254" i="1"/>
  <c r="Y254" i="1" s="1"/>
  <c r="Z254" i="1" s="1"/>
  <c r="AA254" i="1" s="1"/>
  <c r="X246" i="1"/>
  <c r="Y246" i="1" s="1"/>
  <c r="Z246" i="1" s="1"/>
  <c r="AA246" i="1" s="1"/>
  <c r="X234" i="1"/>
  <c r="Y234" i="1" s="1"/>
  <c r="Z234" i="1" s="1"/>
  <c r="AA234" i="1" s="1"/>
  <c r="X226" i="1"/>
  <c r="Y226" i="1" s="1"/>
  <c r="Z226" i="1" s="1"/>
  <c r="AA226" i="1" s="1"/>
  <c r="X218" i="1"/>
  <c r="Y218" i="1" s="1"/>
  <c r="Z218" i="1" s="1"/>
  <c r="AA218" i="1" s="1"/>
  <c r="X210" i="1"/>
  <c r="Y210" i="1" s="1"/>
  <c r="Z210" i="1" s="1"/>
  <c r="AA210" i="1" s="1"/>
  <c r="X202" i="1"/>
  <c r="Y202" i="1" s="1"/>
  <c r="Z202" i="1" s="1"/>
  <c r="AA202" i="1" s="1"/>
  <c r="X194" i="1"/>
  <c r="Y194" i="1" s="1"/>
  <c r="Z194" i="1" s="1"/>
  <c r="AA194" i="1" s="1"/>
  <c r="X186" i="1"/>
  <c r="Y186" i="1" s="1"/>
  <c r="Z186" i="1" s="1"/>
  <c r="AA186" i="1" s="1"/>
  <c r="X182" i="1"/>
  <c r="Y182" i="1" s="1"/>
  <c r="Z182" i="1" s="1"/>
  <c r="AA182" i="1" s="1"/>
  <c r="X174" i="1"/>
  <c r="Y174" i="1" s="1"/>
  <c r="Z174" i="1" s="1"/>
  <c r="AA174" i="1" s="1"/>
  <c r="X166" i="1"/>
  <c r="Y166" i="1" s="1"/>
  <c r="Z166" i="1" s="1"/>
  <c r="AA166" i="1" s="1"/>
  <c r="X158" i="1"/>
  <c r="Y158" i="1" s="1"/>
  <c r="Z158" i="1" s="1"/>
  <c r="AA158" i="1" s="1"/>
  <c r="X150" i="1"/>
  <c r="Y150" i="1" s="1"/>
  <c r="Z150" i="1" s="1"/>
  <c r="AA150" i="1" s="1"/>
  <c r="X146" i="1"/>
  <c r="Y146" i="1" s="1"/>
  <c r="Z146" i="1" s="1"/>
  <c r="AA146" i="1" s="1"/>
  <c r="X134" i="1"/>
  <c r="Y134" i="1" s="1"/>
  <c r="Z134" i="1" s="1"/>
  <c r="AA134" i="1" s="1"/>
  <c r="X126" i="1"/>
  <c r="Y126" i="1" s="1"/>
  <c r="Z126" i="1" s="1"/>
  <c r="AA126" i="1" s="1"/>
  <c r="X118" i="1"/>
  <c r="Y118" i="1" s="1"/>
  <c r="Z118" i="1" s="1"/>
  <c r="AA118" i="1" s="1"/>
  <c r="X110" i="1"/>
  <c r="Y110" i="1" s="1"/>
  <c r="Z110" i="1" s="1"/>
  <c r="AA110" i="1" s="1"/>
  <c r="X102" i="1"/>
  <c r="Y102" i="1" s="1"/>
  <c r="Z102" i="1" s="1"/>
  <c r="AA102" i="1" s="1"/>
  <c r="X94" i="1"/>
  <c r="Y94" i="1" s="1"/>
  <c r="Z94" i="1" s="1"/>
  <c r="AA94" i="1" s="1"/>
  <c r="X86" i="1"/>
  <c r="Y86" i="1" s="1"/>
  <c r="Z86" i="1" s="1"/>
  <c r="AA86" i="1" s="1"/>
  <c r="X78" i="1"/>
  <c r="Y78" i="1" s="1"/>
  <c r="Z78" i="1" s="1"/>
  <c r="AA78" i="1" s="1"/>
  <c r="X70" i="1"/>
  <c r="Y70" i="1" s="1"/>
  <c r="Z70" i="1" s="1"/>
  <c r="AA70" i="1" s="1"/>
  <c r="X62" i="1"/>
  <c r="Y62" i="1" s="1"/>
  <c r="Z62" i="1" s="1"/>
  <c r="AA62" i="1" s="1"/>
  <c r="X54" i="1"/>
  <c r="Y54" i="1" s="1"/>
  <c r="Z54" i="1" s="1"/>
  <c r="AA54" i="1" s="1"/>
  <c r="X46" i="1"/>
  <c r="Y46" i="1" s="1"/>
  <c r="Z46" i="1" s="1"/>
  <c r="AA46" i="1" s="1"/>
  <c r="X38" i="1"/>
  <c r="Y38" i="1" s="1"/>
  <c r="Z38" i="1" s="1"/>
  <c r="AA38" i="1" s="1"/>
  <c r="X30" i="1"/>
  <c r="Y30" i="1" s="1"/>
  <c r="Z30" i="1" s="1"/>
  <c r="AA30" i="1" s="1"/>
  <c r="X22" i="1"/>
  <c r="Y22" i="1" s="1"/>
  <c r="Z22" i="1" s="1"/>
  <c r="AA22" i="1" s="1"/>
  <c r="X14" i="1"/>
  <c r="Y14" i="1" s="1"/>
  <c r="Z14" i="1" s="1"/>
  <c r="AA14" i="1" s="1"/>
  <c r="X6" i="1"/>
  <c r="Y6" i="1" s="1"/>
  <c r="Z6" i="1" s="1"/>
  <c r="AA6" i="1" s="1"/>
  <c r="X598" i="1"/>
  <c r="Y598" i="1" s="1"/>
  <c r="Z598" i="1" s="1"/>
  <c r="AA598" i="1" s="1"/>
  <c r="Y798" i="1"/>
  <c r="Z798" i="1" s="1"/>
  <c r="AA798" i="1" s="1"/>
  <c r="Y710" i="1"/>
  <c r="Z710" i="1" s="1"/>
  <c r="AA710" i="1" s="1"/>
  <c r="Y662" i="1"/>
  <c r="Z662" i="1" s="1"/>
  <c r="AA662" i="1" s="1"/>
  <c r="Y542" i="1"/>
  <c r="Z542" i="1" s="1"/>
  <c r="AA542" i="1" s="1"/>
  <c r="Y442" i="1"/>
  <c r="Z442" i="1" s="1"/>
  <c r="AA442" i="1" s="1"/>
  <c r="X474" i="1"/>
  <c r="Y474" i="1" s="1"/>
  <c r="Z474" i="1" s="1"/>
  <c r="AA474" i="1" s="1"/>
  <c r="X398" i="1"/>
  <c r="Y398" i="1" s="1"/>
  <c r="Z398" i="1" s="1"/>
  <c r="AA398" i="1" s="1"/>
  <c r="Y734" i="1"/>
  <c r="Z734" i="1" s="1"/>
  <c r="AA734" i="1" s="1"/>
  <c r="Y682" i="1"/>
  <c r="Z682" i="1" s="1"/>
  <c r="AA682" i="1" s="1"/>
  <c r="Y646" i="1"/>
  <c r="Z646" i="1" s="1"/>
  <c r="AA646" i="1" s="1"/>
  <c r="X1999" i="1"/>
  <c r="Y1999" i="1" s="1"/>
  <c r="Z1999" i="1" s="1"/>
  <c r="AA1999" i="1" s="1"/>
  <c r="X1995" i="1"/>
  <c r="Y1995" i="1" s="1"/>
  <c r="Z1995" i="1" s="1"/>
  <c r="AA1995" i="1" s="1"/>
  <c r="X1991" i="1"/>
  <c r="Y1991" i="1" s="1"/>
  <c r="Z1991" i="1" s="1"/>
  <c r="AA1991" i="1" s="1"/>
  <c r="X1987" i="1"/>
  <c r="Y1987" i="1" s="1"/>
  <c r="Z1987" i="1" s="1"/>
  <c r="AA1987" i="1" s="1"/>
  <c r="X1983" i="1"/>
  <c r="Y1983" i="1" s="1"/>
  <c r="Z1983" i="1" s="1"/>
  <c r="AA1983" i="1" s="1"/>
  <c r="X1979" i="1"/>
  <c r="Y1979" i="1" s="1"/>
  <c r="Z1979" i="1" s="1"/>
  <c r="AA1979" i="1" s="1"/>
  <c r="X1975" i="1"/>
  <c r="Y1975" i="1" s="1"/>
  <c r="Z1975" i="1" s="1"/>
  <c r="AA1975" i="1" s="1"/>
  <c r="X1971" i="1"/>
  <c r="Y1971" i="1" s="1"/>
  <c r="Z1971" i="1" s="1"/>
  <c r="AA1971" i="1" s="1"/>
  <c r="X1967" i="1"/>
  <c r="Y1967" i="1" s="1"/>
  <c r="Z1967" i="1" s="1"/>
  <c r="AA1967" i="1" s="1"/>
  <c r="X1963" i="1"/>
  <c r="Y1963" i="1" s="1"/>
  <c r="Z1963" i="1" s="1"/>
  <c r="AA1963" i="1" s="1"/>
  <c r="X1959" i="1"/>
  <c r="Y1959" i="1" s="1"/>
  <c r="Z1959" i="1" s="1"/>
  <c r="AA1959" i="1" s="1"/>
  <c r="X1955" i="1"/>
  <c r="Y1955" i="1" s="1"/>
  <c r="Z1955" i="1" s="1"/>
  <c r="AA1955" i="1" s="1"/>
  <c r="X1951" i="1"/>
  <c r="Y1951" i="1" s="1"/>
  <c r="Z1951" i="1" s="1"/>
  <c r="AA1951" i="1" s="1"/>
  <c r="X1947" i="1"/>
  <c r="Y1947" i="1" s="1"/>
  <c r="Z1947" i="1" s="1"/>
  <c r="AA1947" i="1" s="1"/>
  <c r="X1943" i="1"/>
  <c r="Y1943" i="1" s="1"/>
  <c r="Z1943" i="1" s="1"/>
  <c r="AA1943" i="1" s="1"/>
  <c r="X1939" i="1"/>
  <c r="Y1939" i="1" s="1"/>
  <c r="Z1939" i="1" s="1"/>
  <c r="AA1939" i="1" s="1"/>
  <c r="X1935" i="1"/>
  <c r="Y1935" i="1" s="1"/>
  <c r="Z1935" i="1" s="1"/>
  <c r="AA1935" i="1" s="1"/>
  <c r="X1931" i="1"/>
  <c r="Y1931" i="1" s="1"/>
  <c r="Z1931" i="1" s="1"/>
  <c r="AA1931" i="1" s="1"/>
  <c r="X1927" i="1"/>
  <c r="Y1927" i="1" s="1"/>
  <c r="Z1927" i="1" s="1"/>
  <c r="AA1927" i="1" s="1"/>
  <c r="X1923" i="1"/>
  <c r="Y1923" i="1" s="1"/>
  <c r="Z1923" i="1" s="1"/>
  <c r="AA1923" i="1" s="1"/>
  <c r="X1919" i="1"/>
  <c r="Y1919" i="1" s="1"/>
  <c r="Z1919" i="1" s="1"/>
  <c r="AA1919" i="1" s="1"/>
  <c r="X1915" i="1"/>
  <c r="Y1915" i="1" s="1"/>
  <c r="Z1915" i="1" s="1"/>
  <c r="AA1915" i="1" s="1"/>
  <c r="X1911" i="1"/>
  <c r="Y1911" i="1" s="1"/>
  <c r="Z1911" i="1" s="1"/>
  <c r="AA1911" i="1" s="1"/>
  <c r="X1907" i="1"/>
  <c r="Y1907" i="1" s="1"/>
  <c r="Z1907" i="1" s="1"/>
  <c r="AA1907" i="1" s="1"/>
  <c r="X1903" i="1"/>
  <c r="Y1903" i="1" s="1"/>
  <c r="Z1903" i="1" s="1"/>
  <c r="AA1903" i="1" s="1"/>
  <c r="X1899" i="1"/>
  <c r="Y1899" i="1" s="1"/>
  <c r="Z1899" i="1" s="1"/>
  <c r="AA1899" i="1" s="1"/>
  <c r="X1895" i="1"/>
  <c r="Y1895" i="1" s="1"/>
  <c r="Z1895" i="1" s="1"/>
  <c r="AA1895" i="1" s="1"/>
  <c r="X1891" i="1"/>
  <c r="Y1891" i="1" s="1"/>
  <c r="Z1891" i="1" s="1"/>
  <c r="AA1891" i="1" s="1"/>
  <c r="X1887" i="1"/>
  <c r="Y1887" i="1" s="1"/>
  <c r="Z1887" i="1" s="1"/>
  <c r="AA1887" i="1" s="1"/>
  <c r="X1883" i="1"/>
  <c r="Y1883" i="1" s="1"/>
  <c r="Z1883" i="1" s="1"/>
  <c r="AA1883" i="1" s="1"/>
  <c r="X1879" i="1"/>
  <c r="Y1879" i="1" s="1"/>
  <c r="Z1879" i="1" s="1"/>
  <c r="AA1879" i="1" s="1"/>
  <c r="X1875" i="1"/>
  <c r="Y1875" i="1" s="1"/>
  <c r="Z1875" i="1" s="1"/>
  <c r="AA1875" i="1" s="1"/>
  <c r="X1871" i="1"/>
  <c r="Y1871" i="1" s="1"/>
  <c r="Z1871" i="1" s="1"/>
  <c r="AA1871" i="1" s="1"/>
  <c r="X1867" i="1"/>
  <c r="Y1867" i="1"/>
  <c r="Z1867" i="1" s="1"/>
  <c r="AA1867" i="1" s="1"/>
  <c r="X1863" i="1"/>
  <c r="Y1863" i="1" s="1"/>
  <c r="Z1863" i="1" s="1"/>
  <c r="AA1863" i="1" s="1"/>
  <c r="X1859" i="1"/>
  <c r="Y1859" i="1" s="1"/>
  <c r="Z1859" i="1" s="1"/>
  <c r="AA1859" i="1" s="1"/>
  <c r="X1855" i="1"/>
  <c r="Y1855" i="1" s="1"/>
  <c r="Z1855" i="1" s="1"/>
  <c r="AA1855" i="1" s="1"/>
  <c r="X1851" i="1"/>
  <c r="Y1851" i="1" s="1"/>
  <c r="Z1851" i="1" s="1"/>
  <c r="AA1851" i="1" s="1"/>
  <c r="X1847" i="1"/>
  <c r="Y1847" i="1" s="1"/>
  <c r="Z1847" i="1" s="1"/>
  <c r="AA1847" i="1" s="1"/>
  <c r="X1843" i="1"/>
  <c r="Y1843" i="1" s="1"/>
  <c r="Z1843" i="1" s="1"/>
  <c r="AA1843" i="1" s="1"/>
  <c r="X1839" i="1"/>
  <c r="Y1839" i="1" s="1"/>
  <c r="Z1839" i="1" s="1"/>
  <c r="AA1839" i="1" s="1"/>
  <c r="X1835" i="1"/>
  <c r="Y1835" i="1" s="1"/>
  <c r="Z1835" i="1" s="1"/>
  <c r="AA1835" i="1" s="1"/>
  <c r="X1831" i="1"/>
  <c r="Y1831" i="1" s="1"/>
  <c r="Z1831" i="1" s="1"/>
  <c r="AA1831" i="1" s="1"/>
  <c r="X1827" i="1"/>
  <c r="Y1827" i="1" s="1"/>
  <c r="Z1827" i="1" s="1"/>
  <c r="AA1827" i="1" s="1"/>
  <c r="X1823" i="1"/>
  <c r="Y1823" i="1" s="1"/>
  <c r="Z1823" i="1" s="1"/>
  <c r="AA1823" i="1" s="1"/>
  <c r="X1819" i="1"/>
  <c r="Y1819" i="1" s="1"/>
  <c r="Z1819" i="1" s="1"/>
  <c r="AA1819" i="1" s="1"/>
  <c r="X1815" i="1"/>
  <c r="Y1815" i="1" s="1"/>
  <c r="Z1815" i="1" s="1"/>
  <c r="AA1815" i="1" s="1"/>
  <c r="X1811" i="1"/>
  <c r="Y1811" i="1" s="1"/>
  <c r="Z1811" i="1" s="1"/>
  <c r="AA1811" i="1" s="1"/>
  <c r="X1807" i="1"/>
  <c r="Y1807" i="1" s="1"/>
  <c r="Z1807" i="1" s="1"/>
  <c r="AA1807" i="1" s="1"/>
  <c r="X1803" i="1"/>
  <c r="Y1803" i="1" s="1"/>
  <c r="Z1803" i="1" s="1"/>
  <c r="AA1803" i="1" s="1"/>
  <c r="X1799" i="1"/>
  <c r="Y1799" i="1" s="1"/>
  <c r="Z1799" i="1" s="1"/>
  <c r="AA1799" i="1" s="1"/>
  <c r="X1795" i="1"/>
  <c r="Y1795" i="1" s="1"/>
  <c r="Z1795" i="1" s="1"/>
  <c r="AA1795" i="1" s="1"/>
  <c r="X1791" i="1"/>
  <c r="Y1791" i="1" s="1"/>
  <c r="Z1791" i="1" s="1"/>
  <c r="AA1791" i="1" s="1"/>
  <c r="X1787" i="1"/>
  <c r="Y1787" i="1" s="1"/>
  <c r="Z1787" i="1" s="1"/>
  <c r="AA1787" i="1" s="1"/>
  <c r="X1783" i="1"/>
  <c r="Y1783" i="1" s="1"/>
  <c r="Z1783" i="1" s="1"/>
  <c r="AA1783" i="1" s="1"/>
  <c r="X1779" i="1"/>
  <c r="Y1779" i="1" s="1"/>
  <c r="Z1779" i="1" s="1"/>
  <c r="AA1779" i="1" s="1"/>
  <c r="X1775" i="1"/>
  <c r="Y1775" i="1" s="1"/>
  <c r="Z1775" i="1" s="1"/>
  <c r="AA1775" i="1" s="1"/>
  <c r="X1771" i="1"/>
  <c r="Y1771" i="1" s="1"/>
  <c r="Z1771" i="1" s="1"/>
  <c r="AA1771" i="1" s="1"/>
  <c r="X1767" i="1"/>
  <c r="Y1767" i="1" s="1"/>
  <c r="Z1767" i="1" s="1"/>
  <c r="AA1767" i="1" s="1"/>
  <c r="X1763" i="1"/>
  <c r="Y1763" i="1" s="1"/>
  <c r="Z1763" i="1" s="1"/>
  <c r="AA1763" i="1" s="1"/>
  <c r="X1759" i="1"/>
  <c r="Y1759" i="1" s="1"/>
  <c r="Z1759" i="1" s="1"/>
  <c r="AA1759" i="1" s="1"/>
  <c r="X1755" i="1"/>
  <c r="Y1755" i="1" s="1"/>
  <c r="Z1755" i="1" s="1"/>
  <c r="AA1755" i="1" s="1"/>
  <c r="X1751" i="1"/>
  <c r="Y1751" i="1" s="1"/>
  <c r="Z1751" i="1" s="1"/>
  <c r="AA1751" i="1" s="1"/>
  <c r="X1747" i="1"/>
  <c r="Y1747" i="1" s="1"/>
  <c r="Z1747" i="1" s="1"/>
  <c r="AA1747" i="1" s="1"/>
  <c r="X1743" i="1"/>
  <c r="Y1743" i="1" s="1"/>
  <c r="Z1743" i="1" s="1"/>
  <c r="AA1743" i="1" s="1"/>
  <c r="X1739" i="1"/>
  <c r="Y1739" i="1" s="1"/>
  <c r="Z1739" i="1" s="1"/>
  <c r="AA1739" i="1" s="1"/>
  <c r="X1735" i="1"/>
  <c r="Y1735" i="1" s="1"/>
  <c r="Z1735" i="1" s="1"/>
  <c r="AA1735" i="1" s="1"/>
  <c r="X1731" i="1"/>
  <c r="Y1731" i="1" s="1"/>
  <c r="Z1731" i="1" s="1"/>
  <c r="AA1731" i="1" s="1"/>
  <c r="X1727" i="1"/>
  <c r="Y1727" i="1" s="1"/>
  <c r="Z1727" i="1" s="1"/>
  <c r="AA1727" i="1" s="1"/>
  <c r="X1723" i="1"/>
  <c r="Y1723" i="1" s="1"/>
  <c r="Z1723" i="1" s="1"/>
  <c r="AA1723" i="1" s="1"/>
  <c r="X1719" i="1"/>
  <c r="Y1719" i="1" s="1"/>
  <c r="Z1719" i="1" s="1"/>
  <c r="AA1719" i="1" s="1"/>
  <c r="X1715" i="1"/>
  <c r="Y1715" i="1" s="1"/>
  <c r="Z1715" i="1" s="1"/>
  <c r="AA1715" i="1" s="1"/>
  <c r="X1711" i="1"/>
  <c r="Y1711" i="1" s="1"/>
  <c r="Z1711" i="1" s="1"/>
  <c r="AA1711" i="1" s="1"/>
  <c r="X1707" i="1"/>
  <c r="Y1707" i="1" s="1"/>
  <c r="Z1707" i="1" s="1"/>
  <c r="AA1707" i="1" s="1"/>
  <c r="X1703" i="1"/>
  <c r="Y1703" i="1" s="1"/>
  <c r="Z1703" i="1" s="1"/>
  <c r="AA1703" i="1" s="1"/>
  <c r="X1699" i="1"/>
  <c r="Y1699" i="1" s="1"/>
  <c r="Z1699" i="1" s="1"/>
  <c r="AA1699" i="1" s="1"/>
  <c r="X1687" i="1"/>
  <c r="Y1687" i="1" s="1"/>
  <c r="Z1687" i="1" s="1"/>
  <c r="AA1687" i="1" s="1"/>
  <c r="X1683" i="1"/>
  <c r="Y1683" i="1" s="1"/>
  <c r="Z1683" i="1" s="1"/>
  <c r="AA1683" i="1" s="1"/>
  <c r="X1671" i="1"/>
  <c r="Y1671" i="1" s="1"/>
  <c r="Z1671" i="1" s="1"/>
  <c r="AA1671" i="1" s="1"/>
  <c r="Y1667" i="1"/>
  <c r="Z1667" i="1" s="1"/>
  <c r="AA1667" i="1" s="1"/>
  <c r="X1655" i="1"/>
  <c r="Y1655" i="1" s="1"/>
  <c r="Z1655" i="1" s="1"/>
  <c r="AA1655" i="1" s="1"/>
  <c r="X1651" i="1"/>
  <c r="Y1651" i="1" s="1"/>
  <c r="Z1651" i="1" s="1"/>
  <c r="AA1651" i="1" s="1"/>
  <c r="X1639" i="1"/>
  <c r="Y1639" i="1" s="1"/>
  <c r="Z1639" i="1" s="1"/>
  <c r="AA1639" i="1" s="1"/>
  <c r="X1635" i="1"/>
  <c r="Y1635" i="1" s="1"/>
  <c r="Z1635" i="1" s="1"/>
  <c r="AA1635" i="1" s="1"/>
  <c r="X1623" i="1"/>
  <c r="Y1623" i="1" s="1"/>
  <c r="Z1623" i="1" s="1"/>
  <c r="AA1623" i="1" s="1"/>
  <c r="X1619" i="1"/>
  <c r="Y1619" i="1" s="1"/>
  <c r="Z1619" i="1" s="1"/>
  <c r="AA1619" i="1" s="1"/>
  <c r="X1607" i="1"/>
  <c r="Y1607" i="1" s="1"/>
  <c r="Z1607" i="1" s="1"/>
  <c r="AA1607" i="1" s="1"/>
  <c r="X1603" i="1"/>
  <c r="Y1603" i="1" s="1"/>
  <c r="Z1603" i="1" s="1"/>
  <c r="AA1603" i="1" s="1"/>
  <c r="X1591" i="1"/>
  <c r="Y1591" i="1" s="1"/>
  <c r="Z1591" i="1" s="1"/>
  <c r="AA1591" i="1" s="1"/>
  <c r="X1587" i="1"/>
  <c r="Y1587" i="1" s="1"/>
  <c r="Z1587" i="1" s="1"/>
  <c r="AA1587" i="1" s="1"/>
  <c r="X1575" i="1"/>
  <c r="Y1575" i="1" s="1"/>
  <c r="Z1575" i="1" s="1"/>
  <c r="AA1575" i="1" s="1"/>
  <c r="X1571" i="1"/>
  <c r="Y1571" i="1" s="1"/>
  <c r="Z1571" i="1" s="1"/>
  <c r="AA1571" i="1" s="1"/>
  <c r="X1559" i="1"/>
  <c r="Y1559" i="1" s="1"/>
  <c r="Z1559" i="1" s="1"/>
  <c r="AA1559" i="1" s="1"/>
  <c r="X1555" i="1"/>
  <c r="Y1555" i="1" s="1"/>
  <c r="Z1555" i="1" s="1"/>
  <c r="AA1555" i="1" s="1"/>
  <c r="X1543" i="1"/>
  <c r="Y1543" i="1" s="1"/>
  <c r="Z1543" i="1" s="1"/>
  <c r="AA1543" i="1" s="1"/>
  <c r="X1539" i="1"/>
  <c r="Y1539" i="1" s="1"/>
  <c r="Z1539" i="1" s="1"/>
  <c r="AA1539" i="1" s="1"/>
  <c r="X1527" i="1"/>
  <c r="Y1527" i="1" s="1"/>
  <c r="Z1527" i="1" s="1"/>
  <c r="AA1527" i="1" s="1"/>
  <c r="X1523" i="1"/>
  <c r="Y1523" i="1" s="1"/>
  <c r="Z1523" i="1" s="1"/>
  <c r="AA1523" i="1" s="1"/>
  <c r="X1511" i="1"/>
  <c r="Y1511" i="1" s="1"/>
  <c r="Z1511" i="1" s="1"/>
  <c r="AA1511" i="1" s="1"/>
  <c r="X1507" i="1"/>
  <c r="Y1507" i="1" s="1"/>
  <c r="Z1507" i="1" s="1"/>
  <c r="AA1507" i="1" s="1"/>
  <c r="X1495" i="1"/>
  <c r="Y1495" i="1" s="1"/>
  <c r="Z1495" i="1" s="1"/>
  <c r="AA1495" i="1" s="1"/>
  <c r="X1491" i="1"/>
  <c r="Y1491" i="1" s="1"/>
  <c r="Z1491" i="1" s="1"/>
  <c r="AA1491" i="1" s="1"/>
  <c r="X1479" i="1"/>
  <c r="Y1479" i="1" s="1"/>
  <c r="Z1479" i="1" s="1"/>
  <c r="AA1479" i="1" s="1"/>
  <c r="X1475" i="1"/>
  <c r="Y1475" i="1" s="1"/>
  <c r="Z1475" i="1" s="1"/>
  <c r="AA1475" i="1" s="1"/>
  <c r="X1463" i="1"/>
  <c r="Y1463" i="1" s="1"/>
  <c r="Z1463" i="1" s="1"/>
  <c r="AA1463" i="1" s="1"/>
  <c r="X1459" i="1"/>
  <c r="Y1459" i="1" s="1"/>
  <c r="Z1459" i="1" s="1"/>
  <c r="AA1459" i="1" s="1"/>
  <c r="X1447" i="1"/>
  <c r="Y1447" i="1" s="1"/>
  <c r="Z1447" i="1" s="1"/>
  <c r="AA1447" i="1" s="1"/>
  <c r="X1443" i="1"/>
  <c r="Y1443" i="1" s="1"/>
  <c r="Z1443" i="1" s="1"/>
  <c r="AA1443" i="1" s="1"/>
  <c r="X1431" i="1"/>
  <c r="Y1431" i="1" s="1"/>
  <c r="Z1431" i="1" s="1"/>
  <c r="AA1431" i="1" s="1"/>
  <c r="X1427" i="1"/>
  <c r="Y1427" i="1" s="1"/>
  <c r="Z1427" i="1" s="1"/>
  <c r="AA1427" i="1" s="1"/>
  <c r="X1415" i="1"/>
  <c r="Y1415" i="1" s="1"/>
  <c r="Z1415" i="1" s="1"/>
  <c r="AA1415" i="1" s="1"/>
  <c r="X1411" i="1"/>
  <c r="Y1411" i="1" s="1"/>
  <c r="Z1411" i="1" s="1"/>
  <c r="AA1411" i="1" s="1"/>
  <c r="X1399" i="1"/>
  <c r="Y1399" i="1" s="1"/>
  <c r="Z1399" i="1" s="1"/>
  <c r="AA1399" i="1" s="1"/>
  <c r="X1395" i="1"/>
  <c r="Y1395" i="1" s="1"/>
  <c r="Z1395" i="1" s="1"/>
  <c r="AA1395" i="1" s="1"/>
  <c r="X1383" i="1"/>
  <c r="Y1383" i="1" s="1"/>
  <c r="Z1383" i="1" s="1"/>
  <c r="AA1383" i="1" s="1"/>
  <c r="X1379" i="1"/>
  <c r="Y1379" i="1" s="1"/>
  <c r="Z1379" i="1" s="1"/>
  <c r="AA1379" i="1" s="1"/>
  <c r="X1367" i="1"/>
  <c r="Y1367" i="1" s="1"/>
  <c r="Z1367" i="1" s="1"/>
  <c r="AA1367" i="1" s="1"/>
  <c r="X1363" i="1"/>
  <c r="Y1363" i="1" s="1"/>
  <c r="Z1363" i="1" s="1"/>
  <c r="AA1363" i="1" s="1"/>
  <c r="X1351" i="1"/>
  <c r="Y1351" i="1" s="1"/>
  <c r="Z1351" i="1" s="1"/>
  <c r="AA1351" i="1" s="1"/>
  <c r="X1347" i="1"/>
  <c r="Y1347" i="1" s="1"/>
  <c r="Z1347" i="1" s="1"/>
  <c r="AA1347" i="1" s="1"/>
  <c r="X1335" i="1"/>
  <c r="Y1335" i="1"/>
  <c r="Z1335" i="1" s="1"/>
  <c r="AA1335" i="1" s="1"/>
  <c r="X1331" i="1"/>
  <c r="Y1331" i="1" s="1"/>
  <c r="Z1331" i="1" s="1"/>
  <c r="AA1331" i="1" s="1"/>
  <c r="X1319" i="1"/>
  <c r="Y1319" i="1" s="1"/>
  <c r="Z1319" i="1" s="1"/>
  <c r="AA1319" i="1" s="1"/>
  <c r="X1315" i="1"/>
  <c r="Y1315" i="1" s="1"/>
  <c r="Z1315" i="1" s="1"/>
  <c r="AA1315" i="1" s="1"/>
  <c r="X1303" i="1"/>
  <c r="Y1303" i="1" s="1"/>
  <c r="Z1303" i="1" s="1"/>
  <c r="AA1303" i="1" s="1"/>
  <c r="X1299" i="1"/>
  <c r="Y1299" i="1" s="1"/>
  <c r="Z1299" i="1" s="1"/>
  <c r="AA1299" i="1" s="1"/>
  <c r="X1287" i="1"/>
  <c r="Y1287" i="1" s="1"/>
  <c r="Z1287" i="1" s="1"/>
  <c r="AA1287" i="1" s="1"/>
  <c r="X1283" i="1"/>
  <c r="Y1283" i="1" s="1"/>
  <c r="Z1283" i="1" s="1"/>
  <c r="AA1283" i="1" s="1"/>
  <c r="X1271" i="1"/>
  <c r="Y1271" i="1" s="1"/>
  <c r="Z1271" i="1" s="1"/>
  <c r="AA1271" i="1" s="1"/>
  <c r="X1267" i="1"/>
  <c r="Y1267" i="1" s="1"/>
  <c r="Z1267" i="1" s="1"/>
  <c r="AA1267" i="1" s="1"/>
  <c r="X1255" i="1"/>
  <c r="Y1255" i="1" s="1"/>
  <c r="Z1255" i="1" s="1"/>
  <c r="AA1255" i="1" s="1"/>
  <c r="X1251" i="1"/>
  <c r="Y1251" i="1" s="1"/>
  <c r="Z1251" i="1" s="1"/>
  <c r="AA1251" i="1" s="1"/>
  <c r="X1239" i="1"/>
  <c r="Y1239" i="1" s="1"/>
  <c r="Z1239" i="1" s="1"/>
  <c r="AA1239" i="1" s="1"/>
  <c r="X1235" i="1"/>
  <c r="Y1235" i="1" s="1"/>
  <c r="Z1235" i="1" s="1"/>
  <c r="AA1235" i="1" s="1"/>
  <c r="X1223" i="1"/>
  <c r="Y1223" i="1" s="1"/>
  <c r="Z1223" i="1" s="1"/>
  <c r="AA1223" i="1" s="1"/>
  <c r="X1219" i="1"/>
  <c r="Y1219" i="1" s="1"/>
  <c r="Z1219" i="1" s="1"/>
  <c r="AA1219" i="1" s="1"/>
  <c r="X1207" i="1"/>
  <c r="Y1207" i="1" s="1"/>
  <c r="Z1207" i="1" s="1"/>
  <c r="AA1207" i="1" s="1"/>
  <c r="X1203" i="1"/>
  <c r="Y1203" i="1" s="1"/>
  <c r="Z1203" i="1" s="1"/>
  <c r="AA1203" i="1" s="1"/>
  <c r="X1191" i="1"/>
  <c r="Y1191" i="1" s="1"/>
  <c r="Z1191" i="1" s="1"/>
  <c r="AA1191" i="1" s="1"/>
  <c r="X1187" i="1"/>
  <c r="Y1187" i="1" s="1"/>
  <c r="Z1187" i="1" s="1"/>
  <c r="AA1187" i="1" s="1"/>
  <c r="X1175" i="1"/>
  <c r="Y1175" i="1" s="1"/>
  <c r="Z1175" i="1" s="1"/>
  <c r="AA1175" i="1" s="1"/>
  <c r="X1171" i="1"/>
  <c r="Y1171" i="1" s="1"/>
  <c r="Z1171" i="1" s="1"/>
  <c r="AA1171" i="1" s="1"/>
  <c r="X1159" i="1"/>
  <c r="Y1159" i="1" s="1"/>
  <c r="Z1159" i="1" s="1"/>
  <c r="AA1159" i="1" s="1"/>
  <c r="X1155" i="1"/>
  <c r="Y1155" i="1" s="1"/>
  <c r="Z1155" i="1" s="1"/>
  <c r="AA1155" i="1" s="1"/>
  <c r="X1143" i="1"/>
  <c r="Y1143" i="1" s="1"/>
  <c r="Z1143" i="1" s="1"/>
  <c r="AA1143" i="1" s="1"/>
  <c r="X1139" i="1"/>
  <c r="Y1139" i="1" s="1"/>
  <c r="Z1139" i="1" s="1"/>
  <c r="AA1139" i="1" s="1"/>
  <c r="X1127" i="1"/>
  <c r="Y1127" i="1" s="1"/>
  <c r="Z1127" i="1" s="1"/>
  <c r="AA1127" i="1" s="1"/>
  <c r="X1123" i="1"/>
  <c r="Y1123" i="1" s="1"/>
  <c r="Z1123" i="1" s="1"/>
  <c r="AA1123" i="1" s="1"/>
  <c r="X1111" i="1"/>
  <c r="Y1111" i="1" s="1"/>
  <c r="Z1111" i="1" s="1"/>
  <c r="AA1111" i="1" s="1"/>
  <c r="X1107" i="1"/>
  <c r="Y1107" i="1" s="1"/>
  <c r="Z1107" i="1" s="1"/>
  <c r="AA1107" i="1" s="1"/>
  <c r="X1095" i="1"/>
  <c r="Y1095" i="1" s="1"/>
  <c r="Z1095" i="1" s="1"/>
  <c r="AA1095" i="1" s="1"/>
  <c r="X1091" i="1"/>
  <c r="Y1091" i="1" s="1"/>
  <c r="Z1091" i="1" s="1"/>
  <c r="AA1091" i="1" s="1"/>
  <c r="X1079" i="1"/>
  <c r="Y1079" i="1" s="1"/>
  <c r="Z1079" i="1" s="1"/>
  <c r="AA1079" i="1" s="1"/>
  <c r="X1075" i="1"/>
  <c r="Y1075" i="1" s="1"/>
  <c r="Z1075" i="1" s="1"/>
  <c r="AA1075" i="1" s="1"/>
  <c r="X1063" i="1"/>
  <c r="Y1063" i="1" s="1"/>
  <c r="Z1063" i="1" s="1"/>
  <c r="AA1063" i="1" s="1"/>
  <c r="X1059" i="1"/>
  <c r="Y1059" i="1" s="1"/>
  <c r="Z1059" i="1" s="1"/>
  <c r="AA1059" i="1" s="1"/>
  <c r="X1047" i="1"/>
  <c r="Y1047" i="1" s="1"/>
  <c r="Z1047" i="1" s="1"/>
  <c r="AA1047" i="1" s="1"/>
  <c r="X1043" i="1"/>
  <c r="Y1043" i="1" s="1"/>
  <c r="Z1043" i="1" s="1"/>
  <c r="AA1043" i="1" s="1"/>
  <c r="X1031" i="1"/>
  <c r="Y1031" i="1" s="1"/>
  <c r="Z1031" i="1" s="1"/>
  <c r="AA1031" i="1" s="1"/>
  <c r="X1027" i="1"/>
  <c r="Y1027" i="1" s="1"/>
  <c r="Z1027" i="1" s="1"/>
  <c r="AA1027" i="1" s="1"/>
  <c r="X1015" i="1"/>
  <c r="Y1015" i="1" s="1"/>
  <c r="Z1015" i="1" s="1"/>
  <c r="AA1015" i="1" s="1"/>
  <c r="X1011" i="1"/>
  <c r="Y1011" i="1" s="1"/>
  <c r="Z1011" i="1" s="1"/>
  <c r="AA1011" i="1" s="1"/>
  <c r="X999" i="1"/>
  <c r="Y999" i="1" s="1"/>
  <c r="Z999" i="1" s="1"/>
  <c r="AA999" i="1" s="1"/>
  <c r="X995" i="1"/>
  <c r="Y995" i="1" s="1"/>
  <c r="Z995" i="1" s="1"/>
  <c r="AA995" i="1" s="1"/>
  <c r="X983" i="1"/>
  <c r="Y983" i="1" s="1"/>
  <c r="Z983" i="1" s="1"/>
  <c r="AA983" i="1" s="1"/>
  <c r="X979" i="1"/>
  <c r="Y979" i="1" s="1"/>
  <c r="Z979" i="1" s="1"/>
  <c r="AA979" i="1" s="1"/>
  <c r="X967" i="1"/>
  <c r="Y967" i="1" s="1"/>
  <c r="Z967" i="1" s="1"/>
  <c r="AA967" i="1" s="1"/>
  <c r="X963" i="1"/>
  <c r="Y963" i="1" s="1"/>
  <c r="Z963" i="1" s="1"/>
  <c r="AA963" i="1" s="1"/>
  <c r="X951" i="1"/>
  <c r="Y951" i="1" s="1"/>
  <c r="Z951" i="1" s="1"/>
  <c r="AA951" i="1" s="1"/>
  <c r="X947" i="1"/>
  <c r="Y947" i="1" s="1"/>
  <c r="Z947" i="1" s="1"/>
  <c r="AA947" i="1" s="1"/>
  <c r="X935" i="1"/>
  <c r="Y935" i="1" s="1"/>
  <c r="Z935" i="1" s="1"/>
  <c r="AA935" i="1" s="1"/>
  <c r="X931" i="1"/>
  <c r="Y931" i="1" s="1"/>
  <c r="Z931" i="1" s="1"/>
  <c r="AA931" i="1" s="1"/>
  <c r="X919" i="1"/>
  <c r="Y919" i="1" s="1"/>
  <c r="Z919" i="1" s="1"/>
  <c r="AA919" i="1" s="1"/>
  <c r="X915" i="1"/>
  <c r="Y915" i="1" s="1"/>
  <c r="Z915" i="1" s="1"/>
  <c r="AA915" i="1" s="1"/>
  <c r="X903" i="1"/>
  <c r="Y903" i="1" s="1"/>
  <c r="Z903" i="1" s="1"/>
  <c r="AA903" i="1" s="1"/>
  <c r="X899" i="1"/>
  <c r="Y899" i="1" s="1"/>
  <c r="Z899" i="1" s="1"/>
  <c r="AA899" i="1" s="1"/>
  <c r="X887" i="1"/>
  <c r="Y887" i="1" s="1"/>
  <c r="Z887" i="1" s="1"/>
  <c r="AA887" i="1" s="1"/>
  <c r="X883" i="1"/>
  <c r="Y883" i="1" s="1"/>
  <c r="Z883" i="1" s="1"/>
  <c r="AA883" i="1" s="1"/>
  <c r="X871" i="1"/>
  <c r="Y871" i="1" s="1"/>
  <c r="Z871" i="1" s="1"/>
  <c r="AA871" i="1" s="1"/>
  <c r="X867" i="1"/>
  <c r="Y867" i="1" s="1"/>
  <c r="Z867" i="1" s="1"/>
  <c r="AA867" i="1" s="1"/>
  <c r="X855" i="1"/>
  <c r="Y855" i="1" s="1"/>
  <c r="Z855" i="1" s="1"/>
  <c r="AA855" i="1" s="1"/>
  <c r="X851" i="1"/>
  <c r="Y851" i="1" s="1"/>
  <c r="Z851" i="1" s="1"/>
  <c r="AA851" i="1" s="1"/>
  <c r="X843" i="1"/>
  <c r="Y843" i="1" s="1"/>
  <c r="Z843" i="1" s="1"/>
  <c r="AA843" i="1" s="1"/>
  <c r="X839" i="1"/>
  <c r="Y839" i="1" s="1"/>
  <c r="Z839" i="1" s="1"/>
  <c r="AA839" i="1" s="1"/>
  <c r="X835" i="1"/>
  <c r="Y835" i="1" s="1"/>
  <c r="Z835" i="1" s="1"/>
  <c r="AA835" i="1" s="1"/>
  <c r="X827" i="1"/>
  <c r="Y827" i="1" s="1"/>
  <c r="Z827" i="1" s="1"/>
  <c r="AA827" i="1" s="1"/>
  <c r="X823" i="1"/>
  <c r="Y823" i="1" s="1"/>
  <c r="Z823" i="1" s="1"/>
  <c r="AA823" i="1" s="1"/>
  <c r="X815" i="1"/>
  <c r="Y815" i="1" s="1"/>
  <c r="Z815" i="1" s="1"/>
  <c r="AA815" i="1" s="1"/>
  <c r="X807" i="1"/>
  <c r="Y807" i="1" s="1"/>
  <c r="Z807" i="1" s="1"/>
  <c r="AA807" i="1" s="1"/>
  <c r="X799" i="1"/>
  <c r="Y799" i="1" s="1"/>
  <c r="Z799" i="1" s="1"/>
  <c r="AA799" i="1" s="1"/>
  <c r="X791" i="1"/>
  <c r="Y791" i="1" s="1"/>
  <c r="Z791" i="1" s="1"/>
  <c r="AA791" i="1" s="1"/>
  <c r="X787" i="1"/>
  <c r="Y787" i="1" s="1"/>
  <c r="Z787" i="1" s="1"/>
  <c r="AA787" i="1" s="1"/>
  <c r="X779" i="1"/>
  <c r="Y779" i="1" s="1"/>
  <c r="Z779" i="1" s="1"/>
  <c r="AA779" i="1" s="1"/>
  <c r="X775" i="1"/>
  <c r="Y775" i="1" s="1"/>
  <c r="Z775" i="1" s="1"/>
  <c r="AA775" i="1" s="1"/>
  <c r="X771" i="1"/>
  <c r="Y771" i="1" s="1"/>
  <c r="Z771" i="1" s="1"/>
  <c r="AA771" i="1" s="1"/>
  <c r="X763" i="1"/>
  <c r="Y763" i="1" s="1"/>
  <c r="Z763" i="1" s="1"/>
  <c r="AA763" i="1" s="1"/>
  <c r="X759" i="1"/>
  <c r="Y759" i="1" s="1"/>
  <c r="Z759" i="1" s="1"/>
  <c r="AA759" i="1" s="1"/>
  <c r="X751" i="1"/>
  <c r="Y751" i="1" s="1"/>
  <c r="Z751" i="1" s="1"/>
  <c r="AA751" i="1" s="1"/>
  <c r="X743" i="1"/>
  <c r="Y743" i="1" s="1"/>
  <c r="Z743" i="1" s="1"/>
  <c r="AA743" i="1" s="1"/>
  <c r="X735" i="1"/>
  <c r="Y735" i="1" s="1"/>
  <c r="Z735" i="1" s="1"/>
  <c r="AA735" i="1" s="1"/>
  <c r="X727" i="1"/>
  <c r="Y727" i="1" s="1"/>
  <c r="Z727" i="1" s="1"/>
  <c r="AA727" i="1" s="1"/>
  <c r="X723" i="1"/>
  <c r="Y723" i="1" s="1"/>
  <c r="Z723" i="1" s="1"/>
  <c r="AA723" i="1" s="1"/>
  <c r="X715" i="1"/>
  <c r="Y715" i="1" s="1"/>
  <c r="Z715" i="1" s="1"/>
  <c r="AA715" i="1" s="1"/>
  <c r="X711" i="1"/>
  <c r="Y711" i="1" s="1"/>
  <c r="Z711" i="1" s="1"/>
  <c r="AA711" i="1" s="1"/>
  <c r="X707" i="1"/>
  <c r="Y707" i="1" s="1"/>
  <c r="Z707" i="1" s="1"/>
  <c r="AA707" i="1" s="1"/>
  <c r="X699" i="1"/>
  <c r="Y699" i="1" s="1"/>
  <c r="Z699" i="1" s="1"/>
  <c r="AA699" i="1" s="1"/>
  <c r="X695" i="1"/>
  <c r="Y695" i="1" s="1"/>
  <c r="Z695" i="1" s="1"/>
  <c r="AA695" i="1" s="1"/>
  <c r="X687" i="1"/>
  <c r="Y687" i="1" s="1"/>
  <c r="Z687" i="1" s="1"/>
  <c r="AA687" i="1" s="1"/>
  <c r="X679" i="1"/>
  <c r="Y679" i="1" s="1"/>
  <c r="Z679" i="1" s="1"/>
  <c r="AA679" i="1" s="1"/>
  <c r="X671" i="1"/>
  <c r="Y671" i="1" s="1"/>
  <c r="Z671" i="1" s="1"/>
  <c r="AA671" i="1" s="1"/>
  <c r="X663" i="1"/>
  <c r="Y663" i="1" s="1"/>
  <c r="Z663" i="1" s="1"/>
  <c r="AA663" i="1" s="1"/>
  <c r="X659" i="1"/>
  <c r="Y659" i="1" s="1"/>
  <c r="Z659" i="1" s="1"/>
  <c r="AA659" i="1" s="1"/>
  <c r="X651" i="1"/>
  <c r="Y651" i="1" s="1"/>
  <c r="Z651" i="1" s="1"/>
  <c r="AA651" i="1" s="1"/>
  <c r="X647" i="1"/>
  <c r="Y647" i="1" s="1"/>
  <c r="Z647" i="1" s="1"/>
  <c r="AA647" i="1" s="1"/>
  <c r="X643" i="1"/>
  <c r="Y643" i="1" s="1"/>
  <c r="Z643" i="1" s="1"/>
  <c r="AA643" i="1" s="1"/>
  <c r="X635" i="1"/>
  <c r="Y635" i="1" s="1"/>
  <c r="Z635" i="1" s="1"/>
  <c r="AA635" i="1" s="1"/>
  <c r="X631" i="1"/>
  <c r="Y631" i="1" s="1"/>
  <c r="Z631" i="1" s="1"/>
  <c r="AA631" i="1" s="1"/>
  <c r="X623" i="1"/>
  <c r="Y623" i="1" s="1"/>
  <c r="Z623" i="1" s="1"/>
  <c r="AA623" i="1" s="1"/>
  <c r="X615" i="1"/>
  <c r="Y615" i="1" s="1"/>
  <c r="Z615" i="1" s="1"/>
  <c r="AA615" i="1" s="1"/>
  <c r="X607" i="1"/>
  <c r="Y607" i="1" s="1"/>
  <c r="Z607" i="1" s="1"/>
  <c r="AA607" i="1" s="1"/>
  <c r="X599" i="1"/>
  <c r="Y599" i="1" s="1"/>
  <c r="Z599" i="1" s="1"/>
  <c r="AA599" i="1" s="1"/>
  <c r="X595" i="1"/>
  <c r="Y595" i="1" s="1"/>
  <c r="Z595" i="1" s="1"/>
  <c r="AA595" i="1" s="1"/>
  <c r="X587" i="1"/>
  <c r="Y587" i="1" s="1"/>
  <c r="Z587" i="1" s="1"/>
  <c r="AA587" i="1" s="1"/>
  <c r="X583" i="1"/>
  <c r="Y583" i="1" s="1"/>
  <c r="Z583" i="1" s="1"/>
  <c r="AA583" i="1" s="1"/>
  <c r="X579" i="1"/>
  <c r="Y579" i="1" s="1"/>
  <c r="Z579" i="1" s="1"/>
  <c r="AA579" i="1" s="1"/>
  <c r="X571" i="1"/>
  <c r="Y571" i="1" s="1"/>
  <c r="Z571" i="1" s="1"/>
  <c r="AA571" i="1" s="1"/>
  <c r="X567" i="1"/>
  <c r="Y567" i="1" s="1"/>
  <c r="Z567" i="1" s="1"/>
  <c r="AA567" i="1" s="1"/>
  <c r="X559" i="1"/>
  <c r="Y559" i="1" s="1"/>
  <c r="Z559" i="1" s="1"/>
  <c r="AA559" i="1" s="1"/>
  <c r="X551" i="1"/>
  <c r="Y551" i="1" s="1"/>
  <c r="Z551" i="1" s="1"/>
  <c r="AA551" i="1" s="1"/>
  <c r="X543" i="1"/>
  <c r="Y543" i="1" s="1"/>
  <c r="Z543" i="1" s="1"/>
  <c r="AA543" i="1" s="1"/>
  <c r="X535" i="1"/>
  <c r="Y535" i="1" s="1"/>
  <c r="Z535" i="1" s="1"/>
  <c r="AA535" i="1" s="1"/>
  <c r="X531" i="1"/>
  <c r="Y531" i="1" s="1"/>
  <c r="Z531" i="1" s="1"/>
  <c r="AA531" i="1" s="1"/>
  <c r="X523" i="1"/>
  <c r="Y523" i="1" s="1"/>
  <c r="Z523" i="1" s="1"/>
  <c r="AA523" i="1" s="1"/>
  <c r="X519" i="1"/>
  <c r="Y519" i="1" s="1"/>
  <c r="Z519" i="1" s="1"/>
  <c r="AA519" i="1" s="1"/>
  <c r="X515" i="1"/>
  <c r="Y515" i="1" s="1"/>
  <c r="Z515" i="1" s="1"/>
  <c r="AA515" i="1" s="1"/>
  <c r="X507" i="1"/>
  <c r="Y507" i="1" s="1"/>
  <c r="Z507" i="1" s="1"/>
  <c r="AA507" i="1" s="1"/>
  <c r="X503" i="1"/>
  <c r="Y503" i="1" s="1"/>
  <c r="Z503" i="1" s="1"/>
  <c r="AA503" i="1" s="1"/>
  <c r="X495" i="1"/>
  <c r="Y495" i="1" s="1"/>
  <c r="Z495" i="1" s="1"/>
  <c r="AA495" i="1" s="1"/>
  <c r="X487" i="1"/>
  <c r="Y487" i="1" s="1"/>
  <c r="Z487" i="1" s="1"/>
  <c r="AA487" i="1" s="1"/>
  <c r="X479" i="1"/>
  <c r="Y479" i="1" s="1"/>
  <c r="Z479" i="1" s="1"/>
  <c r="AA479" i="1" s="1"/>
  <c r="X471" i="1"/>
  <c r="Y471" i="1" s="1"/>
  <c r="Z471" i="1" s="1"/>
  <c r="AA471" i="1" s="1"/>
  <c r="X467" i="1"/>
  <c r="Y467" i="1" s="1"/>
  <c r="Z467" i="1" s="1"/>
  <c r="AA467" i="1" s="1"/>
  <c r="X459" i="1"/>
  <c r="Y459" i="1" s="1"/>
  <c r="Z459" i="1" s="1"/>
  <c r="AA459" i="1" s="1"/>
  <c r="X455" i="1"/>
  <c r="Y455" i="1" s="1"/>
  <c r="Z455" i="1" s="1"/>
  <c r="AA455" i="1" s="1"/>
  <c r="X451" i="1"/>
  <c r="Y451" i="1" s="1"/>
  <c r="Z451" i="1" s="1"/>
  <c r="AA451" i="1" s="1"/>
  <c r="X443" i="1"/>
  <c r="Y443" i="1" s="1"/>
  <c r="Z443" i="1" s="1"/>
  <c r="AA443" i="1" s="1"/>
  <c r="X439" i="1"/>
  <c r="Y439" i="1" s="1"/>
  <c r="Z439" i="1" s="1"/>
  <c r="AA439" i="1" s="1"/>
  <c r="X431" i="1"/>
  <c r="Y431" i="1" s="1"/>
  <c r="Z431" i="1" s="1"/>
  <c r="AA431" i="1" s="1"/>
  <c r="X423" i="1"/>
  <c r="Y423" i="1" s="1"/>
  <c r="Z423" i="1" s="1"/>
  <c r="AA423" i="1" s="1"/>
  <c r="X415" i="1"/>
  <c r="Y415" i="1" s="1"/>
  <c r="Z415" i="1" s="1"/>
  <c r="AA415" i="1" s="1"/>
  <c r="X407" i="1"/>
  <c r="Y407" i="1" s="1"/>
  <c r="Z407" i="1" s="1"/>
  <c r="AA407" i="1" s="1"/>
  <c r="X403" i="1"/>
  <c r="Y403" i="1" s="1"/>
  <c r="Z403" i="1" s="1"/>
  <c r="AA403" i="1" s="1"/>
  <c r="X395" i="1"/>
  <c r="Y395" i="1" s="1"/>
  <c r="Z395" i="1" s="1"/>
  <c r="AA395" i="1" s="1"/>
  <c r="X391" i="1"/>
  <c r="Y391" i="1" s="1"/>
  <c r="Z391" i="1" s="1"/>
  <c r="AA391" i="1" s="1"/>
  <c r="X387" i="1"/>
  <c r="Y387" i="1" s="1"/>
  <c r="Z387" i="1" s="1"/>
  <c r="AA387" i="1" s="1"/>
  <c r="X379" i="1"/>
  <c r="Y379" i="1" s="1"/>
  <c r="Z379" i="1" s="1"/>
  <c r="AA379" i="1" s="1"/>
  <c r="X375" i="1"/>
  <c r="Y375" i="1" s="1"/>
  <c r="Z375" i="1" s="1"/>
  <c r="AA375" i="1" s="1"/>
  <c r="X367" i="1"/>
  <c r="Y367" i="1" s="1"/>
  <c r="Z367" i="1" s="1"/>
  <c r="AA367" i="1" s="1"/>
  <c r="X359" i="1"/>
  <c r="Y359" i="1" s="1"/>
  <c r="Z359" i="1" s="1"/>
  <c r="AA359" i="1" s="1"/>
  <c r="X351" i="1"/>
  <c r="Y351" i="1" s="1"/>
  <c r="Z351" i="1" s="1"/>
  <c r="AA351" i="1" s="1"/>
  <c r="X343" i="1"/>
  <c r="Y343" i="1" s="1"/>
  <c r="Z343" i="1" s="1"/>
  <c r="AA343" i="1" s="1"/>
  <c r="X339" i="1"/>
  <c r="Y339" i="1" s="1"/>
  <c r="Z339" i="1" s="1"/>
  <c r="AA339" i="1" s="1"/>
  <c r="X335" i="1"/>
  <c r="Y335" i="1" s="1"/>
  <c r="Z335" i="1" s="1"/>
  <c r="AA335" i="1" s="1"/>
  <c r="X331" i="1"/>
  <c r="Y331" i="1" s="1"/>
  <c r="Z331" i="1" s="1"/>
  <c r="AA331" i="1" s="1"/>
  <c r="X327" i="1"/>
  <c r="Y327" i="1" s="1"/>
  <c r="Z327" i="1" s="1"/>
  <c r="AA327" i="1" s="1"/>
  <c r="X323" i="1"/>
  <c r="Y323" i="1" s="1"/>
  <c r="Z323" i="1" s="1"/>
  <c r="AA323" i="1" s="1"/>
  <c r="X319" i="1"/>
  <c r="Y319" i="1" s="1"/>
  <c r="Z319" i="1" s="1"/>
  <c r="AA319" i="1" s="1"/>
  <c r="X315" i="1"/>
  <c r="Y315" i="1" s="1"/>
  <c r="Z315" i="1" s="1"/>
  <c r="AA315" i="1" s="1"/>
  <c r="X311" i="1"/>
  <c r="Y311" i="1" s="1"/>
  <c r="Z311" i="1" s="1"/>
  <c r="AA311" i="1" s="1"/>
  <c r="X307" i="1"/>
  <c r="Y307" i="1" s="1"/>
  <c r="Z307" i="1" s="1"/>
  <c r="AA307" i="1" s="1"/>
  <c r="X303" i="1"/>
  <c r="Y303" i="1" s="1"/>
  <c r="Z303" i="1" s="1"/>
  <c r="AA303" i="1" s="1"/>
  <c r="X299" i="1"/>
  <c r="Y299" i="1" s="1"/>
  <c r="Z299" i="1" s="1"/>
  <c r="AA299" i="1" s="1"/>
  <c r="X295" i="1"/>
  <c r="Y295" i="1" s="1"/>
  <c r="Z295" i="1" s="1"/>
  <c r="AA295" i="1" s="1"/>
  <c r="X291" i="1"/>
  <c r="Y291" i="1" s="1"/>
  <c r="Z291" i="1" s="1"/>
  <c r="AA291" i="1" s="1"/>
  <c r="X287" i="1"/>
  <c r="Y287" i="1" s="1"/>
  <c r="Z287" i="1" s="1"/>
  <c r="AA287" i="1" s="1"/>
  <c r="X283" i="1"/>
  <c r="Y283" i="1" s="1"/>
  <c r="Z283" i="1" s="1"/>
  <c r="AA283" i="1" s="1"/>
  <c r="X279" i="1"/>
  <c r="Y279" i="1" s="1"/>
  <c r="Z279" i="1" s="1"/>
  <c r="AA279" i="1" s="1"/>
  <c r="X275" i="1"/>
  <c r="Y275" i="1" s="1"/>
  <c r="Z275" i="1" s="1"/>
  <c r="AA275" i="1" s="1"/>
  <c r="X271" i="1"/>
  <c r="Y271" i="1" s="1"/>
  <c r="Z271" i="1" s="1"/>
  <c r="AA271" i="1" s="1"/>
  <c r="X267" i="1"/>
  <c r="Y267" i="1" s="1"/>
  <c r="Z267" i="1" s="1"/>
  <c r="AA267" i="1" s="1"/>
  <c r="X263" i="1"/>
  <c r="Y263" i="1" s="1"/>
  <c r="Z263" i="1" s="1"/>
  <c r="AA263" i="1" s="1"/>
  <c r="X259" i="1"/>
  <c r="Y259" i="1" s="1"/>
  <c r="Z259" i="1" s="1"/>
  <c r="AA259" i="1" s="1"/>
  <c r="X255" i="1"/>
  <c r="Y255" i="1" s="1"/>
  <c r="Z255" i="1" s="1"/>
  <c r="AA255" i="1" s="1"/>
  <c r="X251" i="1"/>
  <c r="Y251" i="1" s="1"/>
  <c r="Z251" i="1" s="1"/>
  <c r="AA251" i="1" s="1"/>
  <c r="X247" i="1"/>
  <c r="Y247" i="1" s="1"/>
  <c r="Z247" i="1" s="1"/>
  <c r="AA247" i="1" s="1"/>
  <c r="X243" i="1"/>
  <c r="Y243" i="1" s="1"/>
  <c r="Z243" i="1" s="1"/>
  <c r="AA243" i="1" s="1"/>
  <c r="X239" i="1"/>
  <c r="Y239" i="1" s="1"/>
  <c r="Z239" i="1" s="1"/>
  <c r="AA239" i="1" s="1"/>
  <c r="X235" i="1"/>
  <c r="Y235" i="1" s="1"/>
  <c r="Z235" i="1" s="1"/>
  <c r="AA235" i="1" s="1"/>
  <c r="X231" i="1"/>
  <c r="Y231" i="1" s="1"/>
  <c r="Z231" i="1" s="1"/>
  <c r="AA231" i="1" s="1"/>
  <c r="X227" i="1"/>
  <c r="Y227" i="1" s="1"/>
  <c r="Z227" i="1" s="1"/>
  <c r="AA227" i="1" s="1"/>
  <c r="X223" i="1"/>
  <c r="Y223" i="1" s="1"/>
  <c r="Z223" i="1" s="1"/>
  <c r="AA223" i="1" s="1"/>
  <c r="X219" i="1"/>
  <c r="Y219" i="1" s="1"/>
  <c r="Z219" i="1" s="1"/>
  <c r="AA219" i="1" s="1"/>
  <c r="X215" i="1"/>
  <c r="Y215" i="1" s="1"/>
  <c r="Z215" i="1" s="1"/>
  <c r="AA215" i="1" s="1"/>
  <c r="X211" i="1"/>
  <c r="Y211" i="1" s="1"/>
  <c r="Z211" i="1" s="1"/>
  <c r="AA211" i="1" s="1"/>
  <c r="X207" i="1"/>
  <c r="Y207" i="1" s="1"/>
  <c r="Z207" i="1" s="1"/>
  <c r="AA207" i="1" s="1"/>
  <c r="X203" i="1"/>
  <c r="Y203" i="1" s="1"/>
  <c r="Z203" i="1" s="1"/>
  <c r="AA203" i="1" s="1"/>
  <c r="X199" i="1"/>
  <c r="Y199" i="1" s="1"/>
  <c r="Z199" i="1" s="1"/>
  <c r="AA199" i="1" s="1"/>
  <c r="X195" i="1"/>
  <c r="Y195" i="1" s="1"/>
  <c r="Z195" i="1" s="1"/>
  <c r="AA195" i="1" s="1"/>
  <c r="X191" i="1"/>
  <c r="Y191" i="1" s="1"/>
  <c r="Z191" i="1" s="1"/>
  <c r="AA191" i="1" s="1"/>
  <c r="X187" i="1"/>
  <c r="Y187" i="1" s="1"/>
  <c r="Z187" i="1" s="1"/>
  <c r="AA187" i="1" s="1"/>
  <c r="X183" i="1"/>
  <c r="Y183" i="1" s="1"/>
  <c r="Z183" i="1" s="1"/>
  <c r="AA183" i="1" s="1"/>
  <c r="X179" i="1"/>
  <c r="Y179" i="1" s="1"/>
  <c r="Z179" i="1" s="1"/>
  <c r="AA179" i="1" s="1"/>
  <c r="X175" i="1"/>
  <c r="Y175" i="1" s="1"/>
  <c r="Z175" i="1" s="1"/>
  <c r="AA175" i="1" s="1"/>
  <c r="X171" i="1"/>
  <c r="Y171" i="1" s="1"/>
  <c r="Z171" i="1" s="1"/>
  <c r="AA171" i="1" s="1"/>
  <c r="X167" i="1"/>
  <c r="Y167" i="1" s="1"/>
  <c r="Z167" i="1" s="1"/>
  <c r="AA167" i="1" s="1"/>
  <c r="X163" i="1"/>
  <c r="Y163" i="1" s="1"/>
  <c r="Z163" i="1" s="1"/>
  <c r="AA163" i="1" s="1"/>
  <c r="X159" i="1"/>
  <c r="Y159" i="1" s="1"/>
  <c r="Z159" i="1" s="1"/>
  <c r="AA159" i="1" s="1"/>
  <c r="X155" i="1"/>
  <c r="Y155" i="1" s="1"/>
  <c r="Z155" i="1" s="1"/>
  <c r="AA155" i="1" s="1"/>
  <c r="X151" i="1"/>
  <c r="Y151" i="1" s="1"/>
  <c r="Z151" i="1" s="1"/>
  <c r="AA151" i="1" s="1"/>
  <c r="X147" i="1"/>
  <c r="Y147" i="1" s="1"/>
  <c r="Z147" i="1" s="1"/>
  <c r="AA147" i="1" s="1"/>
  <c r="X143" i="1"/>
  <c r="Y143" i="1" s="1"/>
  <c r="Z143" i="1" s="1"/>
  <c r="AA143" i="1" s="1"/>
  <c r="X139" i="1"/>
  <c r="Y139" i="1" s="1"/>
  <c r="Z139" i="1" s="1"/>
  <c r="AA139" i="1" s="1"/>
  <c r="X135" i="1"/>
  <c r="Y135" i="1" s="1"/>
  <c r="Z135" i="1" s="1"/>
  <c r="AA135" i="1" s="1"/>
  <c r="X131" i="1"/>
  <c r="Y131" i="1" s="1"/>
  <c r="Z131" i="1" s="1"/>
  <c r="AA131" i="1" s="1"/>
  <c r="X127" i="1"/>
  <c r="Y127" i="1" s="1"/>
  <c r="Z127" i="1" s="1"/>
  <c r="AA127" i="1" s="1"/>
  <c r="X123" i="1"/>
  <c r="Y123" i="1" s="1"/>
  <c r="Z123" i="1" s="1"/>
  <c r="AA123" i="1" s="1"/>
  <c r="X119" i="1"/>
  <c r="Y119" i="1" s="1"/>
  <c r="Z119" i="1" s="1"/>
  <c r="AA119" i="1" s="1"/>
  <c r="X115" i="1"/>
  <c r="Y115" i="1" s="1"/>
  <c r="Z115" i="1" s="1"/>
  <c r="AA115" i="1" s="1"/>
  <c r="X111" i="1"/>
  <c r="Y111" i="1" s="1"/>
  <c r="Z111" i="1" s="1"/>
  <c r="AA111" i="1" s="1"/>
  <c r="X107" i="1"/>
  <c r="Y107" i="1" s="1"/>
  <c r="Z107" i="1" s="1"/>
  <c r="AA107" i="1" s="1"/>
  <c r="X103" i="1"/>
  <c r="Y103" i="1" s="1"/>
  <c r="Z103" i="1" s="1"/>
  <c r="AA103" i="1" s="1"/>
  <c r="X99" i="1"/>
  <c r="Y99" i="1" s="1"/>
  <c r="Z99" i="1" s="1"/>
  <c r="AA99" i="1" s="1"/>
  <c r="X95" i="1"/>
  <c r="Y95" i="1" s="1"/>
  <c r="Z95" i="1" s="1"/>
  <c r="AA95" i="1" s="1"/>
  <c r="X91" i="1"/>
  <c r="Y91" i="1" s="1"/>
  <c r="Z91" i="1" s="1"/>
  <c r="AA91" i="1" s="1"/>
  <c r="X87" i="1"/>
  <c r="Y87" i="1" s="1"/>
  <c r="Z87" i="1" s="1"/>
  <c r="AA87" i="1" s="1"/>
  <c r="X83" i="1"/>
  <c r="Y83" i="1" s="1"/>
  <c r="Z83" i="1" s="1"/>
  <c r="AA83" i="1" s="1"/>
  <c r="X79" i="1"/>
  <c r="Y79" i="1" s="1"/>
  <c r="Z79" i="1" s="1"/>
  <c r="AA79" i="1" s="1"/>
  <c r="X75" i="1"/>
  <c r="Y75" i="1" s="1"/>
  <c r="Z75" i="1" s="1"/>
  <c r="AA75" i="1" s="1"/>
  <c r="X71" i="1"/>
  <c r="Y71" i="1" s="1"/>
  <c r="Z71" i="1" s="1"/>
  <c r="AA71" i="1" s="1"/>
  <c r="X67" i="1"/>
  <c r="Y67" i="1" s="1"/>
  <c r="Z67" i="1" s="1"/>
  <c r="AA67" i="1" s="1"/>
  <c r="X63" i="1"/>
  <c r="Y63" i="1" s="1"/>
  <c r="Z63" i="1" s="1"/>
  <c r="AA63" i="1" s="1"/>
  <c r="X59" i="1"/>
  <c r="Y59" i="1" s="1"/>
  <c r="Z59" i="1" s="1"/>
  <c r="AA59" i="1" s="1"/>
  <c r="X55" i="1"/>
  <c r="Y55" i="1" s="1"/>
  <c r="Z55" i="1" s="1"/>
  <c r="AA55" i="1" s="1"/>
  <c r="X51" i="1"/>
  <c r="Y51" i="1" s="1"/>
  <c r="Z51" i="1" s="1"/>
  <c r="AA51" i="1" s="1"/>
  <c r="X47" i="1"/>
  <c r="Y47" i="1" s="1"/>
  <c r="Z47" i="1" s="1"/>
  <c r="AA47" i="1" s="1"/>
  <c r="X43" i="1"/>
  <c r="Y43" i="1" s="1"/>
  <c r="Z43" i="1" s="1"/>
  <c r="AA43" i="1" s="1"/>
  <c r="X39" i="1"/>
  <c r="Y39" i="1" s="1"/>
  <c r="Z39" i="1" s="1"/>
  <c r="AA39" i="1" s="1"/>
  <c r="X35" i="1"/>
  <c r="Y35" i="1" s="1"/>
  <c r="Z35" i="1" s="1"/>
  <c r="AA35" i="1" s="1"/>
  <c r="X31" i="1"/>
  <c r="Y31" i="1" s="1"/>
  <c r="Z31" i="1" s="1"/>
  <c r="AA31" i="1" s="1"/>
  <c r="X27" i="1"/>
  <c r="Y27" i="1" s="1"/>
  <c r="Z27" i="1" s="1"/>
  <c r="AA27" i="1" s="1"/>
  <c r="X23" i="1"/>
  <c r="Y23" i="1" s="1"/>
  <c r="Z23" i="1" s="1"/>
  <c r="AA23" i="1" s="1"/>
  <c r="X19" i="1"/>
  <c r="Y19" i="1" s="1"/>
  <c r="Z19" i="1" s="1"/>
  <c r="AA19" i="1" s="1"/>
  <c r="X15" i="1"/>
  <c r="Y15" i="1" s="1"/>
  <c r="Z15" i="1" s="1"/>
  <c r="AA15" i="1" s="1"/>
  <c r="X11" i="1"/>
  <c r="Y11" i="1" s="1"/>
  <c r="Z11" i="1" s="1"/>
  <c r="AA11" i="1" s="1"/>
  <c r="X7" i="1"/>
  <c r="Y7" i="1" s="1"/>
  <c r="Z7" i="1" s="1"/>
  <c r="AA7" i="1" s="1"/>
  <c r="X3" i="1"/>
  <c r="Y3" i="1" s="1"/>
  <c r="Z3" i="1" s="1"/>
  <c r="AA3" i="1" s="1"/>
  <c r="X703" i="1"/>
  <c r="Y703" i="1" s="1"/>
  <c r="Z703" i="1" s="1"/>
  <c r="AA703" i="1" s="1"/>
  <c r="X606" i="1"/>
  <c r="Y606" i="1" s="1"/>
  <c r="Z606" i="1" s="1"/>
  <c r="AA606" i="1" s="1"/>
  <c r="X554" i="1"/>
  <c r="Y554" i="1" s="1"/>
  <c r="Z554" i="1" s="1"/>
  <c r="AA554" i="1" s="1"/>
  <c r="X346" i="1"/>
  <c r="Y346" i="1" s="1"/>
  <c r="Z346" i="1" s="1"/>
  <c r="AA346" i="1" s="1"/>
  <c r="Y2000" i="1"/>
  <c r="Z2000" i="1" s="1"/>
  <c r="AA2000" i="1" s="1"/>
  <c r="Y1984" i="1"/>
  <c r="Z1984" i="1" s="1"/>
  <c r="AA1984" i="1" s="1"/>
  <c r="Y1968" i="1"/>
  <c r="Z1968" i="1" s="1"/>
  <c r="AA1968" i="1" s="1"/>
  <c r="Y1952" i="1"/>
  <c r="Z1952" i="1" s="1"/>
  <c r="AA1952" i="1" s="1"/>
  <c r="Y1936" i="1"/>
  <c r="Z1936" i="1" s="1"/>
  <c r="AA1936" i="1" s="1"/>
  <c r="Y1920" i="1"/>
  <c r="Z1920" i="1" s="1"/>
  <c r="AA1920" i="1" s="1"/>
  <c r="Y1904" i="1"/>
  <c r="Z1904" i="1" s="1"/>
  <c r="AA1904" i="1" s="1"/>
  <c r="Y1888" i="1"/>
  <c r="Z1888" i="1" s="1"/>
  <c r="AA1888" i="1" s="1"/>
  <c r="Y1872" i="1"/>
  <c r="Z1872" i="1" s="1"/>
  <c r="AA1872" i="1" s="1"/>
  <c r="Y1856" i="1"/>
  <c r="Z1856" i="1" s="1"/>
  <c r="AA1856" i="1" s="1"/>
  <c r="Y1840" i="1"/>
  <c r="Z1840" i="1" s="1"/>
  <c r="AA1840" i="1" s="1"/>
  <c r="Y1824" i="1"/>
  <c r="Z1824" i="1" s="1"/>
  <c r="AA1824" i="1" s="1"/>
  <c r="Y1808" i="1"/>
  <c r="Z1808" i="1" s="1"/>
  <c r="AA1808" i="1" s="1"/>
  <c r="Y1792" i="1"/>
  <c r="Z1792" i="1" s="1"/>
  <c r="AA1792" i="1" s="1"/>
  <c r="Y1776" i="1"/>
  <c r="Z1776" i="1" s="1"/>
  <c r="AA1776" i="1" s="1"/>
  <c r="Y1760" i="1"/>
  <c r="Z1760" i="1" s="1"/>
  <c r="AA1760" i="1" s="1"/>
  <c r="Y1744" i="1"/>
  <c r="Z1744" i="1" s="1"/>
  <c r="AA1744" i="1" s="1"/>
  <c r="Y1684" i="1"/>
  <c r="Z1684" i="1" s="1"/>
  <c r="AA1684" i="1" s="1"/>
  <c r="Y1675" i="1"/>
  <c r="Z1675" i="1" s="1"/>
  <c r="AA1675" i="1" s="1"/>
  <c r="Y1664" i="1"/>
  <c r="Z1664" i="1" s="1"/>
  <c r="AA1664" i="1" s="1"/>
  <c r="Y1647" i="1"/>
  <c r="Z1647" i="1" s="1"/>
  <c r="AA1647" i="1" s="1"/>
  <c r="Y1620" i="1"/>
  <c r="Z1620" i="1" s="1"/>
  <c r="AA1620" i="1" s="1"/>
  <c r="Y1611" i="1"/>
  <c r="Z1611" i="1" s="1"/>
  <c r="AA1611" i="1" s="1"/>
  <c r="Y1600" i="1"/>
  <c r="Z1600" i="1" s="1"/>
  <c r="AA1600" i="1" s="1"/>
  <c r="Y1583" i="1"/>
  <c r="Z1583" i="1" s="1"/>
  <c r="AA1583" i="1" s="1"/>
  <c r="Y1556" i="1"/>
  <c r="Z1556" i="1" s="1"/>
  <c r="AA1556" i="1" s="1"/>
  <c r="Y1547" i="1"/>
  <c r="Z1547" i="1" s="1"/>
  <c r="AA1547" i="1" s="1"/>
  <c r="Y1536" i="1"/>
  <c r="Z1536" i="1" s="1"/>
  <c r="AA1536" i="1" s="1"/>
  <c r="Y1519" i="1"/>
  <c r="Z1519" i="1" s="1"/>
  <c r="AA1519" i="1" s="1"/>
  <c r="Y1492" i="1"/>
  <c r="Z1492" i="1" s="1"/>
  <c r="AA1492" i="1" s="1"/>
  <c r="Y1483" i="1"/>
  <c r="Z1483" i="1" s="1"/>
  <c r="AA1483" i="1" s="1"/>
  <c r="Y1472" i="1"/>
  <c r="Z1472" i="1" s="1"/>
  <c r="AA1472" i="1" s="1"/>
  <c r="Y1455" i="1"/>
  <c r="Z1455" i="1" s="1"/>
  <c r="AA1455" i="1" s="1"/>
  <c r="Y1428" i="1"/>
  <c r="Z1428" i="1" s="1"/>
  <c r="AA1428" i="1" s="1"/>
  <c r="Y1419" i="1"/>
  <c r="Z1419" i="1" s="1"/>
  <c r="AA1419" i="1" s="1"/>
  <c r="Y1408" i="1"/>
  <c r="Z1408" i="1" s="1"/>
  <c r="AA1408" i="1" s="1"/>
  <c r="Y1391" i="1"/>
  <c r="Z1391" i="1" s="1"/>
  <c r="AA1391" i="1" s="1"/>
  <c r="Y1364" i="1"/>
  <c r="Z1364" i="1" s="1"/>
  <c r="AA1364" i="1" s="1"/>
  <c r="Y1355" i="1"/>
  <c r="Z1355" i="1" s="1"/>
  <c r="AA1355" i="1" s="1"/>
  <c r="Y1344" i="1"/>
  <c r="Z1344" i="1" s="1"/>
  <c r="AA1344" i="1" s="1"/>
  <c r="Y1327" i="1"/>
  <c r="Z1327" i="1" s="1"/>
  <c r="AA1327" i="1" s="1"/>
  <c r="Y1316" i="1"/>
  <c r="Z1316" i="1" s="1"/>
  <c r="AA1316" i="1" s="1"/>
  <c r="Y1307" i="1"/>
  <c r="Z1307" i="1" s="1"/>
  <c r="AA1307" i="1" s="1"/>
  <c r="Y1296" i="1"/>
  <c r="Z1296" i="1" s="1"/>
  <c r="AA1296" i="1" s="1"/>
  <c r="Y1279" i="1"/>
  <c r="Z1279" i="1" s="1"/>
  <c r="AA1279" i="1" s="1"/>
  <c r="Y1252" i="1"/>
  <c r="Z1252" i="1" s="1"/>
  <c r="AA1252" i="1" s="1"/>
  <c r="Y1243" i="1"/>
  <c r="Z1243" i="1" s="1"/>
  <c r="AA1243" i="1" s="1"/>
  <c r="Y1232" i="1"/>
  <c r="Z1232" i="1" s="1"/>
  <c r="AA1232" i="1" s="1"/>
  <c r="Y1215" i="1"/>
  <c r="Z1215" i="1" s="1"/>
  <c r="AA1215" i="1" s="1"/>
  <c r="Y1188" i="1"/>
  <c r="Z1188" i="1" s="1"/>
  <c r="AA1188" i="1" s="1"/>
  <c r="Y1179" i="1"/>
  <c r="Z1179" i="1" s="1"/>
  <c r="AA1179" i="1" s="1"/>
  <c r="Y1168" i="1"/>
  <c r="Z1168" i="1" s="1"/>
  <c r="AA1168" i="1" s="1"/>
  <c r="Y1151" i="1"/>
  <c r="Z1151" i="1" s="1"/>
  <c r="AA1151" i="1" s="1"/>
  <c r="Y1124" i="1"/>
  <c r="Z1124" i="1" s="1"/>
  <c r="AA1124" i="1" s="1"/>
  <c r="Y1115" i="1"/>
  <c r="Z1115" i="1" s="1"/>
  <c r="AA1115" i="1" s="1"/>
  <c r="Y1104" i="1"/>
  <c r="Z1104" i="1" s="1"/>
  <c r="AA1104" i="1" s="1"/>
  <c r="Y1087" i="1"/>
  <c r="Z1087" i="1" s="1"/>
  <c r="AA1087" i="1" s="1"/>
  <c r="Y1060" i="1"/>
  <c r="Z1060" i="1" s="1"/>
  <c r="AA1060" i="1" s="1"/>
  <c r="Y1051" i="1"/>
  <c r="Z1051" i="1" s="1"/>
  <c r="AA1051" i="1" s="1"/>
  <c r="Y1040" i="1"/>
  <c r="Z1040" i="1" s="1"/>
  <c r="AA1040" i="1" s="1"/>
  <c r="Y1023" i="1"/>
  <c r="Z1023" i="1" s="1"/>
  <c r="AA1023" i="1" s="1"/>
  <c r="Y996" i="1"/>
  <c r="Z996" i="1" s="1"/>
  <c r="AA996" i="1" s="1"/>
  <c r="Y987" i="1"/>
  <c r="Z987" i="1" s="1"/>
  <c r="AA987" i="1" s="1"/>
  <c r="Y976" i="1"/>
  <c r="Z976" i="1" s="1"/>
  <c r="AA976" i="1" s="1"/>
  <c r="Y959" i="1"/>
  <c r="Z959" i="1" s="1"/>
  <c r="AA959" i="1" s="1"/>
  <c r="Y932" i="1"/>
  <c r="Z932" i="1" s="1"/>
  <c r="AA932" i="1" s="1"/>
  <c r="Y923" i="1"/>
  <c r="Z923" i="1" s="1"/>
  <c r="AA923" i="1" s="1"/>
  <c r="Y912" i="1"/>
  <c r="Z912" i="1" s="1"/>
  <c r="AA912" i="1" s="1"/>
  <c r="Y895" i="1"/>
  <c r="Z895" i="1" s="1"/>
  <c r="AA895" i="1" s="1"/>
  <c r="Y868" i="1"/>
  <c r="Z868" i="1" s="1"/>
  <c r="AA868" i="1" s="1"/>
  <c r="Y859" i="1"/>
  <c r="Z859" i="1" s="1"/>
  <c r="AA859" i="1" s="1"/>
  <c r="Y847" i="1"/>
  <c r="Z847" i="1" s="1"/>
  <c r="AA847" i="1" s="1"/>
  <c r="Y810" i="1"/>
  <c r="Z810" i="1" s="1"/>
  <c r="AA810" i="1" s="1"/>
  <c r="Y774" i="1"/>
  <c r="Z774" i="1" s="1"/>
  <c r="AA774" i="1" s="1"/>
  <c r="Y762" i="1"/>
  <c r="Z762" i="1" s="1"/>
  <c r="AA762" i="1" s="1"/>
  <c r="Y747" i="1"/>
  <c r="Z747" i="1" s="1"/>
  <c r="AA747" i="1" s="1"/>
  <c r="Y739" i="1"/>
  <c r="Z739" i="1" s="1"/>
  <c r="AA739" i="1" s="1"/>
  <c r="Y726" i="1"/>
  <c r="Z726" i="1" s="1"/>
  <c r="AA726" i="1" s="1"/>
  <c r="Y667" i="1"/>
  <c r="Z667" i="1" s="1"/>
  <c r="AA667" i="1" s="1"/>
  <c r="Y654" i="1"/>
  <c r="Z654" i="1" s="1"/>
  <c r="AA654" i="1" s="1"/>
  <c r="Y627" i="1"/>
  <c r="Z627" i="1" s="1"/>
  <c r="AA627" i="1" s="1"/>
  <c r="Y591" i="1"/>
  <c r="Z591" i="1" s="1"/>
  <c r="AA591" i="1" s="1"/>
  <c r="Y506" i="1"/>
  <c r="Z506" i="1" s="1"/>
  <c r="AA506" i="1" s="1"/>
  <c r="Y491" i="1"/>
  <c r="Z491" i="1" s="1"/>
  <c r="AA491" i="1" s="1"/>
  <c r="Y483" i="1"/>
  <c r="Z483" i="1" s="1"/>
  <c r="AA483" i="1" s="1"/>
  <c r="Y470" i="1"/>
  <c r="Z470" i="1" s="1"/>
  <c r="AA470" i="1" s="1"/>
  <c r="Y447" i="1"/>
  <c r="Z447" i="1" s="1"/>
  <c r="AA447" i="1" s="1"/>
  <c r="Y411" i="1"/>
  <c r="Z411" i="1" s="1"/>
  <c r="AA411" i="1" s="1"/>
  <c r="Y371" i="1"/>
  <c r="Z371" i="1" s="1"/>
  <c r="AA371" i="1" s="1"/>
  <c r="Y232" i="1"/>
  <c r="Z232" i="1" s="1"/>
  <c r="AA232" i="1" s="1"/>
  <c r="Y104" i="1"/>
  <c r="Z104" i="1" s="1"/>
  <c r="AA104" i="1" s="1"/>
  <c r="X845" i="1"/>
  <c r="Y845" i="1" s="1"/>
  <c r="Z845" i="1" s="1"/>
  <c r="AA845" i="1" s="1"/>
  <c r="X829" i="1"/>
  <c r="Y829" i="1" s="1"/>
  <c r="Z829" i="1" s="1"/>
  <c r="AA829" i="1" s="1"/>
  <c r="X813" i="1"/>
  <c r="Y813" i="1" s="1"/>
  <c r="Z813" i="1" s="1"/>
  <c r="AA813" i="1" s="1"/>
  <c r="X797" i="1"/>
  <c r="Y797" i="1" s="1"/>
  <c r="Z797" i="1" s="1"/>
  <c r="AA797" i="1" s="1"/>
  <c r="X781" i="1"/>
  <c r="Y781" i="1" s="1"/>
  <c r="Z781" i="1" s="1"/>
  <c r="AA781" i="1" s="1"/>
  <c r="X765" i="1"/>
  <c r="Y765" i="1" s="1"/>
  <c r="Z765" i="1" s="1"/>
  <c r="AA765" i="1" s="1"/>
  <c r="X749" i="1"/>
  <c r="Y749" i="1" s="1"/>
  <c r="Z749" i="1" s="1"/>
  <c r="AA749" i="1" s="1"/>
  <c r="X733" i="1"/>
  <c r="Y733" i="1" s="1"/>
  <c r="Z733" i="1" s="1"/>
  <c r="AA733" i="1" s="1"/>
  <c r="X717" i="1"/>
  <c r="Y717" i="1" s="1"/>
  <c r="Z717" i="1" s="1"/>
  <c r="AA717" i="1" s="1"/>
  <c r="X701" i="1"/>
  <c r="Y701" i="1" s="1"/>
  <c r="Z701" i="1" s="1"/>
  <c r="AA701" i="1" s="1"/>
  <c r="X685" i="1"/>
  <c r="Y685" i="1" s="1"/>
  <c r="Z685" i="1" s="1"/>
  <c r="AA685" i="1" s="1"/>
  <c r="X669" i="1"/>
  <c r="Y669" i="1" s="1"/>
  <c r="Z669" i="1" s="1"/>
  <c r="AA669" i="1" s="1"/>
  <c r="X653" i="1"/>
  <c r="Y653" i="1" s="1"/>
  <c r="Z653" i="1" s="1"/>
  <c r="AA653" i="1" s="1"/>
  <c r="X637" i="1"/>
  <c r="Y637" i="1" s="1"/>
  <c r="Z637" i="1" s="1"/>
  <c r="AA637" i="1" s="1"/>
  <c r="X621" i="1"/>
  <c r="Y621" i="1" s="1"/>
  <c r="Z621" i="1" s="1"/>
  <c r="AA621" i="1" s="1"/>
  <c r="X605" i="1"/>
  <c r="Y605" i="1" s="1"/>
  <c r="Z605" i="1" s="1"/>
  <c r="AA605" i="1" s="1"/>
  <c r="X589" i="1"/>
  <c r="Y589" i="1" s="1"/>
  <c r="Z589" i="1" s="1"/>
  <c r="AA589" i="1" s="1"/>
  <c r="X573" i="1"/>
  <c r="Y573" i="1" s="1"/>
  <c r="Z573" i="1" s="1"/>
  <c r="AA573" i="1" s="1"/>
  <c r="X557" i="1"/>
  <c r="Y557" i="1" s="1"/>
  <c r="Z557" i="1" s="1"/>
  <c r="AA557" i="1" s="1"/>
  <c r="X541" i="1"/>
  <c r="Y541" i="1" s="1"/>
  <c r="Z541" i="1" s="1"/>
  <c r="AA541" i="1" s="1"/>
  <c r="X525" i="1"/>
  <c r="Y525" i="1" s="1"/>
  <c r="Z525" i="1" s="1"/>
  <c r="AA525" i="1" s="1"/>
  <c r="X509" i="1"/>
  <c r="Y509" i="1" s="1"/>
  <c r="Z509" i="1" s="1"/>
  <c r="AA509" i="1" s="1"/>
  <c r="X493" i="1"/>
  <c r="Y493" i="1" s="1"/>
  <c r="Z493" i="1" s="1"/>
  <c r="AA493" i="1" s="1"/>
  <c r="X477" i="1"/>
  <c r="Y477" i="1" s="1"/>
  <c r="Z477" i="1" s="1"/>
  <c r="AA477" i="1" s="1"/>
  <c r="X461" i="1"/>
  <c r="Y461" i="1" s="1"/>
  <c r="Z461" i="1" s="1"/>
  <c r="AA461" i="1" s="1"/>
  <c r="X445" i="1"/>
  <c r="Y445" i="1" s="1"/>
  <c r="Z445" i="1" s="1"/>
  <c r="AA445" i="1" s="1"/>
  <c r="X429" i="1"/>
  <c r="Y429" i="1" s="1"/>
  <c r="Z429" i="1" s="1"/>
  <c r="AA429" i="1" s="1"/>
  <c r="X413" i="1"/>
  <c r="Y413" i="1" s="1"/>
  <c r="Z413" i="1" s="1"/>
  <c r="AA413" i="1" s="1"/>
  <c r="X397" i="1"/>
  <c r="Y397" i="1" s="1"/>
  <c r="Z397" i="1" s="1"/>
  <c r="AA397" i="1" s="1"/>
  <c r="X381" i="1"/>
  <c r="Y381" i="1" s="1"/>
  <c r="Z381" i="1" s="1"/>
  <c r="AA381" i="1" s="1"/>
  <c r="X365" i="1"/>
  <c r="Y365" i="1" s="1"/>
  <c r="Z365" i="1" s="1"/>
  <c r="AA365" i="1" s="1"/>
  <c r="X349" i="1"/>
  <c r="Y349" i="1" s="1"/>
  <c r="Z349" i="1" s="1"/>
  <c r="AA349" i="1" s="1"/>
  <c r="X325" i="1"/>
  <c r="Y325" i="1" s="1"/>
  <c r="Z325" i="1" s="1"/>
  <c r="AA325" i="1" s="1"/>
  <c r="X313" i="1"/>
  <c r="Y313" i="1" s="1"/>
  <c r="Z313" i="1" s="1"/>
  <c r="AA313" i="1" s="1"/>
  <c r="X293" i="1"/>
  <c r="Y293" i="1" s="1"/>
  <c r="Z293" i="1" s="1"/>
  <c r="AA293" i="1" s="1"/>
  <c r="X281" i="1"/>
  <c r="Y281" i="1" s="1"/>
  <c r="Z281" i="1" s="1"/>
  <c r="AA281" i="1" s="1"/>
  <c r="X261" i="1"/>
  <c r="Y261" i="1" s="1"/>
  <c r="Z261" i="1" s="1"/>
  <c r="AA261" i="1" s="1"/>
  <c r="X249" i="1"/>
  <c r="Y249" i="1" s="1"/>
  <c r="Z249" i="1" s="1"/>
  <c r="AA249" i="1" s="1"/>
  <c r="X229" i="1"/>
  <c r="Y229" i="1" s="1"/>
  <c r="Z229" i="1" s="1"/>
  <c r="AA229" i="1" s="1"/>
  <c r="X217" i="1"/>
  <c r="Y217" i="1" s="1"/>
  <c r="Z217" i="1" s="1"/>
  <c r="AA217" i="1" s="1"/>
  <c r="X197" i="1"/>
  <c r="Y197" i="1" s="1"/>
  <c r="Z197" i="1" s="1"/>
  <c r="AA197" i="1" s="1"/>
  <c r="X185" i="1"/>
  <c r="Y185" i="1" s="1"/>
  <c r="Z185" i="1" s="1"/>
  <c r="AA185" i="1" s="1"/>
  <c r="X165" i="1"/>
  <c r="Y165" i="1" s="1"/>
  <c r="Z165" i="1" s="1"/>
  <c r="AA165" i="1" s="1"/>
  <c r="X153" i="1"/>
  <c r="Y153" i="1" s="1"/>
  <c r="Z153" i="1" s="1"/>
  <c r="AA153" i="1" s="1"/>
  <c r="X133" i="1"/>
  <c r="Y133" i="1" s="1"/>
  <c r="Z133" i="1" s="1"/>
  <c r="AA133" i="1" s="1"/>
  <c r="X121" i="1"/>
  <c r="Y121" i="1" s="1"/>
  <c r="Z121" i="1" s="1"/>
  <c r="AA121" i="1" s="1"/>
  <c r="X101" i="1"/>
  <c r="Y101" i="1" s="1"/>
  <c r="Z101" i="1" s="1"/>
  <c r="AA101" i="1" s="1"/>
  <c r="X89" i="1"/>
  <c r="Y89" i="1" s="1"/>
  <c r="Z89" i="1" s="1"/>
  <c r="AA89" i="1" s="1"/>
  <c r="X69" i="1"/>
  <c r="Y69" i="1" s="1"/>
  <c r="Z69" i="1" s="1"/>
  <c r="AA69" i="1" s="1"/>
  <c r="X57" i="1"/>
  <c r="Y57" i="1" s="1"/>
  <c r="Z57" i="1" s="1"/>
  <c r="AA57" i="1" s="1"/>
  <c r="X37" i="1"/>
  <c r="Y37" i="1" s="1"/>
  <c r="Z37" i="1" s="1"/>
  <c r="AA37" i="1" s="1"/>
  <c r="X25" i="1"/>
  <c r="Y25" i="1" s="1"/>
  <c r="Z25" i="1" s="1"/>
  <c r="AA25" i="1" s="1"/>
  <c r="X5" i="1"/>
  <c r="Y5" i="1" s="1"/>
  <c r="Z5" i="1" s="1"/>
  <c r="AA5" i="1" s="1"/>
  <c r="Y1697" i="1"/>
  <c r="Z1697" i="1" s="1"/>
  <c r="AA1697" i="1" s="1"/>
  <c r="Y1681" i="1"/>
  <c r="Z1681" i="1" s="1"/>
  <c r="AA1681" i="1" s="1"/>
  <c r="Y1665" i="1"/>
  <c r="Z1665" i="1" s="1"/>
  <c r="AA1665" i="1" s="1"/>
  <c r="Y1649" i="1"/>
  <c r="Z1649" i="1" s="1"/>
  <c r="AA1649" i="1" s="1"/>
  <c r="Y1633" i="1"/>
  <c r="Z1633" i="1" s="1"/>
  <c r="AA1633" i="1" s="1"/>
  <c r="Y1617" i="1"/>
  <c r="Z1617" i="1" s="1"/>
  <c r="AA1617" i="1" s="1"/>
  <c r="Y1601" i="1"/>
  <c r="Z1601" i="1" s="1"/>
  <c r="AA1601" i="1" s="1"/>
  <c r="Y1585" i="1"/>
  <c r="Z1585" i="1" s="1"/>
  <c r="AA1585" i="1" s="1"/>
  <c r="Y1569" i="1"/>
  <c r="Z1569" i="1" s="1"/>
  <c r="AA1569" i="1" s="1"/>
  <c r="Y1553" i="1"/>
  <c r="Z1553" i="1" s="1"/>
  <c r="AA1553" i="1" s="1"/>
  <c r="Y1537" i="1"/>
  <c r="Z1537" i="1" s="1"/>
  <c r="AA1537" i="1" s="1"/>
  <c r="Y1521" i="1"/>
  <c r="Z1521" i="1" s="1"/>
  <c r="AA1521" i="1" s="1"/>
  <c r="Y1505" i="1"/>
  <c r="Z1505" i="1" s="1"/>
  <c r="AA1505" i="1" s="1"/>
  <c r="Y1489" i="1"/>
  <c r="Z1489" i="1" s="1"/>
  <c r="AA1489" i="1" s="1"/>
  <c r="Y1473" i="1"/>
  <c r="Z1473" i="1" s="1"/>
  <c r="AA1473" i="1" s="1"/>
  <c r="Y1457" i="1"/>
  <c r="Z1457" i="1" s="1"/>
  <c r="AA1457" i="1" s="1"/>
  <c r="Y1441" i="1"/>
  <c r="Z1441" i="1" s="1"/>
  <c r="AA1441" i="1" s="1"/>
  <c r="Y1425" i="1"/>
  <c r="Z1425" i="1" s="1"/>
  <c r="AA1425" i="1" s="1"/>
  <c r="Y1409" i="1"/>
  <c r="Z1409" i="1" s="1"/>
  <c r="AA1409" i="1" s="1"/>
  <c r="Y1393" i="1"/>
  <c r="Z1393" i="1" s="1"/>
  <c r="AA1393" i="1" s="1"/>
  <c r="Y1377" i="1"/>
  <c r="Z1377" i="1" s="1"/>
  <c r="AA1377" i="1" s="1"/>
  <c r="Y1361" i="1"/>
  <c r="Z1361" i="1" s="1"/>
  <c r="AA1361" i="1" s="1"/>
  <c r="Y1345" i="1"/>
  <c r="Z1345" i="1" s="1"/>
  <c r="AA1345" i="1" s="1"/>
  <c r="Y1329" i="1"/>
  <c r="Z1329" i="1" s="1"/>
  <c r="AA1329" i="1" s="1"/>
  <c r="Y1313" i="1"/>
  <c r="Z1313" i="1" s="1"/>
  <c r="AA1313" i="1" s="1"/>
  <c r="Y1297" i="1"/>
  <c r="Z1297" i="1" s="1"/>
  <c r="AA1297" i="1" s="1"/>
  <c r="Y1281" i="1"/>
  <c r="Z1281" i="1" s="1"/>
  <c r="AA1281" i="1" s="1"/>
  <c r="Y1265" i="1"/>
  <c r="Z1265" i="1" s="1"/>
  <c r="AA1265" i="1" s="1"/>
  <c r="Y1249" i="1"/>
  <c r="Z1249" i="1" s="1"/>
  <c r="AA1249" i="1" s="1"/>
  <c r="Y1233" i="1"/>
  <c r="Z1233" i="1" s="1"/>
  <c r="AA1233" i="1" s="1"/>
  <c r="Y1217" i="1"/>
  <c r="Z1217" i="1" s="1"/>
  <c r="AA1217" i="1" s="1"/>
  <c r="Y1201" i="1"/>
  <c r="Z1201" i="1" s="1"/>
  <c r="AA1201" i="1" s="1"/>
  <c r="Y1185" i="1"/>
  <c r="Z1185" i="1" s="1"/>
  <c r="AA1185" i="1" s="1"/>
  <c r="Y1169" i="1"/>
  <c r="Z1169" i="1" s="1"/>
  <c r="AA1169" i="1" s="1"/>
  <c r="Y1153" i="1"/>
  <c r="Z1153" i="1" s="1"/>
  <c r="AA1153" i="1" s="1"/>
  <c r="Y1137" i="1"/>
  <c r="Z1137" i="1" s="1"/>
  <c r="AA1137" i="1" s="1"/>
  <c r="Y1121" i="1"/>
  <c r="Z1121" i="1" s="1"/>
  <c r="AA1121" i="1" s="1"/>
  <c r="Y1105" i="1"/>
  <c r="Z1105" i="1" s="1"/>
  <c r="AA1105" i="1" s="1"/>
  <c r="Y1089" i="1"/>
  <c r="Z1089" i="1" s="1"/>
  <c r="AA1089" i="1" s="1"/>
  <c r="Y1073" i="1"/>
  <c r="Z1073" i="1" s="1"/>
  <c r="AA1073" i="1" s="1"/>
  <c r="Y1057" i="1"/>
  <c r="Z1057" i="1" s="1"/>
  <c r="AA1057" i="1" s="1"/>
  <c r="Y1041" i="1"/>
  <c r="Z1041" i="1" s="1"/>
  <c r="AA1041" i="1" s="1"/>
  <c r="Y1025" i="1"/>
  <c r="Z1025" i="1" s="1"/>
  <c r="AA1025" i="1" s="1"/>
  <c r="Y1009" i="1"/>
  <c r="Z1009" i="1" s="1"/>
  <c r="AA1009" i="1" s="1"/>
  <c r="Y993" i="1"/>
  <c r="Z993" i="1" s="1"/>
  <c r="AA993" i="1" s="1"/>
  <c r="Y977" i="1"/>
  <c r="Z977" i="1" s="1"/>
  <c r="AA977" i="1" s="1"/>
  <c r="Y961" i="1"/>
  <c r="Z961" i="1" s="1"/>
  <c r="AA961" i="1" s="1"/>
  <c r="Y945" i="1"/>
  <c r="Z945" i="1" s="1"/>
  <c r="AA945" i="1" s="1"/>
  <c r="Y929" i="1"/>
  <c r="Z929" i="1" s="1"/>
  <c r="AA929" i="1" s="1"/>
  <c r="Y913" i="1"/>
  <c r="Z913" i="1" s="1"/>
  <c r="AA913" i="1" s="1"/>
  <c r="Y897" i="1"/>
  <c r="Z897" i="1" s="1"/>
  <c r="AA897" i="1" s="1"/>
  <c r="Y881" i="1"/>
  <c r="Z881" i="1" s="1"/>
  <c r="AA881" i="1" s="1"/>
  <c r="Y865" i="1"/>
  <c r="Z865" i="1" s="1"/>
  <c r="AA865" i="1" s="1"/>
  <c r="Y849" i="1"/>
  <c r="Z849" i="1" s="1"/>
  <c r="AA849" i="1" s="1"/>
  <c r="Y821" i="1"/>
  <c r="Z821" i="1" s="1"/>
  <c r="AA821" i="1" s="1"/>
  <c r="Y793" i="1"/>
  <c r="Z793" i="1" s="1"/>
  <c r="AA793" i="1" s="1"/>
  <c r="Y785" i="1"/>
  <c r="Z785" i="1" s="1"/>
  <c r="AA785" i="1" s="1"/>
  <c r="Y757" i="1"/>
  <c r="Z757" i="1" s="1"/>
  <c r="AA757" i="1" s="1"/>
  <c r="Y729" i="1"/>
  <c r="Z729" i="1" s="1"/>
  <c r="AA729" i="1" s="1"/>
  <c r="Y721" i="1"/>
  <c r="Z721" i="1" s="1"/>
  <c r="AA721" i="1" s="1"/>
  <c r="Y693" i="1"/>
  <c r="Z693" i="1" s="1"/>
  <c r="AA693" i="1" s="1"/>
  <c r="Y665" i="1"/>
  <c r="Z665" i="1" s="1"/>
  <c r="AA665" i="1" s="1"/>
  <c r="Y657" i="1"/>
  <c r="Z657" i="1" s="1"/>
  <c r="AA657" i="1" s="1"/>
  <c r="Y629" i="1"/>
  <c r="Z629" i="1" s="1"/>
  <c r="AA629" i="1" s="1"/>
  <c r="Y601" i="1"/>
  <c r="Z601" i="1" s="1"/>
  <c r="AA601" i="1" s="1"/>
  <c r="Y593" i="1"/>
  <c r="Z593" i="1" s="1"/>
  <c r="AA593" i="1" s="1"/>
  <c r="Y565" i="1"/>
  <c r="Z565" i="1" s="1"/>
  <c r="AA565" i="1" s="1"/>
  <c r="Y537" i="1"/>
  <c r="Z537" i="1" s="1"/>
  <c r="AA537" i="1" s="1"/>
  <c r="Y529" i="1"/>
  <c r="Z529" i="1" s="1"/>
  <c r="AA529" i="1" s="1"/>
  <c r="Y501" i="1"/>
  <c r="Z501" i="1" s="1"/>
  <c r="AA501" i="1" s="1"/>
  <c r="Y473" i="1"/>
  <c r="Z473" i="1" s="1"/>
  <c r="AA473" i="1" s="1"/>
  <c r="Y465" i="1"/>
  <c r="Z465" i="1" s="1"/>
  <c r="AA465" i="1" s="1"/>
  <c r="Y437" i="1"/>
  <c r="Z437" i="1" s="1"/>
  <c r="AA437" i="1" s="1"/>
  <c r="Y409" i="1"/>
  <c r="Z409" i="1" s="1"/>
  <c r="AA409" i="1" s="1"/>
  <c r="Y401" i="1"/>
  <c r="Z401" i="1" s="1"/>
  <c r="AA401" i="1" s="1"/>
  <c r="Y373" i="1"/>
  <c r="Z373" i="1" s="1"/>
  <c r="AA373" i="1" s="1"/>
  <c r="Y345" i="1"/>
  <c r="Z345" i="1" s="1"/>
  <c r="AA345" i="1" s="1"/>
  <c r="Y333" i="1"/>
  <c r="Z333" i="1" s="1"/>
  <c r="AA333" i="1" s="1"/>
  <c r="Y305" i="1"/>
  <c r="Z305" i="1" s="1"/>
  <c r="AA305" i="1" s="1"/>
  <c r="Y289" i="1"/>
  <c r="Z289" i="1" s="1"/>
  <c r="AA289" i="1" s="1"/>
  <c r="Y277" i="1"/>
  <c r="Z277" i="1" s="1"/>
  <c r="AA277" i="1" s="1"/>
  <c r="Y233" i="1"/>
  <c r="Z233" i="1" s="1"/>
  <c r="AA233" i="1" s="1"/>
  <c r="Y221" i="1"/>
  <c r="Z221" i="1" s="1"/>
  <c r="AA221" i="1" s="1"/>
  <c r="Y205" i="1"/>
  <c r="Z205" i="1" s="1"/>
  <c r="AA205" i="1" s="1"/>
  <c r="Y177" i="1"/>
  <c r="Z177" i="1" s="1"/>
  <c r="AA177" i="1" s="1"/>
  <c r="Y161" i="1"/>
  <c r="Z161" i="1" s="1"/>
  <c r="AA161" i="1" s="1"/>
  <c r="Y149" i="1"/>
  <c r="Z149" i="1" s="1"/>
  <c r="AA149" i="1" s="1"/>
  <c r="Y105" i="1"/>
  <c r="Z105" i="1" s="1"/>
  <c r="AA105" i="1" s="1"/>
  <c r="Y93" i="1"/>
  <c r="Z93" i="1" s="1"/>
  <c r="AA93" i="1" s="1"/>
  <c r="Y77" i="1"/>
  <c r="Z77" i="1" s="1"/>
  <c r="AA77" i="1" s="1"/>
  <c r="Y49" i="1"/>
  <c r="Z49" i="1" s="1"/>
  <c r="AA49" i="1" s="1"/>
  <c r="Y33" i="1"/>
  <c r="Z33" i="1" s="1"/>
  <c r="AA33" i="1" s="1"/>
  <c r="Y21" i="1"/>
  <c r="Z21" i="1" s="1"/>
  <c r="AA21" i="1" s="1"/>
</calcChain>
</file>

<file path=xl/sharedStrings.xml><?xml version="1.0" encoding="utf-8"?>
<sst xmlns="http://schemas.openxmlformats.org/spreadsheetml/2006/main" count="26215" uniqueCount="2898">
  <si>
    <t>Order_ID</t>
  </si>
  <si>
    <t>Order_Date</t>
  </si>
  <si>
    <t>Customer_ID</t>
  </si>
  <si>
    <t>Customer_Name</t>
  </si>
  <si>
    <t>Gender</t>
  </si>
  <si>
    <t>Age</t>
  </si>
  <si>
    <t>City</t>
  </si>
  <si>
    <t>State</t>
  </si>
  <si>
    <t>Region</t>
  </si>
  <si>
    <t>Category</t>
  </si>
  <si>
    <t>Sub_Category</t>
  </si>
  <si>
    <t>Product</t>
  </si>
  <si>
    <t>Quantity</t>
  </si>
  <si>
    <t>Unit_Price</t>
  </si>
  <si>
    <t>Discount_%</t>
  </si>
  <si>
    <t>Cost</t>
  </si>
  <si>
    <t>Payment_Mode</t>
  </si>
  <si>
    <t>Order_Status</t>
  </si>
  <si>
    <t>Delivery_Days</t>
  </si>
  <si>
    <t>Customer_Type</t>
  </si>
  <si>
    <t>ORD10001</t>
  </si>
  <si>
    <t>CUST1436</t>
  </si>
  <si>
    <t>Sneha Naidu</t>
  </si>
  <si>
    <t>Female</t>
  </si>
  <si>
    <t>Pune</t>
  </si>
  <si>
    <t>Maharashtra</t>
  </si>
  <si>
    <t>West</t>
  </si>
  <si>
    <t>Fashion</t>
  </si>
  <si>
    <t>Sneakers</t>
  </si>
  <si>
    <t>UPI</t>
  </si>
  <si>
    <t>Delivered</t>
  </si>
  <si>
    <t>New</t>
  </si>
  <si>
    <t>ORD10002</t>
  </si>
  <si>
    <t>CUST1192</t>
  </si>
  <si>
    <t>Priya Singh</t>
  </si>
  <si>
    <t>Kolkata</t>
  </si>
  <si>
    <t>West Bengal</t>
  </si>
  <si>
    <t>East</t>
  </si>
  <si>
    <t>Furniture</t>
  </si>
  <si>
    <t>Office Chair</t>
  </si>
  <si>
    <t>Returning</t>
  </si>
  <si>
    <t>ORD10003</t>
  </si>
  <si>
    <t>CUST1244</t>
  </si>
  <si>
    <t>Nisha Nair</t>
  </si>
  <si>
    <t>Male</t>
  </si>
  <si>
    <t>Kochi</t>
  </si>
  <si>
    <t>Kerala</t>
  </si>
  <si>
    <t>South</t>
  </si>
  <si>
    <t>T-Shirt</t>
  </si>
  <si>
    <t>ORD10004</t>
  </si>
  <si>
    <t>CUST1428</t>
  </si>
  <si>
    <t>Sneha Iyer</t>
  </si>
  <si>
    <t>Bengaluru</t>
  </si>
  <si>
    <t>Karnataka</t>
  </si>
  <si>
    <t>Electronics</t>
  </si>
  <si>
    <t>Smartwatch</t>
  </si>
  <si>
    <t>Wallet</t>
  </si>
  <si>
    <t>ORD10005</t>
  </si>
  <si>
    <t>CUST1351</t>
  </si>
  <si>
    <t>Nisha Naidu</t>
  </si>
  <si>
    <t>Chandigarh</t>
  </si>
  <si>
    <t>North</t>
  </si>
  <si>
    <t>Tablet</t>
  </si>
  <si>
    <t>ORD10006</t>
  </si>
  <si>
    <t>CUST1301</t>
  </si>
  <si>
    <t>Aarav Nair</t>
  </si>
  <si>
    <t>Headphones</t>
  </si>
  <si>
    <t>Net Banking</t>
  </si>
  <si>
    <t>ORD10007</t>
  </si>
  <si>
    <t>CUST1328</t>
  </si>
  <si>
    <t>Priya Patel</t>
  </si>
  <si>
    <t>Bhubaneswar</t>
  </si>
  <si>
    <t>Odisha</t>
  </si>
  <si>
    <t>Bookshelf</t>
  </si>
  <si>
    <t>Returned</t>
  </si>
  <si>
    <t>ORD10008</t>
  </si>
  <si>
    <t>CUST1255</t>
  </si>
  <si>
    <t>Kavya Rao</t>
  </si>
  <si>
    <t>Guwahati</t>
  </si>
  <si>
    <t>Assam</t>
  </si>
  <si>
    <t>Credit Card</t>
  </si>
  <si>
    <t>Cancelled</t>
  </si>
  <si>
    <t>ORD10009</t>
  </si>
  <si>
    <t>CUST1029</t>
  </si>
  <si>
    <t>Arjun Verma</t>
  </si>
  <si>
    <t>Sports</t>
  </si>
  <si>
    <t>Dumbbells</t>
  </si>
  <si>
    <t>ORD10010</t>
  </si>
  <si>
    <t>CUST1473</t>
  </si>
  <si>
    <t>Karan Shah</t>
  </si>
  <si>
    <t>ORD10011</t>
  </si>
  <si>
    <t>CUST1160</t>
  </si>
  <si>
    <t>Nisha Iyer</t>
  </si>
  <si>
    <t>Beauty</t>
  </si>
  <si>
    <t>Shampoo</t>
  </si>
  <si>
    <t>ORD10012</t>
  </si>
  <si>
    <t>CUST1385</t>
  </si>
  <si>
    <t>Aditya Shah</t>
  </si>
  <si>
    <t>Mumbai</t>
  </si>
  <si>
    <t>Pending</t>
  </si>
  <si>
    <t>ORD10013</t>
  </si>
  <si>
    <t>CUST1240</t>
  </si>
  <si>
    <t>Nisha Sharma</t>
  </si>
  <si>
    <t>Home Appliances</t>
  </si>
  <si>
    <t>Vacuum Cleaner</t>
  </si>
  <si>
    <t>Debit Card</t>
  </si>
  <si>
    <t>ORD10014</t>
  </si>
  <si>
    <t>CUST1338</t>
  </si>
  <si>
    <t>Vikram Sharma</t>
  </si>
  <si>
    <t>Mysuru</t>
  </si>
  <si>
    <t>Football</t>
  </si>
  <si>
    <t>ORD10015</t>
  </si>
  <si>
    <t>CUST1037</t>
  </si>
  <si>
    <t>Nisha Joshi</t>
  </si>
  <si>
    <t>Hyderabad</t>
  </si>
  <si>
    <t>Telangana</t>
  </si>
  <si>
    <t>ORD10016</t>
  </si>
  <si>
    <t>CUST1227</t>
  </si>
  <si>
    <t>Nisha Shah</t>
  </si>
  <si>
    <t>Study Table</t>
  </si>
  <si>
    <t>ORD10017</t>
  </si>
  <si>
    <t>CUST1384</t>
  </si>
  <si>
    <t>Vikram Rao</t>
  </si>
  <si>
    <t>Handbag</t>
  </si>
  <si>
    <t>ORD10018</t>
  </si>
  <si>
    <t>CUST1035</t>
  </si>
  <si>
    <t>ORD10019</t>
  </si>
  <si>
    <t>CUST1191</t>
  </si>
  <si>
    <t>Sneha Singh</t>
  </si>
  <si>
    <t>Smartphone</t>
  </si>
  <si>
    <t>ORD10020</t>
  </si>
  <si>
    <t>CUST1490</t>
  </si>
  <si>
    <t>Vivaan Das</t>
  </si>
  <si>
    <t>Jaipur</t>
  </si>
  <si>
    <t>Rajasthan</t>
  </si>
  <si>
    <t>Hair Dryer</t>
  </si>
  <si>
    <t>ORD10021</t>
  </si>
  <si>
    <t>CUST1321</t>
  </si>
  <si>
    <t>Vikram Bhat</t>
  </si>
  <si>
    <t>ORD10022</t>
  </si>
  <si>
    <t>CUST1342</t>
  </si>
  <si>
    <t>Aarav Kumar</t>
  </si>
  <si>
    <t>ORD10023</t>
  </si>
  <si>
    <t>CUST1355</t>
  </si>
  <si>
    <t>Karan Iyer</t>
  </si>
  <si>
    <t>ORD10024</t>
  </si>
  <si>
    <t>CUST1396</t>
  </si>
  <si>
    <t>Rohan Sharma</t>
  </si>
  <si>
    <t>ORD10025</t>
  </si>
  <si>
    <t>CUST1154</t>
  </si>
  <si>
    <t>Nisha Reddy</t>
  </si>
  <si>
    <t>Cash on Delivery</t>
  </si>
  <si>
    <t>ORD10026</t>
  </si>
  <si>
    <t>CUST1222</t>
  </si>
  <si>
    <t>Rohan Rao</t>
  </si>
  <si>
    <t>Chennai</t>
  </si>
  <si>
    <t>Tamil Nadu</t>
  </si>
  <si>
    <t>Laptop</t>
  </si>
  <si>
    <t>ORD10027</t>
  </si>
  <si>
    <t>CUST1476</t>
  </si>
  <si>
    <t>Nisha Bhat</t>
  </si>
  <si>
    <t>Sofa</t>
  </si>
  <si>
    <t>ORD10028</t>
  </si>
  <si>
    <t>CUST1397</t>
  </si>
  <si>
    <t>Priya Naidu</t>
  </si>
  <si>
    <t>ORD10029</t>
  </si>
  <si>
    <t>CUST1376</t>
  </si>
  <si>
    <t>Arjun Nair</t>
  </si>
  <si>
    <t>Delhi</t>
  </si>
  <si>
    <t>ORD10030</t>
  </si>
  <si>
    <t>CUST1183</t>
  </si>
  <si>
    <t>Sneha Rao</t>
  </si>
  <si>
    <t>Tennis Racket</t>
  </si>
  <si>
    <t>ORD10031</t>
  </si>
  <si>
    <t>CUST1284</t>
  </si>
  <si>
    <t>Kavya Naidu</t>
  </si>
  <si>
    <t>ORD10032</t>
  </si>
  <si>
    <t>CUST1186</t>
  </si>
  <si>
    <t>Electric Kettle</t>
  </si>
  <si>
    <t>ORD10033</t>
  </si>
  <si>
    <t>CUST1170</t>
  </si>
  <si>
    <t>Ananya Patel</t>
  </si>
  <si>
    <t>ORD10034</t>
  </si>
  <si>
    <t>CUST1415</t>
  </si>
  <si>
    <t>Aditya Verma</t>
  </si>
  <si>
    <t>Lucknow</t>
  </si>
  <si>
    <t>Uttar Pradesh</t>
  </si>
  <si>
    <t>ORD10035</t>
  </si>
  <si>
    <t>CUST1423</t>
  </si>
  <si>
    <t>Aarav Reddy</t>
  </si>
  <si>
    <t>Ahmedabad</t>
  </si>
  <si>
    <t>Gujarat</t>
  </si>
  <si>
    <t>ORD10036</t>
  </si>
  <si>
    <t>CUST1164</t>
  </si>
  <si>
    <t>Aditya Reddy</t>
  </si>
  <si>
    <t>Jeans</t>
  </si>
  <si>
    <t>ORD10037</t>
  </si>
  <si>
    <t>CUST1156</t>
  </si>
  <si>
    <t>Rohan Iyer</t>
  </si>
  <si>
    <t>ORD10038</t>
  </si>
  <si>
    <t>CUST1220</t>
  </si>
  <si>
    <t>Nisha Verma</t>
  </si>
  <si>
    <t>Yoga Mat</t>
  </si>
  <si>
    <t>ORD10039</t>
  </si>
  <si>
    <t>CUST1065</t>
  </si>
  <si>
    <t>Vivaan Bhat</t>
  </si>
  <si>
    <t>Face Cream</t>
  </si>
  <si>
    <t>ORD10040</t>
  </si>
  <si>
    <t>Aarav Singh</t>
  </si>
  <si>
    <t>ORD10041</t>
  </si>
  <si>
    <t>CUST1449</t>
  </si>
  <si>
    <t>Aarav Iyer</t>
  </si>
  <si>
    <t>ORD10042</t>
  </si>
  <si>
    <t>CUST1112</t>
  </si>
  <si>
    <t>Meera Naidu</t>
  </si>
  <si>
    <t>ORD10043</t>
  </si>
  <si>
    <t>CUST1482</t>
  </si>
  <si>
    <t>ORD10044</t>
  </si>
  <si>
    <t>CUST1262</t>
  </si>
  <si>
    <t>Rohan Patel</t>
  </si>
  <si>
    <t>ORD10045</t>
  </si>
  <si>
    <t>CUST1195</t>
  </si>
  <si>
    <t>ORD10046</t>
  </si>
  <si>
    <t>CUST1046</t>
  </si>
  <si>
    <t>Vivaan Sharma</t>
  </si>
  <si>
    <t>ORD10047</t>
  </si>
  <si>
    <t>CUST1180</t>
  </si>
  <si>
    <t>ORD10048</t>
  </si>
  <si>
    <t>CUST1294</t>
  </si>
  <si>
    <t>ORD10049</t>
  </si>
  <si>
    <t>CUST1067</t>
  </si>
  <si>
    <t>Ananya Verma</t>
  </si>
  <si>
    <t>ORD10050</t>
  </si>
  <si>
    <t>CUST1289</t>
  </si>
  <si>
    <t>Rohan Gupta</t>
  </si>
  <si>
    <t>ORD10051</t>
  </si>
  <si>
    <t>CUST1006</t>
  </si>
  <si>
    <t>Vivaan Kumar</t>
  </si>
  <si>
    <t>Mixer Grinder</t>
  </si>
  <si>
    <t>ORD10052</t>
  </si>
  <si>
    <t>CUST1410</t>
  </si>
  <si>
    <t>Rahul Kumar</t>
  </si>
  <si>
    <t>ORD10053</t>
  </si>
  <si>
    <t>CUST1261</t>
  </si>
  <si>
    <t>Karan Das</t>
  </si>
  <si>
    <t>ORD10054</t>
  </si>
  <si>
    <t>CUST1318</t>
  </si>
  <si>
    <t>Priya Mehta</t>
  </si>
  <si>
    <t>ORD10055</t>
  </si>
  <si>
    <t>CUST1213</t>
  </si>
  <si>
    <t>Rohan Singh</t>
  </si>
  <si>
    <t>Cricket Bat</t>
  </si>
  <si>
    <t>ORD10056</t>
  </si>
  <si>
    <t>CUST1063</t>
  </si>
  <si>
    <t>Meera Sharma</t>
  </si>
  <si>
    <t>Bedside Table</t>
  </si>
  <si>
    <t>ORD10057</t>
  </si>
  <si>
    <t>CUST1111</t>
  </si>
  <si>
    <t>Sneha Sharma</t>
  </si>
  <si>
    <t>ORD10058</t>
  </si>
  <si>
    <t>ORD10059</t>
  </si>
  <si>
    <t>CUST1069</t>
  </si>
  <si>
    <t>Arjun Joshi</t>
  </si>
  <si>
    <t>ORD10060</t>
  </si>
  <si>
    <t>CUST1492</t>
  </si>
  <si>
    <t>Arjun Bhat</t>
  </si>
  <si>
    <t>ORD10061</t>
  </si>
  <si>
    <t>CUST1405</t>
  </si>
  <si>
    <t>Diya Shah</t>
  </si>
  <si>
    <t>ORD10062</t>
  </si>
  <si>
    <t>Ananya Das</t>
  </si>
  <si>
    <t>ORD10063</t>
  </si>
  <si>
    <t>CUST1344</t>
  </si>
  <si>
    <t>Aarav Sharma</t>
  </si>
  <si>
    <t>ORD10064</t>
  </si>
  <si>
    <t>CUST1327</t>
  </si>
  <si>
    <t>Aarav Bhat</t>
  </si>
  <si>
    <t>ORD10065</t>
  </si>
  <si>
    <t>CUST1175</t>
  </si>
  <si>
    <t>Vivaan Patel</t>
  </si>
  <si>
    <t>ORD10066</t>
  </si>
  <si>
    <t>CUST1055</t>
  </si>
  <si>
    <t>Priya Bhat</t>
  </si>
  <si>
    <t>ORD10067</t>
  </si>
  <si>
    <t>CUST1418</t>
  </si>
  <si>
    <t>Aditya Bhat</t>
  </si>
  <si>
    <t>ORD10068</t>
  </si>
  <si>
    <t>CUST1147</t>
  </si>
  <si>
    <t>ORD10069</t>
  </si>
  <si>
    <t>ORD10070</t>
  </si>
  <si>
    <t>CUST1009</t>
  </si>
  <si>
    <t>Vikram Patel</t>
  </si>
  <si>
    <t>ORD10071</t>
  </si>
  <si>
    <t>CUST1356</t>
  </si>
  <si>
    <t>Ananya Gupta</t>
  </si>
  <si>
    <t>Jacket</t>
  </si>
  <si>
    <t>ORD10072</t>
  </si>
  <si>
    <t>CUST1394</t>
  </si>
  <si>
    <t>ORD10073</t>
  </si>
  <si>
    <t>Aarav Joshi</t>
  </si>
  <si>
    <t>ORD10074</t>
  </si>
  <si>
    <t>CUST1201</t>
  </si>
  <si>
    <t>Diya Patel</t>
  </si>
  <si>
    <t>ORD10075</t>
  </si>
  <si>
    <t>CUST1354</t>
  </si>
  <si>
    <t>Priya Reddy</t>
  </si>
  <si>
    <t>ORD10076</t>
  </si>
  <si>
    <t>CUST1025</t>
  </si>
  <si>
    <t>Vivaan Nair</t>
  </si>
  <si>
    <t>ORD10077</t>
  </si>
  <si>
    <t>CUST1315</t>
  </si>
  <si>
    <t>Karan Verma</t>
  </si>
  <si>
    <t>Air Fryer</t>
  </si>
  <si>
    <t>ORD10078</t>
  </si>
  <si>
    <t>CUST1424</t>
  </si>
  <si>
    <t>Diya Rao</t>
  </si>
  <si>
    <t>ORD10079</t>
  </si>
  <si>
    <t>CUST1034</t>
  </si>
  <si>
    <t>Kavya Joshi</t>
  </si>
  <si>
    <t>ORD10080</t>
  </si>
  <si>
    <t>CUST1377</t>
  </si>
  <si>
    <t>ORD10081</t>
  </si>
  <si>
    <t>CUST1399</t>
  </si>
  <si>
    <t>ORD10082</t>
  </si>
  <si>
    <t>CUST1260</t>
  </si>
  <si>
    <t>Ishita Iyer</t>
  </si>
  <si>
    <t>ORD10083</t>
  </si>
  <si>
    <t>CUST1378</t>
  </si>
  <si>
    <t>Aarav Verma</t>
  </si>
  <si>
    <t>ORD10084</t>
  </si>
  <si>
    <t>CUST1267</t>
  </si>
  <si>
    <t>Ananya Iyer</t>
  </si>
  <si>
    <t>ORD10085</t>
  </si>
  <si>
    <t>Ishita Singh</t>
  </si>
  <si>
    <t>ORD10086</t>
  </si>
  <si>
    <t>Vikram Joshi</t>
  </si>
  <si>
    <t>ORD10087</t>
  </si>
  <si>
    <t>CUST1188</t>
  </si>
  <si>
    <t>Karan Singh</t>
  </si>
  <si>
    <t>ORD10088</t>
  </si>
  <si>
    <t>Ishita Sharma</t>
  </si>
  <si>
    <t>ORD10089</t>
  </si>
  <si>
    <t>Sneha Gupta</t>
  </si>
  <si>
    <t>ORD10090</t>
  </si>
  <si>
    <t>Meera Verma</t>
  </si>
  <si>
    <t>ORD10091</t>
  </si>
  <si>
    <t>CUST1004</t>
  </si>
  <si>
    <t>Microwave</t>
  </si>
  <si>
    <t>ORD10092</t>
  </si>
  <si>
    <t>CUST1092</t>
  </si>
  <si>
    <t>ORD10093</t>
  </si>
  <si>
    <t>CUST1274</t>
  </si>
  <si>
    <t>Meera Mehta</t>
  </si>
  <si>
    <t>ORD10094</t>
  </si>
  <si>
    <t>CUST1316</t>
  </si>
  <si>
    <t>Diya Reddy</t>
  </si>
  <si>
    <t>ORD10095</t>
  </si>
  <si>
    <t>ORD10096</t>
  </si>
  <si>
    <t>CUST1179</t>
  </si>
  <si>
    <t>Vikram Nair</t>
  </si>
  <si>
    <t>ORD10097</t>
  </si>
  <si>
    <t>CUST1116</t>
  </si>
  <si>
    <t>Diya Gupta</t>
  </si>
  <si>
    <t>ORD10098</t>
  </si>
  <si>
    <t>CUST1359</t>
  </si>
  <si>
    <t>Meera Bhat</t>
  </si>
  <si>
    <t>ORD10099</t>
  </si>
  <si>
    <t>CUST1383</t>
  </si>
  <si>
    <t>Aditya Naidu</t>
  </si>
  <si>
    <t>ORD10100</t>
  </si>
  <si>
    <t>CUST1309</t>
  </si>
  <si>
    <t>Karan Bhat</t>
  </si>
  <si>
    <t>ORD10101</t>
  </si>
  <si>
    <t>CUST1391</t>
  </si>
  <si>
    <t>Priya Sharma</t>
  </si>
  <si>
    <t>Makeup Kit</t>
  </si>
  <si>
    <t>ORD10102</t>
  </si>
  <si>
    <t>CUST1117</t>
  </si>
  <si>
    <t>ORD10103</t>
  </si>
  <si>
    <t>CUST1100</t>
  </si>
  <si>
    <t>ORD10104</t>
  </si>
  <si>
    <t>CUST1231</t>
  </si>
  <si>
    <t>Rahul Sharma</t>
  </si>
  <si>
    <t>ORD10105</t>
  </si>
  <si>
    <t>CUST1080</t>
  </si>
  <si>
    <t>Diya Verma</t>
  </si>
  <si>
    <t>ORD10106</t>
  </si>
  <si>
    <t>CUST1165</t>
  </si>
  <si>
    <t>ORD10107</t>
  </si>
  <si>
    <t>CUST1198</t>
  </si>
  <si>
    <t>ORD10108</t>
  </si>
  <si>
    <t>CUST1184</t>
  </si>
  <si>
    <t>Meera Joshi</t>
  </si>
  <si>
    <t>ORD10109</t>
  </si>
  <si>
    <t>CUST1005</t>
  </si>
  <si>
    <t>Meera Gupta</t>
  </si>
  <si>
    <t>ORD10110</t>
  </si>
  <si>
    <t>ORD10111</t>
  </si>
  <si>
    <t>CUST1489</t>
  </si>
  <si>
    <t>Ishita Kumar</t>
  </si>
  <si>
    <t>ORD10112</t>
  </si>
  <si>
    <t>ORD10113</t>
  </si>
  <si>
    <t>CUST1085</t>
  </si>
  <si>
    <t>Diya Iyer</t>
  </si>
  <si>
    <t>ORD10114</t>
  </si>
  <si>
    <t>CUST1364</t>
  </si>
  <si>
    <t>Ishita Joshi</t>
  </si>
  <si>
    <t>ORD10115</t>
  </si>
  <si>
    <t>CUST1052</t>
  </si>
  <si>
    <t>ORD10116</t>
  </si>
  <si>
    <t>CUST1039</t>
  </si>
  <si>
    <t>ORD10117</t>
  </si>
  <si>
    <t>CUST1277</t>
  </si>
  <si>
    <t>Rahul Mehta</t>
  </si>
  <si>
    <t>ORD10118</t>
  </si>
  <si>
    <t>CUST1060</t>
  </si>
  <si>
    <t>ORD10119</t>
  </si>
  <si>
    <t>ORD10120</t>
  </si>
  <si>
    <t>CUST1487</t>
  </si>
  <si>
    <t>ORD10121</t>
  </si>
  <si>
    <t>Vivaan Mehta</t>
  </si>
  <si>
    <t>ORD10122</t>
  </si>
  <si>
    <t>CUST1471</t>
  </si>
  <si>
    <t>Kavya Kumar</t>
  </si>
  <si>
    <t>ORD10123</t>
  </si>
  <si>
    <t>CUST1144</t>
  </si>
  <si>
    <t>Kavya Verma</t>
  </si>
  <si>
    <t>ORD10124</t>
  </si>
  <si>
    <t>CUST1038</t>
  </si>
  <si>
    <t>Arjun Patel</t>
  </si>
  <si>
    <t>ORD10125</t>
  </si>
  <si>
    <t>CUST1466</t>
  </si>
  <si>
    <t>Karan Gupta</t>
  </si>
  <si>
    <t>ORD10126</t>
  </si>
  <si>
    <t>CUST1134</t>
  </si>
  <si>
    <t>ORD10127</t>
  </si>
  <si>
    <t>Meera Shah</t>
  </si>
  <si>
    <t>ORD10128</t>
  </si>
  <si>
    <t>CUST1173</t>
  </si>
  <si>
    <t>ORD10129</t>
  </si>
  <si>
    <t>CUST1467</t>
  </si>
  <si>
    <t>ORD10130</t>
  </si>
  <si>
    <t>Arjun Rao</t>
  </si>
  <si>
    <t>ORD10131</t>
  </si>
  <si>
    <t>CUST1155</t>
  </si>
  <si>
    <t>Priya Gupta</t>
  </si>
  <si>
    <t>ORD10132</t>
  </si>
  <si>
    <t>ORD10133</t>
  </si>
  <si>
    <t>Nisha Mehta</t>
  </si>
  <si>
    <t>ORD10134</t>
  </si>
  <si>
    <t>CUST1048</t>
  </si>
  <si>
    <t>ORD10135</t>
  </si>
  <si>
    <t>CUST1087</t>
  </si>
  <si>
    <t>ORD10136</t>
  </si>
  <si>
    <t>CUST1211</t>
  </si>
  <si>
    <t>Karan Reddy</t>
  </si>
  <si>
    <t>ORD10137</t>
  </si>
  <si>
    <t>CUST1292</t>
  </si>
  <si>
    <t>ORD10138</t>
  </si>
  <si>
    <t>CUST1380</t>
  </si>
  <si>
    <t>Vivaan Joshi</t>
  </si>
  <si>
    <t>ORD10139</t>
  </si>
  <si>
    <t>CUST1435</t>
  </si>
  <si>
    <t>Kavya Sharma</t>
  </si>
  <si>
    <t>ORD10140</t>
  </si>
  <si>
    <t>CUST1224</t>
  </si>
  <si>
    <t>Ishita Bhat</t>
  </si>
  <si>
    <t>ORD10141</t>
  </si>
  <si>
    <t>CUST1461</t>
  </si>
  <si>
    <t>Rahul Joshi</t>
  </si>
  <si>
    <t>ORD10142</t>
  </si>
  <si>
    <t>CUST1129</t>
  </si>
  <si>
    <t>ORD10143</t>
  </si>
  <si>
    <t>CUST1500</t>
  </si>
  <si>
    <t>Arjun Gupta</t>
  </si>
  <si>
    <t>ORD10144</t>
  </si>
  <si>
    <t>Sneha Kumar</t>
  </si>
  <si>
    <t>ORD10145</t>
  </si>
  <si>
    <t>CUST1119</t>
  </si>
  <si>
    <t>Karan Kumar</t>
  </si>
  <si>
    <t>ORD10146</t>
  </si>
  <si>
    <t>CUST1366</t>
  </si>
  <si>
    <t>Aditya Gupta</t>
  </si>
  <si>
    <t>ORD10147</t>
  </si>
  <si>
    <t>CUST1113</t>
  </si>
  <si>
    <t>Ishita Mehta</t>
  </si>
  <si>
    <t>ORD10148</t>
  </si>
  <si>
    <t>CUST1090</t>
  </si>
  <si>
    <t>Nisha Singh</t>
  </si>
  <si>
    <t>ORD10149</t>
  </si>
  <si>
    <t>Aditya Singh</t>
  </si>
  <si>
    <t>ORD10150</t>
  </si>
  <si>
    <t>CUST1326</t>
  </si>
  <si>
    <t>ORD10151</t>
  </si>
  <si>
    <t>CUST1182</t>
  </si>
  <si>
    <t>Meera Das</t>
  </si>
  <si>
    <t>ORD10152</t>
  </si>
  <si>
    <t>ORD10153</t>
  </si>
  <si>
    <t>CUST1403</t>
  </si>
  <si>
    <t>Aditya Nair</t>
  </si>
  <si>
    <t>ORD10154</t>
  </si>
  <si>
    <t>CUST1028</t>
  </si>
  <si>
    <t>Diya Joshi</t>
  </si>
  <si>
    <t>ORD10155</t>
  </si>
  <si>
    <t>CUST1167</t>
  </si>
  <si>
    <t>ORD10156</t>
  </si>
  <si>
    <t>CUST1143</t>
  </si>
  <si>
    <t>Vikram Iyer</t>
  </si>
  <si>
    <t>ORD10157</t>
  </si>
  <si>
    <t>CUST1097</t>
  </si>
  <si>
    <t>Diya Kumar</t>
  </si>
  <si>
    <t>ORD10158</t>
  </si>
  <si>
    <t>CUST1485</t>
  </si>
  <si>
    <t>ORD10159</t>
  </si>
  <si>
    <t>CUST1417</t>
  </si>
  <si>
    <t>ORD10160</t>
  </si>
  <si>
    <t>ORD10161</t>
  </si>
  <si>
    <t>CUST1133</t>
  </si>
  <si>
    <t>ORD10162</t>
  </si>
  <si>
    <t>Kavya Das</t>
  </si>
  <si>
    <t>ORD10163</t>
  </si>
  <si>
    <t>CUST1325</t>
  </si>
  <si>
    <t>Priya Joshi</t>
  </si>
  <si>
    <t>ORD10164</t>
  </si>
  <si>
    <t>Arjun Das</t>
  </si>
  <si>
    <t>ORD10165</t>
  </si>
  <si>
    <t>CUST1210</t>
  </si>
  <si>
    <t>Aditya Sharma</t>
  </si>
  <si>
    <t>ORD10166</t>
  </si>
  <si>
    <t>CUST1369</t>
  </si>
  <si>
    <t>ORD10167</t>
  </si>
  <si>
    <t>CUST1375</t>
  </si>
  <si>
    <t>Ananya Mehta</t>
  </si>
  <si>
    <t>ORD10168</t>
  </si>
  <si>
    <t>Ananya Kumar</t>
  </si>
  <si>
    <t>ORD10169</t>
  </si>
  <si>
    <t>ORD10170</t>
  </si>
  <si>
    <t>CUST1008</t>
  </si>
  <si>
    <t>ORD10171</t>
  </si>
  <si>
    <t>CUST1348</t>
  </si>
  <si>
    <t>Priya Kumar</t>
  </si>
  <si>
    <t>ORD10172</t>
  </si>
  <si>
    <t>CUST1218</t>
  </si>
  <si>
    <t>ORD10173</t>
  </si>
  <si>
    <t>Kavya Iyer</t>
  </si>
  <si>
    <t>ORD10174</t>
  </si>
  <si>
    <t>Karan Nair</t>
  </si>
  <si>
    <t>ORD10175</t>
  </si>
  <si>
    <t>ORD10176</t>
  </si>
  <si>
    <t>CUST1082</t>
  </si>
  <si>
    <t>Rohan Reddy</t>
  </si>
  <si>
    <t>ORD10177</t>
  </si>
  <si>
    <t>CUST1398</t>
  </si>
  <si>
    <t>Vivaan Reddy</t>
  </si>
  <si>
    <t>ORD10178</t>
  </si>
  <si>
    <t>ORD10179</t>
  </si>
  <si>
    <t>CUST1030</t>
  </si>
  <si>
    <t>ORD10180</t>
  </si>
  <si>
    <t>CUST1440</t>
  </si>
  <si>
    <t>ORD10181</t>
  </si>
  <si>
    <t>ORD10182</t>
  </si>
  <si>
    <t>CUST1363</t>
  </si>
  <si>
    <t>ORD10183</t>
  </si>
  <si>
    <t>Sneha Verma</t>
  </si>
  <si>
    <t>ORD10184</t>
  </si>
  <si>
    <t>CUST1416</t>
  </si>
  <si>
    <t>Sneha Reddy</t>
  </si>
  <si>
    <t>ORD10185</t>
  </si>
  <si>
    <t>CUST1484</t>
  </si>
  <si>
    <t>ORD10186</t>
  </si>
  <si>
    <t>ORD10187</t>
  </si>
  <si>
    <t>CUST1108</t>
  </si>
  <si>
    <t>ORD10188</t>
  </si>
  <si>
    <t>CUST1163</t>
  </si>
  <si>
    <t>ORD10189</t>
  </si>
  <si>
    <t>CUST1349</t>
  </si>
  <si>
    <t>ORD10190</t>
  </si>
  <si>
    <t>CUST1282</t>
  </si>
  <si>
    <t>ORD10191</t>
  </si>
  <si>
    <t>CUST1194</t>
  </si>
  <si>
    <t>Meera Iyer</t>
  </si>
  <si>
    <t>ORD10192</t>
  </si>
  <si>
    <t>CUST1083</t>
  </si>
  <si>
    <t>Ishita Gupta</t>
  </si>
  <si>
    <t>ORD10193</t>
  </si>
  <si>
    <t>CUST1392</t>
  </si>
  <si>
    <t>ORD10194</t>
  </si>
  <si>
    <t>CUST1337</t>
  </si>
  <si>
    <t>Karan Rao</t>
  </si>
  <si>
    <t>ORD10195</t>
  </si>
  <si>
    <t>CUST1205</t>
  </si>
  <si>
    <t>Ishita Rao</t>
  </si>
  <si>
    <t>ORD10196</t>
  </si>
  <si>
    <t>Nisha Gupta</t>
  </si>
  <si>
    <t>ORD10197</t>
  </si>
  <si>
    <t>CUST1452</t>
  </si>
  <si>
    <t>ORD10198</t>
  </si>
  <si>
    <t>CUST1023</t>
  </si>
  <si>
    <t>ORD10199</t>
  </si>
  <si>
    <t>CUST1304</t>
  </si>
  <si>
    <t>Karan Mehta</t>
  </si>
  <si>
    <t>ORD10200</t>
  </si>
  <si>
    <t>CUST1166</t>
  </si>
  <si>
    <t>ORD10201</t>
  </si>
  <si>
    <t>CUST1488</t>
  </si>
  <si>
    <t>Rahul Gupta</t>
  </si>
  <si>
    <t>ORD10202</t>
  </si>
  <si>
    <t>CUST1138</t>
  </si>
  <si>
    <t>ORD10203</t>
  </si>
  <si>
    <t>CUST1104</t>
  </si>
  <si>
    <t>Priya Das</t>
  </si>
  <si>
    <t>ORD10204</t>
  </si>
  <si>
    <t>CUST1012</t>
  </si>
  <si>
    <t>ORD10205</t>
  </si>
  <si>
    <t>CUST1413</t>
  </si>
  <si>
    <t>ORD10206</t>
  </si>
  <si>
    <t>CUST1278</t>
  </si>
  <si>
    <t>Ananya Sharma</t>
  </si>
  <si>
    <t>ORD10207</t>
  </si>
  <si>
    <t>Aarav Naidu</t>
  </si>
  <si>
    <t>ORD10208</t>
  </si>
  <si>
    <t>CUST1411</t>
  </si>
  <si>
    <t>Vivaan Naidu</t>
  </si>
  <si>
    <t>ORD10209</t>
  </si>
  <si>
    <t>CUST1161</t>
  </si>
  <si>
    <t>ORD10210</t>
  </si>
  <si>
    <t>Aditya Rao</t>
  </si>
  <si>
    <t>ORD10211</t>
  </si>
  <si>
    <t>CUST1362</t>
  </si>
  <si>
    <t>Vikram Shah</t>
  </si>
  <si>
    <t>ORD10212</t>
  </si>
  <si>
    <t>Diya Naidu</t>
  </si>
  <si>
    <t>ORD10213</t>
  </si>
  <si>
    <t>CUST1438</t>
  </si>
  <si>
    <t>ORD10214</t>
  </si>
  <si>
    <t>Arjun Singh</t>
  </si>
  <si>
    <t>ORD10215</t>
  </si>
  <si>
    <t>Vikram Verma</t>
  </si>
  <si>
    <t>ORD10216</t>
  </si>
  <si>
    <t>CUST1462</t>
  </si>
  <si>
    <t>ORD10217</t>
  </si>
  <si>
    <t>ORD10218</t>
  </si>
  <si>
    <t>Kavya Singh</t>
  </si>
  <si>
    <t>ORD10219</t>
  </si>
  <si>
    <t>CUST1453</t>
  </si>
  <si>
    <t>ORD10220</t>
  </si>
  <si>
    <t>CUST1149</t>
  </si>
  <si>
    <t>ORD10221</t>
  </si>
  <si>
    <t>CUST1153</t>
  </si>
  <si>
    <t>ORD10222</t>
  </si>
  <si>
    <t>Sneha Shah</t>
  </si>
  <si>
    <t>ORD10223</t>
  </si>
  <si>
    <t>ORD10224</t>
  </si>
  <si>
    <t>ORD10225</t>
  </si>
  <si>
    <t>CUST1089</t>
  </si>
  <si>
    <t>Arjun Naidu</t>
  </si>
  <si>
    <t>ORD10226</t>
  </si>
  <si>
    <t>CUST1464</t>
  </si>
  <si>
    <t>Vikram Mehta</t>
  </si>
  <si>
    <t>ORD10227</t>
  </si>
  <si>
    <t>CUST1050</t>
  </si>
  <si>
    <t>ORD10228</t>
  </si>
  <si>
    <t>ORD10229</t>
  </si>
  <si>
    <t>CUST1071</t>
  </si>
  <si>
    <t>Ishita Reddy</t>
  </si>
  <si>
    <t>ORD10230</t>
  </si>
  <si>
    <t>Arjun Mehta</t>
  </si>
  <si>
    <t>ORD10231</t>
  </si>
  <si>
    <t>CUST1059</t>
  </si>
  <si>
    <t>ORD10232</t>
  </si>
  <si>
    <t>ORD10233</t>
  </si>
  <si>
    <t>CUST1178</t>
  </si>
  <si>
    <t>Aditya Kumar</t>
  </si>
  <si>
    <t>ORD10234</t>
  </si>
  <si>
    <t>CUST1493</t>
  </si>
  <si>
    <t>ORD10235</t>
  </si>
  <si>
    <t>CUST1016</t>
  </si>
  <si>
    <t>Vivaan Shah</t>
  </si>
  <si>
    <t>ORD10236</t>
  </si>
  <si>
    <t>ORD10237</t>
  </si>
  <si>
    <t>CUST1230</t>
  </si>
  <si>
    <t>ORD10238</t>
  </si>
  <si>
    <t>CUST1324</t>
  </si>
  <si>
    <t>ORD10239</t>
  </si>
  <si>
    <t>CUST1303</t>
  </si>
  <si>
    <t>Arjun Reddy</t>
  </si>
  <si>
    <t>ORD10240</t>
  </si>
  <si>
    <t>ORD10241</t>
  </si>
  <si>
    <t>CUST1465</t>
  </si>
  <si>
    <t>Priya Rao</t>
  </si>
  <si>
    <t>ORD10242</t>
  </si>
  <si>
    <t>Vivaan Singh</t>
  </si>
  <si>
    <t>ORD10243</t>
  </si>
  <si>
    <t>Ishita Shah</t>
  </si>
  <si>
    <t>ORD10244</t>
  </si>
  <si>
    <t>ORD10245</t>
  </si>
  <si>
    <t>CUST1451</t>
  </si>
  <si>
    <t>ORD10246</t>
  </si>
  <si>
    <t>CUST1120</t>
  </si>
  <si>
    <t>ORD10247</t>
  </si>
  <si>
    <t>CUST1057</t>
  </si>
  <si>
    <t>ORD10248</t>
  </si>
  <si>
    <t>CUST1020</t>
  </si>
  <si>
    <t>ORD10249</t>
  </si>
  <si>
    <t>CUST1256</t>
  </si>
  <si>
    <t>ORD10250</t>
  </si>
  <si>
    <t>ORD10251</t>
  </si>
  <si>
    <t>CUST1062</t>
  </si>
  <si>
    <t>Diya Mehta</t>
  </si>
  <si>
    <t>ORD10252</t>
  </si>
  <si>
    <t>ORD10253</t>
  </si>
  <si>
    <t>Rohan Naidu</t>
  </si>
  <si>
    <t>ORD10254</t>
  </si>
  <si>
    <t>Meera Singh</t>
  </si>
  <si>
    <t>ORD10255</t>
  </si>
  <si>
    <t>CUST1176</t>
  </si>
  <si>
    <t>ORD10256</t>
  </si>
  <si>
    <t>ORD10257</t>
  </si>
  <si>
    <t>Perfume</t>
  </si>
  <si>
    <t>ORD10258</t>
  </si>
  <si>
    <t>ORD10259</t>
  </si>
  <si>
    <t>ORD10260</t>
  </si>
  <si>
    <t>CUST1142</t>
  </si>
  <si>
    <t>ORD10261</t>
  </si>
  <si>
    <t>CUST1026</t>
  </si>
  <si>
    <t>ORD10262</t>
  </si>
  <si>
    <t>CUST1443</t>
  </si>
  <si>
    <t>ORD10263</t>
  </si>
  <si>
    <t>CUST1276</t>
  </si>
  <si>
    <t>ORD10264</t>
  </si>
  <si>
    <t>CUST1216</t>
  </si>
  <si>
    <t>Diya Bhat</t>
  </si>
  <si>
    <t>ORD10265</t>
  </si>
  <si>
    <t>ORD10266</t>
  </si>
  <si>
    <t>CUST1096</t>
  </si>
  <si>
    <t>ORD10267</t>
  </si>
  <si>
    <t>ORD10268</t>
  </si>
  <si>
    <t>CUST1333</t>
  </si>
  <si>
    <t>ORD10269</t>
  </si>
  <si>
    <t>CUST1390</t>
  </si>
  <si>
    <t>ORD10270</t>
  </si>
  <si>
    <t>CUST1412</t>
  </si>
  <si>
    <t>ORD10271</t>
  </si>
  <si>
    <t>CUST1345</t>
  </si>
  <si>
    <t>Meera Nair</t>
  </si>
  <si>
    <t>ORD10272</t>
  </si>
  <si>
    <t>CUST1408</t>
  </si>
  <si>
    <t>ORD10273</t>
  </si>
  <si>
    <t>CUST1401</t>
  </si>
  <si>
    <t>ORD10274</t>
  </si>
  <si>
    <t>CUST1479</t>
  </si>
  <si>
    <t>ORD10275</t>
  </si>
  <si>
    <t>Kavya Mehta</t>
  </si>
  <si>
    <t>ORD10276</t>
  </si>
  <si>
    <t>CUST1434</t>
  </si>
  <si>
    <t>Rahul Singh</t>
  </si>
  <si>
    <t>ORD10277</t>
  </si>
  <si>
    <t>ORD10278</t>
  </si>
  <si>
    <t>ORD10279</t>
  </si>
  <si>
    <t>CUST1287</t>
  </si>
  <si>
    <t>ORD10280</t>
  </si>
  <si>
    <t>CUST1442</t>
  </si>
  <si>
    <t>ORD10281</t>
  </si>
  <si>
    <t>CUST1246</t>
  </si>
  <si>
    <t>ORD10282</t>
  </si>
  <si>
    <t>ORD10283</t>
  </si>
  <si>
    <t>ORD10284</t>
  </si>
  <si>
    <t>CUST1360</t>
  </si>
  <si>
    <t>ORD10285</t>
  </si>
  <si>
    <t>CUST1162</t>
  </si>
  <si>
    <t>Karan Naidu</t>
  </si>
  <si>
    <t>ORD10286</t>
  </si>
  <si>
    <t>ORD10287</t>
  </si>
  <si>
    <t>CUST1241</t>
  </si>
  <si>
    <t>ORD10288</t>
  </si>
  <si>
    <t>CUST1273</t>
  </si>
  <si>
    <t>Ananya Shah</t>
  </si>
  <si>
    <t>ORD10289</t>
  </si>
  <si>
    <t>ORD10290</t>
  </si>
  <si>
    <t>CUST1208</t>
  </si>
  <si>
    <t>ORD10291</t>
  </si>
  <si>
    <t>ORD10292</t>
  </si>
  <si>
    <t>CUST1494</t>
  </si>
  <si>
    <t>ORD10293</t>
  </si>
  <si>
    <t>ORD10294</t>
  </si>
  <si>
    <t>CUST1270</t>
  </si>
  <si>
    <t>Aarav Patel</t>
  </si>
  <si>
    <t>ORD10295</t>
  </si>
  <si>
    <t>ORD10296</t>
  </si>
  <si>
    <t>CUST1209</t>
  </si>
  <si>
    <t>ORD10297</t>
  </si>
  <si>
    <t>CUST1239</t>
  </si>
  <si>
    <t>Nisha Das</t>
  </si>
  <si>
    <t>ORD10298</t>
  </si>
  <si>
    <t>CUST1141</t>
  </si>
  <si>
    <t>ORD10299</t>
  </si>
  <si>
    <t>ORD10300</t>
  </si>
  <si>
    <t>CUST1386</t>
  </si>
  <si>
    <t>Rahul Bhat</t>
  </si>
  <si>
    <t>ORD10301</t>
  </si>
  <si>
    <t>CUST1070</t>
  </si>
  <si>
    <t>ORD10302</t>
  </si>
  <si>
    <t>CUST1095</t>
  </si>
  <si>
    <t>ORD10303</t>
  </si>
  <si>
    <t>ORD10304</t>
  </si>
  <si>
    <t>CUST1106</t>
  </si>
  <si>
    <t>Karan Patel</t>
  </si>
  <si>
    <t>ORD10305</t>
  </si>
  <si>
    <t>ORD10306</t>
  </si>
  <si>
    <t>CUST1242</t>
  </si>
  <si>
    <t>ORD10307</t>
  </si>
  <si>
    <t>ORD10308</t>
  </si>
  <si>
    <t>CUST1314</t>
  </si>
  <si>
    <t>ORD10309</t>
  </si>
  <si>
    <t>CUST1400</t>
  </si>
  <si>
    <t>ORD10310</t>
  </si>
  <si>
    <t>CUST1044</t>
  </si>
  <si>
    <t>ORD10311</t>
  </si>
  <si>
    <t>CUST1212</t>
  </si>
  <si>
    <t>ORD10312</t>
  </si>
  <si>
    <t>Ishita Verma</t>
  </si>
  <si>
    <t>ORD10313</t>
  </si>
  <si>
    <t>ORD10314</t>
  </si>
  <si>
    <t>ORD10315</t>
  </si>
  <si>
    <t>CUST1268</t>
  </si>
  <si>
    <t>ORD10316</t>
  </si>
  <si>
    <t>ORD10317</t>
  </si>
  <si>
    <t>ORD10318</t>
  </si>
  <si>
    <t>ORD10319</t>
  </si>
  <si>
    <t>CUST1047</t>
  </si>
  <si>
    <t>Rohan Bhat</t>
  </si>
  <si>
    <t>ORD10320</t>
  </si>
  <si>
    <t>CUST1236</t>
  </si>
  <si>
    <t>Rohan Mehta</t>
  </si>
  <si>
    <t>ORD10321</t>
  </si>
  <si>
    <t>CUST1299</t>
  </si>
  <si>
    <t>ORD10322</t>
  </si>
  <si>
    <t>CUST1158</t>
  </si>
  <si>
    <t>ORD10323</t>
  </si>
  <si>
    <t>CUST1019</t>
  </si>
  <si>
    <t>ORD10324</t>
  </si>
  <si>
    <t>CUST1271</t>
  </si>
  <si>
    <t>ORD10325</t>
  </si>
  <si>
    <t>CUST1093</t>
  </si>
  <si>
    <t>Vikram Gupta</t>
  </si>
  <si>
    <t>ORD10326</t>
  </si>
  <si>
    <t>CUST1150</t>
  </si>
  <si>
    <t>ORD10327</t>
  </si>
  <si>
    <t>ORD10328</t>
  </si>
  <si>
    <t>Rohan Nair</t>
  </si>
  <si>
    <t>ORD10329</t>
  </si>
  <si>
    <t>ORD10330</t>
  </si>
  <si>
    <t>CUST1441</t>
  </si>
  <si>
    <t>ORD10331</t>
  </si>
  <si>
    <t>CUST1094</t>
  </si>
  <si>
    <t>ORD10332</t>
  </si>
  <si>
    <t>ORD10333</t>
  </si>
  <si>
    <t>ORD10334</t>
  </si>
  <si>
    <t>ORD10335</t>
  </si>
  <si>
    <t>CUST1225</t>
  </si>
  <si>
    <t>ORD10336</t>
  </si>
  <si>
    <t>ORD10337</t>
  </si>
  <si>
    <t>Vivaan Iyer</t>
  </si>
  <si>
    <t>ORD10338</t>
  </si>
  <si>
    <t>CUST1491</t>
  </si>
  <si>
    <t>ORD10339</t>
  </si>
  <si>
    <t>ORD10340</t>
  </si>
  <si>
    <t>Sneha Nair</t>
  </si>
  <si>
    <t>ORD10341</t>
  </si>
  <si>
    <t>ORD10342</t>
  </si>
  <si>
    <t>CUST1130</t>
  </si>
  <si>
    <t>Rahul Iyer</t>
  </si>
  <si>
    <t>ORD10343</t>
  </si>
  <si>
    <t>ORD10344</t>
  </si>
  <si>
    <t>ORD10345</t>
  </si>
  <si>
    <t>ORD10346</t>
  </si>
  <si>
    <t>ORD10347</t>
  </si>
  <si>
    <t>ORD10348</t>
  </si>
  <si>
    <t>CUST1123</t>
  </si>
  <si>
    <t>Ishita Das</t>
  </si>
  <si>
    <t>ORD10349</t>
  </si>
  <si>
    <t>CUST1317</t>
  </si>
  <si>
    <t>ORD10350</t>
  </si>
  <si>
    <t>ORD10351</t>
  </si>
  <si>
    <t>ORD10352</t>
  </si>
  <si>
    <t>CUST1122</t>
  </si>
  <si>
    <t>ORD10353</t>
  </si>
  <si>
    <t>ORD10354</t>
  </si>
  <si>
    <t>CUST1125</t>
  </si>
  <si>
    <t>ORD10355</t>
  </si>
  <si>
    <t>CUST1018</t>
  </si>
  <si>
    <t>Rahul Verma</t>
  </si>
  <si>
    <t>ORD10356</t>
  </si>
  <si>
    <t>CUST1263</t>
  </si>
  <si>
    <t>ORD10357</t>
  </si>
  <si>
    <t>CUST1128</t>
  </si>
  <si>
    <t>Arjun Iyer</t>
  </si>
  <si>
    <t>ORD10358</t>
  </si>
  <si>
    <t>CUST1459</t>
  </si>
  <si>
    <t>Arjun Shah</t>
  </si>
  <si>
    <t>ORD10359</t>
  </si>
  <si>
    <t>ORD10360</t>
  </si>
  <si>
    <t>ORD10361</t>
  </si>
  <si>
    <t>CUST1081</t>
  </si>
  <si>
    <t>ORD10362</t>
  </si>
  <si>
    <t>ORD10363</t>
  </si>
  <si>
    <t>ORD10364</t>
  </si>
  <si>
    <t>CUST1444</t>
  </si>
  <si>
    <t>ORD10365</t>
  </si>
  <si>
    <t>CUST1199</t>
  </si>
  <si>
    <t>ORD10366</t>
  </si>
  <si>
    <t>CUST1313</t>
  </si>
  <si>
    <t>ORD10367</t>
  </si>
  <si>
    <t>CUST1042</t>
  </si>
  <si>
    <t>Nisha Kumar</t>
  </si>
  <si>
    <t>ORD10368</t>
  </si>
  <si>
    <t>ORD10369</t>
  </si>
  <si>
    <t>CUST1177</t>
  </si>
  <si>
    <t>Vikram Naidu</t>
  </si>
  <si>
    <t>ORD10370</t>
  </si>
  <si>
    <t>CUST1118</t>
  </si>
  <si>
    <t>ORD10371</t>
  </si>
  <si>
    <t>Arjun Kumar</t>
  </si>
  <si>
    <t>ORD10372</t>
  </si>
  <si>
    <t>CUST1234</t>
  </si>
  <si>
    <t>Ananya Rao</t>
  </si>
  <si>
    <t>ORD10373</t>
  </si>
  <si>
    <t>Priya Verma</t>
  </si>
  <si>
    <t>ORD10374</t>
  </si>
  <si>
    <t>CUST1107</t>
  </si>
  <si>
    <t>ORD10375</t>
  </si>
  <si>
    <t>ORD10376</t>
  </si>
  <si>
    <t>CUST1426</t>
  </si>
  <si>
    <t>Sneha Patel</t>
  </si>
  <si>
    <t>ORD10377</t>
  </si>
  <si>
    <t>ORD10378</t>
  </si>
  <si>
    <t>ORD10379</t>
  </si>
  <si>
    <t>Vikram Singh</t>
  </si>
  <si>
    <t>ORD10380</t>
  </si>
  <si>
    <t>ORD10381</t>
  </si>
  <si>
    <t>CUST1226</t>
  </si>
  <si>
    <t>ORD10382</t>
  </si>
  <si>
    <t>CUST1296</t>
  </si>
  <si>
    <t>ORD10383</t>
  </si>
  <si>
    <t>Kavya Gupta</t>
  </si>
  <si>
    <t>ORD10384</t>
  </si>
  <si>
    <t>CUST1474</t>
  </si>
  <si>
    <t>ORD10385</t>
  </si>
  <si>
    <t>ORD10386</t>
  </si>
  <si>
    <t>CUST1151</t>
  </si>
  <si>
    <t>ORD10387</t>
  </si>
  <si>
    <t>CUST1312</t>
  </si>
  <si>
    <t>ORD10388</t>
  </si>
  <si>
    <t>CUST1074</t>
  </si>
  <si>
    <t>Ishita Nair</t>
  </si>
  <si>
    <t>ORD10389</t>
  </si>
  <si>
    <t>ORD10390</t>
  </si>
  <si>
    <t>ORD10391</t>
  </si>
  <si>
    <t>ORD10392</t>
  </si>
  <si>
    <t>CUST1448</t>
  </si>
  <si>
    <t>ORD10393</t>
  </si>
  <si>
    <t>CUST1437</t>
  </si>
  <si>
    <t>ORD10394</t>
  </si>
  <si>
    <t>CUST1300</t>
  </si>
  <si>
    <t>ORD10395</t>
  </si>
  <si>
    <t>ORD10396</t>
  </si>
  <si>
    <t>ORD10397</t>
  </si>
  <si>
    <t>ORD10398</t>
  </si>
  <si>
    <t>ORD10399</t>
  </si>
  <si>
    <t>ORD10400</t>
  </si>
  <si>
    <t>CUST1373</t>
  </si>
  <si>
    <t>ORD10401</t>
  </si>
  <si>
    <t>Ananya Reddy</t>
  </si>
  <si>
    <t>ORD10402</t>
  </si>
  <si>
    <t>CUST1365</t>
  </si>
  <si>
    <t>ORD10403</t>
  </si>
  <si>
    <t>ORD10404</t>
  </si>
  <si>
    <t>ORD10405</t>
  </si>
  <si>
    <t>ORD10406</t>
  </si>
  <si>
    <t>CUST1486</t>
  </si>
  <si>
    <t>Sneha Das</t>
  </si>
  <si>
    <t>ORD10407</t>
  </si>
  <si>
    <t>CUST1269</t>
  </si>
  <si>
    <t>ORD10408</t>
  </si>
  <si>
    <t>Ananya Singh</t>
  </si>
  <si>
    <t>ORD10409</t>
  </si>
  <si>
    <t>ORD10410</t>
  </si>
  <si>
    <t>CUST1013</t>
  </si>
  <si>
    <t>Vikram Das</t>
  </si>
  <si>
    <t>ORD10411</t>
  </si>
  <si>
    <t>CUST1200</t>
  </si>
  <si>
    <t>ORD10412</t>
  </si>
  <si>
    <t>CUST1238</t>
  </si>
  <si>
    <t>ORD10413</t>
  </si>
  <si>
    <t>Rohan Shah</t>
  </si>
  <si>
    <t>ORD10414</t>
  </si>
  <si>
    <t>ORD10415</t>
  </si>
  <si>
    <t>ORD10416</t>
  </si>
  <si>
    <t>ORD10417</t>
  </si>
  <si>
    <t>CUST1084</t>
  </si>
  <si>
    <t>ORD10418</t>
  </si>
  <si>
    <t>CUST1495</t>
  </si>
  <si>
    <t>ORD10419</t>
  </si>
  <si>
    <t>CUST1259</t>
  </si>
  <si>
    <t>ORD10420</t>
  </si>
  <si>
    <t>ORD10421</t>
  </si>
  <si>
    <t>ORD10422</t>
  </si>
  <si>
    <t>ORD10423</t>
  </si>
  <si>
    <t>ORD10424</t>
  </si>
  <si>
    <t>ORD10425</t>
  </si>
  <si>
    <t>ORD10426</t>
  </si>
  <si>
    <t>Vivaan Rao</t>
  </si>
  <si>
    <t>ORD10427</t>
  </si>
  <si>
    <t>Aarav Mehta</t>
  </si>
  <si>
    <t>ORD10428</t>
  </si>
  <si>
    <t>ORD10429</t>
  </si>
  <si>
    <t>Meera Reddy</t>
  </si>
  <si>
    <t>ORD10430</t>
  </si>
  <si>
    <t>ORD10431</t>
  </si>
  <si>
    <t>CUST1146</t>
  </si>
  <si>
    <t>ORD10432</t>
  </si>
  <si>
    <t>ORD10433</t>
  </si>
  <si>
    <t>ORD10434</t>
  </si>
  <si>
    <t>CUST1068</t>
  </si>
  <si>
    <t>ORD10435</t>
  </si>
  <si>
    <t>ORD10436</t>
  </si>
  <si>
    <t>ORD10437</t>
  </si>
  <si>
    <t>ORD10438</t>
  </si>
  <si>
    <t>CUST1027</t>
  </si>
  <si>
    <t>Kavya Reddy</t>
  </si>
  <si>
    <t>ORD10439</t>
  </si>
  <si>
    <t>ORD10440</t>
  </si>
  <si>
    <t>Aarav Gupta</t>
  </si>
  <si>
    <t>ORD10441</t>
  </si>
  <si>
    <t>ORD10442</t>
  </si>
  <si>
    <t>ORD10443</t>
  </si>
  <si>
    <t>CUST1091</t>
  </si>
  <si>
    <t>ORD10444</t>
  </si>
  <si>
    <t>Ananya Joshi</t>
  </si>
  <si>
    <t>ORD10445</t>
  </si>
  <si>
    <t>CUST1346</t>
  </si>
  <si>
    <t>ORD10446</t>
  </si>
  <si>
    <t>ORD10447</t>
  </si>
  <si>
    <t>ORD10448</t>
  </si>
  <si>
    <t>Ananya Bhat</t>
  </si>
  <si>
    <t>ORD10449</t>
  </si>
  <si>
    <t>CUST1185</t>
  </si>
  <si>
    <t>ORD10450</t>
  </si>
  <si>
    <t>CUST1480</t>
  </si>
  <si>
    <t>ORD10451</t>
  </si>
  <si>
    <t>ORD10452</t>
  </si>
  <si>
    <t>Aarav Das</t>
  </si>
  <si>
    <t>ORD10453</t>
  </si>
  <si>
    <t>CUST1219</t>
  </si>
  <si>
    <t>Rahul Reddy</t>
  </si>
  <si>
    <t>ORD10454</t>
  </si>
  <si>
    <t>ORD10455</t>
  </si>
  <si>
    <t>ORD10456</t>
  </si>
  <si>
    <t>CUST1031</t>
  </si>
  <si>
    <t>ORD10457</t>
  </si>
  <si>
    <t>ORD10458</t>
  </si>
  <si>
    <t>ORD10459</t>
  </si>
  <si>
    <t>ORD10460</t>
  </si>
  <si>
    <t>CUST1075</t>
  </si>
  <si>
    <t>ORD10461</t>
  </si>
  <si>
    <t>CUST1419</t>
  </si>
  <si>
    <t>ORD10462</t>
  </si>
  <si>
    <t>ORD10463</t>
  </si>
  <si>
    <t>CUST1463</t>
  </si>
  <si>
    <t>ORD10464</t>
  </si>
  <si>
    <t>Ishita Patel</t>
  </si>
  <si>
    <t>ORD10465</t>
  </si>
  <si>
    <t>ORD10466</t>
  </si>
  <si>
    <t>CUST1323</t>
  </si>
  <si>
    <t>ORD10467</t>
  </si>
  <si>
    <t>ORD10468</t>
  </si>
  <si>
    <t>ORD10469</t>
  </si>
  <si>
    <t>ORD10470</t>
  </si>
  <si>
    <t>CUST1257</t>
  </si>
  <si>
    <t>ORD10471</t>
  </si>
  <si>
    <t>CUST1252</t>
  </si>
  <si>
    <t>ORD10472</t>
  </si>
  <si>
    <t>ORD10473</t>
  </si>
  <si>
    <t>ORD10474</t>
  </si>
  <si>
    <t>ORD10475</t>
  </si>
  <si>
    <t>ORD10476</t>
  </si>
  <si>
    <t>CUST1145</t>
  </si>
  <si>
    <t>Vivaan Verma</t>
  </si>
  <si>
    <t>ORD10477</t>
  </si>
  <si>
    <t>CUST1109</t>
  </si>
  <si>
    <t>ORD10478</t>
  </si>
  <si>
    <t>CUST1498</t>
  </si>
  <si>
    <t>Rahul Shah</t>
  </si>
  <si>
    <t>ORD10479</t>
  </si>
  <si>
    <t>CUST1477</t>
  </si>
  <si>
    <t>ORD10480</t>
  </si>
  <si>
    <t>ORD10481</t>
  </si>
  <si>
    <t>ORD10482</t>
  </si>
  <si>
    <t>ORD10483</t>
  </si>
  <si>
    <t>ORD10484</t>
  </si>
  <si>
    <t>CUST1358</t>
  </si>
  <si>
    <t>ORD10485</t>
  </si>
  <si>
    <t>ORD10486</t>
  </si>
  <si>
    <t>CUST1455</t>
  </si>
  <si>
    <t>ORD10487</t>
  </si>
  <si>
    <t>CUST1190</t>
  </si>
  <si>
    <t>ORD10488</t>
  </si>
  <si>
    <t>ORD10489</t>
  </si>
  <si>
    <t>Rohan Verma</t>
  </si>
  <si>
    <t>ORD10490</t>
  </si>
  <si>
    <t>ORD10491</t>
  </si>
  <si>
    <t>ORD10492</t>
  </si>
  <si>
    <t>CUST1353</t>
  </si>
  <si>
    <t>ORD10493</t>
  </si>
  <si>
    <t>ORD10494</t>
  </si>
  <si>
    <t>ORD10495</t>
  </si>
  <si>
    <t>ORD10496</t>
  </si>
  <si>
    <t>ORD10497</t>
  </si>
  <si>
    <t>ORD10498</t>
  </si>
  <si>
    <t>CUST1290</t>
  </si>
  <si>
    <t>ORD10499</t>
  </si>
  <si>
    <t>CUST1203</t>
  </si>
  <si>
    <t>ORD10500</t>
  </si>
  <si>
    <t>CUST1295</t>
  </si>
  <si>
    <t>ORD10501</t>
  </si>
  <si>
    <t>ORD10502</t>
  </si>
  <si>
    <t>ORD10503</t>
  </si>
  <si>
    <t>CUST1445</t>
  </si>
  <si>
    <t>ORD10504</t>
  </si>
  <si>
    <t>CUST1033</t>
  </si>
  <si>
    <t>ORD10505</t>
  </si>
  <si>
    <t>CUST1215</t>
  </si>
  <si>
    <t>ORD10506</t>
  </si>
  <si>
    <t>ORD10507</t>
  </si>
  <si>
    <t>ORD10508</t>
  </si>
  <si>
    <t>ORD10509</t>
  </si>
  <si>
    <t>ORD10510</t>
  </si>
  <si>
    <t>CUST1460</t>
  </si>
  <si>
    <t>ORD10511</t>
  </si>
  <si>
    <t>CUST1330</t>
  </si>
  <si>
    <t>ORD10512</t>
  </si>
  <si>
    <t>CUST1247</t>
  </si>
  <si>
    <t>ORD10513</t>
  </si>
  <si>
    <t>ORD10514</t>
  </si>
  <si>
    <t>CUST1456</t>
  </si>
  <si>
    <t>ORD10515</t>
  </si>
  <si>
    <t>CUST1045</t>
  </si>
  <si>
    <t>ORD10516</t>
  </si>
  <si>
    <t>CUST1281</t>
  </si>
  <si>
    <t>ORD10517</t>
  </si>
  <si>
    <t>ORD10518</t>
  </si>
  <si>
    <t>CUST1381</t>
  </si>
  <si>
    <t>ORD10519</t>
  </si>
  <si>
    <t>CUST1470</t>
  </si>
  <si>
    <t>ORD10520</t>
  </si>
  <si>
    <t>ORD10521</t>
  </si>
  <si>
    <t>CUST1279</t>
  </si>
  <si>
    <t>Kavya Shah</t>
  </si>
  <si>
    <t>ORD10522</t>
  </si>
  <si>
    <t>Aditya Patel</t>
  </si>
  <si>
    <t>ORD10523</t>
  </si>
  <si>
    <t>CUST1102</t>
  </si>
  <si>
    <t>ORD10524</t>
  </si>
  <si>
    <t>CUST1483</t>
  </si>
  <si>
    <t>ORD10525</t>
  </si>
  <si>
    <t>ORD10526</t>
  </si>
  <si>
    <t>ORD10527</t>
  </si>
  <si>
    <t>ORD10528</t>
  </si>
  <si>
    <t>ORD10529</t>
  </si>
  <si>
    <t>ORD10530</t>
  </si>
  <si>
    <t>CUST1187</t>
  </si>
  <si>
    <t>Rahul Naidu</t>
  </si>
  <si>
    <t>ORD10531</t>
  </si>
  <si>
    <t>ORD10532</t>
  </si>
  <si>
    <t>CUST1056</t>
  </si>
  <si>
    <t>ORD10533</t>
  </si>
  <si>
    <t>ORD10534</t>
  </si>
  <si>
    <t>ORD10535</t>
  </si>
  <si>
    <t>CUST1382</t>
  </si>
  <si>
    <t>ORD10536</t>
  </si>
  <si>
    <t>ORD10537</t>
  </si>
  <si>
    <t>ORD10538</t>
  </si>
  <si>
    <t>CUST1196</t>
  </si>
  <si>
    <t>ORD10539</t>
  </si>
  <si>
    <t>ORD10540</t>
  </si>
  <si>
    <t>ORD10541</t>
  </si>
  <si>
    <t>CUST1249</t>
  </si>
  <si>
    <t>ORD10542</t>
  </si>
  <si>
    <t>ORD10543</t>
  </si>
  <si>
    <t>CUST1214</t>
  </si>
  <si>
    <t>ORD10544</t>
  </si>
  <si>
    <t>ORD10545</t>
  </si>
  <si>
    <t>ORD10546</t>
  </si>
  <si>
    <t>CUST1061</t>
  </si>
  <si>
    <t>ORD10547</t>
  </si>
  <si>
    <t>ORD10548</t>
  </si>
  <si>
    <t>ORD10549</t>
  </si>
  <si>
    <t>Rahul Rao</t>
  </si>
  <si>
    <t>ORD10550</t>
  </si>
  <si>
    <t>ORD10551</t>
  </si>
  <si>
    <t>Priya Iyer</t>
  </si>
  <si>
    <t>ORD10552</t>
  </si>
  <si>
    <t>Ishita Naidu</t>
  </si>
  <si>
    <t>ORD10553</t>
  </si>
  <si>
    <t>CUST1305</t>
  </si>
  <si>
    <t>ORD10554</t>
  </si>
  <si>
    <t>ORD10555</t>
  </si>
  <si>
    <t>CUST1079</t>
  </si>
  <si>
    <t>ORD10556</t>
  </si>
  <si>
    <t>ORD10557</t>
  </si>
  <si>
    <t>CUST1041</t>
  </si>
  <si>
    <t>ORD10558</t>
  </si>
  <si>
    <t>ORD10559</t>
  </si>
  <si>
    <t>Ananya Naidu</t>
  </si>
  <si>
    <t>ORD10560</t>
  </si>
  <si>
    <t>ORD10561</t>
  </si>
  <si>
    <t>Diya Sharma</t>
  </si>
  <si>
    <t>ORD10562</t>
  </si>
  <si>
    <t>ORD10563</t>
  </si>
  <si>
    <t>ORD10564</t>
  </si>
  <si>
    <t>ORD10565</t>
  </si>
  <si>
    <t>CUST1110</t>
  </si>
  <si>
    <t>ORD10566</t>
  </si>
  <si>
    <t>CUST1010</t>
  </si>
  <si>
    <t>ORD10567</t>
  </si>
  <si>
    <t>ORD10568</t>
  </si>
  <si>
    <t>Vikram Reddy</t>
  </si>
  <si>
    <t>ORD10569</t>
  </si>
  <si>
    <t>ORD10570</t>
  </si>
  <si>
    <t>CUST1393</t>
  </si>
  <si>
    <t>ORD10571</t>
  </si>
  <si>
    <t>ORD10572</t>
  </si>
  <si>
    <t>ORD10573</t>
  </si>
  <si>
    <t>ORD10574</t>
  </si>
  <si>
    <t>ORD10575</t>
  </si>
  <si>
    <t>Priya Nair</t>
  </si>
  <si>
    <t>ORD10576</t>
  </si>
  <si>
    <t>ORD10577</t>
  </si>
  <si>
    <t>Rahul Das</t>
  </si>
  <si>
    <t>ORD10578</t>
  </si>
  <si>
    <t>ORD10579</t>
  </si>
  <si>
    <t>ORD10580</t>
  </si>
  <si>
    <t>ORD10581</t>
  </si>
  <si>
    <t>ORD10582</t>
  </si>
  <si>
    <t>ORD10583</t>
  </si>
  <si>
    <t>CUST1454</t>
  </si>
  <si>
    <t>ORD10584</t>
  </si>
  <si>
    <t>ORD10585</t>
  </si>
  <si>
    <t>ORD10586</t>
  </si>
  <si>
    <t>CUST1387</t>
  </si>
  <si>
    <t>ORD10587</t>
  </si>
  <si>
    <t>ORD10588</t>
  </si>
  <si>
    <t>ORD10589</t>
  </si>
  <si>
    <t>CUST1221</t>
  </si>
  <si>
    <t>ORD10590</t>
  </si>
  <si>
    <t>CUST1368</t>
  </si>
  <si>
    <t>Kavya Bhat</t>
  </si>
  <si>
    <t>ORD10591</t>
  </si>
  <si>
    <t>CUST1339</t>
  </si>
  <si>
    <t>ORD10592</t>
  </si>
  <si>
    <t>ORD10593</t>
  </si>
  <si>
    <t>CUST1168</t>
  </si>
  <si>
    <t>ORD10594</t>
  </si>
  <si>
    <t>CUST1425</t>
  </si>
  <si>
    <t>ORD10595</t>
  </si>
  <si>
    <t>ORD10596</t>
  </si>
  <si>
    <t>CUST1475</t>
  </si>
  <si>
    <t>ORD10597</t>
  </si>
  <si>
    <t>ORD10598</t>
  </si>
  <si>
    <t>ORD10599</t>
  </si>
  <si>
    <t>CUST1078</t>
  </si>
  <si>
    <t>Arjun Sharma</t>
  </si>
  <si>
    <t>ORD10600</t>
  </si>
  <si>
    <t>CUST1308</t>
  </si>
  <si>
    <t>ORD10601</t>
  </si>
  <si>
    <t>ORD10602</t>
  </si>
  <si>
    <t>CUST1319</t>
  </si>
  <si>
    <t>ORD10603</t>
  </si>
  <si>
    <t>CUST1066</t>
  </si>
  <si>
    <t>ORD10604</t>
  </si>
  <si>
    <t>ORD10605</t>
  </si>
  <si>
    <t>ORD10606</t>
  </si>
  <si>
    <t>ORD10607</t>
  </si>
  <si>
    <t>ORD10608</t>
  </si>
  <si>
    <t>ORD10609</t>
  </si>
  <si>
    <t>CUST1389</t>
  </si>
  <si>
    <t>ORD10610</t>
  </si>
  <si>
    <t>CUST1272</t>
  </si>
  <si>
    <t>ORD10611</t>
  </si>
  <si>
    <t>ORD10612</t>
  </si>
  <si>
    <t>ORD10613</t>
  </si>
  <si>
    <t>ORD10614</t>
  </si>
  <si>
    <t>Sneha Mehta</t>
  </si>
  <si>
    <t>ORD10615</t>
  </si>
  <si>
    <t>ORD10616</t>
  </si>
  <si>
    <t>CUST1446</t>
  </si>
  <si>
    <t>ORD10617</t>
  </si>
  <si>
    <t>ORD10618</t>
  </si>
  <si>
    <t>ORD10619</t>
  </si>
  <si>
    <t>ORD10620</t>
  </si>
  <si>
    <t>ORD10621</t>
  </si>
  <si>
    <t>ORD10622</t>
  </si>
  <si>
    <t>ORD10623</t>
  </si>
  <si>
    <t>CUST1254</t>
  </si>
  <si>
    <t>ORD10624</t>
  </si>
  <si>
    <t>ORD10625</t>
  </si>
  <si>
    <t>ORD10626</t>
  </si>
  <si>
    <t>ORD10627</t>
  </si>
  <si>
    <t>CUST1472</t>
  </si>
  <si>
    <t>ORD10628</t>
  </si>
  <si>
    <t>CUST1265</t>
  </si>
  <si>
    <t>ORD10629</t>
  </si>
  <si>
    <t>ORD10630</t>
  </si>
  <si>
    <t>ORD10631</t>
  </si>
  <si>
    <t>CUST1206</t>
  </si>
  <si>
    <t>ORD10632</t>
  </si>
  <si>
    <t>ORD10633</t>
  </si>
  <si>
    <t>CUST1478</t>
  </si>
  <si>
    <t>ORD10634</t>
  </si>
  <si>
    <t>ORD10635</t>
  </si>
  <si>
    <t>CUST1245</t>
  </si>
  <si>
    <t>ORD10636</t>
  </si>
  <si>
    <t>ORD10637</t>
  </si>
  <si>
    <t>CUST1404</t>
  </si>
  <si>
    <t>ORD10638</t>
  </si>
  <si>
    <t>ORD10639</t>
  </si>
  <si>
    <t>ORD10640</t>
  </si>
  <si>
    <t>ORD10641</t>
  </si>
  <si>
    <t>ORD10642</t>
  </si>
  <si>
    <t>CUST1049</t>
  </si>
  <si>
    <t>ORD10643</t>
  </si>
  <si>
    <t>ORD10644</t>
  </si>
  <si>
    <t>ORD10645</t>
  </si>
  <si>
    <t>ORD10646</t>
  </si>
  <si>
    <t>ORD10647</t>
  </si>
  <si>
    <t>Kavya Patel</t>
  </si>
  <si>
    <t>ORD10648</t>
  </si>
  <si>
    <t>ORD10649</t>
  </si>
  <si>
    <t>ORD10650</t>
  </si>
  <si>
    <t>ORD10651</t>
  </si>
  <si>
    <t>ORD10652</t>
  </si>
  <si>
    <t>ORD10653</t>
  </si>
  <si>
    <t>ORD10654</t>
  </si>
  <si>
    <t>ORD10655</t>
  </si>
  <si>
    <t>ORD10656</t>
  </si>
  <si>
    <t>ORD10657</t>
  </si>
  <si>
    <t>ORD10658</t>
  </si>
  <si>
    <t>ORD10659</t>
  </si>
  <si>
    <t>ORD10660</t>
  </si>
  <si>
    <t>ORD10661</t>
  </si>
  <si>
    <t>ORD10662</t>
  </si>
  <si>
    <t>CUST1121</t>
  </si>
  <si>
    <t>ORD10663</t>
  </si>
  <si>
    <t>CUST1374</t>
  </si>
  <si>
    <t>Priya Shah</t>
  </si>
  <si>
    <t>ORD10664</t>
  </si>
  <si>
    <t>ORD10665</t>
  </si>
  <si>
    <t>ORD10666</t>
  </si>
  <si>
    <t>CUST1251</t>
  </si>
  <si>
    <t>ORD10667</t>
  </si>
  <si>
    <t>ORD10668</t>
  </si>
  <si>
    <t>ORD10669</t>
  </si>
  <si>
    <t>CUST1430</t>
  </si>
  <si>
    <t>ORD10670</t>
  </si>
  <si>
    <t>ORD10671</t>
  </si>
  <si>
    <t>CUST1433</t>
  </si>
  <si>
    <t>ORD10672</t>
  </si>
  <si>
    <t>CUST1011</t>
  </si>
  <si>
    <t>ORD10673</t>
  </si>
  <si>
    <t>ORD10674</t>
  </si>
  <si>
    <t>ORD10675</t>
  </si>
  <si>
    <t>Aditya Das</t>
  </si>
  <si>
    <t>ORD10676</t>
  </si>
  <si>
    <t>ORD10677</t>
  </si>
  <si>
    <t>Karan Joshi</t>
  </si>
  <si>
    <t>ORD10678</t>
  </si>
  <si>
    <t>ORD10679</t>
  </si>
  <si>
    <t>ORD10680</t>
  </si>
  <si>
    <t>CUST1152</t>
  </si>
  <si>
    <t>ORD10681</t>
  </si>
  <si>
    <t>ORD10682</t>
  </si>
  <si>
    <t>Aditya Joshi</t>
  </si>
  <si>
    <t>ORD10683</t>
  </si>
  <si>
    <t>ORD10684</t>
  </si>
  <si>
    <t>CUST1021</t>
  </si>
  <si>
    <t>ORD10685</t>
  </si>
  <si>
    <t>ORD10686</t>
  </si>
  <si>
    <t>ORD10687</t>
  </si>
  <si>
    <t>CUST1361</t>
  </si>
  <si>
    <t>ORD10688</t>
  </si>
  <si>
    <t>CUST1126</t>
  </si>
  <si>
    <t>ORD10689</t>
  </si>
  <si>
    <t>Rohan Das</t>
  </si>
  <si>
    <t>ORD10690</t>
  </si>
  <si>
    <t>Vikram Kumar</t>
  </si>
  <si>
    <t>ORD10691</t>
  </si>
  <si>
    <t>ORD10692</t>
  </si>
  <si>
    <t>ORD10693</t>
  </si>
  <si>
    <t>ORD10694</t>
  </si>
  <si>
    <t>CUST1105</t>
  </si>
  <si>
    <t>ORD10695</t>
  </si>
  <si>
    <t>Meera Kumar</t>
  </si>
  <si>
    <t>ORD10696</t>
  </si>
  <si>
    <t>ORD10697</t>
  </si>
  <si>
    <t>Rohan Joshi</t>
  </si>
  <si>
    <t>ORD10698</t>
  </si>
  <si>
    <t>ORD10699</t>
  </si>
  <si>
    <t>CUST1427</t>
  </si>
  <si>
    <t>ORD10700</t>
  </si>
  <si>
    <t>Karan Sharma</t>
  </si>
  <si>
    <t>ORD10701</t>
  </si>
  <si>
    <t>ORD10702</t>
  </si>
  <si>
    <t>ORD10703</t>
  </si>
  <si>
    <t>ORD10704</t>
  </si>
  <si>
    <t>CUST1343</t>
  </si>
  <si>
    <t>ORD10705</t>
  </si>
  <si>
    <t>ORD10706</t>
  </si>
  <si>
    <t>CUST1429</t>
  </si>
  <si>
    <t>ORD10707</t>
  </si>
  <si>
    <t>ORD10708</t>
  </si>
  <si>
    <t>ORD10709</t>
  </si>
  <si>
    <t>ORD10710</t>
  </si>
  <si>
    <t>ORD10711</t>
  </si>
  <si>
    <t>ORD10712</t>
  </si>
  <si>
    <t>ORD10713</t>
  </si>
  <si>
    <t>ORD10714</t>
  </si>
  <si>
    <t>CUST1086</t>
  </si>
  <si>
    <t>Diya Das</t>
  </si>
  <si>
    <t>ORD10715</t>
  </si>
  <si>
    <t>ORD10716</t>
  </si>
  <si>
    <t>ORD10717</t>
  </si>
  <si>
    <t>CUST1088</t>
  </si>
  <si>
    <t>ORD10718</t>
  </si>
  <si>
    <t>ORD10719</t>
  </si>
  <si>
    <t>ORD10720</t>
  </si>
  <si>
    <t>ORD10721</t>
  </si>
  <si>
    <t>CUST1422</t>
  </si>
  <si>
    <t>ORD10722</t>
  </si>
  <si>
    <t>ORD10723</t>
  </si>
  <si>
    <t>ORD10724</t>
  </si>
  <si>
    <t>CUST1283</t>
  </si>
  <si>
    <t>ORD10725</t>
  </si>
  <si>
    <t>ORD10726</t>
  </si>
  <si>
    <t>ORD10727</t>
  </si>
  <si>
    <t>CUST1036</t>
  </si>
  <si>
    <t>ORD10728</t>
  </si>
  <si>
    <t>CUST1003</t>
  </si>
  <si>
    <t>ORD10729</t>
  </si>
  <si>
    <t>ORD10730</t>
  </si>
  <si>
    <t>Ananya Nair</t>
  </si>
  <si>
    <t>ORD10731</t>
  </si>
  <si>
    <t>ORD10732</t>
  </si>
  <si>
    <t>CUST1420</t>
  </si>
  <si>
    <t>ORD10733</t>
  </si>
  <si>
    <t>ORD10734</t>
  </si>
  <si>
    <t>ORD10735</t>
  </si>
  <si>
    <t>CUST1157</t>
  </si>
  <si>
    <t>ORD10736</t>
  </si>
  <si>
    <t>CUST1336</t>
  </si>
  <si>
    <t>ORD10737</t>
  </si>
  <si>
    <t>ORD10738</t>
  </si>
  <si>
    <t>ORD10739</t>
  </si>
  <si>
    <t>ORD10740</t>
  </si>
  <si>
    <t>ORD10741</t>
  </si>
  <si>
    <t>CUST1310</t>
  </si>
  <si>
    <t>ORD10742</t>
  </si>
  <si>
    <t>CUST1469</t>
  </si>
  <si>
    <t>ORD10743</t>
  </si>
  <si>
    <t>ORD10744</t>
  </si>
  <si>
    <t>ORD10745</t>
  </si>
  <si>
    <t>ORD10746</t>
  </si>
  <si>
    <t>ORD10747</t>
  </si>
  <si>
    <t>ORD10748</t>
  </si>
  <si>
    <t>CUST1370</t>
  </si>
  <si>
    <t>ORD10749</t>
  </si>
  <si>
    <t>ORD10750</t>
  </si>
  <si>
    <t>CUST1406</t>
  </si>
  <si>
    <t>ORD10751</t>
  </si>
  <si>
    <t>ORD10752</t>
  </si>
  <si>
    <t>ORD10753</t>
  </si>
  <si>
    <t>ORD10754</t>
  </si>
  <si>
    <t>ORD10755</t>
  </si>
  <si>
    <t>ORD10756</t>
  </si>
  <si>
    <t>ORD10757</t>
  </si>
  <si>
    <t>ORD10758</t>
  </si>
  <si>
    <t>ORD10759</t>
  </si>
  <si>
    <t>ORD10760</t>
  </si>
  <si>
    <t>CUST1248</t>
  </si>
  <si>
    <t>ORD10761</t>
  </si>
  <si>
    <t>ORD10762</t>
  </si>
  <si>
    <t>ORD10763</t>
  </si>
  <si>
    <t>ORD10764</t>
  </si>
  <si>
    <t>CUST1131</t>
  </si>
  <si>
    <t>ORD10765</t>
  </si>
  <si>
    <t>ORD10766</t>
  </si>
  <si>
    <t>CUST1468</t>
  </si>
  <si>
    <t>Diya Singh</t>
  </si>
  <si>
    <t>ORD10767</t>
  </si>
  <si>
    <t>ORD10768</t>
  </si>
  <si>
    <t>ORD10769</t>
  </si>
  <si>
    <t>ORD10770</t>
  </si>
  <si>
    <t>ORD10771</t>
  </si>
  <si>
    <t>CUST1497</t>
  </si>
  <si>
    <t>ORD10772</t>
  </si>
  <si>
    <t>ORD10773</t>
  </si>
  <si>
    <t>ORD10774</t>
  </si>
  <si>
    <t>ORD10775</t>
  </si>
  <si>
    <t>Aarav Shah</t>
  </si>
  <si>
    <t>ORD10776</t>
  </si>
  <si>
    <t>ORD10777</t>
  </si>
  <si>
    <t>ORD10778</t>
  </si>
  <si>
    <t>ORD10779</t>
  </si>
  <si>
    <t>ORD10780</t>
  </si>
  <si>
    <t>CUST1228</t>
  </si>
  <si>
    <t>ORD10781</t>
  </si>
  <si>
    <t>CUST1350</t>
  </si>
  <si>
    <t>ORD10782</t>
  </si>
  <si>
    <t>ORD10783</t>
  </si>
  <si>
    <t>ORD10784</t>
  </si>
  <si>
    <t>ORD10785</t>
  </si>
  <si>
    <t>ORD10786</t>
  </si>
  <si>
    <t>ORD10787</t>
  </si>
  <si>
    <t>ORD10788</t>
  </si>
  <si>
    <t>ORD10789</t>
  </si>
  <si>
    <t>ORD10790</t>
  </si>
  <si>
    <t>ORD10791</t>
  </si>
  <si>
    <t>ORD10792</t>
  </si>
  <si>
    <t>ORD10793</t>
  </si>
  <si>
    <t>Nisha Patel</t>
  </si>
  <si>
    <t>ORD10794</t>
  </si>
  <si>
    <t>CUST1320</t>
  </si>
  <si>
    <t>ORD10795</t>
  </si>
  <si>
    <t>CUST1101</t>
  </si>
  <si>
    <t>ORD10796</t>
  </si>
  <si>
    <t>CUST1332</t>
  </si>
  <si>
    <t>ORD10797</t>
  </si>
  <si>
    <t>ORD10798</t>
  </si>
  <si>
    <t>ORD10799</t>
  </si>
  <si>
    <t>CUST1098</t>
  </si>
  <si>
    <t>ORD10800</t>
  </si>
  <si>
    <t>ORD10801</t>
  </si>
  <si>
    <t>ORD10802</t>
  </si>
  <si>
    <t>ORD10803</t>
  </si>
  <si>
    <t>ORD10804</t>
  </si>
  <si>
    <t>CUST1458</t>
  </si>
  <si>
    <t>ORD10805</t>
  </si>
  <si>
    <t>ORD10806</t>
  </si>
  <si>
    <t>ORD10807</t>
  </si>
  <si>
    <t>ORD10808</t>
  </si>
  <si>
    <t>ORD10809</t>
  </si>
  <si>
    <t>CUST1223</t>
  </si>
  <si>
    <t>ORD10810</t>
  </si>
  <si>
    <t>ORD10811</t>
  </si>
  <si>
    <t>CUST1352</t>
  </si>
  <si>
    <t>ORD10812</t>
  </si>
  <si>
    <t>ORD10813</t>
  </si>
  <si>
    <t>CUST1306</t>
  </si>
  <si>
    <t>ORD10814</t>
  </si>
  <si>
    <t>ORD10815</t>
  </si>
  <si>
    <t>ORD10816</t>
  </si>
  <si>
    <t>CUST1331</t>
  </si>
  <si>
    <t>ORD10817</t>
  </si>
  <si>
    <t>ORD10818</t>
  </si>
  <si>
    <t>ORD10819</t>
  </si>
  <si>
    <t>ORD10820</t>
  </si>
  <si>
    <t>CUST1450</t>
  </si>
  <si>
    <t>ORD10821</t>
  </si>
  <si>
    <t>ORD10822</t>
  </si>
  <si>
    <t>CUST1347</t>
  </si>
  <si>
    <t>ORD10823</t>
  </si>
  <si>
    <t>ORD10824</t>
  </si>
  <si>
    <t>CUST1266</t>
  </si>
  <si>
    <t>ORD10825</t>
  </si>
  <si>
    <t>ORD10826</t>
  </si>
  <si>
    <t>ORD10827</t>
  </si>
  <si>
    <t>ORD10828</t>
  </si>
  <si>
    <t>ORD10829</t>
  </si>
  <si>
    <t>ORD10830</t>
  </si>
  <si>
    <t>ORD10831</t>
  </si>
  <si>
    <t>ORD10832</t>
  </si>
  <si>
    <t>ORD10833</t>
  </si>
  <si>
    <t>ORD10834</t>
  </si>
  <si>
    <t>CUST1275</t>
  </si>
  <si>
    <t>ORD10835</t>
  </si>
  <si>
    <t>ORD10836</t>
  </si>
  <si>
    <t>CUST1457</t>
  </si>
  <si>
    <t>ORD10837</t>
  </si>
  <si>
    <t>ORD10838</t>
  </si>
  <si>
    <t>ORD10839</t>
  </si>
  <si>
    <t>ORD10840</t>
  </si>
  <si>
    <t>ORD10841</t>
  </si>
  <si>
    <t>ORD10842</t>
  </si>
  <si>
    <t>Aditya Iyer</t>
  </si>
  <si>
    <t>ORD10843</t>
  </si>
  <si>
    <t>ORD10844</t>
  </si>
  <si>
    <t>CUST1207</t>
  </si>
  <si>
    <t>ORD10845</t>
  </si>
  <si>
    <t>CUST1032</t>
  </si>
  <si>
    <t>ORD10846</t>
  </si>
  <si>
    <t>ORD10847</t>
  </si>
  <si>
    <t>ORD10848</t>
  </si>
  <si>
    <t>ORD10849</t>
  </si>
  <si>
    <t>ORD10850</t>
  </si>
  <si>
    <t>ORD10851</t>
  </si>
  <si>
    <t>Vivaan Gupta</t>
  </si>
  <si>
    <t>ORD10852</t>
  </si>
  <si>
    <t>ORD10853</t>
  </si>
  <si>
    <t>ORD10854</t>
  </si>
  <si>
    <t>ORD10855</t>
  </si>
  <si>
    <t>CUST1217</t>
  </si>
  <si>
    <t>ORD10856</t>
  </si>
  <si>
    <t>ORD10857</t>
  </si>
  <si>
    <t>ORD10858</t>
  </si>
  <si>
    <t>ORD10859</t>
  </si>
  <si>
    <t>CUST1340</t>
  </si>
  <si>
    <t>ORD10860</t>
  </si>
  <si>
    <t>CUST1372</t>
  </si>
  <si>
    <t>ORD10861</t>
  </si>
  <si>
    <t>ORD10862</t>
  </si>
  <si>
    <t>CUST1015</t>
  </si>
  <si>
    <t>ORD10863</t>
  </si>
  <si>
    <t>ORD10864</t>
  </si>
  <si>
    <t>ORD10865</t>
  </si>
  <si>
    <t>CUST1439</t>
  </si>
  <si>
    <t>ORD10866</t>
  </si>
  <si>
    <t>ORD10867</t>
  </si>
  <si>
    <t>ORD10868</t>
  </si>
  <si>
    <t>ORD10869</t>
  </si>
  <si>
    <t>CUST1040</t>
  </si>
  <si>
    <t>ORD10870</t>
  </si>
  <si>
    <t>ORD10871</t>
  </si>
  <si>
    <t>ORD10872</t>
  </si>
  <si>
    <t>ORD10873</t>
  </si>
  <si>
    <t>ORD10874</t>
  </si>
  <si>
    <t>CUST1103</t>
  </si>
  <si>
    <t>ORD10875</t>
  </si>
  <si>
    <t>ORD10876</t>
  </si>
  <si>
    <t>ORD10877</t>
  </si>
  <si>
    <t>ORD10878</t>
  </si>
  <si>
    <t>ORD10879</t>
  </si>
  <si>
    <t>ORD10880</t>
  </si>
  <si>
    <t>ORD10881</t>
  </si>
  <si>
    <t>ORD10882</t>
  </si>
  <si>
    <t>ORD10883</t>
  </si>
  <si>
    <t>ORD10884</t>
  </si>
  <si>
    <t>ORD10885</t>
  </si>
  <si>
    <t>ORD10886</t>
  </si>
  <si>
    <t>CUST1367</t>
  </si>
  <si>
    <t>ORD10887</t>
  </si>
  <si>
    <t>ORD10888</t>
  </si>
  <si>
    <t>ORD10889</t>
  </si>
  <si>
    <t>ORD10890</t>
  </si>
  <si>
    <t>ORD10891</t>
  </si>
  <si>
    <t>ORD10892</t>
  </si>
  <si>
    <t>ORD10893</t>
  </si>
  <si>
    <t>ORD10894</t>
  </si>
  <si>
    <t>ORD10895</t>
  </si>
  <si>
    <t>CUST1053</t>
  </si>
  <si>
    <t>ORD10896</t>
  </si>
  <si>
    <t>ORD10897</t>
  </si>
  <si>
    <t>ORD10898</t>
  </si>
  <si>
    <t>ORD10899</t>
  </si>
  <si>
    <t>CUST1447</t>
  </si>
  <si>
    <t>ORD10900</t>
  </si>
  <si>
    <t>ORD10901</t>
  </si>
  <si>
    <t>CUST1496</t>
  </si>
  <si>
    <t>ORD10902</t>
  </si>
  <si>
    <t>ORD10903</t>
  </si>
  <si>
    <t>ORD10904</t>
  </si>
  <si>
    <t>ORD10905</t>
  </si>
  <si>
    <t>ORD10906</t>
  </si>
  <si>
    <t>ORD10907</t>
  </si>
  <si>
    <t>ORD10908</t>
  </si>
  <si>
    <t>CUST1140</t>
  </si>
  <si>
    <t>ORD10909</t>
  </si>
  <si>
    <t>ORD10910</t>
  </si>
  <si>
    <t>ORD10911</t>
  </si>
  <si>
    <t>ORD10912</t>
  </si>
  <si>
    <t>ORD10913</t>
  </si>
  <si>
    <t>ORD10914</t>
  </si>
  <si>
    <t>ORD10915</t>
  </si>
  <si>
    <t>CUST1334</t>
  </si>
  <si>
    <t>ORD10916</t>
  </si>
  <si>
    <t>ORD10917</t>
  </si>
  <si>
    <t>ORD10918</t>
  </si>
  <si>
    <t>ORD10919</t>
  </si>
  <si>
    <t>ORD10920</t>
  </si>
  <si>
    <t>ORD10921</t>
  </si>
  <si>
    <t>ORD10922</t>
  </si>
  <si>
    <t>ORD10923</t>
  </si>
  <si>
    <t>CUST1024</t>
  </si>
  <si>
    <t>ORD10924</t>
  </si>
  <si>
    <t>ORD10925</t>
  </si>
  <si>
    <t>ORD10926</t>
  </si>
  <si>
    <t>ORD10927</t>
  </si>
  <si>
    <t>ORD10928</t>
  </si>
  <si>
    <t>ORD10929</t>
  </si>
  <si>
    <t>ORD10930</t>
  </si>
  <si>
    <t>ORD10931</t>
  </si>
  <si>
    <t>ORD10932</t>
  </si>
  <si>
    <t>ORD10933</t>
  </si>
  <si>
    <t>ORD10934</t>
  </si>
  <si>
    <t>ORD10935</t>
  </si>
  <si>
    <t>Meera Patel</t>
  </si>
  <si>
    <t>ORD10936</t>
  </si>
  <si>
    <t>ORD10937</t>
  </si>
  <si>
    <t>ORD10938</t>
  </si>
  <si>
    <t>ORD10939</t>
  </si>
  <si>
    <t>ORD10940</t>
  </si>
  <si>
    <t>ORD10941</t>
  </si>
  <si>
    <t>ORD10942</t>
  </si>
  <si>
    <t>ORD10943</t>
  </si>
  <si>
    <t>ORD10944</t>
  </si>
  <si>
    <t>CUST1148</t>
  </si>
  <si>
    <t>ORD10945</t>
  </si>
  <si>
    <t>ORD10946</t>
  </si>
  <si>
    <t>ORD10947</t>
  </si>
  <si>
    <t>ORD10948</t>
  </si>
  <si>
    <t>CUST1357</t>
  </si>
  <si>
    <t>ORD10949</t>
  </si>
  <si>
    <t>ORD10950</t>
  </si>
  <si>
    <t>ORD10951</t>
  </si>
  <si>
    <t>ORD10952</t>
  </si>
  <si>
    <t>ORD10953</t>
  </si>
  <si>
    <t>ORD10954</t>
  </si>
  <si>
    <t>ORD10955</t>
  </si>
  <si>
    <t>ORD10956</t>
  </si>
  <si>
    <t>ORD10957</t>
  </si>
  <si>
    <t>CUST1171</t>
  </si>
  <si>
    <t>ORD10958</t>
  </si>
  <si>
    <t>ORD10959</t>
  </si>
  <si>
    <t>ORD10960</t>
  </si>
  <si>
    <t>ORD10961</t>
  </si>
  <si>
    <t>ORD10962</t>
  </si>
  <si>
    <t>ORD10963</t>
  </si>
  <si>
    <t>ORD10964</t>
  </si>
  <si>
    <t>ORD10965</t>
  </si>
  <si>
    <t>ORD10966</t>
  </si>
  <si>
    <t>ORD10967</t>
  </si>
  <si>
    <t>ORD10968</t>
  </si>
  <si>
    <t>ORD10969</t>
  </si>
  <si>
    <t>CUST1407</t>
  </si>
  <si>
    <t>ORD10970</t>
  </si>
  <si>
    <t>ORD10971</t>
  </si>
  <si>
    <t>ORD10972</t>
  </si>
  <si>
    <t>ORD10973</t>
  </si>
  <si>
    <t>ORD10974</t>
  </si>
  <si>
    <t>ORD10975</t>
  </si>
  <si>
    <t>ORD10976</t>
  </si>
  <si>
    <t>ORD10977</t>
  </si>
  <si>
    <t>ORD10978</t>
  </si>
  <si>
    <t>CUST1135</t>
  </si>
  <si>
    <t>ORD10979</t>
  </si>
  <si>
    <t>ORD10980</t>
  </si>
  <si>
    <t>ORD10981</t>
  </si>
  <si>
    <t>CUST1311</t>
  </si>
  <si>
    <t>Meera Rao</t>
  </si>
  <si>
    <t>ORD10982</t>
  </si>
  <si>
    <t>ORD10983</t>
  </si>
  <si>
    <t>CUST1250</t>
  </si>
  <si>
    <t>ORD10984</t>
  </si>
  <si>
    <t>ORD10985</t>
  </si>
  <si>
    <t>ORD10986</t>
  </si>
  <si>
    <t>ORD10987</t>
  </si>
  <si>
    <t>ORD10988</t>
  </si>
  <si>
    <t>ORD10989</t>
  </si>
  <si>
    <t>ORD10990</t>
  </si>
  <si>
    <t>ORD10991</t>
  </si>
  <si>
    <t>ORD10992</t>
  </si>
  <si>
    <t>ORD10993</t>
  </si>
  <si>
    <t>ORD10994</t>
  </si>
  <si>
    <t>CUST1232</t>
  </si>
  <si>
    <t>ORD10995</t>
  </si>
  <si>
    <t>ORD10996</t>
  </si>
  <si>
    <t>ORD10997</t>
  </si>
  <si>
    <t>ORD10998</t>
  </si>
  <si>
    <t>CUST1172</t>
  </si>
  <si>
    <t>ORD10999</t>
  </si>
  <si>
    <t>ORD11000</t>
  </si>
  <si>
    <t>ORD11001</t>
  </si>
  <si>
    <t>CUST1064</t>
  </si>
  <si>
    <t>ORD11002</t>
  </si>
  <si>
    <t>CUST1076</t>
  </si>
  <si>
    <t>ORD11003</t>
  </si>
  <si>
    <t>ORD11004</t>
  </si>
  <si>
    <t>ORD11005</t>
  </si>
  <si>
    <t>ORD11006</t>
  </si>
  <si>
    <t>ORD11007</t>
  </si>
  <si>
    <t>ORD11008</t>
  </si>
  <si>
    <t>CUST1202</t>
  </si>
  <si>
    <t>ORD11009</t>
  </si>
  <si>
    <t>ORD11010</t>
  </si>
  <si>
    <t>ORD11011</t>
  </si>
  <si>
    <t>ORD11012</t>
  </si>
  <si>
    <t>ORD11013</t>
  </si>
  <si>
    <t>ORD11014</t>
  </si>
  <si>
    <t>ORD11015</t>
  </si>
  <si>
    <t>ORD11016</t>
  </si>
  <si>
    <t>ORD11017</t>
  </si>
  <si>
    <t>ORD11018</t>
  </si>
  <si>
    <t>ORD11019</t>
  </si>
  <si>
    <t>ORD11020</t>
  </si>
  <si>
    <t>ORD11021</t>
  </si>
  <si>
    <t>ORD11022</t>
  </si>
  <si>
    <t>ORD11023</t>
  </si>
  <si>
    <t>ORD11024</t>
  </si>
  <si>
    <t>Sneha Bhat</t>
  </si>
  <si>
    <t>ORD11025</t>
  </si>
  <si>
    <t>CUST1335</t>
  </si>
  <si>
    <t>ORD11026</t>
  </si>
  <si>
    <t>ORD11027</t>
  </si>
  <si>
    <t>ORD11028</t>
  </si>
  <si>
    <t>ORD11029</t>
  </si>
  <si>
    <t>ORD11030</t>
  </si>
  <si>
    <t>ORD11031</t>
  </si>
  <si>
    <t>Rahul Patel</t>
  </si>
  <si>
    <t>ORD11032</t>
  </si>
  <si>
    <t>ORD11033</t>
  </si>
  <si>
    <t>CUST1043</t>
  </si>
  <si>
    <t>ORD11034</t>
  </si>
  <si>
    <t>ORD11035</t>
  </si>
  <si>
    <t>ORD11036</t>
  </si>
  <si>
    <t>ORD11037</t>
  </si>
  <si>
    <t>ORD11038</t>
  </si>
  <si>
    <t>ORD11039</t>
  </si>
  <si>
    <t>ORD11040</t>
  </si>
  <si>
    <t>ORD11041</t>
  </si>
  <si>
    <t>ORD11042</t>
  </si>
  <si>
    <t>ORD11043</t>
  </si>
  <si>
    <t>CUST1077</t>
  </si>
  <si>
    <t>ORD11044</t>
  </si>
  <si>
    <t>ORD11045</t>
  </si>
  <si>
    <t>ORD11046</t>
  </si>
  <si>
    <t>ORD11047</t>
  </si>
  <si>
    <t>ORD11048</t>
  </si>
  <si>
    <t>CUST1127</t>
  </si>
  <si>
    <t>ORD11049</t>
  </si>
  <si>
    <t>CUST1286</t>
  </si>
  <si>
    <t>ORD11050</t>
  </si>
  <si>
    <t>Diya Nair</t>
  </si>
  <si>
    <t>ORD11051</t>
  </si>
  <si>
    <t>CUST1237</t>
  </si>
  <si>
    <t>ORD11052</t>
  </si>
  <si>
    <t>ORD11053</t>
  </si>
  <si>
    <t>ORD11054</t>
  </si>
  <si>
    <t>ORD11055</t>
  </si>
  <si>
    <t>ORD11056</t>
  </si>
  <si>
    <t>ORD11057</t>
  </si>
  <si>
    <t>ORD11058</t>
  </si>
  <si>
    <t>ORD11059</t>
  </si>
  <si>
    <t>ORD11060</t>
  </si>
  <si>
    <t>ORD11061</t>
  </si>
  <si>
    <t>ORD11062</t>
  </si>
  <si>
    <t>ORD11063</t>
  </si>
  <si>
    <t>ORD11064</t>
  </si>
  <si>
    <t>ORD11065</t>
  </si>
  <si>
    <t>ORD11066</t>
  </si>
  <si>
    <t>ORD11067</t>
  </si>
  <si>
    <t>CUST1204</t>
  </si>
  <si>
    <t>ORD11068</t>
  </si>
  <si>
    <t>ORD11069</t>
  </si>
  <si>
    <t>ORD11070</t>
  </si>
  <si>
    <t>ORD11071</t>
  </si>
  <si>
    <t>ORD11072</t>
  </si>
  <si>
    <t>CUST1280</t>
  </si>
  <si>
    <t>ORD11073</t>
  </si>
  <si>
    <t>ORD11074</t>
  </si>
  <si>
    <t>ORD11075</t>
  </si>
  <si>
    <t>ORD11076</t>
  </si>
  <si>
    <t>ORD11077</t>
  </si>
  <si>
    <t>ORD11078</t>
  </si>
  <si>
    <t>ORD11079</t>
  </si>
  <si>
    <t>ORD11080</t>
  </si>
  <si>
    <t>ORD11081</t>
  </si>
  <si>
    <t>ORD11082</t>
  </si>
  <si>
    <t>ORD11083</t>
  </si>
  <si>
    <t>ORD11084</t>
  </si>
  <si>
    <t>ORD11085</t>
  </si>
  <si>
    <t>ORD11086</t>
  </si>
  <si>
    <t>ORD11087</t>
  </si>
  <si>
    <t>CUST1181</t>
  </si>
  <si>
    <t>ORD11088</t>
  </si>
  <si>
    <t>CUST1137</t>
  </si>
  <si>
    <t>ORD11089</t>
  </si>
  <si>
    <t>ORD11090</t>
  </si>
  <si>
    <t>ORD11091</t>
  </si>
  <si>
    <t>ORD11092</t>
  </si>
  <si>
    <t>ORD11093</t>
  </si>
  <si>
    <t>ORD11094</t>
  </si>
  <si>
    <t>ORD11095</t>
  </si>
  <si>
    <t>ORD11096</t>
  </si>
  <si>
    <t>ORD11097</t>
  </si>
  <si>
    <t>ORD11098</t>
  </si>
  <si>
    <t>ORD11099</t>
  </si>
  <si>
    <t>ORD11100</t>
  </si>
  <si>
    <t>ORD11101</t>
  </si>
  <si>
    <t>ORD11102</t>
  </si>
  <si>
    <t>ORD11103</t>
  </si>
  <si>
    <t>ORD11104</t>
  </si>
  <si>
    <t>ORD11105</t>
  </si>
  <si>
    <t>ORD11106</t>
  </si>
  <si>
    <t>ORD11107</t>
  </si>
  <si>
    <t>ORD11108</t>
  </si>
  <si>
    <t>ORD11109</t>
  </si>
  <si>
    <t>ORD11110</t>
  </si>
  <si>
    <t>CUST1414</t>
  </si>
  <si>
    <t>ORD11111</t>
  </si>
  <si>
    <t>ORD11112</t>
  </si>
  <si>
    <t>ORD11113</t>
  </si>
  <si>
    <t>ORD11114</t>
  </si>
  <si>
    <t>ORD11115</t>
  </si>
  <si>
    <t>ORD11116</t>
  </si>
  <si>
    <t>ORD11117</t>
  </si>
  <si>
    <t>ORD11118</t>
  </si>
  <si>
    <t>ORD11119</t>
  </si>
  <si>
    <t>ORD11120</t>
  </si>
  <si>
    <t>CUST1229</t>
  </si>
  <si>
    <t>ORD11121</t>
  </si>
  <si>
    <t>ORD11122</t>
  </si>
  <si>
    <t>ORD11123</t>
  </si>
  <si>
    <t>ORD11124</t>
  </si>
  <si>
    <t>ORD11125</t>
  </si>
  <si>
    <t>ORD11126</t>
  </si>
  <si>
    <t>CUST1291</t>
  </si>
  <si>
    <t>ORD11127</t>
  </si>
  <si>
    <t>CUST1002</t>
  </si>
  <si>
    <t>ORD11128</t>
  </si>
  <si>
    <t>ORD11129</t>
  </si>
  <si>
    <t>CUST1402</t>
  </si>
  <si>
    <t>ORD11130</t>
  </si>
  <si>
    <t>ORD11131</t>
  </si>
  <si>
    <t>ORD11132</t>
  </si>
  <si>
    <t>ORD11133</t>
  </si>
  <si>
    <t>ORD11134</t>
  </si>
  <si>
    <t>ORD11135</t>
  </si>
  <si>
    <t>ORD11136</t>
  </si>
  <si>
    <t>ORD11137</t>
  </si>
  <si>
    <t>ORD11138</t>
  </si>
  <si>
    <t>ORD11139</t>
  </si>
  <si>
    <t>ORD11140</t>
  </si>
  <si>
    <t>ORD11141</t>
  </si>
  <si>
    <t>ORD11142</t>
  </si>
  <si>
    <t>ORD11143</t>
  </si>
  <si>
    <t>ORD11144</t>
  </si>
  <si>
    <t>ORD11145</t>
  </si>
  <si>
    <t>CUST1174</t>
  </si>
  <si>
    <t>ORD11146</t>
  </si>
  <si>
    <t>ORD11147</t>
  </si>
  <si>
    <t>ORD11148</t>
  </si>
  <si>
    <t>ORD11149</t>
  </si>
  <si>
    <t>ORD11150</t>
  </si>
  <si>
    <t>ORD11151</t>
  </si>
  <si>
    <t>ORD11152</t>
  </si>
  <si>
    <t>ORD11153</t>
  </si>
  <si>
    <t>ORD11154</t>
  </si>
  <si>
    <t>ORD11155</t>
  </si>
  <si>
    <t>ORD11156</t>
  </si>
  <si>
    <t>ORD11157</t>
  </si>
  <si>
    <t>ORD11158</t>
  </si>
  <si>
    <t>Nisha Rao</t>
  </si>
  <si>
    <t>ORD11159</t>
  </si>
  <si>
    <t>ORD11160</t>
  </si>
  <si>
    <t>ORD11161</t>
  </si>
  <si>
    <t>ORD11162</t>
  </si>
  <si>
    <t>ORD11163</t>
  </si>
  <si>
    <t>ORD11164</t>
  </si>
  <si>
    <t>ORD11165</t>
  </si>
  <si>
    <t>ORD11166</t>
  </si>
  <si>
    <t>ORD11167</t>
  </si>
  <si>
    <t>ORD11168</t>
  </si>
  <si>
    <t>ORD11169</t>
  </si>
  <si>
    <t>ORD11170</t>
  </si>
  <si>
    <t>ORD11171</t>
  </si>
  <si>
    <t>ORD11172</t>
  </si>
  <si>
    <t>ORD11173</t>
  </si>
  <si>
    <t>ORD11174</t>
  </si>
  <si>
    <t>Rahul Nair</t>
  </si>
  <si>
    <t>ORD11175</t>
  </si>
  <si>
    <t>ORD11176</t>
  </si>
  <si>
    <t>ORD11177</t>
  </si>
  <si>
    <t>ORD11178</t>
  </si>
  <si>
    <t>ORD11179</t>
  </si>
  <si>
    <t>Kavya Nair</t>
  </si>
  <si>
    <t>ORD11180</t>
  </si>
  <si>
    <t>ORD11181</t>
  </si>
  <si>
    <t>ORD11182</t>
  </si>
  <si>
    <t>ORD11183</t>
  </si>
  <si>
    <t>ORD11184</t>
  </si>
  <si>
    <t>ORD11185</t>
  </si>
  <si>
    <t>ORD11186</t>
  </si>
  <si>
    <t>ORD11187</t>
  </si>
  <si>
    <t>ORD11188</t>
  </si>
  <si>
    <t>ORD11189</t>
  </si>
  <si>
    <t>ORD11190</t>
  </si>
  <si>
    <t>ORD11191</t>
  </si>
  <si>
    <t>ORD11192</t>
  </si>
  <si>
    <t>ORD11193</t>
  </si>
  <si>
    <t>ORD11194</t>
  </si>
  <si>
    <t>ORD11195</t>
  </si>
  <si>
    <t>CUST1258</t>
  </si>
  <si>
    <t>ORD11196</t>
  </si>
  <si>
    <t>ORD11197</t>
  </si>
  <si>
    <t>ORD11198</t>
  </si>
  <si>
    <t>ORD11199</t>
  </si>
  <si>
    <t>ORD11200</t>
  </si>
  <si>
    <t>ORD11201</t>
  </si>
  <si>
    <t>ORD11202</t>
  </si>
  <si>
    <t>ORD11203</t>
  </si>
  <si>
    <t>ORD11204</t>
  </si>
  <si>
    <t>ORD11205</t>
  </si>
  <si>
    <t>ORD11206</t>
  </si>
  <si>
    <t>ORD11207</t>
  </si>
  <si>
    <t>ORD11208</t>
  </si>
  <si>
    <t>ORD11209</t>
  </si>
  <si>
    <t>ORD11210</t>
  </si>
  <si>
    <t>ORD11211</t>
  </si>
  <si>
    <t>ORD11212</t>
  </si>
  <si>
    <t>ORD11213</t>
  </si>
  <si>
    <t>ORD11214</t>
  </si>
  <si>
    <t>ORD11215</t>
  </si>
  <si>
    <t>CUST1371</t>
  </si>
  <si>
    <t>ORD11216</t>
  </si>
  <si>
    <t>ORD11217</t>
  </si>
  <si>
    <t>ORD11218</t>
  </si>
  <si>
    <t>ORD11219</t>
  </si>
  <si>
    <t>ORD11220</t>
  </si>
  <si>
    <t>ORD11221</t>
  </si>
  <si>
    <t>CUST1329</t>
  </si>
  <si>
    <t>ORD11222</t>
  </si>
  <si>
    <t>ORD11223</t>
  </si>
  <si>
    <t>ORD11224</t>
  </si>
  <si>
    <t>ORD11225</t>
  </si>
  <si>
    <t>ORD11226</t>
  </si>
  <si>
    <t>ORD11227</t>
  </si>
  <si>
    <t>ORD11228</t>
  </si>
  <si>
    <t>ORD11229</t>
  </si>
  <si>
    <t>Sneha Joshi</t>
  </si>
  <si>
    <t>ORD11230</t>
  </si>
  <si>
    <t>ORD11231</t>
  </si>
  <si>
    <t>ORD11232</t>
  </si>
  <si>
    <t>ORD11233</t>
  </si>
  <si>
    <t>CUST1341</t>
  </si>
  <si>
    <t>ORD11234</t>
  </si>
  <si>
    <t>ORD11235</t>
  </si>
  <si>
    <t>ORD11236</t>
  </si>
  <si>
    <t>CUST1379</t>
  </si>
  <si>
    <t>ORD11237</t>
  </si>
  <si>
    <t>ORD11238</t>
  </si>
  <si>
    <t>ORD11239</t>
  </si>
  <si>
    <t>ORD11240</t>
  </si>
  <si>
    <t>ORD11241</t>
  </si>
  <si>
    <t>CUST1169</t>
  </si>
  <si>
    <t>ORD11242</t>
  </si>
  <si>
    <t>CUST1017</t>
  </si>
  <si>
    <t>ORD11243</t>
  </si>
  <si>
    <t>ORD11244</t>
  </si>
  <si>
    <t>ORD11245</t>
  </si>
  <si>
    <t>ORD11246</t>
  </si>
  <si>
    <t>ORD11247</t>
  </si>
  <si>
    <t>ORD11248</t>
  </si>
  <si>
    <t>ORD11249</t>
  </si>
  <si>
    <t>ORD11250</t>
  </si>
  <si>
    <t>ORD11251</t>
  </si>
  <si>
    <t>ORD11252</t>
  </si>
  <si>
    <t>ORD11253</t>
  </si>
  <si>
    <t>ORD11254</t>
  </si>
  <si>
    <t>ORD11255</t>
  </si>
  <si>
    <t>ORD11256</t>
  </si>
  <si>
    <t>ORD11257</t>
  </si>
  <si>
    <t>ORD11258</t>
  </si>
  <si>
    <t>ORD11259</t>
  </si>
  <si>
    <t>CUST1099</t>
  </si>
  <si>
    <t>ORD11260</t>
  </si>
  <si>
    <t>ORD11261</t>
  </si>
  <si>
    <t>ORD11262</t>
  </si>
  <si>
    <t>ORD11263</t>
  </si>
  <si>
    <t>ORD11264</t>
  </si>
  <si>
    <t>ORD11265</t>
  </si>
  <si>
    <t>ORD11266</t>
  </si>
  <si>
    <t>ORD11267</t>
  </si>
  <si>
    <t>ORD11268</t>
  </si>
  <si>
    <t>ORD11269</t>
  </si>
  <si>
    <t>ORD11270</t>
  </si>
  <si>
    <t>ORD11271</t>
  </si>
  <si>
    <t>ORD11272</t>
  </si>
  <si>
    <t>ORD11273</t>
  </si>
  <si>
    <t>ORD11274</t>
  </si>
  <si>
    <t>ORD11275</t>
  </si>
  <si>
    <t>ORD11276</t>
  </si>
  <si>
    <t>CUST1302</t>
  </si>
  <si>
    <t>ORD11277</t>
  </si>
  <si>
    <t>ORD11278</t>
  </si>
  <si>
    <t>ORD11279</t>
  </si>
  <si>
    <t>ORD11280</t>
  </si>
  <si>
    <t>ORD11281</t>
  </si>
  <si>
    <t>ORD11282</t>
  </si>
  <si>
    <t>ORD11283</t>
  </si>
  <si>
    <t>ORD11284</t>
  </si>
  <si>
    <t>ORD11285</t>
  </si>
  <si>
    <t>ORD11286</t>
  </si>
  <si>
    <t>ORD11287</t>
  </si>
  <si>
    <t>ORD11288</t>
  </si>
  <si>
    <t>ORD11289</t>
  </si>
  <si>
    <t>ORD11290</t>
  </si>
  <si>
    <t>ORD11291</t>
  </si>
  <si>
    <t>ORD11292</t>
  </si>
  <si>
    <t>ORD11293</t>
  </si>
  <si>
    <t>ORD11294</t>
  </si>
  <si>
    <t>ORD11295</t>
  </si>
  <si>
    <t>ORD11296</t>
  </si>
  <si>
    <t>ORD11297</t>
  </si>
  <si>
    <t>CUST1193</t>
  </si>
  <si>
    <t>ORD11298</t>
  </si>
  <si>
    <t>ORD11299</t>
  </si>
  <si>
    <t>ORD11300</t>
  </si>
  <si>
    <t>ORD11301</t>
  </si>
  <si>
    <t>ORD11302</t>
  </si>
  <si>
    <t>ORD11303</t>
  </si>
  <si>
    <t>ORD11304</t>
  </si>
  <si>
    <t>ORD11305</t>
  </si>
  <si>
    <t>ORD11306</t>
  </si>
  <si>
    <t>ORD11307</t>
  </si>
  <si>
    <t>ORD11308</t>
  </si>
  <si>
    <t>ORD11309</t>
  </si>
  <si>
    <t>ORD11310</t>
  </si>
  <si>
    <t>ORD11311</t>
  </si>
  <si>
    <t>ORD11312</t>
  </si>
  <si>
    <t>ORD11313</t>
  </si>
  <si>
    <t>ORD11314</t>
  </si>
  <si>
    <t>ORD11315</t>
  </si>
  <si>
    <t>ORD11316</t>
  </si>
  <si>
    <t>CUST1072</t>
  </si>
  <si>
    <t>ORD11317</t>
  </si>
  <si>
    <t>ORD11318</t>
  </si>
  <si>
    <t>ORD11319</t>
  </si>
  <si>
    <t>ORD11320</t>
  </si>
  <si>
    <t>ORD11321</t>
  </si>
  <si>
    <t>ORD11322</t>
  </si>
  <si>
    <t>ORD11323</t>
  </si>
  <si>
    <t>ORD11324</t>
  </si>
  <si>
    <t>ORD11325</t>
  </si>
  <si>
    <t>ORD11326</t>
  </si>
  <si>
    <t>CUST1124</t>
  </si>
  <si>
    <t>ORD11327</t>
  </si>
  <si>
    <t>CUST1432</t>
  </si>
  <si>
    <t>ORD11328</t>
  </si>
  <si>
    <t>ORD11329</t>
  </si>
  <si>
    <t>ORD11330</t>
  </si>
  <si>
    <t>ORD11331</t>
  </si>
  <si>
    <t>ORD11332</t>
  </si>
  <si>
    <t>CUST1481</t>
  </si>
  <si>
    <t>ORD11333</t>
  </si>
  <si>
    <t>ORD11334</t>
  </si>
  <si>
    <t>ORD11335</t>
  </si>
  <si>
    <t>ORD11336</t>
  </si>
  <si>
    <t>ORD11337</t>
  </si>
  <si>
    <t>ORD11338</t>
  </si>
  <si>
    <t>ORD11339</t>
  </si>
  <si>
    <t>ORD11340</t>
  </si>
  <si>
    <t>ORD11341</t>
  </si>
  <si>
    <t>ORD11342</t>
  </si>
  <si>
    <t>ORD11343</t>
  </si>
  <si>
    <t>ORD11344</t>
  </si>
  <si>
    <t>ORD11345</t>
  </si>
  <si>
    <t>ORD11346</t>
  </si>
  <si>
    <t>ORD11347</t>
  </si>
  <si>
    <t>ORD11348</t>
  </si>
  <si>
    <t>ORD11349</t>
  </si>
  <si>
    <t>ORD11350</t>
  </si>
  <si>
    <t>ORD11351</t>
  </si>
  <si>
    <t>ORD11352</t>
  </si>
  <si>
    <t>ORD11353</t>
  </si>
  <si>
    <t>ORD11354</t>
  </si>
  <si>
    <t>ORD11355</t>
  </si>
  <si>
    <t>ORD11356</t>
  </si>
  <si>
    <t>ORD11357</t>
  </si>
  <si>
    <t>ORD11358</t>
  </si>
  <si>
    <t>ORD11359</t>
  </si>
  <si>
    <t>ORD11360</t>
  </si>
  <si>
    <t>CUST1421</t>
  </si>
  <si>
    <t>ORD11361</t>
  </si>
  <si>
    <t>ORD11362</t>
  </si>
  <si>
    <t>ORD11363</t>
  </si>
  <si>
    <t>ORD11364</t>
  </si>
  <si>
    <t>ORD11365</t>
  </si>
  <si>
    <t>ORD11366</t>
  </si>
  <si>
    <t>ORD11367</t>
  </si>
  <si>
    <t>ORD11368</t>
  </si>
  <si>
    <t>ORD11369</t>
  </si>
  <si>
    <t>ORD11370</t>
  </si>
  <si>
    <t>CUST1285</t>
  </si>
  <si>
    <t>ORD11371</t>
  </si>
  <si>
    <t>ORD11372</t>
  </si>
  <si>
    <t>ORD11373</t>
  </si>
  <si>
    <t>ORD11374</t>
  </si>
  <si>
    <t>ORD11375</t>
  </si>
  <si>
    <t>ORD11376</t>
  </si>
  <si>
    <t>ORD11377</t>
  </si>
  <si>
    <t>ORD11378</t>
  </si>
  <si>
    <t>ORD11379</t>
  </si>
  <si>
    <t>ORD11380</t>
  </si>
  <si>
    <t>ORD11381</t>
  </si>
  <si>
    <t>ORD11382</t>
  </si>
  <si>
    <t>ORD11383</t>
  </si>
  <si>
    <t>ORD11384</t>
  </si>
  <si>
    <t>ORD11385</t>
  </si>
  <si>
    <t>ORD11386</t>
  </si>
  <si>
    <t>ORD11387</t>
  </si>
  <si>
    <t>ORD11388</t>
  </si>
  <si>
    <t>ORD11389</t>
  </si>
  <si>
    <t>ORD11390</t>
  </si>
  <si>
    <t>CUST1189</t>
  </si>
  <si>
    <t>ORD11391</t>
  </si>
  <si>
    <t>ORD11392</t>
  </si>
  <si>
    <t>ORD11393</t>
  </si>
  <si>
    <t>ORD11394</t>
  </si>
  <si>
    <t>ORD11395</t>
  </si>
  <si>
    <t>ORD11396</t>
  </si>
  <si>
    <t>ORD11397</t>
  </si>
  <si>
    <t>ORD11398</t>
  </si>
  <si>
    <t>ORD11399</t>
  </si>
  <si>
    <t>ORD11400</t>
  </si>
  <si>
    <t>ORD11401</t>
  </si>
  <si>
    <t>ORD11402</t>
  </si>
  <si>
    <t>ORD11403</t>
  </si>
  <si>
    <t>ORD11404</t>
  </si>
  <si>
    <t>ORD11405</t>
  </si>
  <si>
    <t>ORD11406</t>
  </si>
  <si>
    <t>ORD11407</t>
  </si>
  <si>
    <t>ORD11408</t>
  </si>
  <si>
    <t>ORD11409</t>
  </si>
  <si>
    <t>CUST1298</t>
  </si>
  <si>
    <t>ORD11410</t>
  </si>
  <si>
    <t>ORD11411</t>
  </si>
  <si>
    <t>ORD11412</t>
  </si>
  <si>
    <t>ORD11413</t>
  </si>
  <si>
    <t>ORD11414</t>
  </si>
  <si>
    <t>CUST1136</t>
  </si>
  <si>
    <t>ORD11415</t>
  </si>
  <si>
    <t>ORD11416</t>
  </si>
  <si>
    <t>CUST1243</t>
  </si>
  <si>
    <t>ORD11417</t>
  </si>
  <si>
    <t>ORD11418</t>
  </si>
  <si>
    <t>ORD11419</t>
  </si>
  <si>
    <t>ORD11420</t>
  </si>
  <si>
    <t>CUST1139</t>
  </si>
  <si>
    <t>ORD11421</t>
  </si>
  <si>
    <t>ORD11422</t>
  </si>
  <si>
    <t>ORD11423</t>
  </si>
  <si>
    <t>ORD11424</t>
  </si>
  <si>
    <t>ORD11425</t>
  </si>
  <si>
    <t>ORD11426</t>
  </si>
  <si>
    <t>ORD11427</t>
  </si>
  <si>
    <t>ORD11428</t>
  </si>
  <si>
    <t>ORD11429</t>
  </si>
  <si>
    <t>ORD11430</t>
  </si>
  <si>
    <t>ORD11431</t>
  </si>
  <si>
    <t>ORD11432</t>
  </si>
  <si>
    <t>ORD11433</t>
  </si>
  <si>
    <t>ORD11434</t>
  </si>
  <si>
    <t>ORD11435</t>
  </si>
  <si>
    <t>CUST1293</t>
  </si>
  <si>
    <t>ORD11436</t>
  </si>
  <si>
    <t>ORD11437</t>
  </si>
  <si>
    <t>ORD11438</t>
  </si>
  <si>
    <t>ORD11439</t>
  </si>
  <si>
    <t>ORD11440</t>
  </si>
  <si>
    <t>ORD11441</t>
  </si>
  <si>
    <t>ORD11442</t>
  </si>
  <si>
    <t>ORD11443</t>
  </si>
  <si>
    <t>ORD11444</t>
  </si>
  <si>
    <t>ORD11445</t>
  </si>
  <si>
    <t>ORD11446</t>
  </si>
  <si>
    <t>ORD11447</t>
  </si>
  <si>
    <t>ORD11448</t>
  </si>
  <si>
    <t>ORD11449</t>
  </si>
  <si>
    <t>ORD11450</t>
  </si>
  <si>
    <t>CUST1264</t>
  </si>
  <si>
    <t>ORD11451</t>
  </si>
  <si>
    <t>ORD11452</t>
  </si>
  <si>
    <t>ORD11453</t>
  </si>
  <si>
    <t>ORD11454</t>
  </si>
  <si>
    <t>ORD11455</t>
  </si>
  <si>
    <t>ORD11456</t>
  </si>
  <si>
    <t>ORD11457</t>
  </si>
  <si>
    <t>ORD11458</t>
  </si>
  <si>
    <t>ORD11459</t>
  </si>
  <si>
    <t>ORD11460</t>
  </si>
  <si>
    <t>ORD11461</t>
  </si>
  <si>
    <t>ORD11462</t>
  </si>
  <si>
    <t>ORD11463</t>
  </si>
  <si>
    <t>ORD11464</t>
  </si>
  <si>
    <t>ORD11465</t>
  </si>
  <si>
    <t>ORD11466</t>
  </si>
  <si>
    <t>ORD11467</t>
  </si>
  <si>
    <t>ORD11468</t>
  </si>
  <si>
    <t>ORD11469</t>
  </si>
  <si>
    <t>ORD11470</t>
  </si>
  <si>
    <t>ORD11471</t>
  </si>
  <si>
    <t>ORD11472</t>
  </si>
  <si>
    <t>ORD11473</t>
  </si>
  <si>
    <t>ORD11474</t>
  </si>
  <si>
    <t>ORD11475</t>
  </si>
  <si>
    <t>ORD11476</t>
  </si>
  <si>
    <t>ORD11477</t>
  </si>
  <si>
    <t>ORD11478</t>
  </si>
  <si>
    <t>ORD11479</t>
  </si>
  <si>
    <t>CUST1288</t>
  </si>
  <si>
    <t>ORD11480</t>
  </si>
  <si>
    <t>ORD11481</t>
  </si>
  <si>
    <t>ORD11482</t>
  </si>
  <si>
    <t>ORD11483</t>
  </si>
  <si>
    <t>ORD11484</t>
  </si>
  <si>
    <t>ORD11485</t>
  </si>
  <si>
    <t>ORD11486</t>
  </si>
  <si>
    <t>ORD11487</t>
  </si>
  <si>
    <t>ORD11488</t>
  </si>
  <si>
    <t>ORD11489</t>
  </si>
  <si>
    <t>ORD11490</t>
  </si>
  <si>
    <t>ORD11491</t>
  </si>
  <si>
    <t>ORD11492</t>
  </si>
  <si>
    <t>ORD11493</t>
  </si>
  <si>
    <t>ORD11494</t>
  </si>
  <si>
    <t>ORD11495</t>
  </si>
  <si>
    <t>ORD11496</t>
  </si>
  <si>
    <t>CUST1388</t>
  </si>
  <si>
    <t>ORD11497</t>
  </si>
  <si>
    <t>ORD11498</t>
  </si>
  <si>
    <t>ORD11499</t>
  </si>
  <si>
    <t>ORD11500</t>
  </si>
  <si>
    <t>ORD11501</t>
  </si>
  <si>
    <t>ORD11502</t>
  </si>
  <si>
    <t>ORD11503</t>
  </si>
  <si>
    <t>ORD11504</t>
  </si>
  <si>
    <t>ORD11505</t>
  </si>
  <si>
    <t>ORD11506</t>
  </si>
  <si>
    <t>ORD11507</t>
  </si>
  <si>
    <t>ORD11508</t>
  </si>
  <si>
    <t>ORD11509</t>
  </si>
  <si>
    <t>ORD11510</t>
  </si>
  <si>
    <t>ORD11511</t>
  </si>
  <si>
    <t>ORD11512</t>
  </si>
  <si>
    <t>ORD11513</t>
  </si>
  <si>
    <t>Aarav Rao</t>
  </si>
  <si>
    <t>ORD11514</t>
  </si>
  <si>
    <t>ORD11515</t>
  </si>
  <si>
    <t>ORD11516</t>
  </si>
  <si>
    <t>ORD11517</t>
  </si>
  <si>
    <t>ORD11518</t>
  </si>
  <si>
    <t>ORD11519</t>
  </si>
  <si>
    <t>ORD11520</t>
  </si>
  <si>
    <t>ORD11521</t>
  </si>
  <si>
    <t>ORD11522</t>
  </si>
  <si>
    <t>ORD11523</t>
  </si>
  <si>
    <t>ORD11524</t>
  </si>
  <si>
    <t>ORD11525</t>
  </si>
  <si>
    <t>ORD11526</t>
  </si>
  <si>
    <t>ORD11527</t>
  </si>
  <si>
    <t>ORD11528</t>
  </si>
  <si>
    <t>ORD11529</t>
  </si>
  <si>
    <t>ORD11530</t>
  </si>
  <si>
    <t>ORD11531</t>
  </si>
  <si>
    <t>ORD11532</t>
  </si>
  <si>
    <t>ORD11533</t>
  </si>
  <si>
    <t>ORD11534</t>
  </si>
  <si>
    <t>ORD11535</t>
  </si>
  <si>
    <t>ORD11536</t>
  </si>
  <si>
    <t>CUST1001</t>
  </si>
  <si>
    <t>ORD11537</t>
  </si>
  <si>
    <t>ORD11538</t>
  </si>
  <si>
    <t>ORD11539</t>
  </si>
  <si>
    <t>ORD11540</t>
  </si>
  <si>
    <t>ORD11541</t>
  </si>
  <si>
    <t>ORD11542</t>
  </si>
  <si>
    <t>ORD11543</t>
  </si>
  <si>
    <t>ORD11544</t>
  </si>
  <si>
    <t>ORD11545</t>
  </si>
  <si>
    <t>ORD11546</t>
  </si>
  <si>
    <t>ORD11547</t>
  </si>
  <si>
    <t>ORD11548</t>
  </si>
  <si>
    <t>ORD11549</t>
  </si>
  <si>
    <t>ORD11550</t>
  </si>
  <si>
    <t>ORD11551</t>
  </si>
  <si>
    <t>ORD11552</t>
  </si>
  <si>
    <t>ORD11553</t>
  </si>
  <si>
    <t>ORD11554</t>
  </si>
  <si>
    <t>ORD11555</t>
  </si>
  <si>
    <t>ORD11556</t>
  </si>
  <si>
    <t>CUST1014</t>
  </si>
  <si>
    <t>ORD11557</t>
  </si>
  <si>
    <t>ORD11558</t>
  </si>
  <si>
    <t>ORD11559</t>
  </si>
  <si>
    <t>ORD11560</t>
  </si>
  <si>
    <t>ORD11561</t>
  </si>
  <si>
    <t>ORD11562</t>
  </si>
  <si>
    <t>ORD11563</t>
  </si>
  <si>
    <t>ORD11564</t>
  </si>
  <si>
    <t>ORD11565</t>
  </si>
  <si>
    <t>ORD11566</t>
  </si>
  <si>
    <t>ORD11567</t>
  </si>
  <si>
    <t>Rohan Kumar</t>
  </si>
  <si>
    <t>ORD11568</t>
  </si>
  <si>
    <t>ORD11569</t>
  </si>
  <si>
    <t>ORD11570</t>
  </si>
  <si>
    <t>ORD11571</t>
  </si>
  <si>
    <t>ORD11572</t>
  </si>
  <si>
    <t>ORD11573</t>
  </si>
  <si>
    <t>ORD11574</t>
  </si>
  <si>
    <t>ORD11575</t>
  </si>
  <si>
    <t>ORD11576</t>
  </si>
  <si>
    <t>ORD11577</t>
  </si>
  <si>
    <t>ORD11578</t>
  </si>
  <si>
    <t>ORD11579</t>
  </si>
  <si>
    <t>CUST1007</t>
  </si>
  <si>
    <t>ORD11580</t>
  </si>
  <si>
    <t>ORD11581</t>
  </si>
  <si>
    <t>ORD11582</t>
  </si>
  <si>
    <t>ORD11583</t>
  </si>
  <si>
    <t>ORD11584</t>
  </si>
  <si>
    <t>ORD11585</t>
  </si>
  <si>
    <t>ORD11586</t>
  </si>
  <si>
    <t>ORD11587</t>
  </si>
  <si>
    <t>ORD11588</t>
  </si>
  <si>
    <t>ORD11589</t>
  </si>
  <si>
    <t>ORD11590</t>
  </si>
  <si>
    <t>ORD11591</t>
  </si>
  <si>
    <t>ORD11592</t>
  </si>
  <si>
    <t>ORD11593</t>
  </si>
  <si>
    <t>ORD11594</t>
  </si>
  <si>
    <t>ORD11595</t>
  </si>
  <si>
    <t>ORD11596</t>
  </si>
  <si>
    <t>ORD11597</t>
  </si>
  <si>
    <t>ORD11598</t>
  </si>
  <si>
    <t>ORD11599</t>
  </si>
  <si>
    <t>ORD11600</t>
  </si>
  <si>
    <t>ORD11601</t>
  </si>
  <si>
    <t>ORD11602</t>
  </si>
  <si>
    <t>ORD11603</t>
  </si>
  <si>
    <t>ORD11604</t>
  </si>
  <si>
    <t>ORD11605</t>
  </si>
  <si>
    <t>ORD11606</t>
  </si>
  <si>
    <t>ORD11607</t>
  </si>
  <si>
    <t>ORD11608</t>
  </si>
  <si>
    <t>ORD11609</t>
  </si>
  <si>
    <t>ORD11610</t>
  </si>
  <si>
    <t>ORD11611</t>
  </si>
  <si>
    <t>CUST1058</t>
  </si>
  <si>
    <t>ORD11612</t>
  </si>
  <si>
    <t>ORD11613</t>
  </si>
  <si>
    <t>ORD11614</t>
  </si>
  <si>
    <t>ORD11615</t>
  </si>
  <si>
    <t>ORD11616</t>
  </si>
  <si>
    <t>ORD11617</t>
  </si>
  <si>
    <t>ORD11618</t>
  </si>
  <si>
    <t>ORD11619</t>
  </si>
  <si>
    <t>ORD11620</t>
  </si>
  <si>
    <t>ORD11621</t>
  </si>
  <si>
    <t>ORD11622</t>
  </si>
  <si>
    <t>ORD11623</t>
  </si>
  <si>
    <t>ORD11624</t>
  </si>
  <si>
    <t>ORD11625</t>
  </si>
  <si>
    <t>ORD11626</t>
  </si>
  <si>
    <t>ORD11627</t>
  </si>
  <si>
    <t>ORD11628</t>
  </si>
  <si>
    <t>ORD11629</t>
  </si>
  <si>
    <t>ORD11630</t>
  </si>
  <si>
    <t>ORD11631</t>
  </si>
  <si>
    <t>ORD11632</t>
  </si>
  <si>
    <t>ORD11633</t>
  </si>
  <si>
    <t>ORD11634</t>
  </si>
  <si>
    <t>ORD11635</t>
  </si>
  <si>
    <t>ORD11636</t>
  </si>
  <si>
    <t>ORD11637</t>
  </si>
  <si>
    <t>ORD11638</t>
  </si>
  <si>
    <t>ORD11639</t>
  </si>
  <si>
    <t>ORD11640</t>
  </si>
  <si>
    <t>ORD11641</t>
  </si>
  <si>
    <t>ORD11642</t>
  </si>
  <si>
    <t>ORD11643</t>
  </si>
  <si>
    <t>ORD11644</t>
  </si>
  <si>
    <t>ORD11645</t>
  </si>
  <si>
    <t>ORD11646</t>
  </si>
  <si>
    <t>ORD11647</t>
  </si>
  <si>
    <t>ORD11648</t>
  </si>
  <si>
    <t>ORD11649</t>
  </si>
  <si>
    <t>ORD11650</t>
  </si>
  <si>
    <t>ORD11651</t>
  </si>
  <si>
    <t>ORD11652</t>
  </si>
  <si>
    <t>CUST1431</t>
  </si>
  <si>
    <t>ORD11653</t>
  </si>
  <si>
    <t>ORD11654</t>
  </si>
  <si>
    <t>ORD11655</t>
  </si>
  <si>
    <t>ORD11656</t>
  </si>
  <si>
    <t>ORD11657</t>
  </si>
  <si>
    <t>ORD11658</t>
  </si>
  <si>
    <t>ORD11659</t>
  </si>
  <si>
    <t>ORD11660</t>
  </si>
  <si>
    <t>ORD11661</t>
  </si>
  <si>
    <t>ORD11662</t>
  </si>
  <si>
    <t>ORD11663</t>
  </si>
  <si>
    <t>ORD11664</t>
  </si>
  <si>
    <t>ORD11665</t>
  </si>
  <si>
    <t>ORD11666</t>
  </si>
  <si>
    <t>ORD11667</t>
  </si>
  <si>
    <t>ORD11668</t>
  </si>
  <si>
    <t>ORD11669</t>
  </si>
  <si>
    <t>ORD11670</t>
  </si>
  <si>
    <t>ORD11671</t>
  </si>
  <si>
    <t>ORD11672</t>
  </si>
  <si>
    <t>ORD11673</t>
  </si>
  <si>
    <t>ORD11674</t>
  </si>
  <si>
    <t>ORD11675</t>
  </si>
  <si>
    <t>ORD11676</t>
  </si>
  <si>
    <t>CUST1115</t>
  </si>
  <si>
    <t>ORD11677</t>
  </si>
  <si>
    <t>ORD11678</t>
  </si>
  <si>
    <t>ORD11679</t>
  </si>
  <si>
    <t>CUST1073</t>
  </si>
  <si>
    <t>ORD11680</t>
  </si>
  <si>
    <t>ORD11681</t>
  </si>
  <si>
    <t>ORD11682</t>
  </si>
  <si>
    <t>ORD11683</t>
  </si>
  <si>
    <t>ORD11684</t>
  </si>
  <si>
    <t>ORD11685</t>
  </si>
  <si>
    <t>ORD11686</t>
  </si>
  <si>
    <t>ORD11687</t>
  </si>
  <si>
    <t>ORD11688</t>
  </si>
  <si>
    <t>ORD11689</t>
  </si>
  <si>
    <t>ORD11690</t>
  </si>
  <si>
    <t>ORD11691</t>
  </si>
  <si>
    <t>ORD11692</t>
  </si>
  <si>
    <t>ORD11693</t>
  </si>
  <si>
    <t>ORD11694</t>
  </si>
  <si>
    <t>ORD11695</t>
  </si>
  <si>
    <t>CUST1197</t>
  </si>
  <si>
    <t>ORD11696</t>
  </si>
  <si>
    <t>ORD11697</t>
  </si>
  <si>
    <t>ORD11698</t>
  </si>
  <si>
    <t>ORD11699</t>
  </si>
  <si>
    <t>ORD11700</t>
  </si>
  <si>
    <t>ORD11701</t>
  </si>
  <si>
    <t>ORD11702</t>
  </si>
  <si>
    <t>ORD11703</t>
  </si>
  <si>
    <t>ORD11704</t>
  </si>
  <si>
    <t>ORD11705</t>
  </si>
  <si>
    <t>CUST1132</t>
  </si>
  <si>
    <t>ORD11706</t>
  </si>
  <si>
    <t>ORD11707</t>
  </si>
  <si>
    <t>ORD11708</t>
  </si>
  <si>
    <t>ORD11709</t>
  </si>
  <si>
    <t>ORD11710</t>
  </si>
  <si>
    <t>ORD11711</t>
  </si>
  <si>
    <t>ORD11712</t>
  </si>
  <si>
    <t>ORD11713</t>
  </si>
  <si>
    <t>ORD11714</t>
  </si>
  <si>
    <t>ORD11715</t>
  </si>
  <si>
    <t>ORD11716</t>
  </si>
  <si>
    <t>CUST1395</t>
  </si>
  <si>
    <t>ORD11717</t>
  </si>
  <si>
    <t>ORD11718</t>
  </si>
  <si>
    <t>ORD11719</t>
  </si>
  <si>
    <t>ORD11720</t>
  </si>
  <si>
    <t>ORD11721</t>
  </si>
  <si>
    <t>ORD11722</t>
  </si>
  <si>
    <t>ORD11723</t>
  </si>
  <si>
    <t>ORD11724</t>
  </si>
  <si>
    <t>ORD11725</t>
  </si>
  <si>
    <t>ORD11726</t>
  </si>
  <si>
    <t>ORD11727</t>
  </si>
  <si>
    <t>ORD11728</t>
  </si>
  <si>
    <t>ORD11729</t>
  </si>
  <si>
    <t>ORD11730</t>
  </si>
  <si>
    <t>ORD11731</t>
  </si>
  <si>
    <t>ORD11732</t>
  </si>
  <si>
    <t>ORD11733</t>
  </si>
  <si>
    <t>ORD11734</t>
  </si>
  <si>
    <t>ORD11735</t>
  </si>
  <si>
    <t>ORD11736</t>
  </si>
  <si>
    <t>ORD11737</t>
  </si>
  <si>
    <t>ORD11738</t>
  </si>
  <si>
    <t>ORD11739</t>
  </si>
  <si>
    <t>ORD11740</t>
  </si>
  <si>
    <t>ORD11741</t>
  </si>
  <si>
    <t>ORD11742</t>
  </si>
  <si>
    <t>ORD11743</t>
  </si>
  <si>
    <t>ORD11744</t>
  </si>
  <si>
    <t>ORD11745</t>
  </si>
  <si>
    <t>ORD11746</t>
  </si>
  <si>
    <t>ORD11747</t>
  </si>
  <si>
    <t>ORD11748</t>
  </si>
  <si>
    <t>ORD11749</t>
  </si>
  <si>
    <t>ORD11750</t>
  </si>
  <si>
    <t>ORD11751</t>
  </si>
  <si>
    <t>ORD11752</t>
  </si>
  <si>
    <t>ORD11753</t>
  </si>
  <si>
    <t>ORD11754</t>
  </si>
  <si>
    <t>ORD11755</t>
  </si>
  <si>
    <t>ORD11756</t>
  </si>
  <si>
    <t>ORD11757</t>
  </si>
  <si>
    <t>ORD11758</t>
  </si>
  <si>
    <t>ORD11759</t>
  </si>
  <si>
    <t>ORD11760</t>
  </si>
  <si>
    <t>ORD11761</t>
  </si>
  <si>
    <t>ORD11762</t>
  </si>
  <si>
    <t>ORD11763</t>
  </si>
  <si>
    <t>ORD11764</t>
  </si>
  <si>
    <t>ORD11765</t>
  </si>
  <si>
    <t>ORD11766</t>
  </si>
  <si>
    <t>ORD11767</t>
  </si>
  <si>
    <t>ORD11768</t>
  </si>
  <si>
    <t>ORD11769</t>
  </si>
  <si>
    <t>ORD11770</t>
  </si>
  <si>
    <t>ORD11771</t>
  </si>
  <si>
    <t>ORD11772</t>
  </si>
  <si>
    <t>ORD11773</t>
  </si>
  <si>
    <t>CUST1233</t>
  </si>
  <si>
    <t>ORD11774</t>
  </si>
  <si>
    <t>ORD11775</t>
  </si>
  <si>
    <t>ORD11776</t>
  </si>
  <si>
    <t>ORD11777</t>
  </si>
  <si>
    <t>ORD11778</t>
  </si>
  <si>
    <t>ORD11779</t>
  </si>
  <si>
    <t>ORD11780</t>
  </si>
  <si>
    <t>ORD11781</t>
  </si>
  <si>
    <t>ORD11782</t>
  </si>
  <si>
    <t>ORD11783</t>
  </si>
  <si>
    <t>ORD11784</t>
  </si>
  <si>
    <t>ORD11785</t>
  </si>
  <si>
    <t>ORD11786</t>
  </si>
  <si>
    <t>ORD11787</t>
  </si>
  <si>
    <t>CUST1054</t>
  </si>
  <si>
    <t>ORD11788</t>
  </si>
  <si>
    <t>ORD11789</t>
  </si>
  <si>
    <t>ORD11790</t>
  </si>
  <si>
    <t>ORD11791</t>
  </si>
  <si>
    <t>ORD11792</t>
  </si>
  <si>
    <t>ORD11793</t>
  </si>
  <si>
    <t>ORD11794</t>
  </si>
  <si>
    <t>ORD11795</t>
  </si>
  <si>
    <t>ORD11796</t>
  </si>
  <si>
    <t>ORD11797</t>
  </si>
  <si>
    <t>ORD11798</t>
  </si>
  <si>
    <t>ORD11799</t>
  </si>
  <si>
    <t>ORD11800</t>
  </si>
  <si>
    <t>ORD11801</t>
  </si>
  <si>
    <t>ORD11802</t>
  </si>
  <si>
    <t>ORD11803</t>
  </si>
  <si>
    <t>ORD11804</t>
  </si>
  <si>
    <t>ORD11805</t>
  </si>
  <si>
    <t>ORD11806</t>
  </si>
  <si>
    <t>ORD11807</t>
  </si>
  <si>
    <t>ORD11808</t>
  </si>
  <si>
    <t>ORD11809</t>
  </si>
  <si>
    <t>ORD11810</t>
  </si>
  <si>
    <t>ORD11811</t>
  </si>
  <si>
    <t>ORD11812</t>
  </si>
  <si>
    <t>ORD11813</t>
  </si>
  <si>
    <t>ORD11814</t>
  </si>
  <si>
    <t>ORD11815</t>
  </si>
  <si>
    <t>ORD11816</t>
  </si>
  <si>
    <t>ORD11817</t>
  </si>
  <si>
    <t>ORD11818</t>
  </si>
  <si>
    <t>ORD11819</t>
  </si>
  <si>
    <t>ORD11820</t>
  </si>
  <si>
    <t>ORD11821</t>
  </si>
  <si>
    <t>ORD11822</t>
  </si>
  <si>
    <t>ORD11823</t>
  </si>
  <si>
    <t>ORD11824</t>
  </si>
  <si>
    <t>ORD11825</t>
  </si>
  <si>
    <t>ORD11826</t>
  </si>
  <si>
    <t>ORD11827</t>
  </si>
  <si>
    <t>ORD11828</t>
  </si>
  <si>
    <t>ORD11829</t>
  </si>
  <si>
    <t>ORD11830</t>
  </si>
  <si>
    <t>ORD11831</t>
  </si>
  <si>
    <t>ORD11832</t>
  </si>
  <si>
    <t>ORD11833</t>
  </si>
  <si>
    <t>ORD11834</t>
  </si>
  <si>
    <t>ORD11835</t>
  </si>
  <si>
    <t>ORD11836</t>
  </si>
  <si>
    <t>ORD11837</t>
  </si>
  <si>
    <t>ORD11838</t>
  </si>
  <si>
    <t>ORD11839</t>
  </si>
  <si>
    <t>CUST1409</t>
  </si>
  <si>
    <t>ORD11840</t>
  </si>
  <si>
    <t>ORD11841</t>
  </si>
  <si>
    <t>ORD11842</t>
  </si>
  <si>
    <t>ORD11843</t>
  </si>
  <si>
    <t>ORD11844</t>
  </si>
  <si>
    <t>ORD11845</t>
  </si>
  <si>
    <t>ORD11846</t>
  </si>
  <si>
    <t>ORD11847</t>
  </si>
  <si>
    <t>ORD11848</t>
  </si>
  <si>
    <t>ORD11849</t>
  </si>
  <si>
    <t>ORD11850</t>
  </si>
  <si>
    <t>ORD11851</t>
  </si>
  <si>
    <t>ORD11852</t>
  </si>
  <si>
    <t>ORD11853</t>
  </si>
  <si>
    <t>ORD11854</t>
  </si>
  <si>
    <t>ORD11855</t>
  </si>
  <si>
    <t>ORD11856</t>
  </si>
  <si>
    <t>ORD11857</t>
  </si>
  <si>
    <t>ORD11858</t>
  </si>
  <si>
    <t>ORD11859</t>
  </si>
  <si>
    <t>ORD11860</t>
  </si>
  <si>
    <t>ORD11861</t>
  </si>
  <si>
    <t>ORD11862</t>
  </si>
  <si>
    <t>ORD11863</t>
  </si>
  <si>
    <t>ORD11864</t>
  </si>
  <si>
    <t>ORD11865</t>
  </si>
  <si>
    <t>ORD11866</t>
  </si>
  <si>
    <t>ORD11867</t>
  </si>
  <si>
    <t>ORD11868</t>
  </si>
  <si>
    <t>ORD11869</t>
  </si>
  <si>
    <t>ORD11870</t>
  </si>
  <si>
    <t>ORD11871</t>
  </si>
  <si>
    <t>ORD11872</t>
  </si>
  <si>
    <t>ORD11873</t>
  </si>
  <si>
    <t>ORD11874</t>
  </si>
  <si>
    <t>ORD11875</t>
  </si>
  <si>
    <t>ORD11876</t>
  </si>
  <si>
    <t>ORD11877</t>
  </si>
  <si>
    <t>CUST1297</t>
  </si>
  <si>
    <t>ORD11878</t>
  </si>
  <si>
    <t>ORD11879</t>
  </si>
  <si>
    <t>ORD11880</t>
  </si>
  <si>
    <t>ORD11881</t>
  </si>
  <si>
    <t>ORD11882</t>
  </si>
  <si>
    <t>ORD11883</t>
  </si>
  <si>
    <t>ORD11884</t>
  </si>
  <si>
    <t>ORD11885</t>
  </si>
  <si>
    <t>ORD11886</t>
  </si>
  <si>
    <t>ORD11887</t>
  </si>
  <si>
    <t>ORD11888</t>
  </si>
  <si>
    <t>ORD11889</t>
  </si>
  <si>
    <t>ORD11890</t>
  </si>
  <si>
    <t>ORD11891</t>
  </si>
  <si>
    <t>ORD11892</t>
  </si>
  <si>
    <t>ORD11893</t>
  </si>
  <si>
    <t>ORD11894</t>
  </si>
  <si>
    <t>ORD11895</t>
  </si>
  <si>
    <t>ORD11896</t>
  </si>
  <si>
    <t>ORD11897</t>
  </si>
  <si>
    <t>ORD11898</t>
  </si>
  <si>
    <t>ORD11899</t>
  </si>
  <si>
    <t>CUST1114</t>
  </si>
  <si>
    <t>ORD11900</t>
  </si>
  <si>
    <t>ORD11901</t>
  </si>
  <si>
    <t>ORD11902</t>
  </si>
  <si>
    <t>ORD11903</t>
  </si>
  <si>
    <t>ORD11904</t>
  </si>
  <si>
    <t>ORD11905</t>
  </si>
  <si>
    <t>ORD11906</t>
  </si>
  <si>
    <t>ORD11907</t>
  </si>
  <si>
    <t>ORD11908</t>
  </si>
  <si>
    <t>ORD11909</t>
  </si>
  <si>
    <t>ORD11910</t>
  </si>
  <si>
    <t>ORD11911</t>
  </si>
  <si>
    <t>ORD11912</t>
  </si>
  <si>
    <t>ORD11913</t>
  </si>
  <si>
    <t>ORD11914</t>
  </si>
  <si>
    <t>ORD11915</t>
  </si>
  <si>
    <t>ORD11916</t>
  </si>
  <si>
    <t>ORD11917</t>
  </si>
  <si>
    <t>ORD11918</t>
  </si>
  <si>
    <t>ORD11919</t>
  </si>
  <si>
    <t>ORD11920</t>
  </si>
  <si>
    <t>ORD11921</t>
  </si>
  <si>
    <t>ORD11922</t>
  </si>
  <si>
    <t>ORD11923</t>
  </si>
  <si>
    <t>ORD11924</t>
  </si>
  <si>
    <t>ORD11925</t>
  </si>
  <si>
    <t>ORD11926</t>
  </si>
  <si>
    <t>ORD11927</t>
  </si>
  <si>
    <t>ORD11928</t>
  </si>
  <si>
    <t>ORD11929</t>
  </si>
  <si>
    <t>ORD11930</t>
  </si>
  <si>
    <t>ORD11931</t>
  </si>
  <si>
    <t>ORD11932</t>
  </si>
  <si>
    <t>ORD11933</t>
  </si>
  <si>
    <t>ORD11934</t>
  </si>
  <si>
    <t>ORD11935</t>
  </si>
  <si>
    <t>ORD11936</t>
  </si>
  <si>
    <t>ORD11937</t>
  </si>
  <si>
    <t>ORD11938</t>
  </si>
  <si>
    <t>ORD11939</t>
  </si>
  <si>
    <t>ORD11940</t>
  </si>
  <si>
    <t>ORD11941</t>
  </si>
  <si>
    <t>ORD11942</t>
  </si>
  <si>
    <t>ORD11943</t>
  </si>
  <si>
    <t>ORD11944</t>
  </si>
  <si>
    <t>ORD11945</t>
  </si>
  <si>
    <t>ORD11946</t>
  </si>
  <si>
    <t>ORD11947</t>
  </si>
  <si>
    <t>ORD11948</t>
  </si>
  <si>
    <t>ORD11949</t>
  </si>
  <si>
    <t>ORD11950</t>
  </si>
  <si>
    <t>ORD11951</t>
  </si>
  <si>
    <t>ORD11952</t>
  </si>
  <si>
    <t>ORD11953</t>
  </si>
  <si>
    <t>ORD11954</t>
  </si>
  <si>
    <t>ORD11955</t>
  </si>
  <si>
    <t>ORD11956</t>
  </si>
  <si>
    <t>ORD11957</t>
  </si>
  <si>
    <t>ORD11958</t>
  </si>
  <si>
    <t>ORD11959</t>
  </si>
  <si>
    <t>CUST1051</t>
  </si>
  <si>
    <t>ORD11960</t>
  </si>
  <si>
    <t>ORD11961</t>
  </si>
  <si>
    <t>ORD11962</t>
  </si>
  <si>
    <t>ORD11963</t>
  </si>
  <si>
    <t>ORD11964</t>
  </si>
  <si>
    <t>ORD11965</t>
  </si>
  <si>
    <t>ORD11966</t>
  </si>
  <si>
    <t>ORD11967</t>
  </si>
  <si>
    <t>ORD11968</t>
  </si>
  <si>
    <t>ORD11969</t>
  </si>
  <si>
    <t>ORD11970</t>
  </si>
  <si>
    <t>ORD11971</t>
  </si>
  <si>
    <t>ORD11972</t>
  </si>
  <si>
    <t>ORD11973</t>
  </si>
  <si>
    <t>ORD11974</t>
  </si>
  <si>
    <t>ORD11975</t>
  </si>
  <si>
    <t>ORD11976</t>
  </si>
  <si>
    <t>ORD11977</t>
  </si>
  <si>
    <t>ORD11978</t>
  </si>
  <si>
    <t>ORD11979</t>
  </si>
  <si>
    <t>ORD11980</t>
  </si>
  <si>
    <t>ORD11981</t>
  </si>
  <si>
    <t>ORD11982</t>
  </si>
  <si>
    <t>ORD11983</t>
  </si>
  <si>
    <t>ORD11984</t>
  </si>
  <si>
    <t>ORD11985</t>
  </si>
  <si>
    <t>ORD11986</t>
  </si>
  <si>
    <t>ORD11987</t>
  </si>
  <si>
    <t>ORD11988</t>
  </si>
  <si>
    <t>ORD11989</t>
  </si>
  <si>
    <t>ORD11990</t>
  </si>
  <si>
    <t>ORD11991</t>
  </si>
  <si>
    <t>ORD11992</t>
  </si>
  <si>
    <t>ORD11993</t>
  </si>
  <si>
    <t>ORD11994</t>
  </si>
  <si>
    <t>ORD11995</t>
  </si>
  <si>
    <t>ORD11996</t>
  </si>
  <si>
    <t>ORD11997</t>
  </si>
  <si>
    <t>ORD11998</t>
  </si>
  <si>
    <t>ORD11999</t>
  </si>
  <si>
    <t>ORD12000</t>
  </si>
  <si>
    <t>unknown</t>
  </si>
  <si>
    <t>Cleancustomer name</t>
  </si>
  <si>
    <t>Cleaned city</t>
  </si>
  <si>
    <t>Gross_sales</t>
  </si>
  <si>
    <t>Discount_amt</t>
  </si>
  <si>
    <t>Net_sales</t>
  </si>
  <si>
    <t>Profit</t>
  </si>
  <si>
    <t>Profit_Margin</t>
  </si>
  <si>
    <t>year</t>
  </si>
  <si>
    <t>Month</t>
  </si>
  <si>
    <t>Quarter</t>
  </si>
  <si>
    <t>total_Sales</t>
  </si>
  <si>
    <t>Total_profit</t>
  </si>
  <si>
    <t>Total_orders</t>
  </si>
  <si>
    <t>Average order value</t>
  </si>
  <si>
    <t>profit margin</t>
  </si>
  <si>
    <t>Row Labels</t>
  </si>
  <si>
    <t>(blank)</t>
  </si>
  <si>
    <t>Grand Total</t>
  </si>
  <si>
    <t>Sum of Net_sales</t>
  </si>
  <si>
    <t>2025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</si>
  <si>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</si>
  <si>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</si>
  <si>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</si>
  <si>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</si>
  <si>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</si>
  <si>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</si>
  <si>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</si>
  <si>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</si>
  <si>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</si>
  <si>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2026</t>
  </si>
  <si>
    <t>Jan</t>
  </si>
  <si>
    <t>Feb</t>
  </si>
  <si>
    <t>Mar</t>
  </si>
  <si>
    <t>2027</t>
  </si>
  <si>
    <t>2028</t>
  </si>
  <si>
    <t>2029</t>
  </si>
  <si>
    <t>2030</t>
  </si>
  <si>
    <t>Sum of Profit</t>
  </si>
  <si>
    <t>18-27</t>
  </si>
  <si>
    <t>28-37</t>
  </si>
  <si>
    <t>38-47</t>
  </si>
  <si>
    <t>48-57</t>
  </si>
  <si>
    <t>58-67</t>
  </si>
  <si>
    <t>E-COMMERCE SALES ANALYTICS DASHBOARD</t>
  </si>
  <si>
    <t>Total Sales</t>
  </si>
  <si>
    <t>Total Profit</t>
  </si>
  <si>
    <t>Total Orders</t>
  </si>
  <si>
    <t>Avg Total order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</si>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</sst>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applyNumberFormat="1"/>
    <xf numFmtId="9" fontId="0" fillId="0" borderId="0" xfId="2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2" borderId="2" xfId="0" applyFont="1" applyFill="1" applyBorder="1"/>
    <xf numFmtId="43" fontId="6" fillId="2" borderId="3" xfId="1" applyFont="1" applyFill="1" applyBorder="1"/>
    <xf numFmtId="0" fontId="6" fillId="2" borderId="3" xfId="0" applyFont="1" applyFill="1" applyBorder="1"/>
    <xf numFmtId="9" fontId="6" fillId="2" borderId="3" xfId="2" applyFont="1" applyFill="1" applyBorder="1"/>
  </cellXfs>
  <cellStyles count="3">
    <cellStyle name="Comma" xfId="1" builtinId="3"/>
    <cellStyle name="Normal" xfId="0" builtinId="0"/>
    <cellStyle name="Percent" xfId="2" builtinId="5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[Ecommerce_Sales_Analytics_Raw_Data Excel project.xlsx]KPI Summary!PivotTable2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'KPI Summary'!$F$23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'KPI Summary'!$E$24:$E$97</c:f>
              <c:multiLvlStrCache>
                <c:ptCount val="67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Aug</c:v>
                  </c:pt>
                  <c:pt idx="5">
                    <c:v>Sep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Jan</c:v>
                  </c:pt>
                  <c:pt idx="10">
                    <c:v>Feb</c:v>
                  </c:pt>
                  <c:pt idx="11">
                    <c:v>Mar</c:v>
                  </c:pt>
                  <c:pt idx="12">
                    <c:v>Apr</c:v>
                  </c:pt>
                  <c:pt idx="13">
                    <c:v>May</c:v>
                  </c:pt>
                  <c:pt idx="14">
                    <c:v>Jun</c:v>
                  </c:pt>
                  <c:pt idx="15">
                    <c:v>Jul</c:v>
                  </c:pt>
                  <c:pt idx="16">
                    <c:v>Aug</c:v>
                  </c:pt>
                  <c:pt idx="17">
                    <c:v>Sep</c:v>
                  </c:pt>
                  <c:pt idx="18">
                    <c:v>Oct</c:v>
                  </c:pt>
                  <c:pt idx="19">
                    <c:v>Nov</c:v>
                  </c:pt>
                  <c:pt idx="20">
                    <c:v>Dec</c:v>
                  </c:pt>
                  <c:pt idx="21">
                    <c:v>Jan</c:v>
                  </c:pt>
                  <c:pt idx="22">
                    <c:v>Feb</c:v>
                  </c:pt>
                  <c:pt idx="23">
                    <c:v>Mar</c:v>
                  </c:pt>
                  <c:pt idx="24">
                    <c:v>Apr</c:v>
                  </c:pt>
                  <c:pt idx="25">
                    <c:v>May</c:v>
                  </c:pt>
                  <c:pt idx="26">
                    <c:v>Jun</c:v>
                  </c:pt>
                  <c:pt idx="27">
                    <c:v>Jul</c:v>
                  </c:pt>
                  <c:pt idx="28">
                    <c:v>Aug</c:v>
                  </c:pt>
                  <c:pt idx="29">
                    <c:v>Sep</c:v>
                  </c:pt>
                  <c:pt idx="30">
                    <c:v>Oct</c:v>
                  </c:pt>
                  <c:pt idx="31">
                    <c:v>Nov</c:v>
                  </c:pt>
                  <c:pt idx="32">
                    <c:v>Dec</c:v>
                  </c:pt>
                  <c:pt idx="33">
                    <c:v>Jan</c:v>
                  </c:pt>
                  <c:pt idx="34">
                    <c:v>Feb</c:v>
                  </c:pt>
                  <c:pt idx="35">
                    <c:v>Mar</c:v>
                  </c:pt>
                  <c:pt idx="36">
                    <c:v>Apr</c:v>
                  </c:pt>
                  <c:pt idx="37">
                    <c:v>May</c:v>
                  </c:pt>
                  <c:pt idx="38">
                    <c:v>Jun</c:v>
                  </c:pt>
                  <c:pt idx="39">
                    <c:v>Jul</c:v>
                  </c:pt>
                  <c:pt idx="40">
                    <c:v>Aug</c:v>
                  </c:pt>
                  <c:pt idx="41">
                    <c:v>Sep</c:v>
                  </c:pt>
                  <c:pt idx="42">
                    <c:v>Oct</c:v>
                  </c:pt>
                  <c:pt idx="43">
                    <c:v>Nov</c:v>
                  </c:pt>
                  <c:pt idx="44">
                    <c:v>Dec</c:v>
                  </c:pt>
                  <c:pt idx="45">
                    <c:v>Jan</c:v>
                  </c:pt>
                  <c:pt idx="46">
                    <c:v>Feb</c:v>
                  </c:pt>
                  <c:pt idx="47">
                    <c:v>Mar</c:v>
                  </c:pt>
                  <c:pt idx="48">
                    <c:v>Apr</c:v>
                  </c:pt>
                  <c:pt idx="49">
                    <c:v>May</c:v>
                  </c:pt>
                  <c:pt idx="50">
                    <c:v>Jun</c:v>
                  </c:pt>
                  <c:pt idx="51">
                    <c:v>Jul</c:v>
                  </c:pt>
                  <c:pt idx="52">
                    <c:v>Aug</c:v>
                  </c:pt>
                  <c:pt idx="53">
                    <c:v>Sep</c:v>
                  </c:pt>
                  <c:pt idx="54">
                    <c:v>Oct</c:v>
                  </c:pt>
                  <c:pt idx="55">
                    <c:v>Nov</c:v>
                  </c:pt>
                  <c:pt idx="56">
                    <c:v>Dec</c:v>
                  </c:pt>
                  <c:pt idx="57">
                    <c:v>Jan</c:v>
                  </c:pt>
                  <c:pt idx="58">
                    <c:v>Feb</c:v>
                  </c:pt>
                  <c:pt idx="59">
                    <c:v>Mar</c:v>
                  </c:pt>
                  <c:pt idx="60">
                    <c:v>Apr</c:v>
                  </c:pt>
                  <c:pt idx="61">
                    <c:v>May</c:v>
                  </c:pt>
                  <c:pt idx="62">
                    <c:v>Jun</c:v>
                  </c:pt>
                  <c:pt idx="63">
                    <c:v>Jul</c:v>
                  </c:pt>
                  <c:pt idx="64">
                    <c:v>Aug</c:v>
                  </c:pt>
                  <c:pt idx="65">
                    <c:v>Sep</c:v>
                  </c:pt>
                  <c:pt idx="66">
                    <c:v>Oct</c:v>
                  </c:pt>
                </c:lvl>
                <c:lvl>
                  <c:pt idx="0">
                    <c:v>2025</c:v>
                  </c:pt>
                  <c:pt idx="9">
                    <c:v>2026</c:v>
                  </c:pt>
                  <c:pt idx="21">
                    <c:v>2027</c:v>
                  </c:pt>
                  <c:pt idx="33">
                    <c:v>2028</c:v>
                  </c:pt>
                  <c:pt idx="45">
                    <c:v>2029</c:v>
                  </c:pt>
                  <c:pt idx="57">
                    <c:v>2030</c:v>
                  </c:pt>
                </c:lvl>
              </c:multiLvlStrCache>
            </c:multiLvlStrRef>
          </c:cat>
          <c:val>
            <c:numRef>
              <c:f>'KPI Summary'!$F$24:$F$97</c:f>
              <c:numCache>
                <c:formatCode>General</c:formatCode>
                <c:ptCount val="67"/>
                <c:pt idx="0">
                  <c:v>165333.5</c:v>
                </c:pt>
                <c:pt idx="1">
                  <c:v>539684.5</c:v>
                </c:pt>
                <c:pt idx="2">
                  <c:v>491442.5</c:v>
                </c:pt>
                <c:pt idx="3">
                  <c:v>497697</c:v>
                </c:pt>
                <c:pt idx="4">
                  <c:v>519126</c:v>
                </c:pt>
                <c:pt idx="5">
                  <c:v>793732</c:v>
                </c:pt>
                <c:pt idx="6">
                  <c:v>297207</c:v>
                </c:pt>
                <c:pt idx="7">
                  <c:v>674577.5</c:v>
                </c:pt>
                <c:pt idx="8">
                  <c:v>476459.5</c:v>
                </c:pt>
                <c:pt idx="9">
                  <c:v>473481.5</c:v>
                </c:pt>
                <c:pt idx="10">
                  <c:v>330468.5</c:v>
                </c:pt>
                <c:pt idx="11">
                  <c:v>597427</c:v>
                </c:pt>
                <c:pt idx="12">
                  <c:v>369321</c:v>
                </c:pt>
                <c:pt idx="13">
                  <c:v>684818.5</c:v>
                </c:pt>
                <c:pt idx="14">
                  <c:v>543603</c:v>
                </c:pt>
                <c:pt idx="15">
                  <c:v>323914.5</c:v>
                </c:pt>
                <c:pt idx="16">
                  <c:v>478307</c:v>
                </c:pt>
                <c:pt idx="17">
                  <c:v>541582.5</c:v>
                </c:pt>
                <c:pt idx="18">
                  <c:v>274041</c:v>
                </c:pt>
                <c:pt idx="19">
                  <c:v>632926</c:v>
                </c:pt>
                <c:pt idx="20">
                  <c:v>598859</c:v>
                </c:pt>
                <c:pt idx="21">
                  <c:v>646283</c:v>
                </c:pt>
                <c:pt idx="22">
                  <c:v>412718</c:v>
                </c:pt>
                <c:pt idx="23">
                  <c:v>459652</c:v>
                </c:pt>
                <c:pt idx="24">
                  <c:v>285427.5</c:v>
                </c:pt>
                <c:pt idx="25">
                  <c:v>716136</c:v>
                </c:pt>
                <c:pt idx="26">
                  <c:v>489588.5</c:v>
                </c:pt>
                <c:pt idx="27">
                  <c:v>411209.5</c:v>
                </c:pt>
                <c:pt idx="28">
                  <c:v>470991</c:v>
                </c:pt>
                <c:pt idx="29">
                  <c:v>675306</c:v>
                </c:pt>
                <c:pt idx="30">
                  <c:v>663196</c:v>
                </c:pt>
                <c:pt idx="31">
                  <c:v>760336</c:v>
                </c:pt>
                <c:pt idx="32">
                  <c:v>580168.5</c:v>
                </c:pt>
                <c:pt idx="33">
                  <c:v>761561.5</c:v>
                </c:pt>
                <c:pt idx="34">
                  <c:v>349457.5</c:v>
                </c:pt>
                <c:pt idx="35">
                  <c:v>680343</c:v>
                </c:pt>
                <c:pt idx="36">
                  <c:v>629119.5</c:v>
                </c:pt>
                <c:pt idx="37">
                  <c:v>571591</c:v>
                </c:pt>
                <c:pt idx="38">
                  <c:v>355163.5</c:v>
                </c:pt>
                <c:pt idx="39">
                  <c:v>356126.5</c:v>
                </c:pt>
                <c:pt idx="40">
                  <c:v>321200</c:v>
                </c:pt>
                <c:pt idx="41">
                  <c:v>382089</c:v>
                </c:pt>
                <c:pt idx="42">
                  <c:v>309882</c:v>
                </c:pt>
                <c:pt idx="43">
                  <c:v>529022.5</c:v>
                </c:pt>
                <c:pt idx="44">
                  <c:v>561351.5</c:v>
                </c:pt>
                <c:pt idx="45">
                  <c:v>621613</c:v>
                </c:pt>
                <c:pt idx="46">
                  <c:v>899410</c:v>
                </c:pt>
                <c:pt idx="47">
                  <c:v>665590.5</c:v>
                </c:pt>
                <c:pt idx="48">
                  <c:v>376206</c:v>
                </c:pt>
                <c:pt idx="49">
                  <c:v>371584.5</c:v>
                </c:pt>
                <c:pt idx="50">
                  <c:v>703866</c:v>
                </c:pt>
                <c:pt idx="51">
                  <c:v>548658</c:v>
                </c:pt>
                <c:pt idx="52">
                  <c:v>397033.5</c:v>
                </c:pt>
                <c:pt idx="53">
                  <c:v>456859.5</c:v>
                </c:pt>
                <c:pt idx="54">
                  <c:v>542354.5</c:v>
                </c:pt>
                <c:pt idx="55">
                  <c:v>255687</c:v>
                </c:pt>
                <c:pt idx="56">
                  <c:v>672423</c:v>
                </c:pt>
                <c:pt idx="57">
                  <c:v>528159.5</c:v>
                </c:pt>
                <c:pt idx="58">
                  <c:v>475590</c:v>
                </c:pt>
                <c:pt idx="59">
                  <c:v>595860</c:v>
                </c:pt>
                <c:pt idx="60">
                  <c:v>530158</c:v>
                </c:pt>
                <c:pt idx="61">
                  <c:v>517685.5</c:v>
                </c:pt>
                <c:pt idx="62">
                  <c:v>448602</c:v>
                </c:pt>
                <c:pt idx="63">
                  <c:v>597035.5</c:v>
                </c:pt>
                <c:pt idx="64">
                  <c:v>486538.5</c:v>
                </c:pt>
                <c:pt idx="65">
                  <c:v>280730.5</c:v>
                </c:pt>
                <c:pt idx="66">
                  <c:v>42083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23-4F61-BC88-4C0D51FDC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4290335"/>
        <c:axId val="2084293247"/>
      </c:lineChart>
      <c:catAx>
        <c:axId val="208429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293247"/>
        <c:crosses val="autoZero"/>
        <c:auto val="1"/>
        <c:lblAlgn val="ctr"/>
        <c:lblOffset val="100"/>
        <c:noMultiLvlLbl val="0"/>
      </c:catAx>
      <c:valAx>
        <c:axId val="208429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29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[Ecommerce_Sales_Analytics_Raw_Data Excel project.xlsx]KPI Summary!PivotTable1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Summary'!$F$12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 Summary'!$E$13:$E$19</c:f>
              <c:strCache>
                <c:ptCount val="6"/>
                <c:pt idx="0">
                  <c:v>Electronics</c:v>
                </c:pt>
                <c:pt idx="1">
                  <c:v>Furniture</c:v>
                </c:pt>
                <c:pt idx="2">
                  <c:v>Home Appliances</c:v>
                </c:pt>
                <c:pt idx="3">
                  <c:v>Fashion</c:v>
                </c:pt>
                <c:pt idx="4">
                  <c:v>Sports</c:v>
                </c:pt>
                <c:pt idx="5">
                  <c:v>Beauty</c:v>
                </c:pt>
              </c:strCache>
            </c:strRef>
          </c:cat>
          <c:val>
            <c:numRef>
              <c:f>'KPI Summary'!$F$13:$F$19</c:f>
              <c:numCache>
                <c:formatCode>General</c:formatCode>
                <c:ptCount val="6"/>
                <c:pt idx="0">
                  <c:v>20882718.5</c:v>
                </c:pt>
                <c:pt idx="1">
                  <c:v>5822967</c:v>
                </c:pt>
                <c:pt idx="2">
                  <c:v>3847647.5</c:v>
                </c:pt>
                <c:pt idx="3">
                  <c:v>1775341</c:v>
                </c:pt>
                <c:pt idx="4">
                  <c:v>797122.5</c:v>
                </c:pt>
                <c:pt idx="5">
                  <c:v>569860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B3-410D-8242-3615712EA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9748415"/>
        <c:axId val="2069748831"/>
      </c:barChart>
      <c:catAx>
        <c:axId val="206974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748831"/>
        <c:crosses val="autoZero"/>
        <c:auto val="1"/>
        <c:lblAlgn val="ctr"/>
        <c:lblOffset val="100"/>
        <c:noMultiLvlLbl val="0"/>
      </c:catAx>
      <c:valAx>
        <c:axId val="206974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74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[Ecommerce_Sales_Analytics_Raw_Data Excel project.xlsx]KPI Summary!PivotTable3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Summary'!$Q$6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 Summary'!$P$7:$P$13</c:f>
              <c:strCache>
                <c:ptCount val="6"/>
                <c:pt idx="0">
                  <c:v>Electronics</c:v>
                </c:pt>
                <c:pt idx="1">
                  <c:v>Furniture</c:v>
                </c:pt>
                <c:pt idx="2">
                  <c:v>Home Appliances</c:v>
                </c:pt>
                <c:pt idx="3">
                  <c:v>Fashion</c:v>
                </c:pt>
                <c:pt idx="4">
                  <c:v>Sports</c:v>
                </c:pt>
                <c:pt idx="5">
                  <c:v>Beauty</c:v>
                </c:pt>
              </c:strCache>
            </c:strRef>
          </c:cat>
          <c:val>
            <c:numRef>
              <c:f>'KPI Summary'!$Q$7:$Q$13</c:f>
              <c:numCache>
                <c:formatCode>General</c:formatCode>
                <c:ptCount val="6"/>
                <c:pt idx="0">
                  <c:v>12321398.5</c:v>
                </c:pt>
                <c:pt idx="1">
                  <c:v>3568537</c:v>
                </c:pt>
                <c:pt idx="2">
                  <c:v>2408197.5</c:v>
                </c:pt>
                <c:pt idx="3">
                  <c:v>1153401</c:v>
                </c:pt>
                <c:pt idx="4">
                  <c:v>536612.5</c:v>
                </c:pt>
                <c:pt idx="5">
                  <c:v>405560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6B-4F44-A794-66FE1CD0A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4510287"/>
        <c:axId val="2024510703"/>
      </c:barChart>
      <c:catAx>
        <c:axId val="202451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510703"/>
        <c:crosses val="autoZero"/>
        <c:auto val="1"/>
        <c:lblAlgn val="ctr"/>
        <c:lblOffset val="100"/>
        <c:noMultiLvlLbl val="0"/>
      </c:catAx>
      <c:valAx>
        <c:axId val="202451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510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[Ecommerce_Sales_Analytics_Raw_Data Excel project.xlsx]KPI Summary!PivotTable5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region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Summary'!$Q$43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 Summary'!$P$44:$P$48</c:f>
              <c:strCache>
                <c:ptCount val="4"/>
                <c:pt idx="0">
                  <c:v>South</c:v>
                </c:pt>
                <c:pt idx="1">
                  <c:v>West</c:v>
                </c:pt>
                <c:pt idx="2">
                  <c:v>North</c:v>
                </c:pt>
                <c:pt idx="3">
                  <c:v>East</c:v>
                </c:pt>
              </c:strCache>
            </c:strRef>
          </c:cat>
          <c:val>
            <c:numRef>
              <c:f>'KPI Summary'!$Q$44:$Q$48</c:f>
              <c:numCache>
                <c:formatCode>General</c:formatCode>
                <c:ptCount val="4"/>
                <c:pt idx="0">
                  <c:v>11154670.5</c:v>
                </c:pt>
                <c:pt idx="1">
                  <c:v>7958378.5</c:v>
                </c:pt>
                <c:pt idx="2">
                  <c:v>7562344</c:v>
                </c:pt>
                <c:pt idx="3">
                  <c:v>7020263.5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6-4AC9-A1E3-61C5F6017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4921615"/>
        <c:axId val="2034924111"/>
      </c:barChart>
      <c:catAx>
        <c:axId val="203492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924111"/>
        <c:crosses val="autoZero"/>
        <c:auto val="1"/>
        <c:lblAlgn val="ctr"/>
        <c:lblOffset val="100"/>
        <c:noMultiLvlLbl val="0"/>
      </c:catAx>
      <c:valAx>
        <c:axId val="203492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92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[Ecommerce_Sales_Analytics_Raw_Data Excel project.xlsx]KPI Summary!PivotTable4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4097243857746884"/>
          <c:y val="0.22702413347293868"/>
          <c:w val="0.51195193204577627"/>
          <c:h val="0.6803679822616128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'KPI Summary'!$Q$24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 Summary'!$P$25:$P$35</c:f>
              <c:strCache>
                <c:ptCount val="10"/>
                <c:pt idx="0">
                  <c:v>Laptop</c:v>
                </c:pt>
                <c:pt idx="1">
                  <c:v>Tablet</c:v>
                </c:pt>
                <c:pt idx="2">
                  <c:v>Smartphone</c:v>
                </c:pt>
                <c:pt idx="3">
                  <c:v>Sofa</c:v>
                </c:pt>
                <c:pt idx="4">
                  <c:v>Microwave</c:v>
                </c:pt>
                <c:pt idx="5">
                  <c:v>Smartwatch</c:v>
                </c:pt>
                <c:pt idx="6">
                  <c:v>Study Table</c:v>
                </c:pt>
                <c:pt idx="7">
                  <c:v>Vacuum Cleaner</c:v>
                </c:pt>
                <c:pt idx="8">
                  <c:v>Air Fryer</c:v>
                </c:pt>
                <c:pt idx="9">
                  <c:v>Office Chair</c:v>
                </c:pt>
              </c:strCache>
            </c:strRef>
          </c:cat>
          <c:val>
            <c:numRef>
              <c:f>'KPI Summary'!$Q$25:$Q$35</c:f>
              <c:numCache>
                <c:formatCode>General</c:formatCode>
                <c:ptCount val="10"/>
                <c:pt idx="0">
                  <c:v>11260961.5</c:v>
                </c:pt>
                <c:pt idx="1">
                  <c:v>4422201.5</c:v>
                </c:pt>
                <c:pt idx="2">
                  <c:v>3488194</c:v>
                </c:pt>
                <c:pt idx="3">
                  <c:v>2886941.5</c:v>
                </c:pt>
                <c:pt idx="4">
                  <c:v>1281555</c:v>
                </c:pt>
                <c:pt idx="5">
                  <c:v>1201779.5</c:v>
                </c:pt>
                <c:pt idx="6">
                  <c:v>1126566</c:v>
                </c:pt>
                <c:pt idx="7">
                  <c:v>1060545.5</c:v>
                </c:pt>
                <c:pt idx="8">
                  <c:v>752107</c:v>
                </c:pt>
                <c:pt idx="9">
                  <c:v>724129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1B-4E36-B590-0198FAAF4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34831647"/>
        <c:axId val="1934835807"/>
      </c:barChart>
      <c:catAx>
        <c:axId val="1934831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835807"/>
        <c:crosses val="autoZero"/>
        <c:auto val="1"/>
        <c:lblAlgn val="ctr"/>
        <c:lblOffset val="100"/>
        <c:noMultiLvlLbl val="0"/>
      </c:catAx>
      <c:valAx>
        <c:axId val="1934835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831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[Ecommerce_Sales_Analytics_Raw_Data Excel project.xlsx]KPI Summary!PivotTable6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Summary'!$P$61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 Summary'!$O$62:$O$66</c:f>
              <c:strCache>
                <c:ptCount val="4"/>
                <c:pt idx="0">
                  <c:v>South</c:v>
                </c:pt>
                <c:pt idx="1">
                  <c:v>West</c:v>
                </c:pt>
                <c:pt idx="2">
                  <c:v>East</c:v>
                </c:pt>
                <c:pt idx="3">
                  <c:v>North</c:v>
                </c:pt>
              </c:strCache>
            </c:strRef>
          </c:cat>
          <c:val>
            <c:numRef>
              <c:f>'KPI Summary'!$P$62:$P$66</c:f>
              <c:numCache>
                <c:formatCode>General</c:formatCode>
                <c:ptCount val="4"/>
                <c:pt idx="0">
                  <c:v>6571640.5</c:v>
                </c:pt>
                <c:pt idx="1">
                  <c:v>4848168.5</c:v>
                </c:pt>
                <c:pt idx="2">
                  <c:v>4526973.5</c:v>
                </c:pt>
                <c:pt idx="3">
                  <c:v>4446924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09-48B6-BF61-F36ADD65B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1924159"/>
        <c:axId val="2031924575"/>
      </c:barChart>
      <c:catAx>
        <c:axId val="203192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924575"/>
        <c:crosses val="autoZero"/>
        <c:auto val="1"/>
        <c:lblAlgn val="ctr"/>
        <c:lblOffset val="100"/>
        <c:noMultiLvlLbl val="0"/>
      </c:catAx>
      <c:valAx>
        <c:axId val="203192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924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[Ecommerce_Sales_Analytics_Raw_Data Excel project.xlsx]KPI Summary!PivotTable8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cities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Summary'!$AB$3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 Summary'!$AA$4:$AA$14</c:f>
              <c:strCache>
                <c:ptCount val="10"/>
                <c:pt idx="0">
                  <c:v>Mumbai</c:v>
                </c:pt>
                <c:pt idx="1">
                  <c:v>Bhubaneswar</c:v>
                </c:pt>
                <c:pt idx="2">
                  <c:v>Ahmedabad</c:v>
                </c:pt>
                <c:pt idx="3">
                  <c:v>Mysuru</c:v>
                </c:pt>
                <c:pt idx="4">
                  <c:v>Bengaluru</c:v>
                </c:pt>
                <c:pt idx="5">
                  <c:v>Hyderabad</c:v>
                </c:pt>
                <c:pt idx="6">
                  <c:v>Guwahati</c:v>
                </c:pt>
                <c:pt idx="7">
                  <c:v>Jaipur</c:v>
                </c:pt>
                <c:pt idx="8">
                  <c:v>Chennai</c:v>
                </c:pt>
                <c:pt idx="9">
                  <c:v>Chandigarh</c:v>
                </c:pt>
              </c:strCache>
            </c:strRef>
          </c:cat>
          <c:val>
            <c:numRef>
              <c:f>'KPI Summary'!$AB$4:$AB$14</c:f>
              <c:numCache>
                <c:formatCode>General</c:formatCode>
                <c:ptCount val="10"/>
                <c:pt idx="0">
                  <c:v>3256416.5</c:v>
                </c:pt>
                <c:pt idx="1">
                  <c:v>3214807.5</c:v>
                </c:pt>
                <c:pt idx="2">
                  <c:v>2634493</c:v>
                </c:pt>
                <c:pt idx="3">
                  <c:v>2473331</c:v>
                </c:pt>
                <c:pt idx="4">
                  <c:v>2372152</c:v>
                </c:pt>
                <c:pt idx="5">
                  <c:v>2253992.5</c:v>
                </c:pt>
                <c:pt idx="6">
                  <c:v>2246591.5</c:v>
                </c:pt>
                <c:pt idx="7">
                  <c:v>2239553.5</c:v>
                </c:pt>
                <c:pt idx="8">
                  <c:v>2144842</c:v>
                </c:pt>
                <c:pt idx="9">
                  <c:v>2094107.5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0C-4490-B604-12B77494E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0491247"/>
        <c:axId val="2070493327"/>
      </c:barChart>
      <c:catAx>
        <c:axId val="207049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493327"/>
        <c:crosses val="autoZero"/>
        <c:auto val="1"/>
        <c:lblAlgn val="ctr"/>
        <c:lblOffset val="100"/>
        <c:noMultiLvlLbl val="0"/>
      </c:catAx>
      <c:valAx>
        <c:axId val="207049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491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[Ecommerce_Sales_Analytics_Raw_Data Excel project.xlsx]KPI Summary!PivotTable7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Summary'!$O$79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 Summary'!$N$80:$N$82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'KPI Summary'!$O$80:$O$82</c:f>
              <c:numCache>
                <c:formatCode>General</c:formatCode>
                <c:ptCount val="2"/>
                <c:pt idx="0">
                  <c:v>17234867</c:v>
                </c:pt>
                <c:pt idx="1">
                  <c:v>16460789.5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5A-432B-8DA9-30EE5DCBE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9747999"/>
        <c:axId val="2084135967"/>
      </c:barChart>
      <c:catAx>
        <c:axId val="206974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135967"/>
        <c:crosses val="autoZero"/>
        <c:auto val="1"/>
        <c:lblAlgn val="ctr"/>
        <c:lblOffset val="100"/>
        <c:noMultiLvlLbl val="0"/>
      </c:catAx>
      <c:valAx>
        <c:axId val="208413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74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[Ecommerce_Sales_Analytics_Raw_Data Excel project.xlsx]KPI Summary!PivotTable1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Summary'!$F$12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 Summary'!$E$13:$E$19</c:f>
              <c:strCache>
                <c:ptCount val="6"/>
                <c:pt idx="0">
                  <c:v>Electronics</c:v>
                </c:pt>
                <c:pt idx="1">
                  <c:v>Furniture</c:v>
                </c:pt>
                <c:pt idx="2">
                  <c:v>Home Appliances</c:v>
                </c:pt>
                <c:pt idx="3">
                  <c:v>Fashion</c:v>
                </c:pt>
                <c:pt idx="4">
                  <c:v>Sports</c:v>
                </c:pt>
                <c:pt idx="5">
                  <c:v>Beauty</c:v>
                </c:pt>
              </c:strCache>
            </c:strRef>
          </c:cat>
          <c:val>
            <c:numRef>
              <c:f>'KPI Summary'!$F$13:$F$19</c:f>
              <c:numCache>
                <c:formatCode>General</c:formatCode>
                <c:ptCount val="6"/>
                <c:pt idx="0">
                  <c:v>20882718.5</c:v>
                </c:pt>
                <c:pt idx="1">
                  <c:v>5822967</c:v>
                </c:pt>
                <c:pt idx="2">
                  <c:v>3847647.5</c:v>
                </c:pt>
                <c:pt idx="3">
                  <c:v>1775341</c:v>
                </c:pt>
                <c:pt idx="4">
                  <c:v>797122.5</c:v>
                </c:pt>
                <c:pt idx="5">
                  <c:v>569860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1E-4381-9495-1DCFCD27A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9748415"/>
        <c:axId val="2069748831"/>
      </c:barChart>
      <c:catAx>
        <c:axId val="206974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748831"/>
        <c:crosses val="autoZero"/>
        <c:auto val="1"/>
        <c:lblAlgn val="ctr"/>
        <c:lblOffset val="100"/>
        <c:noMultiLvlLbl val="0"/>
      </c:catAx>
      <c:valAx>
        <c:axId val="206974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74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[Ecommerce_Sales_Analytics_Raw_Data Excel project.xlsx]KPI Summary!PivotTable2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'KPI Summary'!$F$23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'KPI Summary'!$E$24:$E$97</c:f>
              <c:multiLvlStrCache>
                <c:ptCount val="67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Aug</c:v>
                  </c:pt>
                  <c:pt idx="5">
                    <c:v>Sep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Jan</c:v>
                  </c:pt>
                  <c:pt idx="10">
                    <c:v>Feb</c:v>
                  </c:pt>
                  <c:pt idx="11">
                    <c:v>Mar</c:v>
                  </c:pt>
                  <c:pt idx="12">
                    <c:v>Apr</c:v>
                  </c:pt>
                  <c:pt idx="13">
                    <c:v>May</c:v>
                  </c:pt>
                  <c:pt idx="14">
                    <c:v>Jun</c:v>
                  </c:pt>
                  <c:pt idx="15">
                    <c:v>Jul</c:v>
                  </c:pt>
                  <c:pt idx="16">
                    <c:v>Aug</c:v>
                  </c:pt>
                  <c:pt idx="17">
                    <c:v>Sep</c:v>
                  </c:pt>
                  <c:pt idx="18">
                    <c:v>Oct</c:v>
                  </c:pt>
                  <c:pt idx="19">
                    <c:v>Nov</c:v>
                  </c:pt>
                  <c:pt idx="20">
                    <c:v>Dec</c:v>
                  </c:pt>
                  <c:pt idx="21">
                    <c:v>Jan</c:v>
                  </c:pt>
                  <c:pt idx="22">
                    <c:v>Feb</c:v>
                  </c:pt>
                  <c:pt idx="23">
                    <c:v>Mar</c:v>
                  </c:pt>
                  <c:pt idx="24">
                    <c:v>Apr</c:v>
                  </c:pt>
                  <c:pt idx="25">
                    <c:v>May</c:v>
                  </c:pt>
                  <c:pt idx="26">
                    <c:v>Jun</c:v>
                  </c:pt>
                  <c:pt idx="27">
                    <c:v>Jul</c:v>
                  </c:pt>
                  <c:pt idx="28">
                    <c:v>Aug</c:v>
                  </c:pt>
                  <c:pt idx="29">
                    <c:v>Sep</c:v>
                  </c:pt>
                  <c:pt idx="30">
                    <c:v>Oct</c:v>
                  </c:pt>
                  <c:pt idx="31">
                    <c:v>Nov</c:v>
                  </c:pt>
                  <c:pt idx="32">
                    <c:v>Dec</c:v>
                  </c:pt>
                  <c:pt idx="33">
                    <c:v>Jan</c:v>
                  </c:pt>
                  <c:pt idx="34">
                    <c:v>Feb</c:v>
                  </c:pt>
                  <c:pt idx="35">
                    <c:v>Mar</c:v>
                  </c:pt>
                  <c:pt idx="36">
                    <c:v>Apr</c:v>
                  </c:pt>
                  <c:pt idx="37">
                    <c:v>May</c:v>
                  </c:pt>
                  <c:pt idx="38">
                    <c:v>Jun</c:v>
                  </c:pt>
                  <c:pt idx="39">
                    <c:v>Jul</c:v>
                  </c:pt>
                  <c:pt idx="40">
                    <c:v>Aug</c:v>
                  </c:pt>
                  <c:pt idx="41">
                    <c:v>Sep</c:v>
                  </c:pt>
                  <c:pt idx="42">
                    <c:v>Oct</c:v>
                  </c:pt>
                  <c:pt idx="43">
                    <c:v>Nov</c:v>
                  </c:pt>
                  <c:pt idx="44">
                    <c:v>Dec</c:v>
                  </c:pt>
                  <c:pt idx="45">
                    <c:v>Jan</c:v>
                  </c:pt>
                  <c:pt idx="46">
                    <c:v>Feb</c:v>
                  </c:pt>
                  <c:pt idx="47">
                    <c:v>Mar</c:v>
                  </c:pt>
                  <c:pt idx="48">
                    <c:v>Apr</c:v>
                  </c:pt>
                  <c:pt idx="49">
                    <c:v>May</c:v>
                  </c:pt>
                  <c:pt idx="50">
                    <c:v>Jun</c:v>
                  </c:pt>
                  <c:pt idx="51">
                    <c:v>Jul</c:v>
                  </c:pt>
                  <c:pt idx="52">
                    <c:v>Aug</c:v>
                  </c:pt>
                  <c:pt idx="53">
                    <c:v>Sep</c:v>
                  </c:pt>
                  <c:pt idx="54">
                    <c:v>Oct</c:v>
                  </c:pt>
                  <c:pt idx="55">
                    <c:v>Nov</c:v>
                  </c:pt>
                  <c:pt idx="56">
                    <c:v>Dec</c:v>
                  </c:pt>
                  <c:pt idx="57">
                    <c:v>Jan</c:v>
                  </c:pt>
                  <c:pt idx="58">
                    <c:v>Feb</c:v>
                  </c:pt>
                  <c:pt idx="59">
                    <c:v>Mar</c:v>
                  </c:pt>
                  <c:pt idx="60">
                    <c:v>Apr</c:v>
                  </c:pt>
                  <c:pt idx="61">
                    <c:v>May</c:v>
                  </c:pt>
                  <c:pt idx="62">
                    <c:v>Jun</c:v>
                  </c:pt>
                  <c:pt idx="63">
                    <c:v>Jul</c:v>
                  </c:pt>
                  <c:pt idx="64">
                    <c:v>Aug</c:v>
                  </c:pt>
                  <c:pt idx="65">
                    <c:v>Sep</c:v>
                  </c:pt>
                  <c:pt idx="66">
                    <c:v>Oct</c:v>
                  </c:pt>
                </c:lvl>
                <c:lvl>
                  <c:pt idx="0">
                    <c:v>2025</c:v>
                  </c:pt>
                  <c:pt idx="9">
                    <c:v>2026</c:v>
                  </c:pt>
                  <c:pt idx="21">
                    <c:v>2027</c:v>
                  </c:pt>
                  <c:pt idx="33">
                    <c:v>2028</c:v>
                  </c:pt>
                  <c:pt idx="45">
                    <c:v>2029</c:v>
                  </c:pt>
                  <c:pt idx="57">
                    <c:v>2030</c:v>
                  </c:pt>
                </c:lvl>
              </c:multiLvlStrCache>
            </c:multiLvlStrRef>
          </c:cat>
          <c:val>
            <c:numRef>
              <c:f>'KPI Summary'!$F$24:$F$97</c:f>
              <c:numCache>
                <c:formatCode>General</c:formatCode>
                <c:ptCount val="67"/>
                <c:pt idx="0">
                  <c:v>165333.5</c:v>
                </c:pt>
                <c:pt idx="1">
                  <c:v>539684.5</c:v>
                </c:pt>
                <c:pt idx="2">
                  <c:v>491442.5</c:v>
                </c:pt>
                <c:pt idx="3">
                  <c:v>497697</c:v>
                </c:pt>
                <c:pt idx="4">
                  <c:v>519126</c:v>
                </c:pt>
                <c:pt idx="5">
                  <c:v>793732</c:v>
                </c:pt>
                <c:pt idx="6">
                  <c:v>297207</c:v>
                </c:pt>
                <c:pt idx="7">
                  <c:v>674577.5</c:v>
                </c:pt>
                <c:pt idx="8">
                  <c:v>476459.5</c:v>
                </c:pt>
                <c:pt idx="9">
                  <c:v>473481.5</c:v>
                </c:pt>
                <c:pt idx="10">
                  <c:v>330468.5</c:v>
                </c:pt>
                <c:pt idx="11">
                  <c:v>597427</c:v>
                </c:pt>
                <c:pt idx="12">
                  <c:v>369321</c:v>
                </c:pt>
                <c:pt idx="13">
                  <c:v>684818.5</c:v>
                </c:pt>
                <c:pt idx="14">
                  <c:v>543603</c:v>
                </c:pt>
                <c:pt idx="15">
                  <c:v>323914.5</c:v>
                </c:pt>
                <c:pt idx="16">
                  <c:v>478307</c:v>
                </c:pt>
                <c:pt idx="17">
                  <c:v>541582.5</c:v>
                </c:pt>
                <c:pt idx="18">
                  <c:v>274041</c:v>
                </c:pt>
                <c:pt idx="19">
                  <c:v>632926</c:v>
                </c:pt>
                <c:pt idx="20">
                  <c:v>598859</c:v>
                </c:pt>
                <c:pt idx="21">
                  <c:v>646283</c:v>
                </c:pt>
                <c:pt idx="22">
                  <c:v>412718</c:v>
                </c:pt>
                <c:pt idx="23">
                  <c:v>459652</c:v>
                </c:pt>
                <c:pt idx="24">
                  <c:v>285427.5</c:v>
                </c:pt>
                <c:pt idx="25">
                  <c:v>716136</c:v>
                </c:pt>
                <c:pt idx="26">
                  <c:v>489588.5</c:v>
                </c:pt>
                <c:pt idx="27">
                  <c:v>411209.5</c:v>
                </c:pt>
                <c:pt idx="28">
                  <c:v>470991</c:v>
                </c:pt>
                <c:pt idx="29">
                  <c:v>675306</c:v>
                </c:pt>
                <c:pt idx="30">
                  <c:v>663196</c:v>
                </c:pt>
                <c:pt idx="31">
                  <c:v>760336</c:v>
                </c:pt>
                <c:pt idx="32">
                  <c:v>580168.5</c:v>
                </c:pt>
                <c:pt idx="33">
                  <c:v>761561.5</c:v>
                </c:pt>
                <c:pt idx="34">
                  <c:v>349457.5</c:v>
                </c:pt>
                <c:pt idx="35">
                  <c:v>680343</c:v>
                </c:pt>
                <c:pt idx="36">
                  <c:v>629119.5</c:v>
                </c:pt>
                <c:pt idx="37">
                  <c:v>571591</c:v>
                </c:pt>
                <c:pt idx="38">
                  <c:v>355163.5</c:v>
                </c:pt>
                <c:pt idx="39">
                  <c:v>356126.5</c:v>
                </c:pt>
                <c:pt idx="40">
                  <c:v>321200</c:v>
                </c:pt>
                <c:pt idx="41">
                  <c:v>382089</c:v>
                </c:pt>
                <c:pt idx="42">
                  <c:v>309882</c:v>
                </c:pt>
                <c:pt idx="43">
                  <c:v>529022.5</c:v>
                </c:pt>
                <c:pt idx="44">
                  <c:v>561351.5</c:v>
                </c:pt>
                <c:pt idx="45">
                  <c:v>621613</c:v>
                </c:pt>
                <c:pt idx="46">
                  <c:v>899410</c:v>
                </c:pt>
                <c:pt idx="47">
                  <c:v>665590.5</c:v>
                </c:pt>
                <c:pt idx="48">
                  <c:v>376206</c:v>
                </c:pt>
                <c:pt idx="49">
                  <c:v>371584.5</c:v>
                </c:pt>
                <c:pt idx="50">
                  <c:v>703866</c:v>
                </c:pt>
                <c:pt idx="51">
                  <c:v>548658</c:v>
                </c:pt>
                <c:pt idx="52">
                  <c:v>397033.5</c:v>
                </c:pt>
                <c:pt idx="53">
                  <c:v>456859.5</c:v>
                </c:pt>
                <c:pt idx="54">
                  <c:v>542354.5</c:v>
                </c:pt>
                <c:pt idx="55">
                  <c:v>255687</c:v>
                </c:pt>
                <c:pt idx="56">
                  <c:v>672423</c:v>
                </c:pt>
                <c:pt idx="57">
                  <c:v>528159.5</c:v>
                </c:pt>
                <c:pt idx="58">
                  <c:v>475590</c:v>
                </c:pt>
                <c:pt idx="59">
                  <c:v>595860</c:v>
                </c:pt>
                <c:pt idx="60">
                  <c:v>530158</c:v>
                </c:pt>
                <c:pt idx="61">
                  <c:v>517685.5</c:v>
                </c:pt>
                <c:pt idx="62">
                  <c:v>448602</c:v>
                </c:pt>
                <c:pt idx="63">
                  <c:v>597035.5</c:v>
                </c:pt>
                <c:pt idx="64">
                  <c:v>486538.5</c:v>
                </c:pt>
                <c:pt idx="65">
                  <c:v>280730.5</c:v>
                </c:pt>
                <c:pt idx="66">
                  <c:v>42083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74-4B3C-AB44-174D73FD8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4290335"/>
        <c:axId val="2084293247"/>
      </c:lineChart>
      <c:catAx>
        <c:axId val="208429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293247"/>
        <c:crosses val="autoZero"/>
        <c:auto val="1"/>
        <c:lblAlgn val="ctr"/>
        <c:lblOffset val="100"/>
        <c:noMultiLvlLbl val="0"/>
      </c:catAx>
      <c:valAx>
        <c:axId val="208429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29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[Ecommerce_Sales_Analytics_Raw_Data Excel project.xlsx]KPI Summary!PivotTable3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Summary'!$Q$6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 Summary'!$P$7:$P$13</c:f>
              <c:strCache>
                <c:ptCount val="6"/>
                <c:pt idx="0">
                  <c:v>Electronics</c:v>
                </c:pt>
                <c:pt idx="1">
                  <c:v>Furniture</c:v>
                </c:pt>
                <c:pt idx="2">
                  <c:v>Home Appliances</c:v>
                </c:pt>
                <c:pt idx="3">
                  <c:v>Fashion</c:v>
                </c:pt>
                <c:pt idx="4">
                  <c:v>Sports</c:v>
                </c:pt>
                <c:pt idx="5">
                  <c:v>Beauty</c:v>
                </c:pt>
              </c:strCache>
            </c:strRef>
          </c:cat>
          <c:val>
            <c:numRef>
              <c:f>'KPI Summary'!$Q$7:$Q$13</c:f>
              <c:numCache>
                <c:formatCode>General</c:formatCode>
                <c:ptCount val="6"/>
                <c:pt idx="0">
                  <c:v>12321398.5</c:v>
                </c:pt>
                <c:pt idx="1">
                  <c:v>3568537</c:v>
                </c:pt>
                <c:pt idx="2">
                  <c:v>2408197.5</c:v>
                </c:pt>
                <c:pt idx="3">
                  <c:v>1153401</c:v>
                </c:pt>
                <c:pt idx="4">
                  <c:v>536612.5</c:v>
                </c:pt>
                <c:pt idx="5">
                  <c:v>405560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0C-4F50-83E9-856AF3258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4510287"/>
        <c:axId val="2024510703"/>
      </c:barChart>
      <c:catAx>
        <c:axId val="202451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510703"/>
        <c:crosses val="autoZero"/>
        <c:auto val="1"/>
        <c:lblAlgn val="ctr"/>
        <c:lblOffset val="100"/>
        <c:noMultiLvlLbl val="0"/>
      </c:catAx>
      <c:valAx>
        <c:axId val="202451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510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[Ecommerce_Sales_Analytics_Raw_Data Excel project.xlsx]KPI Summary!PivotTable4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'KPI Summary'!$Q$24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 Summary'!$P$25:$P$35</c:f>
              <c:strCache>
                <c:ptCount val="10"/>
                <c:pt idx="0">
                  <c:v>Laptop</c:v>
                </c:pt>
                <c:pt idx="1">
                  <c:v>Tablet</c:v>
                </c:pt>
                <c:pt idx="2">
                  <c:v>Smartphone</c:v>
                </c:pt>
                <c:pt idx="3">
                  <c:v>Sofa</c:v>
                </c:pt>
                <c:pt idx="4">
                  <c:v>Microwave</c:v>
                </c:pt>
                <c:pt idx="5">
                  <c:v>Smartwatch</c:v>
                </c:pt>
                <c:pt idx="6">
                  <c:v>Study Table</c:v>
                </c:pt>
                <c:pt idx="7">
                  <c:v>Vacuum Cleaner</c:v>
                </c:pt>
                <c:pt idx="8">
                  <c:v>Air Fryer</c:v>
                </c:pt>
                <c:pt idx="9">
                  <c:v>Office Chair</c:v>
                </c:pt>
              </c:strCache>
            </c:strRef>
          </c:cat>
          <c:val>
            <c:numRef>
              <c:f>'KPI Summary'!$Q$25:$Q$35</c:f>
              <c:numCache>
                <c:formatCode>General</c:formatCode>
                <c:ptCount val="10"/>
                <c:pt idx="0">
                  <c:v>11260961.5</c:v>
                </c:pt>
                <c:pt idx="1">
                  <c:v>4422201.5</c:v>
                </c:pt>
                <c:pt idx="2">
                  <c:v>3488194</c:v>
                </c:pt>
                <c:pt idx="3">
                  <c:v>2886941.5</c:v>
                </c:pt>
                <c:pt idx="4">
                  <c:v>1281555</c:v>
                </c:pt>
                <c:pt idx="5">
                  <c:v>1201779.5</c:v>
                </c:pt>
                <c:pt idx="6">
                  <c:v>1126566</c:v>
                </c:pt>
                <c:pt idx="7">
                  <c:v>1060545.5</c:v>
                </c:pt>
                <c:pt idx="8">
                  <c:v>752107</c:v>
                </c:pt>
                <c:pt idx="9">
                  <c:v>724129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45-4C7C-BE02-8D4DEE42B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34831647"/>
        <c:axId val="1934835807"/>
      </c:barChart>
      <c:catAx>
        <c:axId val="1934831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835807"/>
        <c:crosses val="autoZero"/>
        <c:auto val="1"/>
        <c:lblAlgn val="ctr"/>
        <c:lblOffset val="100"/>
        <c:noMultiLvlLbl val="0"/>
      </c:catAx>
      <c:valAx>
        <c:axId val="1934835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831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[Ecommerce_Sales_Analytics_Raw_Data Excel project.xlsx]KPI Summary!PivotTable5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region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Summary'!$Q$43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 Summary'!$P$44:$P$48</c:f>
              <c:strCache>
                <c:ptCount val="4"/>
                <c:pt idx="0">
                  <c:v>South</c:v>
                </c:pt>
                <c:pt idx="1">
                  <c:v>West</c:v>
                </c:pt>
                <c:pt idx="2">
                  <c:v>North</c:v>
                </c:pt>
                <c:pt idx="3">
                  <c:v>East</c:v>
                </c:pt>
              </c:strCache>
            </c:strRef>
          </c:cat>
          <c:val>
            <c:numRef>
              <c:f>'KPI Summary'!$Q$44:$Q$48</c:f>
              <c:numCache>
                <c:formatCode>General</c:formatCode>
                <c:ptCount val="4"/>
                <c:pt idx="0">
                  <c:v>11154670.5</c:v>
                </c:pt>
                <c:pt idx="1">
                  <c:v>7958378.5</c:v>
                </c:pt>
                <c:pt idx="2">
                  <c:v>7562344</c:v>
                </c:pt>
                <c:pt idx="3">
                  <c:v>7020263.5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42-4A29-87E9-7CE3F2E99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4921615"/>
        <c:axId val="2034924111"/>
      </c:barChart>
      <c:catAx>
        <c:axId val="203492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924111"/>
        <c:crosses val="autoZero"/>
        <c:auto val="1"/>
        <c:lblAlgn val="ctr"/>
        <c:lblOffset val="100"/>
        <c:noMultiLvlLbl val="0"/>
      </c:catAx>
      <c:valAx>
        <c:axId val="203492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92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[Ecommerce_Sales_Analytics_Raw_Data Excel project.xlsx]KPI Summary!PivotTable6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Summary'!$P$61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 Summary'!$O$62:$O$66</c:f>
              <c:strCache>
                <c:ptCount val="4"/>
                <c:pt idx="0">
                  <c:v>South</c:v>
                </c:pt>
                <c:pt idx="1">
                  <c:v>West</c:v>
                </c:pt>
                <c:pt idx="2">
                  <c:v>East</c:v>
                </c:pt>
                <c:pt idx="3">
                  <c:v>North</c:v>
                </c:pt>
              </c:strCache>
            </c:strRef>
          </c:cat>
          <c:val>
            <c:numRef>
              <c:f>'KPI Summary'!$P$62:$P$66</c:f>
              <c:numCache>
                <c:formatCode>General</c:formatCode>
                <c:ptCount val="4"/>
                <c:pt idx="0">
                  <c:v>6571640.5</c:v>
                </c:pt>
                <c:pt idx="1">
                  <c:v>4848168.5</c:v>
                </c:pt>
                <c:pt idx="2">
                  <c:v>4526973.5</c:v>
                </c:pt>
                <c:pt idx="3">
                  <c:v>4446924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C3-4529-8C1A-961A9D409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1924159"/>
        <c:axId val="2031924575"/>
      </c:barChart>
      <c:catAx>
        <c:axId val="203192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924575"/>
        <c:crosses val="autoZero"/>
        <c:auto val="1"/>
        <c:lblAlgn val="ctr"/>
        <c:lblOffset val="100"/>
        <c:noMultiLvlLbl val="0"/>
      </c:catAx>
      <c:valAx>
        <c:axId val="203192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924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[Ecommerce_Sales_Analytics_Raw_Data Excel project.xlsx]KPI Summary!PivotTable7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Summary'!$O$79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 Summary'!$N$80:$N$82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'KPI Summary'!$O$80:$O$82</c:f>
              <c:numCache>
                <c:formatCode>General</c:formatCode>
                <c:ptCount val="2"/>
                <c:pt idx="0">
                  <c:v>17234867</c:v>
                </c:pt>
                <c:pt idx="1">
                  <c:v>16460789.5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C-411C-A859-8EC78E849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9747999"/>
        <c:axId val="2084135967"/>
      </c:barChart>
      <c:catAx>
        <c:axId val="206974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135967"/>
        <c:crosses val="autoZero"/>
        <c:auto val="1"/>
        <c:lblAlgn val="ctr"/>
        <c:lblOffset val="100"/>
        <c:noMultiLvlLbl val="0"/>
      </c:catAx>
      <c:valAx>
        <c:axId val="208413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74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[Ecommerce_Sales_Analytics_Raw_Data Excel project.xlsx]KPI Summary!PivotTable8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cities by sales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Summary'!$AB$3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 Summary'!$AA$4:$AA$14</c:f>
              <c:strCache>
                <c:ptCount val="10"/>
                <c:pt idx="0">
                  <c:v>Mumbai</c:v>
                </c:pt>
                <c:pt idx="1">
                  <c:v>Bhubaneswar</c:v>
                </c:pt>
                <c:pt idx="2">
                  <c:v>Ahmedabad</c:v>
                </c:pt>
                <c:pt idx="3">
                  <c:v>Mysuru</c:v>
                </c:pt>
                <c:pt idx="4">
                  <c:v>Bengaluru</c:v>
                </c:pt>
                <c:pt idx="5">
                  <c:v>Hyderabad</c:v>
                </c:pt>
                <c:pt idx="6">
                  <c:v>Guwahati</c:v>
                </c:pt>
                <c:pt idx="7">
                  <c:v>Jaipur</c:v>
                </c:pt>
                <c:pt idx="8">
                  <c:v>Chennai</c:v>
                </c:pt>
                <c:pt idx="9">
                  <c:v>Chandigarh</c:v>
                </c:pt>
              </c:strCache>
            </c:strRef>
          </c:cat>
          <c:val>
            <c:numRef>
              <c:f>'KPI Summary'!$AB$4:$AB$14</c:f>
              <c:numCache>
                <c:formatCode>General</c:formatCode>
                <c:ptCount val="10"/>
                <c:pt idx="0">
                  <c:v>3256416.5</c:v>
                </c:pt>
                <c:pt idx="1">
                  <c:v>3214807.5</c:v>
                </c:pt>
                <c:pt idx="2">
                  <c:v>2634493</c:v>
                </c:pt>
                <c:pt idx="3">
                  <c:v>2473331</c:v>
                </c:pt>
                <c:pt idx="4">
                  <c:v>2372152</c:v>
                </c:pt>
                <c:pt idx="5">
                  <c:v>2253992.5</c:v>
                </c:pt>
                <c:pt idx="6">
                  <c:v>2246591.5</c:v>
                </c:pt>
                <c:pt idx="7">
                  <c:v>2239553.5</c:v>
                </c:pt>
                <c:pt idx="8">
                  <c:v>2144842</c:v>
                </c:pt>
                <c:pt idx="9">
                  <c:v>2094107.5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9-4F40-B207-8E929B63D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0491247"/>
        <c:axId val="2070493327"/>
      </c:barChart>
      <c:catAx>
        <c:axId val="207049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493327"/>
        <c:crosses val="autoZero"/>
        <c:auto val="1"/>
        <c:lblAlgn val="ctr"/>
        <c:lblOffset val="100"/>
        <c:noMultiLvlLbl val="0"/>
      </c:catAx>
      <c:valAx>
        <c:axId val="207049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491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[Ecommerce_Sales_Analytics_Raw_Data Excel project.xlsx]KPI Summary!PivotTable9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Summary'!$AB$20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 Summary'!$AA$21:$AA$27</c:f>
              <c:strCache>
                <c:ptCount val="6"/>
                <c:pt idx="0">
                  <c:v>(blank)</c:v>
                </c:pt>
                <c:pt idx="1">
                  <c:v>18-27</c:v>
                </c:pt>
                <c:pt idx="2">
                  <c:v>28-37</c:v>
                </c:pt>
                <c:pt idx="3">
                  <c:v>38-47</c:v>
                </c:pt>
                <c:pt idx="4">
                  <c:v>48-57</c:v>
                </c:pt>
                <c:pt idx="5">
                  <c:v>58-67</c:v>
                </c:pt>
              </c:strCache>
            </c:strRef>
          </c:cat>
          <c:val>
            <c:numRef>
              <c:f>'KPI Summary'!$AB$21:$AB$27</c:f>
              <c:numCache>
                <c:formatCode>General</c:formatCode>
                <c:ptCount val="6"/>
                <c:pt idx="1">
                  <c:v>8518370.5</c:v>
                </c:pt>
                <c:pt idx="2">
                  <c:v>6914265</c:v>
                </c:pt>
                <c:pt idx="3">
                  <c:v>7934251.5</c:v>
                </c:pt>
                <c:pt idx="4">
                  <c:v>7935078</c:v>
                </c:pt>
                <c:pt idx="5">
                  <c:v>2393691.5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9A-41BB-A7D7-CF9524242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8468895"/>
        <c:axId val="1929698559"/>
      </c:barChart>
      <c:catAx>
        <c:axId val="193846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698559"/>
        <c:crosses val="autoZero"/>
        <c:auto val="1"/>
        <c:lblAlgn val="ctr"/>
        <c:lblOffset val="100"/>
        <c:noMultiLvlLbl val="0"/>
      </c:catAx>
      <c:valAx>
        <c:axId val="192969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46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[Ecommerce_Sales_Analytics_Raw_Data Excel project.xlsx]KPI Summary!PivotTable10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customers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Summary'!$AB$42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 Summary'!$AA$43:$AA$53</c:f>
              <c:strCache>
                <c:ptCount val="10"/>
                <c:pt idx="0">
                  <c:v>Nisha Das</c:v>
                </c:pt>
                <c:pt idx="1">
                  <c:v>Sneha Nair</c:v>
                </c:pt>
                <c:pt idx="2">
                  <c:v>Rahul Joshi</c:v>
                </c:pt>
                <c:pt idx="3">
                  <c:v>Kavya Mehta</c:v>
                </c:pt>
                <c:pt idx="4">
                  <c:v>Kavya Reddy</c:v>
                </c:pt>
                <c:pt idx="5">
                  <c:v>Aditya Gupta</c:v>
                </c:pt>
                <c:pt idx="6">
                  <c:v>Arjun Joshi</c:v>
                </c:pt>
                <c:pt idx="7">
                  <c:v>Ananya Singh</c:v>
                </c:pt>
                <c:pt idx="8">
                  <c:v>Arjun Naidu</c:v>
                </c:pt>
                <c:pt idx="9">
                  <c:v>Aarav Das</c:v>
                </c:pt>
              </c:strCache>
            </c:strRef>
          </c:cat>
          <c:val>
            <c:numRef>
              <c:f>'KPI Summary'!$AB$43:$AB$53</c:f>
              <c:numCache>
                <c:formatCode>General</c:formatCode>
                <c:ptCount val="10"/>
                <c:pt idx="0">
                  <c:v>422396.5</c:v>
                </c:pt>
                <c:pt idx="1">
                  <c:v>422046</c:v>
                </c:pt>
                <c:pt idx="2">
                  <c:v>418428.5</c:v>
                </c:pt>
                <c:pt idx="3">
                  <c:v>369431.5</c:v>
                </c:pt>
                <c:pt idx="4">
                  <c:v>358266</c:v>
                </c:pt>
                <c:pt idx="5">
                  <c:v>329893.5</c:v>
                </c:pt>
                <c:pt idx="6">
                  <c:v>329204</c:v>
                </c:pt>
                <c:pt idx="7">
                  <c:v>328928.5</c:v>
                </c:pt>
                <c:pt idx="8">
                  <c:v>322582.5</c:v>
                </c:pt>
                <c:pt idx="9">
                  <c:v>320128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EB-4692-AB96-A59B49A2C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1764799"/>
        <c:axId val="2071766047"/>
      </c:barChart>
      <c:catAx>
        <c:axId val="207176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766047"/>
        <c:crosses val="autoZero"/>
        <c:auto val="1"/>
        <c:lblAlgn val="ctr"/>
        <c:lblOffset val="100"/>
        <c:noMultiLvlLbl val="0"/>
      </c:catAx>
      <c:valAx>
        <c:axId val="207176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764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[Ecommerce_Sales_Analytics_Raw_Data Excel project.xlsx]KPI Summary!PivotTable11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products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Summary'!$AB$61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 Summary'!$AA$62:$AA$72</c:f>
              <c:strCache>
                <c:ptCount val="10"/>
                <c:pt idx="0">
                  <c:v>Laptop</c:v>
                </c:pt>
                <c:pt idx="1">
                  <c:v>Tablet</c:v>
                </c:pt>
                <c:pt idx="2">
                  <c:v>Smartphone</c:v>
                </c:pt>
                <c:pt idx="3">
                  <c:v>Sofa</c:v>
                </c:pt>
                <c:pt idx="4">
                  <c:v>Microwave</c:v>
                </c:pt>
                <c:pt idx="5">
                  <c:v>Smartwatch</c:v>
                </c:pt>
                <c:pt idx="6">
                  <c:v>Study Table</c:v>
                </c:pt>
                <c:pt idx="7">
                  <c:v>Vacuum Cleaner</c:v>
                </c:pt>
                <c:pt idx="8">
                  <c:v>Air Fryer</c:v>
                </c:pt>
                <c:pt idx="9">
                  <c:v>Office Chair</c:v>
                </c:pt>
              </c:strCache>
            </c:strRef>
          </c:cat>
          <c:val>
            <c:numRef>
              <c:f>'KPI Summary'!$AB$62:$AB$72</c:f>
              <c:numCache>
                <c:formatCode>General</c:formatCode>
                <c:ptCount val="10"/>
                <c:pt idx="0">
                  <c:v>6341031.5</c:v>
                </c:pt>
                <c:pt idx="1">
                  <c:v>2722401.5</c:v>
                </c:pt>
                <c:pt idx="2">
                  <c:v>2171404</c:v>
                </c:pt>
                <c:pt idx="3">
                  <c:v>1681271.5</c:v>
                </c:pt>
                <c:pt idx="4">
                  <c:v>765855</c:v>
                </c:pt>
                <c:pt idx="5">
                  <c:v>744719.5</c:v>
                </c:pt>
                <c:pt idx="6">
                  <c:v>728456</c:v>
                </c:pt>
                <c:pt idx="7">
                  <c:v>648825.5</c:v>
                </c:pt>
                <c:pt idx="8">
                  <c:v>496577</c:v>
                </c:pt>
                <c:pt idx="9">
                  <c:v>453849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EE-465B-9C55-24020BF15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4297295"/>
        <c:axId val="2084296879"/>
      </c:barChart>
      <c:catAx>
        <c:axId val="2084297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296879"/>
        <c:crosses val="autoZero"/>
        <c:auto val="1"/>
        <c:lblAlgn val="ctr"/>
        <c:lblOffset val="100"/>
        <c:noMultiLvlLbl val="0"/>
      </c:catAx>
      <c:valAx>
        <c:axId val="208429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297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11" Type="http://schemas.openxmlformats.org/officeDocument/2006/relationships/chart" Target="../charts/chart19.xml"/><Relationship Id="rId5" Type="http://schemas.openxmlformats.org/officeDocument/2006/relationships/chart" Target="../charts/chart1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279400</xdr:colOff>
      <xdr:row>7</xdr:row>
      <xdr:rowOff>1</xdr:rowOff>
    </xdr:from>
    <xdr:to>
      <xdr:col>4</xdr:col>
      <xdr:colOff>45605</xdr:colOff>
      <xdr:row>25</xdr:row>
      <xdr:rowOff>171451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1EF317-320A-465F-8578-804F49D2B3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1250950</xdr:colOff>
      <xdr:row>6</xdr:row>
      <xdr:rowOff>38099</xdr:rowOff>
    </xdr:from>
    <xdr:to>
      <xdr:col>14</xdr:col>
      <xdr:colOff>232064</xdr:colOff>
      <xdr:row>24</xdr:row>
      <xdr:rowOff>117474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2DFFB1-98D8-4D45-B2AF-833742BB2D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206375</xdr:colOff>
      <xdr:row>28</xdr:row>
      <xdr:rowOff>111125</xdr:rowOff>
    </xdr:from>
    <xdr:to>
      <xdr:col>4</xdr:col>
      <xdr:colOff>682625</xdr:colOff>
      <xdr:row>45</xdr:row>
      <xdr:rowOff>28287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5A659D-8481-4E03-8216-AE3BEBA152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1304925</xdr:colOff>
      <xdr:row>29</xdr:row>
      <xdr:rowOff>0</xdr:rowOff>
    </xdr:from>
    <xdr:to>
      <xdr:col>14</xdr:col>
      <xdr:colOff>316923</xdr:colOff>
      <xdr:row>45</xdr:row>
      <xdr:rowOff>31750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8EB60C8-2B35-4042-B799-C40660AACB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292100</xdr:colOff>
      <xdr:row>4</xdr:row>
      <xdr:rowOff>117475</xdr:rowOff>
    </xdr:from>
    <xdr:to>
      <xdr:col>26</xdr:col>
      <xdr:colOff>85725</xdr:colOff>
      <xdr:row>22</xdr:row>
      <xdr:rowOff>98424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0DBD113-1A3F-4963-990E-5C4A8538C7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38100</xdr:colOff>
      <xdr:row>28</xdr:row>
      <xdr:rowOff>98425</xdr:rowOff>
    </xdr:from>
    <xdr:to>
      <xdr:col>26</xdr:col>
      <xdr:colOff>196850</xdr:colOff>
      <xdr:row>45</xdr:row>
      <xdr:rowOff>98425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7F7473B-F906-4FE2-876A-DC55A5876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222249</xdr:colOff>
      <xdr:row>48</xdr:row>
      <xdr:rowOff>0</xdr:rowOff>
    </xdr:from>
    <xdr:to>
      <xdr:col>4</xdr:col>
      <xdr:colOff>1063624</xdr:colOff>
      <xdr:row>67</xdr:row>
      <xdr:rowOff>158750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97C598C-A52F-4035-9EB8-193FF0B16C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1403350</xdr:colOff>
      <xdr:row>47</xdr:row>
      <xdr:rowOff>152400</xdr:rowOff>
    </xdr:from>
    <xdr:to>
      <xdr:col>14</xdr:col>
      <xdr:colOff>342900</xdr:colOff>
      <xdr:row>67</xdr:row>
      <xdr:rowOff>133350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53F72B6-A124-4D98-822C-659FD1EBF2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444500</xdr:colOff>
      <xdr:row>3</xdr:row>
      <xdr:rowOff>82550</xdr:rowOff>
    </xdr:from>
    <xdr:to>
      <xdr:col>13</xdr:col>
      <xdr:colOff>63500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54110B-50C7-48B2-B194-E7299E48A3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158750</xdr:colOff>
      <xdr:row>19</xdr:row>
      <xdr:rowOff>152400</xdr:rowOff>
    </xdr:from>
    <xdr:to>
      <xdr:col>13</xdr:col>
      <xdr:colOff>190500</xdr:colOff>
      <xdr:row>40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8E6E27-4928-4E8E-8137-353BD2893C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228600</xdr:colOff>
      <xdr:row>1</xdr:row>
      <xdr:rowOff>92074</xdr:rowOff>
    </xdr:from>
    <xdr:to>
      <xdr:col>24</xdr:col>
      <xdr:colOff>533400</xdr:colOff>
      <xdr:row>17</xdr:row>
      <xdr:rowOff>133349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891C11-9892-4017-9955-D1100314C1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288925</xdr:colOff>
      <xdr:row>21</xdr:row>
      <xdr:rowOff>3175</xdr:rowOff>
    </xdr:from>
    <xdr:to>
      <xdr:col>24</xdr:col>
      <xdr:colOff>120650</xdr:colOff>
      <xdr:row>35</xdr:row>
      <xdr:rowOff>168275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D0BB0DA-7435-4208-A0CE-A291ED0BAA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412750</xdr:colOff>
      <xdr:row>40</xdr:row>
      <xdr:rowOff>3175</xdr:rowOff>
    </xdr:from>
    <xdr:to>
      <xdr:col>25</xdr:col>
      <xdr:colOff>107950</xdr:colOff>
      <xdr:row>54</xdr:row>
      <xdr:rowOff>168275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489AB0D-AD93-4169-92F9-AC875DF8F3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203200</xdr:colOff>
      <xdr:row>58</xdr:row>
      <xdr:rowOff>142875</xdr:rowOff>
    </xdr:from>
    <xdr:to>
      <xdr:col>23</xdr:col>
      <xdr:colOff>50800</xdr:colOff>
      <xdr:row>73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2562D2D-5945-4D66-9A67-FED7B047B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660400</xdr:colOff>
      <xdr:row>74</xdr:row>
      <xdr:rowOff>73025</xdr:rowOff>
    </xdr:from>
    <xdr:to>
      <xdr:col>22</xdr:col>
      <xdr:colOff>292100</xdr:colOff>
      <xdr:row>89</xdr:row>
      <xdr:rowOff>53975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6FABC61-0EF2-4048-8AD4-49F1A437EE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311150</xdr:colOff>
      <xdr:row>0</xdr:row>
      <xdr:rowOff>130175</xdr:rowOff>
    </xdr:from>
    <xdr:to>
      <xdr:col>36</xdr:col>
      <xdr:colOff>6350</xdr:colOff>
      <xdr:row>15</xdr:row>
      <xdr:rowOff>111125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0987145-51C2-4CD4-B3FA-E7697B4E1A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28</xdr:col>
      <xdr:colOff>272143</xdr:colOff>
      <xdr:row>18</xdr:row>
      <xdr:rowOff>79375</xdr:rowOff>
    </xdr:from>
    <xdr:to>
      <xdr:col>35</xdr:col>
      <xdr:colOff>576943</xdr:colOff>
      <xdr:row>33</xdr:row>
      <xdr:rowOff>60325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404DFA9-6475-46D9-BE3C-D74D3A6D2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469900</xdr:colOff>
      <xdr:row>39</xdr:row>
      <xdr:rowOff>104775</xdr:rowOff>
    </xdr:from>
    <xdr:to>
      <xdr:col>36</xdr:col>
      <xdr:colOff>165100</xdr:colOff>
      <xdr:row>54</xdr:row>
      <xdr:rowOff>85725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732B6F8-C69A-412B-B6AF-C04B004D3C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28</xdr:col>
      <xdr:colOff>508000</xdr:colOff>
      <xdr:row>57</xdr:row>
      <xdr:rowOff>179614</xdr:rowOff>
    </xdr:from>
    <xdr:to>
      <xdr:col>36</xdr:col>
      <xdr:colOff>217714</xdr:colOff>
      <xdr:row>73</xdr:row>
      <xdr:rowOff>19957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DD81011-3A58-407C-A4DF-7D5B7075B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" refreshedDate="46299.937775115737" createdVersion="7" refreshedVersion="7" minRefreshableVersion="3" recordCount="2001" xr:uid="{95CBFEF9-57EF-4E30-9994-98FAC9952012}">
  <cacheSource type="worksheet">
    <worksheetSource name="excelsalesdata"/>
  </cacheSource>
  <cacheFields count="31">
    <cacheField name="Order_ID" numFmtId="0">
      <sharedItems containsBlank="1"/>
    </cacheField>
    <cacheField name="Order_Date" numFmtId="14">
      <sharedItems containsNonDate="0" containsDate="1" containsString="0" containsBlank="1" minDate="2025-04-13T00:00:00" maxDate="2030-10-04T00:00:00" count="2001"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  <d v="2027-01-01T00:00:00"/>
        <d v="2027-01-02T00:00:00"/>
        <d v="2027-01-03T00:00:00"/>
        <d v="2027-01-04T00:00:00"/>
        <d v="2027-01-05T00:00:00"/>
        <d v="2027-01-06T00:00:00"/>
        <d v="2027-01-07T00:00:00"/>
        <d v="2027-01-08T00:00:00"/>
        <d v="2027-01-09T00:00:00"/>
        <d v="2027-01-10T00:00:00"/>
        <d v="2027-01-11T00:00:00"/>
        <d v="2027-01-12T00:00:00"/>
        <d v="2027-01-13T00:00:00"/>
        <d v="2027-01-14T00:00:00"/>
        <d v="2027-01-15T00:00:00"/>
        <d v="2027-01-16T00:00:00"/>
        <d v="2027-01-17T00:00:00"/>
        <d v="2027-01-18T00:00:00"/>
        <d v="2027-01-19T00:00:00"/>
        <d v="2027-01-20T00:00:00"/>
        <d v="2027-01-21T00:00:00"/>
        <d v="2027-01-22T00:00:00"/>
        <d v="2027-01-23T00:00:00"/>
        <d v="2027-01-24T00:00:00"/>
        <d v="2027-01-25T00:00:00"/>
        <d v="2027-01-26T00:00:00"/>
        <d v="2027-01-27T00:00:00"/>
        <d v="2027-01-28T00:00:00"/>
        <d v="2027-01-29T00:00:00"/>
        <d v="2027-01-30T00:00:00"/>
        <d v="2027-01-31T00:00:00"/>
        <d v="2027-02-01T00:00:00"/>
        <d v="2027-02-02T00:00:00"/>
        <d v="2027-02-03T00:00:00"/>
        <d v="2027-02-04T00:00:00"/>
        <d v="2027-02-05T00:00:00"/>
        <d v="2027-02-06T00:00:00"/>
        <d v="2027-02-07T00:00:00"/>
        <d v="2027-02-08T00:00:00"/>
        <d v="2027-02-09T00:00:00"/>
        <d v="2027-02-10T00:00:00"/>
        <d v="2027-02-11T00:00:00"/>
        <d v="2027-02-12T00:00:00"/>
        <d v="2027-02-13T00:00:00"/>
        <d v="2027-02-14T00:00:00"/>
        <d v="2027-02-15T00:00:00"/>
        <d v="2027-02-16T00:00:00"/>
        <d v="2027-02-17T00:00:00"/>
        <d v="2027-02-18T00:00:00"/>
        <d v="2027-02-19T00:00:00"/>
        <d v="2027-02-20T00:00:00"/>
        <d v="2027-02-21T00:00:00"/>
        <d v="2027-02-22T00:00:00"/>
        <d v="2027-02-23T00:00:00"/>
        <d v="2027-02-24T00:00:00"/>
        <d v="2027-02-25T00:00:00"/>
        <d v="2027-02-26T00:00:00"/>
        <d v="2027-02-27T00:00:00"/>
        <d v="2027-02-28T00:00:00"/>
        <d v="2027-03-01T00:00:00"/>
        <d v="2027-03-02T00:00:00"/>
        <d v="2027-03-03T00:00:00"/>
        <d v="2027-03-04T00:00:00"/>
        <d v="2027-03-05T00:00:00"/>
        <d v="2027-03-06T00:00:00"/>
        <d v="2027-03-07T00:00:00"/>
        <d v="2027-03-08T00:00:00"/>
        <d v="2027-03-09T00:00:00"/>
        <d v="2027-03-10T00:00:00"/>
        <d v="2027-03-11T00:00:00"/>
        <d v="2027-03-12T00:00:00"/>
        <d v="2027-03-13T00:00:00"/>
        <d v="2027-03-14T00:00:00"/>
        <d v="2027-03-15T00:00:00"/>
        <d v="2027-03-16T00:00:00"/>
        <d v="2027-03-17T00:00:00"/>
        <d v="2027-03-18T00:00:00"/>
        <d v="2027-03-19T00:00:00"/>
        <d v="2027-03-20T00:00:00"/>
        <d v="2027-03-21T00:00:00"/>
        <d v="2027-03-22T00:00:00"/>
        <d v="2027-03-23T00:00:00"/>
        <d v="2027-03-24T00:00:00"/>
        <d v="2027-03-25T00:00:00"/>
        <d v="2027-03-26T00:00:00"/>
        <d v="2027-03-27T00:00:00"/>
        <d v="2027-03-28T00:00:00"/>
        <d v="2027-03-29T00:00:00"/>
        <d v="2027-03-30T00:00:00"/>
        <d v="2027-03-31T00:00:00"/>
        <d v="2027-04-01T00:00:00"/>
        <d v="2027-04-02T00:00:00"/>
        <d v="2027-04-03T00:00:00"/>
        <d v="2027-04-04T00:00:00"/>
        <d v="2027-04-05T00:00:00"/>
        <d v="2027-04-06T00:00:00"/>
        <d v="2027-04-07T00:00:00"/>
        <d v="2027-04-08T00:00:00"/>
        <d v="2027-04-09T00:00:00"/>
        <d v="2027-04-10T00:00:00"/>
        <d v="2027-04-11T00:00:00"/>
        <d v="2027-04-12T00:00:00"/>
        <d v="2027-04-13T00:00:00"/>
        <d v="2027-04-14T00:00:00"/>
        <d v="2027-04-15T00:00:00"/>
        <d v="2027-04-16T00:00:00"/>
        <d v="2027-04-17T00:00:00"/>
        <d v="2027-04-18T00:00:00"/>
        <d v="2027-04-19T00:00:00"/>
        <d v="2027-04-20T00:00:00"/>
        <d v="2027-04-21T00:00:00"/>
        <d v="2027-04-22T00:00:00"/>
        <d v="2027-04-23T00:00:00"/>
        <d v="2027-04-24T00:00:00"/>
        <d v="2027-04-25T00:00:00"/>
        <d v="2027-04-26T00:00:00"/>
        <d v="2027-04-27T00:00:00"/>
        <d v="2027-04-28T00:00:00"/>
        <d v="2027-04-29T00:00:00"/>
        <d v="2027-04-30T00:00:00"/>
        <d v="2027-05-01T00:00:00"/>
        <d v="2027-05-02T00:00:00"/>
        <d v="2027-05-03T00:00:00"/>
        <d v="2027-05-04T00:00:00"/>
        <d v="2027-05-05T00:00:00"/>
        <d v="2027-05-06T00:00:00"/>
        <d v="2027-05-07T00:00:00"/>
        <d v="2027-05-08T00:00:00"/>
        <d v="2027-05-09T00:00:00"/>
        <d v="2027-05-10T00:00:00"/>
        <d v="2027-05-11T00:00:00"/>
        <d v="2027-05-12T00:00:00"/>
        <d v="2027-05-13T00:00:00"/>
        <d v="2027-05-14T00:00:00"/>
        <d v="2027-05-15T00:00:00"/>
        <d v="2027-05-16T00:00:00"/>
        <d v="2027-05-17T00:00:00"/>
        <d v="2027-05-18T00:00:00"/>
        <d v="2027-05-19T00:00:00"/>
        <d v="2027-05-20T00:00:00"/>
        <d v="2027-05-21T00:00:00"/>
        <d v="2027-05-22T00:00:00"/>
        <d v="2027-05-23T00:00:00"/>
        <d v="2027-05-24T00:00:00"/>
        <d v="2027-05-25T00:00:00"/>
        <d v="2027-05-26T00:00:00"/>
        <d v="2027-05-27T00:00:00"/>
        <d v="2027-05-28T00:00:00"/>
        <d v="2027-05-29T00:00:00"/>
        <d v="2027-05-30T00:00:00"/>
        <d v="2027-05-31T00:00:00"/>
        <d v="2027-06-01T00:00:00"/>
        <d v="2027-06-02T00:00:00"/>
        <d v="2027-06-03T00:00:00"/>
        <d v="2027-06-04T00:00:00"/>
        <d v="2027-06-05T00:00:00"/>
        <d v="2027-06-06T00:00:00"/>
        <d v="2027-06-07T00:00:00"/>
        <d v="2027-06-08T00:00:00"/>
        <d v="2027-06-09T00:00:00"/>
        <d v="2027-06-10T00:00:00"/>
        <d v="2027-06-11T00:00:00"/>
        <d v="2027-06-12T00:00:00"/>
        <d v="2027-06-13T00:00:00"/>
        <d v="2027-06-14T00:00:00"/>
        <d v="2027-06-15T00:00:00"/>
        <d v="2027-06-16T00:00:00"/>
        <d v="2027-06-17T00:00:00"/>
        <d v="2027-06-18T00:00:00"/>
        <d v="2027-06-19T00:00:00"/>
        <d v="2027-06-20T00:00:00"/>
        <d v="2027-06-21T00:00:00"/>
        <d v="2027-06-22T00:00:00"/>
        <d v="2027-06-23T00:00:00"/>
        <d v="2027-06-24T00:00:00"/>
        <d v="2027-06-25T00:00:00"/>
        <d v="2027-06-26T00:00:00"/>
        <d v="2027-06-27T00:00:00"/>
        <d v="2027-06-28T00:00:00"/>
        <d v="2027-06-29T00:00:00"/>
        <d v="2027-06-30T00:00:00"/>
        <d v="2027-07-01T00:00:00"/>
        <d v="2027-07-02T00:00:00"/>
        <d v="2027-07-03T00:00:00"/>
        <d v="2027-07-04T00:00:00"/>
        <d v="2027-07-05T00:00:00"/>
        <d v="2027-07-06T00:00:00"/>
        <d v="2027-07-07T00:00:00"/>
        <d v="2027-07-08T00:00:00"/>
        <d v="2027-07-09T00:00:00"/>
        <d v="2027-07-10T00:00:00"/>
        <d v="2027-07-11T00:00:00"/>
        <d v="2027-07-12T00:00:00"/>
        <d v="2027-07-13T00:00:00"/>
        <d v="2027-07-14T00:00:00"/>
        <d v="2027-07-15T00:00:00"/>
        <d v="2027-07-16T00:00:00"/>
        <d v="2027-07-17T00:00:00"/>
        <d v="2027-07-18T00:00:00"/>
        <d v="2027-07-19T00:00:00"/>
        <d v="2027-07-20T00:00:00"/>
        <d v="2027-07-21T00:00:00"/>
        <d v="2027-07-22T00:00:00"/>
        <d v="2027-07-23T00:00:00"/>
        <d v="2027-07-24T00:00:00"/>
        <d v="2027-07-25T00:00:00"/>
        <d v="2027-07-26T00:00:00"/>
        <d v="2027-07-27T00:00:00"/>
        <d v="2027-07-28T00:00:00"/>
        <d v="2027-07-29T00:00:00"/>
        <d v="2027-07-30T00:00:00"/>
        <d v="2027-07-31T00:00:00"/>
        <d v="2027-08-01T00:00:00"/>
        <d v="2027-08-02T00:00:00"/>
        <d v="2027-08-03T00:00:00"/>
        <d v="2027-08-04T00:00:00"/>
        <d v="2027-08-05T00:00:00"/>
        <d v="2027-08-06T00:00:00"/>
        <d v="2027-08-07T00:00:00"/>
        <d v="2027-08-08T00:00:00"/>
        <d v="2027-08-09T00:00:00"/>
        <d v="2027-08-10T00:00:00"/>
        <d v="2027-08-11T00:00:00"/>
        <d v="2027-08-12T00:00:00"/>
        <d v="2027-08-13T00:00:00"/>
        <d v="2027-08-14T00:00:00"/>
        <d v="2027-08-15T00:00:00"/>
        <d v="2027-08-16T00:00:00"/>
        <d v="2027-08-17T00:00:00"/>
        <d v="2027-08-18T00:00:00"/>
        <d v="2027-08-19T00:00:00"/>
        <d v="2027-08-20T00:00:00"/>
        <d v="2027-08-21T00:00:00"/>
        <d v="2027-08-22T00:00:00"/>
        <d v="2027-08-23T00:00:00"/>
        <d v="2027-08-24T00:00:00"/>
        <d v="2027-08-25T00:00:00"/>
        <d v="2027-08-26T00:00:00"/>
        <d v="2027-08-27T00:00:00"/>
        <d v="2027-08-28T00:00:00"/>
        <d v="2027-08-29T00:00:00"/>
        <d v="2027-08-30T00:00:00"/>
        <d v="2027-08-31T00:00:00"/>
        <d v="2027-09-01T00:00:00"/>
        <d v="2027-09-02T00:00:00"/>
        <d v="2027-09-03T00:00:00"/>
        <d v="2027-09-04T00:00:00"/>
        <d v="2027-09-05T00:00:00"/>
        <d v="2027-09-06T00:00:00"/>
        <d v="2027-09-07T00:00:00"/>
        <d v="2027-09-08T00:00:00"/>
        <d v="2027-09-09T00:00:00"/>
        <d v="2027-09-10T00:00:00"/>
        <d v="2027-09-11T00:00:00"/>
        <d v="2027-09-12T00:00:00"/>
        <d v="2027-09-13T00:00:00"/>
        <d v="2027-09-14T00:00:00"/>
        <d v="2027-09-15T00:00:00"/>
        <d v="2027-09-16T00:00:00"/>
        <d v="2027-09-17T00:00:00"/>
        <d v="2027-09-18T00:00:00"/>
        <d v="2027-09-19T00:00:00"/>
        <d v="2027-09-20T00:00:00"/>
        <d v="2027-09-21T00:00:00"/>
        <d v="2027-09-22T00:00:00"/>
        <d v="2027-09-23T00:00:00"/>
        <d v="2027-09-24T00:00:00"/>
        <d v="2027-09-25T00:00:00"/>
        <d v="2027-09-26T00:00:00"/>
        <d v="2027-09-27T00:00:00"/>
        <d v="2027-09-28T00:00:00"/>
        <d v="2027-09-29T00:00:00"/>
        <d v="2027-09-30T00:00:00"/>
        <d v="2027-10-01T00:00:00"/>
        <d v="2027-10-02T00:00:00"/>
        <d v="2027-10-03T00:00:00"/>
        <d v="2027-10-04T00:00:00"/>
        <d v="2027-10-05T00:00:00"/>
        <d v="2027-10-06T00:00:00"/>
        <d v="2027-10-07T00:00:00"/>
        <d v="2027-10-08T00:00:00"/>
        <d v="2027-10-09T00:00:00"/>
        <d v="2027-10-10T00:00:00"/>
        <d v="2027-10-11T00:00:00"/>
        <d v="2027-10-12T00:00:00"/>
        <d v="2027-10-13T00:00:00"/>
        <d v="2027-10-14T00:00:00"/>
        <d v="2027-10-15T00:00:00"/>
        <d v="2027-10-16T00:00:00"/>
        <d v="2027-10-17T00:00:00"/>
        <d v="2027-10-18T00:00:00"/>
        <d v="2027-10-19T00:00:00"/>
        <d v="2027-10-20T00:00:00"/>
        <d v="2027-10-21T00:00:00"/>
        <d v="2027-10-22T00:00:00"/>
        <d v="2027-10-23T00:00:00"/>
        <d v="2027-10-24T00:00:00"/>
        <d v="2027-10-25T00:00:00"/>
        <d v="2027-10-26T00:00:00"/>
        <d v="2027-10-27T00:00:00"/>
        <d v="2027-10-28T00:00:00"/>
        <d v="2027-10-29T00:00:00"/>
        <d v="2027-10-30T00:00:00"/>
        <d v="2027-10-31T00:00:00"/>
        <d v="2027-11-01T00:00:00"/>
        <d v="2027-11-02T00:00:00"/>
        <d v="2027-11-03T00:00:00"/>
        <d v="2027-11-04T00:00:00"/>
        <d v="2027-11-05T00:00:00"/>
        <d v="2027-11-06T00:00:00"/>
        <d v="2027-11-07T00:00:00"/>
        <d v="2027-11-08T00:00:00"/>
        <d v="2027-11-09T00:00:00"/>
        <d v="2027-11-10T00:00:00"/>
        <d v="2027-11-11T00:00:00"/>
        <d v="2027-11-12T00:00:00"/>
        <d v="2027-11-13T00:00:00"/>
        <d v="2027-11-14T00:00:00"/>
        <d v="2027-11-15T00:00:00"/>
        <d v="2027-11-16T00:00:00"/>
        <d v="2027-11-17T00:00:00"/>
        <d v="2027-11-18T00:00:00"/>
        <d v="2027-11-19T00:00:00"/>
        <d v="2027-11-20T00:00:00"/>
        <d v="2027-11-21T00:00:00"/>
        <d v="2027-11-22T00:00:00"/>
        <d v="2027-11-23T00:00:00"/>
        <d v="2027-11-24T00:00:00"/>
        <d v="2027-11-25T00:00:00"/>
        <d v="2027-11-26T00:00:00"/>
        <d v="2027-11-27T00:00:00"/>
        <d v="2027-11-28T00:00:00"/>
        <d v="2027-11-29T00:00:00"/>
        <d v="2027-11-30T00:00:00"/>
        <d v="2027-12-01T00:00:00"/>
        <d v="2027-12-02T00:00:00"/>
        <d v="2027-12-03T00:00:00"/>
        <d v="2027-12-04T00:00:00"/>
        <d v="2027-12-05T00:00:00"/>
        <d v="2027-12-06T00:00:00"/>
        <d v="2027-12-07T00:00:00"/>
        <d v="2027-12-08T00:00:00"/>
        <d v="2027-12-09T00:00:00"/>
        <d v="2027-12-10T00:00:00"/>
        <d v="2027-12-11T00:00:00"/>
        <d v="2027-12-12T00:00:00"/>
        <d v="2027-12-13T00:00:00"/>
        <d v="2027-12-14T00:00:00"/>
        <d v="2027-12-15T00:00:00"/>
        <d v="2027-12-16T00:00:00"/>
        <d v="2027-12-17T00:00:00"/>
        <d v="2027-12-18T00:00:00"/>
        <d v="2027-12-19T00:00:00"/>
        <d v="2027-12-20T00:00:00"/>
        <d v="2027-12-21T00:00:00"/>
        <d v="2027-12-22T00:00:00"/>
        <d v="2027-12-23T00:00:00"/>
        <d v="2027-12-24T00:00:00"/>
        <d v="2027-12-25T00:00:00"/>
        <d v="2027-12-26T00:00:00"/>
        <d v="2027-12-27T00:00:00"/>
        <d v="2027-12-28T00:00:00"/>
        <d v="2027-12-29T00:00:00"/>
        <d v="2027-12-30T00:00:00"/>
        <d v="2027-12-31T00:00:00"/>
        <d v="2028-01-01T00:00:00"/>
        <d v="2028-01-02T00:00:00"/>
        <d v="2028-01-03T00:00:00"/>
        <d v="2028-01-04T00:00:00"/>
        <d v="2028-01-05T00:00:00"/>
        <d v="2028-01-06T00:00:00"/>
        <d v="2028-01-07T00:00:00"/>
        <d v="2028-01-08T00:00:00"/>
        <d v="2028-01-09T00:00:00"/>
        <d v="2028-01-10T00:00:00"/>
        <d v="2028-01-11T00:00:00"/>
        <d v="2028-01-12T00:00:00"/>
        <d v="2028-01-13T00:00:00"/>
        <d v="2028-01-14T00:00:00"/>
        <d v="2028-01-15T00:00:00"/>
        <d v="2028-01-16T00:00:00"/>
        <d v="2028-01-17T00:00:00"/>
        <d v="2028-01-18T00:00:00"/>
        <d v="2028-01-19T00:00:00"/>
        <d v="2028-01-20T00:00:00"/>
        <d v="2028-01-21T00:00:00"/>
        <d v="2028-01-22T00:00:00"/>
        <d v="2028-01-23T00:00:00"/>
        <d v="2028-01-24T00:00:00"/>
        <d v="2028-01-25T00:00:00"/>
        <d v="2028-01-26T00:00:00"/>
        <d v="2028-01-27T00:00:00"/>
        <d v="2028-01-28T00:00:00"/>
        <d v="2028-01-29T00:00:00"/>
        <d v="2028-01-30T00:00:00"/>
        <d v="2028-01-31T00:00:00"/>
        <d v="2028-02-01T00:00:00"/>
        <d v="2028-02-02T00:00:00"/>
        <d v="2028-02-03T00:00:00"/>
        <d v="2028-02-04T00:00:00"/>
        <d v="2028-02-05T00:00:00"/>
        <d v="2028-02-06T00:00:00"/>
        <d v="2028-02-07T00:00:00"/>
        <d v="2028-02-08T00:00:00"/>
        <d v="2028-02-09T00:00:00"/>
        <d v="2028-02-10T00:00:00"/>
        <d v="2028-02-11T00:00:00"/>
        <d v="2028-02-12T00:00:00"/>
        <d v="2028-02-13T00:00:00"/>
        <d v="2028-02-14T00:00:00"/>
        <d v="2028-02-15T00:00:00"/>
        <d v="2028-02-16T00:00:00"/>
        <d v="2028-02-17T00:00:00"/>
        <d v="2028-02-18T00:00:00"/>
        <d v="2028-02-19T00:00:00"/>
        <d v="2028-02-20T00:00:00"/>
        <d v="2028-02-21T00:00:00"/>
        <d v="2028-02-22T00:00:00"/>
        <d v="2028-02-23T00:00:00"/>
        <d v="2028-02-24T00:00:00"/>
        <d v="2028-02-25T00:00:00"/>
        <d v="2028-02-26T00:00:00"/>
        <d v="2028-02-27T00:00:00"/>
        <d v="2028-02-28T00:00:00"/>
        <d v="2028-02-29T00:00:00"/>
        <d v="2028-03-01T00:00:00"/>
        <d v="2028-03-02T00:00:00"/>
        <d v="2028-03-03T00:00:00"/>
        <d v="2028-03-04T00:00:00"/>
        <d v="2028-03-05T00:00:00"/>
        <d v="2028-03-06T00:00:00"/>
        <d v="2028-03-07T00:00:00"/>
        <d v="2028-03-08T00:00:00"/>
        <d v="2028-03-09T00:00:00"/>
        <d v="2028-03-10T00:00:00"/>
        <d v="2028-03-11T00:00:00"/>
        <d v="2028-03-12T00:00:00"/>
        <d v="2028-03-13T00:00:00"/>
        <d v="2028-03-14T00:00:00"/>
        <d v="2028-03-15T00:00:00"/>
        <d v="2028-03-16T00:00:00"/>
        <d v="2028-03-17T00:00:00"/>
        <d v="2028-03-18T00:00:00"/>
        <d v="2028-03-19T00:00:00"/>
        <d v="2028-03-20T00:00:00"/>
        <d v="2028-03-21T00:00:00"/>
        <d v="2028-03-22T00:00:00"/>
        <d v="2028-03-23T00:00:00"/>
        <d v="2028-03-24T00:00:00"/>
        <d v="2028-03-25T00:00:00"/>
        <d v="2028-03-26T00:00:00"/>
        <d v="2028-03-27T00:00:00"/>
        <d v="2028-03-28T00:00:00"/>
        <d v="2028-03-29T00:00:00"/>
        <d v="2028-03-30T00:00:00"/>
        <d v="2028-03-31T00:00:00"/>
        <d v="2028-04-01T00:00:00"/>
        <d v="2028-04-02T00:00:00"/>
        <d v="2028-04-03T00:00:00"/>
        <d v="2028-04-04T00:00:00"/>
        <d v="2028-04-05T00:00:00"/>
        <d v="2028-04-06T00:00:00"/>
        <d v="2028-04-07T00:00:00"/>
        <d v="2028-04-08T00:00:00"/>
        <d v="2028-04-09T00:00:00"/>
        <d v="2028-04-10T00:00:00"/>
        <d v="2028-04-11T00:00:00"/>
        <d v="2028-04-12T00:00:00"/>
        <d v="2028-04-13T00:00:00"/>
        <d v="2028-04-14T00:00:00"/>
        <d v="2028-04-15T00:00:00"/>
        <d v="2028-04-16T00:00:00"/>
        <d v="2028-04-17T00:00:00"/>
        <d v="2028-04-18T00:00:00"/>
        <d v="2028-04-19T00:00:00"/>
        <d v="2028-04-20T00:00:00"/>
        <d v="2028-04-21T00:00:00"/>
        <d v="2028-04-22T00:00:00"/>
        <d v="2028-04-23T00:00:00"/>
        <d v="2028-04-24T00:00:00"/>
        <d v="2028-04-25T00:00:00"/>
        <d v="2028-04-26T00:00:00"/>
        <d v="2028-04-27T00:00:00"/>
        <d v="2028-04-28T00:00:00"/>
        <d v="2028-04-29T00:00:00"/>
        <d v="2028-04-30T00:00:00"/>
        <d v="2028-05-01T00:00:00"/>
        <d v="2028-05-02T00:00:00"/>
        <d v="2028-05-03T00:00:00"/>
        <d v="2028-05-04T00:00:00"/>
        <d v="2028-05-05T00:00:00"/>
        <d v="2028-05-06T00:00:00"/>
        <d v="2028-05-07T00:00:00"/>
        <d v="2028-05-08T00:00:00"/>
        <d v="2028-05-09T00:00:00"/>
        <d v="2028-05-10T00:00:00"/>
        <d v="2028-05-11T00:00:00"/>
        <d v="2028-05-12T00:00:00"/>
        <d v="2028-05-13T00:00:00"/>
        <d v="2028-05-14T00:00:00"/>
        <d v="2028-05-15T00:00:00"/>
        <d v="2028-05-16T00:00:00"/>
        <d v="2028-05-17T00:00:00"/>
        <d v="2028-05-18T00:00:00"/>
        <d v="2028-05-19T00:00:00"/>
        <d v="2028-05-20T00:00:00"/>
        <d v="2028-05-21T00:00:00"/>
        <d v="2028-05-22T00:00:00"/>
        <d v="2028-05-23T00:00:00"/>
        <d v="2028-05-24T00:00:00"/>
        <d v="2028-05-25T00:00:00"/>
        <d v="2028-05-26T00:00:00"/>
        <d v="2028-05-27T00:00:00"/>
        <d v="2028-05-28T00:00:00"/>
        <d v="2028-05-29T00:00:00"/>
        <d v="2028-05-30T00:00:00"/>
        <d v="2028-05-31T00:00:00"/>
        <d v="2028-06-01T00:00:00"/>
        <d v="2028-06-02T00:00:00"/>
        <d v="2028-06-03T00:00:00"/>
        <d v="2028-06-04T00:00:00"/>
        <d v="2028-06-05T00:00:00"/>
        <d v="2028-06-06T00:00:00"/>
        <d v="2028-06-07T00:00:00"/>
        <d v="2028-06-08T00:00:00"/>
        <d v="2028-06-09T00:00:00"/>
        <d v="2028-06-10T00:00:00"/>
        <d v="2028-06-11T00:00:00"/>
        <d v="2028-06-12T00:00:00"/>
        <d v="2028-06-13T00:00:00"/>
        <d v="2028-06-14T00:00:00"/>
        <d v="2028-06-15T00:00:00"/>
        <d v="2028-06-16T00:00:00"/>
        <d v="2028-06-17T00:00:00"/>
        <d v="2028-06-18T00:00:00"/>
        <d v="2028-06-19T00:00:00"/>
        <d v="2028-06-20T00:00:00"/>
        <d v="2028-06-21T00:00:00"/>
        <d v="2028-06-22T00:00:00"/>
        <d v="2028-06-23T00:00:00"/>
        <d v="2028-06-24T00:00:00"/>
        <d v="2028-06-25T00:00:00"/>
        <d v="2028-06-26T00:00:00"/>
        <d v="2028-06-27T00:00:00"/>
        <d v="2028-06-28T00:00:00"/>
        <d v="2028-06-29T00:00:00"/>
        <d v="2028-06-30T00:00:00"/>
        <d v="2028-07-01T00:00:00"/>
        <d v="2028-07-02T00:00:00"/>
        <d v="2028-07-03T00:00:00"/>
        <d v="2028-07-04T00:00:00"/>
        <d v="2028-07-05T00:00:00"/>
        <d v="2028-07-06T00:00:00"/>
        <d v="2028-07-07T00:00:00"/>
        <d v="2028-07-08T00:00:00"/>
        <d v="2028-07-09T00:00:00"/>
        <d v="2028-07-10T00:00:00"/>
        <d v="2028-07-11T00:00:00"/>
        <d v="2028-07-12T00:00:00"/>
        <d v="2028-07-13T00:00:00"/>
        <d v="2028-07-14T00:00:00"/>
        <d v="2028-07-15T00:00:00"/>
        <d v="2028-07-16T00:00:00"/>
        <d v="2028-07-17T00:00:00"/>
        <d v="2028-07-18T00:00:00"/>
        <d v="2028-07-19T00:00:00"/>
        <d v="2028-07-20T00:00:00"/>
        <d v="2028-07-21T00:00:00"/>
        <d v="2028-07-22T00:00:00"/>
        <d v="2028-07-23T00:00:00"/>
        <d v="2028-07-24T00:00:00"/>
        <d v="2028-07-25T00:00:00"/>
        <d v="2028-07-26T00:00:00"/>
        <d v="2028-07-27T00:00:00"/>
        <d v="2028-07-28T00:00:00"/>
        <d v="2028-07-29T00:00:00"/>
        <d v="2028-07-30T00:00:00"/>
        <d v="2028-07-31T00:00:00"/>
        <d v="2028-08-01T00:00:00"/>
        <d v="2028-08-02T00:00:00"/>
        <d v="2028-08-03T00:00:00"/>
        <d v="2028-08-04T00:00:00"/>
        <d v="2028-08-05T00:00:00"/>
        <d v="2028-08-06T00:00:00"/>
        <d v="2028-08-07T00:00:00"/>
        <d v="2028-08-08T00:00:00"/>
        <d v="2028-08-09T00:00:00"/>
        <d v="2028-08-10T00:00:00"/>
        <d v="2028-08-11T00:00:00"/>
        <d v="2028-08-12T00:00:00"/>
        <d v="2028-08-13T00:00:00"/>
        <d v="2028-08-14T00:00:00"/>
        <d v="2028-08-15T00:00:00"/>
        <d v="2028-08-16T00:00:00"/>
        <d v="2028-08-17T00:00:00"/>
        <d v="2028-08-18T00:00:00"/>
        <d v="2028-08-19T00:00:00"/>
        <d v="2028-08-20T00:00:00"/>
        <d v="2028-08-21T00:00:00"/>
        <d v="2028-08-22T00:00:00"/>
        <d v="2028-08-23T00:00:00"/>
        <d v="2028-08-24T00:00:00"/>
        <d v="2028-08-25T00:00:00"/>
        <d v="2028-08-26T00:00:00"/>
        <d v="2028-08-27T00:00:00"/>
        <d v="2028-08-28T00:00:00"/>
        <d v="2028-08-29T00:00:00"/>
        <d v="2028-08-30T00:00:00"/>
        <d v="2028-08-31T00:00:00"/>
        <d v="2028-09-01T00:00:00"/>
        <d v="2028-09-02T00:00:00"/>
        <d v="2028-09-03T00:00:00"/>
        <d v="2028-09-04T00:00:00"/>
        <d v="2028-09-05T00:00:00"/>
        <d v="2028-09-06T00:00:00"/>
        <d v="2028-09-07T00:00:00"/>
        <d v="2028-09-08T00:00:00"/>
        <d v="2028-09-09T00:00:00"/>
        <d v="2028-09-10T00:00:00"/>
        <d v="2028-09-11T00:00:00"/>
        <d v="2028-09-12T00:00:00"/>
        <d v="2028-09-13T00:00:00"/>
        <d v="2028-09-14T00:00:00"/>
        <d v="2028-09-15T00:00:00"/>
        <d v="2028-09-16T00:00:00"/>
        <d v="2028-09-17T00:00:00"/>
        <d v="2028-09-18T00:00:00"/>
        <d v="2028-09-19T00:00:00"/>
        <d v="2028-09-20T00:00:00"/>
        <d v="2028-09-21T00:00:00"/>
        <d v="2028-09-22T00:00:00"/>
        <d v="2028-09-23T00:00:00"/>
        <d v="2028-09-24T00:00:00"/>
        <d v="2028-09-25T00:00:00"/>
        <d v="2028-09-26T00:00:00"/>
        <d v="2028-09-27T00:00:00"/>
        <d v="2028-09-28T00:00:00"/>
        <d v="2028-09-29T00:00:00"/>
        <d v="2028-09-30T00:00:00"/>
        <d v="2028-10-01T00:00:00"/>
        <d v="2028-10-02T00:00:00"/>
        <d v="2028-10-03T00:00:00"/>
        <d v="2028-10-04T00:00:00"/>
        <d v="2028-10-05T00:00:00"/>
        <d v="2028-10-06T00:00:00"/>
        <d v="2028-10-07T00:00:00"/>
        <d v="2028-10-08T00:00:00"/>
        <d v="2028-10-09T00:00:00"/>
        <d v="2028-10-10T00:00:00"/>
        <d v="2028-10-11T00:00:00"/>
        <d v="2028-10-12T00:00:00"/>
        <d v="2028-10-13T00:00:00"/>
        <d v="2028-10-14T00:00:00"/>
        <d v="2028-10-15T00:00:00"/>
        <d v="2028-10-16T00:00:00"/>
        <d v="2028-10-17T00:00:00"/>
        <d v="2028-10-18T00:00:00"/>
        <d v="2028-10-19T00:00:00"/>
        <d v="2028-10-20T00:00:00"/>
        <d v="2028-10-21T00:00:00"/>
        <d v="2028-10-22T00:00:00"/>
        <d v="2028-10-23T00:00:00"/>
        <d v="2028-10-24T00:00:00"/>
        <d v="2028-10-25T00:00:00"/>
        <d v="2028-10-26T00:00:00"/>
        <d v="2028-10-27T00:00:00"/>
        <d v="2028-10-28T00:00:00"/>
        <d v="2028-10-29T00:00:00"/>
        <d v="2028-10-30T00:00:00"/>
        <d v="2028-10-31T00:00:00"/>
        <d v="2028-11-01T00:00:00"/>
        <d v="2028-11-02T00:00:00"/>
        <d v="2028-11-03T00:00:00"/>
        <d v="2028-11-04T00:00:00"/>
        <d v="2028-11-05T00:00:00"/>
        <d v="2028-11-06T00:00:00"/>
        <d v="2028-11-07T00:00:00"/>
        <d v="2028-11-08T00:00:00"/>
        <d v="2028-11-09T00:00:00"/>
        <d v="2028-11-10T00:00:00"/>
        <d v="2028-11-11T00:00:00"/>
        <d v="2028-11-12T00:00:00"/>
        <d v="2028-11-13T00:00:00"/>
        <d v="2028-11-14T00:00:00"/>
        <d v="2028-11-15T00:00:00"/>
        <d v="2028-11-16T00:00:00"/>
        <d v="2028-11-17T00:00:00"/>
        <d v="2028-11-18T00:00:00"/>
        <d v="2028-11-19T00:00:00"/>
        <d v="2028-11-20T00:00:00"/>
        <d v="2028-11-21T00:00:00"/>
        <d v="2028-11-22T00:00:00"/>
        <d v="2028-11-23T00:00:00"/>
        <d v="2028-11-24T00:00:00"/>
        <d v="2028-11-25T00:00:00"/>
        <d v="2028-11-26T00:00:00"/>
        <d v="2028-11-27T00:00:00"/>
        <d v="2028-11-28T00:00:00"/>
        <d v="2028-11-29T00:00:00"/>
        <d v="2028-11-30T00:00:00"/>
        <d v="2028-12-01T00:00:00"/>
        <d v="2028-12-02T00:00:00"/>
        <d v="2028-12-03T00:00:00"/>
        <d v="2028-12-04T00:00:00"/>
        <d v="2028-12-05T00:00:00"/>
        <d v="2028-12-06T00:00:00"/>
        <d v="2028-12-07T00:00:00"/>
        <d v="2028-12-08T00:00:00"/>
        <d v="2028-12-09T00:00:00"/>
        <d v="2028-12-10T00:00:00"/>
        <d v="2028-12-11T00:00:00"/>
        <d v="2028-12-12T00:00:00"/>
        <d v="2028-12-13T00:00:00"/>
        <d v="2028-12-14T00:00:00"/>
        <d v="2028-12-15T00:00:00"/>
        <d v="2028-12-16T00:00:00"/>
        <d v="2028-12-17T00:00:00"/>
        <d v="2028-12-18T00:00:00"/>
        <d v="2028-12-19T00:00:00"/>
        <d v="2028-12-20T00:00:00"/>
        <d v="2028-12-21T00:00:00"/>
        <d v="2028-12-22T00:00:00"/>
        <d v="2028-12-23T00:00:00"/>
        <d v="2028-12-24T00:00:00"/>
        <d v="2028-12-25T00:00:00"/>
        <d v="2028-12-26T00:00:00"/>
        <d v="2028-12-27T00:00:00"/>
        <d v="2028-12-28T00:00:00"/>
        <d v="2028-12-29T00:00:00"/>
        <d v="2028-12-30T00:00:00"/>
        <d v="2028-12-31T00:00:00"/>
        <d v="2029-01-01T00:00:00"/>
        <d v="2029-01-02T00:00:00"/>
        <d v="2029-01-03T00:00:00"/>
        <d v="2029-01-04T00:00:00"/>
        <d v="2029-01-05T00:00:00"/>
        <d v="2029-01-06T00:00:00"/>
        <d v="2029-01-07T00:00:00"/>
        <d v="2029-01-08T00:00:00"/>
        <d v="2029-01-09T00:00:00"/>
        <d v="2029-01-10T00:00:00"/>
        <d v="2029-01-11T00:00:00"/>
        <d v="2029-01-12T00:00:00"/>
        <d v="2029-01-13T00:00:00"/>
        <d v="2029-01-14T00:00:00"/>
        <d v="2029-01-15T00:00:00"/>
        <d v="2029-01-16T00:00:00"/>
        <d v="2029-01-17T00:00:00"/>
        <d v="2029-01-18T00:00:00"/>
        <d v="2029-01-19T00:00:00"/>
        <d v="2029-01-20T00:00:00"/>
        <d v="2029-01-21T00:00:00"/>
        <d v="2029-01-22T00:00:00"/>
        <d v="2029-01-23T00:00:00"/>
        <d v="2029-01-24T00:00:00"/>
        <d v="2029-01-25T00:00:00"/>
        <d v="2029-01-26T00:00:00"/>
        <d v="2029-01-27T00:00:00"/>
        <d v="2029-01-28T00:00:00"/>
        <d v="2029-01-29T00:00:00"/>
        <d v="2029-01-30T00:00:00"/>
        <d v="2029-01-31T00:00:00"/>
        <d v="2029-02-01T00:00:00"/>
        <d v="2029-02-02T00:00:00"/>
        <d v="2029-02-03T00:00:00"/>
        <d v="2029-02-04T00:00:00"/>
        <d v="2029-02-05T00:00:00"/>
        <d v="2029-02-06T00:00:00"/>
        <d v="2029-02-07T00:00:00"/>
        <d v="2029-02-08T00:00:00"/>
        <d v="2029-02-09T00:00:00"/>
        <d v="2029-02-10T00:00:00"/>
        <d v="2029-02-11T00:00:00"/>
        <d v="2029-02-12T00:00:00"/>
        <d v="2029-02-13T00:00:00"/>
        <d v="2029-02-14T00:00:00"/>
        <d v="2029-02-15T00:00:00"/>
        <d v="2029-02-16T00:00:00"/>
        <d v="2029-02-17T00:00:00"/>
        <d v="2029-02-18T00:00:00"/>
        <d v="2029-02-19T00:00:00"/>
        <d v="2029-02-20T00:00:00"/>
        <d v="2029-02-21T00:00:00"/>
        <d v="2029-02-22T00:00:00"/>
        <d v="2029-02-23T00:00:00"/>
        <d v="2029-02-24T00:00:00"/>
        <d v="2029-02-25T00:00:00"/>
        <d v="2029-02-26T00:00:00"/>
        <d v="2029-02-27T00:00:00"/>
        <d v="2029-02-28T00:00:00"/>
        <d v="2029-03-01T00:00:00"/>
        <d v="2029-03-02T00:00:00"/>
        <d v="2029-03-03T00:00:00"/>
        <d v="2029-03-04T00:00:00"/>
        <d v="2029-03-05T00:00:00"/>
        <d v="2029-03-06T00:00:00"/>
        <d v="2029-03-07T00:00:00"/>
        <d v="2029-03-08T00:00:00"/>
        <d v="2029-03-09T00:00:00"/>
        <d v="2029-03-10T00:00:00"/>
        <d v="2029-03-11T00:00:00"/>
        <d v="2029-03-12T00:00:00"/>
        <d v="2029-03-13T00:00:00"/>
        <d v="2029-03-14T00:00:00"/>
        <d v="2029-03-15T00:00:00"/>
        <d v="2029-03-16T00:00:00"/>
        <d v="2029-03-17T00:00:00"/>
        <d v="2029-03-18T00:00:00"/>
        <d v="2029-03-19T00:00:00"/>
        <d v="2029-03-20T00:00:00"/>
        <d v="2029-03-21T00:00:00"/>
        <d v="2029-03-22T00:00:00"/>
        <d v="2029-03-23T00:00:00"/>
        <d v="2029-03-24T00:00:00"/>
        <d v="2029-03-25T00:00:00"/>
        <d v="2029-03-26T00:00:00"/>
        <d v="2029-03-27T00:00:00"/>
        <d v="2029-03-28T00:00:00"/>
        <d v="2029-03-29T00:00:00"/>
        <d v="2029-03-30T00:00:00"/>
        <d v="2029-03-31T00:00:00"/>
        <d v="2029-04-01T00:00:00"/>
        <d v="2029-04-02T00:00:00"/>
        <d v="2029-04-03T00:00:00"/>
        <d v="2029-04-04T00:00:00"/>
        <d v="2029-04-05T00:00:00"/>
        <d v="2029-04-06T00:00:00"/>
        <d v="2029-04-07T00:00:00"/>
        <d v="2029-04-08T00:00:00"/>
        <d v="2029-04-09T00:00:00"/>
        <d v="2029-04-10T00:00:00"/>
        <d v="2029-04-11T00:00:00"/>
        <d v="2029-04-12T00:00:00"/>
        <d v="2029-04-13T00:00:00"/>
        <d v="2029-04-14T00:00:00"/>
        <d v="2029-04-15T00:00:00"/>
        <d v="2029-04-16T00:00:00"/>
        <d v="2029-04-17T00:00:00"/>
        <d v="2029-04-18T00:00:00"/>
        <d v="2029-04-19T00:00:00"/>
        <d v="2029-04-20T00:00:00"/>
        <d v="2029-04-21T00:00:00"/>
        <d v="2029-04-22T00:00:00"/>
        <d v="2029-04-23T00:00:00"/>
        <d v="2029-04-24T00:00:00"/>
        <d v="2029-04-25T00:00:00"/>
        <d v="2029-04-26T00:00:00"/>
        <d v="2029-04-27T00:00:00"/>
        <d v="2029-04-28T00:00:00"/>
        <d v="2029-04-29T00:00:00"/>
        <d v="2029-04-30T00:00:00"/>
        <d v="2029-05-01T00:00:00"/>
        <d v="2029-05-02T00:00:00"/>
        <d v="2029-05-03T00:00:00"/>
        <d v="2029-05-04T00:00:00"/>
        <d v="2029-05-05T00:00:00"/>
        <d v="2029-05-06T00:00:00"/>
        <d v="2029-05-07T00:00:00"/>
        <d v="2029-05-08T00:00:00"/>
        <d v="2029-05-09T00:00:00"/>
        <d v="2029-05-10T00:00:00"/>
        <d v="2029-05-11T00:00:00"/>
        <d v="2029-05-12T00:00:00"/>
        <d v="2029-05-13T00:00:00"/>
        <d v="2029-05-14T00:00:00"/>
        <d v="2029-05-15T00:00:00"/>
        <d v="2029-05-16T00:00:00"/>
        <d v="2029-05-17T00:00:00"/>
        <d v="2029-05-18T00:00:00"/>
        <d v="2029-05-19T00:00:00"/>
        <d v="2029-05-20T00:00:00"/>
        <d v="2029-05-21T00:00:00"/>
        <d v="2029-05-22T00:00:00"/>
        <d v="2029-05-23T00:00:00"/>
        <d v="2029-05-24T00:00:00"/>
        <d v="2029-05-25T00:00:00"/>
        <d v="2029-05-26T00:00:00"/>
        <d v="2029-05-27T00:00:00"/>
        <d v="2029-05-28T00:00:00"/>
        <d v="2029-05-29T00:00:00"/>
        <d v="2029-05-30T00:00:00"/>
        <d v="2029-05-31T00:00:00"/>
        <d v="2029-06-01T00:00:00"/>
        <d v="2029-06-02T00:00:00"/>
        <d v="2029-06-03T00:00:00"/>
        <d v="2029-06-04T00:00:00"/>
        <d v="2029-06-05T00:00:00"/>
        <d v="2029-06-06T00:00:00"/>
        <d v="2029-06-07T00:00:00"/>
        <d v="2029-06-08T00:00:00"/>
        <d v="2029-06-09T00:00:00"/>
        <d v="2029-06-10T00:00:00"/>
        <d v="2029-06-11T00:00:00"/>
        <d v="2029-06-12T00:00:00"/>
        <d v="2029-06-13T00:00:00"/>
        <d v="2029-06-14T00:00:00"/>
        <d v="2029-06-15T00:00:00"/>
        <d v="2029-06-16T00:00:00"/>
        <d v="2029-06-17T00:00:00"/>
        <d v="2029-06-18T00:00:00"/>
        <d v="2029-06-19T00:00:00"/>
        <d v="2029-06-20T00:00:00"/>
        <d v="2029-06-21T00:00:00"/>
        <d v="2029-06-22T00:00:00"/>
        <d v="2029-06-23T00:00:00"/>
        <d v="2029-06-24T00:00:00"/>
        <d v="2029-06-25T00:00:00"/>
        <d v="2029-06-26T00:00:00"/>
        <d v="2029-06-27T00:00:00"/>
        <d v="2029-06-28T00:00:00"/>
        <d v="2029-06-29T00:00:00"/>
        <d v="2029-06-30T00:00:00"/>
        <d v="2029-07-01T00:00:00"/>
        <d v="2029-07-02T00:00:00"/>
        <d v="2029-07-03T00:00:00"/>
        <d v="2029-07-04T00:00:00"/>
        <d v="2029-07-05T00:00:00"/>
        <d v="2029-07-06T00:00:00"/>
        <d v="2029-07-07T00:00:00"/>
        <d v="2029-07-08T00:00:00"/>
        <d v="2029-07-09T00:00:00"/>
        <d v="2029-07-10T00:00:00"/>
        <d v="2029-07-11T00:00:00"/>
        <d v="2029-07-12T00:00:00"/>
        <d v="2029-07-13T00:00:00"/>
        <d v="2029-07-14T00:00:00"/>
        <d v="2029-07-15T00:00:00"/>
        <d v="2029-07-16T00:00:00"/>
        <d v="2029-07-17T00:00:00"/>
        <d v="2029-07-18T00:00:00"/>
        <d v="2029-07-19T00:00:00"/>
        <d v="2029-07-20T00:00:00"/>
        <d v="2029-07-21T00:00:00"/>
        <d v="2029-07-22T00:00:00"/>
        <d v="2029-07-23T00:00:00"/>
        <d v="2029-07-24T00:00:00"/>
        <d v="2029-07-25T00:00:00"/>
        <d v="2029-07-26T00:00:00"/>
        <d v="2029-07-27T00:00:00"/>
        <d v="2029-07-28T00:00:00"/>
        <d v="2029-07-29T00:00:00"/>
        <d v="2029-07-30T00:00:00"/>
        <d v="2029-07-31T00:00:00"/>
        <d v="2029-08-01T00:00:00"/>
        <d v="2029-08-02T00:00:00"/>
        <d v="2029-08-03T00:00:00"/>
        <d v="2029-08-04T00:00:00"/>
        <d v="2029-08-05T00:00:00"/>
        <d v="2029-08-06T00:00:00"/>
        <d v="2029-08-07T00:00:00"/>
        <d v="2029-08-08T00:00:00"/>
        <d v="2029-08-09T00:00:00"/>
        <d v="2029-08-10T00:00:00"/>
        <d v="2029-08-11T00:00:00"/>
        <d v="2029-08-12T00:00:00"/>
        <d v="2029-08-13T00:00:00"/>
        <d v="2029-08-14T00:00:00"/>
        <d v="2029-08-15T00:00:00"/>
        <d v="2029-08-16T00:00:00"/>
        <d v="2029-08-17T00:00:00"/>
        <d v="2029-08-18T00:00:00"/>
        <d v="2029-08-19T00:00:00"/>
        <d v="2029-08-20T00:00:00"/>
        <d v="2029-08-21T00:00:00"/>
        <d v="2029-08-22T00:00:00"/>
        <d v="2029-08-23T00:00:00"/>
        <d v="2029-08-24T00:00:00"/>
        <d v="2029-08-25T00:00:00"/>
        <d v="2029-08-26T00:00:00"/>
        <d v="2029-08-27T00:00:00"/>
        <d v="2029-08-28T00:00:00"/>
        <d v="2029-08-29T00:00:00"/>
        <d v="2029-08-30T00:00:00"/>
        <d v="2029-08-31T00:00:00"/>
        <d v="2029-09-01T00:00:00"/>
        <d v="2029-09-02T00:00:00"/>
        <d v="2029-09-03T00:00:00"/>
        <d v="2029-09-04T00:00:00"/>
        <d v="2029-09-05T00:00:00"/>
        <d v="2029-09-06T00:00:00"/>
        <d v="2029-09-07T00:00:00"/>
        <d v="2029-09-08T00:00:00"/>
        <d v="2029-09-09T00:00:00"/>
        <d v="2029-09-10T00:00:00"/>
        <d v="2029-09-11T00:00:00"/>
        <d v="2029-09-12T00:00:00"/>
        <d v="2029-09-13T00:00:00"/>
        <d v="2029-09-14T00:00:00"/>
        <d v="2029-09-15T00:00:00"/>
        <d v="2029-09-16T00:00:00"/>
        <d v="2029-09-17T00:00:00"/>
        <d v="2029-09-18T00:00:00"/>
        <d v="2029-09-19T00:00:00"/>
        <d v="2029-09-20T00:00:00"/>
        <d v="2029-09-21T00:00:00"/>
        <d v="2029-09-22T00:00:00"/>
        <d v="2029-09-23T00:00:00"/>
        <d v="2029-09-24T00:00:00"/>
        <d v="2029-09-25T00:00:00"/>
        <d v="2029-09-26T00:00:00"/>
        <d v="2029-09-27T00:00:00"/>
        <d v="2029-09-28T00:00:00"/>
        <d v="2029-09-29T00:00:00"/>
        <d v="2029-09-30T00:00:00"/>
        <d v="2029-10-01T00:00:00"/>
        <d v="2029-10-02T00:00:00"/>
        <d v="2029-10-03T00:00:00"/>
        <d v="2029-10-04T00:00:00"/>
        <d v="2029-10-05T00:00:00"/>
        <d v="2029-10-06T00:00:00"/>
        <d v="2029-10-07T00:00:00"/>
        <d v="2029-10-08T00:00:00"/>
        <d v="2029-10-09T00:00:00"/>
        <d v="2029-10-10T00:00:00"/>
        <d v="2029-10-11T00:00:00"/>
        <d v="2029-10-12T00:00:00"/>
        <d v="2029-10-13T00:00:00"/>
        <d v="2029-10-14T00:00:00"/>
        <d v="2029-10-15T00:00:00"/>
        <d v="2029-10-16T00:00:00"/>
        <d v="2029-10-17T00:00:00"/>
        <d v="2029-10-18T00:00:00"/>
        <d v="2029-10-19T00:00:00"/>
        <d v="2029-10-20T00:00:00"/>
        <d v="2029-10-21T00:00:00"/>
        <d v="2029-10-22T00:00:00"/>
        <d v="2029-10-23T00:00:00"/>
        <d v="2029-10-24T00:00:00"/>
        <d v="2029-10-25T00:00:00"/>
        <d v="2029-10-26T00:00:00"/>
        <d v="2029-10-27T00:00:00"/>
        <d v="2029-10-28T00:00:00"/>
        <d v="2029-10-29T00:00:00"/>
        <d v="2029-10-30T00:00:00"/>
        <d v="2029-10-31T00:00:00"/>
        <d v="2029-11-01T00:00:00"/>
        <d v="2029-11-02T00:00:00"/>
        <d v="2029-11-03T00:00:00"/>
        <d v="2029-11-04T00:00:00"/>
        <d v="2029-11-05T00:00:00"/>
        <d v="2029-11-06T00:00:00"/>
        <d v="2029-11-07T00:00:00"/>
        <d v="2029-11-08T00:00:00"/>
        <d v="2029-11-09T00:00:00"/>
        <d v="2029-11-10T00:00:00"/>
        <d v="2029-11-11T00:00:00"/>
        <d v="2029-11-12T00:00:00"/>
        <d v="2029-11-13T00:00:00"/>
        <d v="2029-11-14T00:00:00"/>
        <d v="2029-11-15T00:00:00"/>
        <d v="2029-11-16T00:00:00"/>
        <d v="2029-11-17T00:00:00"/>
        <d v="2029-11-18T00:00:00"/>
        <d v="2029-11-19T00:00:00"/>
        <d v="2029-11-20T00:00:00"/>
        <d v="2029-11-21T00:00:00"/>
        <d v="2029-11-22T00:00:00"/>
        <d v="2029-11-23T00:00:00"/>
        <d v="2029-11-24T00:00:00"/>
        <d v="2029-11-25T00:00:00"/>
        <d v="2029-11-26T00:00:00"/>
        <d v="2029-11-27T00:00:00"/>
        <d v="2029-11-28T00:00:00"/>
        <d v="2029-11-29T00:00:00"/>
        <d v="2029-11-30T00:00:00"/>
        <d v="2029-12-01T00:00:00"/>
        <d v="2029-12-02T00:00:00"/>
        <d v="2029-12-03T00:00:00"/>
        <d v="2029-12-04T00:00:00"/>
        <d v="2029-12-05T00:00:00"/>
        <d v="2029-12-06T00:00:00"/>
        <d v="2029-12-07T00:00:00"/>
        <d v="2029-12-08T00:00:00"/>
        <d v="2029-12-09T00:00:00"/>
        <d v="2029-12-10T00:00:00"/>
        <d v="2029-12-11T00:00:00"/>
        <d v="2029-12-12T00:00:00"/>
        <d v="2029-12-13T00:00:00"/>
        <d v="2029-12-14T00:00:00"/>
        <d v="2029-12-15T00:00:00"/>
        <d v="2029-12-16T00:00:00"/>
        <d v="2029-12-17T00:00:00"/>
        <d v="2029-12-18T00:00:00"/>
        <d v="2029-12-19T00:00:00"/>
        <d v="2029-12-20T00:00:00"/>
        <d v="2029-12-21T00:00:00"/>
        <d v="2029-12-22T00:00:00"/>
        <d v="2029-12-23T00:00:00"/>
        <d v="2029-12-24T00:00:00"/>
        <d v="2029-12-25T00:00:00"/>
        <d v="2029-12-26T00:00:00"/>
        <d v="2029-12-27T00:00:00"/>
        <d v="2029-12-28T00:00:00"/>
        <d v="2029-12-29T00:00:00"/>
        <d v="2029-12-30T00:00:00"/>
        <d v="2029-12-31T00:00:00"/>
        <d v="2030-01-01T00:00:00"/>
        <d v="2030-01-02T00:00:00"/>
        <d v="2030-01-03T00:00:00"/>
        <d v="2030-01-04T00:00:00"/>
        <d v="2030-01-05T00:00:00"/>
        <d v="2030-01-06T00:00:00"/>
        <d v="2030-01-07T00:00:00"/>
        <d v="2030-01-08T00:00:00"/>
        <d v="2030-01-09T00:00:00"/>
        <d v="2030-01-10T00:00:00"/>
        <d v="2030-01-11T00:00:00"/>
        <d v="2030-01-12T00:00:00"/>
        <d v="2030-01-13T00:00:00"/>
        <d v="2030-01-14T00:00:00"/>
        <d v="2030-01-15T00:00:00"/>
        <d v="2030-01-16T00:00:00"/>
        <d v="2030-01-17T00:00:00"/>
        <d v="2030-01-18T00:00:00"/>
        <d v="2030-01-19T00:00:00"/>
        <d v="2030-01-20T00:00:00"/>
        <d v="2030-01-21T00:00:00"/>
        <d v="2030-01-22T00:00:00"/>
        <d v="2030-01-23T00:00:00"/>
        <d v="2030-01-24T00:00:00"/>
        <d v="2030-01-25T00:00:00"/>
        <d v="2030-01-26T00:00:00"/>
        <d v="2030-01-27T00:00:00"/>
        <d v="2030-01-28T00:00:00"/>
        <d v="2030-01-29T00:00:00"/>
        <d v="2030-01-30T00:00:00"/>
        <d v="2030-01-31T00:00:00"/>
        <d v="2030-02-01T00:00:00"/>
        <d v="2030-02-02T00:00:00"/>
        <d v="2030-02-03T00:00:00"/>
        <d v="2030-02-04T00:00:00"/>
        <d v="2030-02-05T00:00:00"/>
        <d v="2030-02-06T00:00:00"/>
        <d v="2030-02-07T00:00:00"/>
        <d v="2030-02-08T00:00:00"/>
        <d v="2030-02-09T00:00:00"/>
        <d v="2030-02-10T00:00:00"/>
        <d v="2030-02-11T00:00:00"/>
        <d v="2030-02-12T00:00:00"/>
        <d v="2030-02-13T00:00:00"/>
        <d v="2030-02-14T00:00:00"/>
        <d v="2030-02-15T00:00:00"/>
        <d v="2030-02-16T00:00:00"/>
        <d v="2030-02-17T00:00:00"/>
        <d v="2030-02-18T00:00:00"/>
        <d v="2030-02-19T00:00:00"/>
        <d v="2030-02-20T00:00:00"/>
        <d v="2030-02-21T00:00:00"/>
        <d v="2030-02-22T00:00:00"/>
        <d v="2030-02-23T00:00:00"/>
        <d v="2030-02-24T00:00:00"/>
        <d v="2030-02-25T00:00:00"/>
        <d v="2030-02-26T00:00:00"/>
        <d v="2030-02-27T00:00:00"/>
        <d v="2030-02-28T00:00:00"/>
        <d v="2030-03-01T00:00:00"/>
        <d v="2030-03-02T00:00:00"/>
        <d v="2030-03-03T00:00:00"/>
        <d v="2030-03-04T00:00:00"/>
        <d v="2030-03-05T00:00:00"/>
        <d v="2030-03-06T00:00:00"/>
        <d v="2030-03-07T00:00:00"/>
        <d v="2030-03-08T00:00:00"/>
        <d v="2030-03-09T00:00:00"/>
        <d v="2030-03-10T00:00:00"/>
        <d v="2030-03-11T00:00:00"/>
        <d v="2030-03-12T00:00:00"/>
        <d v="2030-03-13T00:00:00"/>
        <d v="2030-03-14T00:00:00"/>
        <d v="2030-03-15T00:00:00"/>
        <d v="2030-03-16T00:00:00"/>
        <d v="2030-03-17T00:00:00"/>
        <d v="2030-03-18T00:00:00"/>
        <d v="2030-03-19T00:00:00"/>
        <d v="2030-03-20T00:00:00"/>
        <d v="2030-03-21T00:00:00"/>
        <d v="2030-03-22T00:00:00"/>
        <d v="2030-03-23T00:00:00"/>
        <d v="2030-03-24T00:00:00"/>
        <d v="2030-03-25T00:00:00"/>
        <d v="2030-03-26T00:00:00"/>
        <d v="2030-03-27T00:00:00"/>
        <d v="2030-03-28T00:00:00"/>
        <d v="2030-03-29T00:00:00"/>
        <d v="2030-03-30T00:00:00"/>
        <d v="2030-03-31T00:00:00"/>
        <d v="2030-04-01T00:00:00"/>
        <d v="2030-04-02T00:00:00"/>
        <d v="2030-04-03T00:00:00"/>
        <d v="2030-04-04T00:00:00"/>
        <d v="2030-04-05T00:00:00"/>
        <d v="2030-04-06T00:00:00"/>
        <d v="2030-04-07T00:00:00"/>
        <d v="2030-04-08T00:00:00"/>
        <d v="2030-04-09T00:00:00"/>
        <d v="2030-04-10T00:00:00"/>
        <d v="2030-04-11T00:00:00"/>
        <d v="2030-04-12T00:00:00"/>
        <d v="2030-04-13T00:00:00"/>
        <d v="2030-04-14T00:00:00"/>
        <d v="2030-04-15T00:00:00"/>
        <d v="2030-04-16T00:00:00"/>
        <d v="2030-04-17T00:00:00"/>
        <d v="2030-04-18T00:00:00"/>
        <d v="2030-04-19T00:00:00"/>
        <d v="2030-04-20T00:00:00"/>
        <d v="2030-04-21T00:00:00"/>
        <d v="2030-04-22T00:00:00"/>
        <d v="2030-04-23T00:00:00"/>
        <d v="2030-04-24T00:00:00"/>
        <d v="2030-04-25T00:00:00"/>
        <d v="2030-04-26T00:00:00"/>
        <d v="2030-04-27T00:00:00"/>
        <d v="2030-04-28T00:00:00"/>
        <d v="2030-04-29T00:00:00"/>
        <d v="2030-04-30T00:00:00"/>
        <d v="2030-05-01T00:00:00"/>
        <d v="2030-05-02T00:00:00"/>
        <d v="2030-05-03T00:00:00"/>
        <d v="2030-05-04T00:00:00"/>
        <d v="2030-05-05T00:00:00"/>
        <d v="2030-05-06T00:00:00"/>
        <d v="2030-05-07T00:00:00"/>
        <d v="2030-05-08T00:00:00"/>
        <d v="2030-05-09T00:00:00"/>
        <d v="2030-05-10T00:00:00"/>
        <d v="2030-05-11T00:00:00"/>
        <d v="2030-05-12T00:00:00"/>
        <d v="2030-05-13T00:00:00"/>
        <d v="2030-05-14T00:00:00"/>
        <d v="2030-05-15T00:00:00"/>
        <d v="2030-05-16T00:00:00"/>
        <d v="2030-05-17T00:00:00"/>
        <d v="2030-05-18T00:00:00"/>
        <d v="2030-05-19T00:00:00"/>
        <d v="2030-05-20T00:00:00"/>
        <d v="2030-05-21T00:00:00"/>
        <d v="2030-05-22T00:00:00"/>
        <d v="2030-05-23T00:00:00"/>
        <d v="2030-05-24T00:00:00"/>
        <d v="2030-05-25T00:00:00"/>
        <d v="2030-05-26T00:00:00"/>
        <d v="2030-05-27T00:00:00"/>
        <d v="2030-05-28T00:00:00"/>
        <d v="2030-05-29T00:00:00"/>
        <d v="2030-05-30T00:00:00"/>
        <d v="2030-05-31T00:00:00"/>
        <d v="2030-06-01T00:00:00"/>
        <d v="2030-06-02T00:00:00"/>
        <d v="2030-06-03T00:00:00"/>
        <d v="2030-06-04T00:00:00"/>
        <d v="2030-06-05T00:00:00"/>
        <d v="2030-06-06T00:00:00"/>
        <d v="2030-06-07T00:00:00"/>
        <d v="2030-06-08T00:00:00"/>
        <d v="2030-06-09T00:00:00"/>
        <d v="2030-06-10T00:00:00"/>
        <d v="2030-06-11T00:00:00"/>
        <d v="2030-06-12T00:00:00"/>
        <d v="2030-06-13T00:00:00"/>
        <d v="2030-06-14T00:00:00"/>
        <d v="2030-06-15T00:00:00"/>
        <d v="2030-06-16T00:00:00"/>
        <d v="2030-06-17T00:00:00"/>
        <d v="2030-06-18T00:00:00"/>
        <d v="2030-06-19T00:00:00"/>
        <d v="2030-06-20T00:00:00"/>
        <d v="2030-06-21T00:00:00"/>
        <d v="2030-06-22T00:00:00"/>
        <d v="2030-06-23T00:00:00"/>
        <d v="2030-06-24T00:00:00"/>
        <d v="2030-06-25T00:00:00"/>
        <d v="2030-06-26T00:00:00"/>
        <d v="2030-06-27T00:00:00"/>
        <d v="2030-06-28T00:00:00"/>
        <d v="2030-06-29T00:00:00"/>
        <d v="2030-06-30T00:00:00"/>
        <d v="2030-07-01T00:00:00"/>
        <d v="2030-07-02T00:00:00"/>
        <d v="2030-07-03T00:00:00"/>
        <d v="2030-07-04T00:00:00"/>
        <d v="2030-07-05T00:00:00"/>
        <d v="2030-07-06T00:00:00"/>
        <d v="2030-07-07T00:00:00"/>
        <d v="2030-07-08T00:00:00"/>
        <d v="2030-07-09T00:00:00"/>
        <d v="2030-07-10T00:00:00"/>
        <d v="2030-07-11T00:00:00"/>
        <d v="2030-07-12T00:00:00"/>
        <d v="2030-07-13T00:00:00"/>
        <d v="2030-07-14T00:00:00"/>
        <d v="2030-07-15T00:00:00"/>
        <d v="2030-07-16T00:00:00"/>
        <d v="2030-07-17T00:00:00"/>
        <d v="2030-07-18T00:00:00"/>
        <d v="2030-07-19T00:00:00"/>
        <d v="2030-07-20T00:00:00"/>
        <d v="2030-07-21T00:00:00"/>
        <d v="2030-07-22T00:00:00"/>
        <d v="2030-07-23T00:00:00"/>
        <d v="2030-07-24T00:00:00"/>
        <d v="2030-07-25T00:00:00"/>
        <d v="2030-07-26T00:00:00"/>
        <d v="2030-07-27T00:00:00"/>
        <d v="2030-07-28T00:00:00"/>
        <d v="2030-07-29T00:00:00"/>
        <d v="2030-07-30T00:00:00"/>
        <d v="2030-07-31T00:00:00"/>
        <d v="2030-08-01T00:00:00"/>
        <d v="2030-08-02T00:00:00"/>
        <d v="2030-08-03T00:00:00"/>
        <d v="2030-08-04T00:00:00"/>
        <d v="2030-08-05T00:00:00"/>
        <d v="2030-08-06T00:00:00"/>
        <d v="2030-08-07T00:00:00"/>
        <d v="2030-08-08T00:00:00"/>
        <d v="2030-08-09T00:00:00"/>
        <d v="2030-08-10T00:00:00"/>
        <d v="2030-08-11T00:00:00"/>
        <d v="2030-08-12T00:00:00"/>
        <d v="2030-08-13T00:00:00"/>
        <d v="2030-08-14T00:00:00"/>
        <d v="2030-08-15T00:00:00"/>
        <d v="2030-08-16T00:00:00"/>
        <d v="2030-08-17T00:00:00"/>
        <d v="2030-08-18T00:00:00"/>
        <d v="2030-08-19T00:00:00"/>
        <d v="2030-08-20T00:00:00"/>
        <d v="2030-08-21T00:00:00"/>
        <d v="2030-08-22T00:00:00"/>
        <d v="2030-08-23T00:00:00"/>
        <d v="2030-08-24T00:00:00"/>
        <d v="2030-08-25T00:00:00"/>
        <d v="2030-08-26T00:00:00"/>
        <d v="2030-08-27T00:00:00"/>
        <d v="2030-08-28T00:00:00"/>
        <d v="2030-08-29T00:00:00"/>
        <d v="2030-08-30T00:00:00"/>
        <d v="2030-08-31T00:00:00"/>
        <d v="2030-09-01T00:00:00"/>
        <d v="2030-09-02T00:00:00"/>
        <d v="2030-09-03T00:00:00"/>
        <d v="2030-09-04T00:00:00"/>
        <d v="2030-09-05T00:00:00"/>
        <d v="2030-09-06T00:00:00"/>
        <d v="2030-09-07T00:00:00"/>
        <d v="2030-09-08T00:00:00"/>
        <d v="2030-09-09T00:00:00"/>
        <d v="2030-09-10T00:00:00"/>
        <d v="2030-09-11T00:00:00"/>
        <d v="2030-09-12T00:00:00"/>
        <d v="2030-09-13T00:00:00"/>
        <d v="2030-09-14T00:00:00"/>
        <d v="2030-09-15T00:00:00"/>
        <d v="2030-09-16T00:00:00"/>
        <d v="2030-09-17T00:00:00"/>
        <d v="2030-09-18T00:00:00"/>
        <d v="2030-09-19T00:00:00"/>
        <d v="2030-09-20T00:00:00"/>
        <d v="2030-09-21T00:00:00"/>
        <d v="2030-09-22T00:00:00"/>
        <d v="2030-09-23T00:00:00"/>
        <d v="2030-09-24T00:00:00"/>
        <d v="2030-09-25T00:00:00"/>
        <d v="2030-09-26T00:00:00"/>
        <d v="2030-09-27T00:00:00"/>
        <d v="2030-09-28T00:00:00"/>
        <d v="2030-09-29T00:00:00"/>
        <d v="2030-09-30T00:00:00"/>
        <d v="2030-10-01T00:00:00"/>
        <d v="2030-10-02T00:00:00"/>
        <d v="2030-10-03T00:00:00"/>
        <m/>
      </sharedItems>
      <fieldGroup par="30" base="1">
        <rangePr groupBy="months" startDate="2025-04-13T00:00:00" endDate="2030-10-04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4-10-2030"/>
        </groupItems>
      </fieldGroup>
    </cacheField>
    <cacheField name="Customer_ID" numFmtId="0">
      <sharedItems containsBlank="1"/>
    </cacheField>
    <cacheField name="Customer_Name" numFmtId="0">
      <sharedItems containsBlank="1"/>
    </cacheField>
    <cacheField name="Cleancustomer name" numFmtId="0">
      <sharedItems containsBlank="1" count="256">
        <s v="Priya Singh"/>
        <s v="Nisha Nair"/>
        <s v="Sneha Iyer"/>
        <s v="Nisha Naidu"/>
        <s v="Aarav Nair"/>
        <s v="Priya Patel"/>
        <s v="Kavya Rao"/>
        <s v="Arjun Verma"/>
        <s v="Karan Shah"/>
        <s v="Nisha Iyer"/>
        <s v="Aditya Shah"/>
        <s v="Nisha Sharma"/>
        <s v="Vikram Sharma"/>
        <s v="Nisha Joshi"/>
        <s v="Nisha Shah"/>
        <s v="Vikram Rao"/>
        <s v="Sneha Singh"/>
        <s v="Vivaan Das"/>
        <s v="Vikram Bhat"/>
        <s v="Aarav Kumar"/>
        <s v="Karan Iyer"/>
        <s v="Rohan Sharma"/>
        <s v="Nisha Reddy"/>
        <s v="Rohan Rao"/>
        <s v="Nisha Bhat"/>
        <s v="Priya Naidu"/>
        <s v="Arjun Nair"/>
        <s v="Sneha Rao"/>
        <s v="Kavya Naidu"/>
        <s v="Ananya Patel"/>
        <s v="Aditya Verma"/>
        <s v="Aarav Reddy"/>
        <s v="Aditya Reddy"/>
        <s v="Rohan Iyer"/>
        <s v="Nisha Verma"/>
        <s v="Vivaan Bhat"/>
        <s v="Aarav Singh"/>
        <s v="Aarav Iyer"/>
        <s v="Meera Naidu"/>
        <s v="Rohan Patel"/>
        <s v="Vivaan Sharma"/>
        <s v="Ananya Verma"/>
        <s v="Rohan Gupta"/>
        <s v="Vivaan Kumar"/>
        <s v="Rahul Kumar"/>
        <s v="Karan Das"/>
        <s v="Priya Mehta"/>
        <s v="Rohan Singh"/>
        <s v="Meera Sharma"/>
        <s v="Sneha Sharma"/>
        <s v="Sneha Naidu"/>
        <s v="Arjun Joshi"/>
        <s v="Arjun Bhat"/>
        <s v="Diya Shah"/>
        <s v="Ananya Das"/>
        <s v="Aarav Sharma"/>
        <s v="Aarav Bhat"/>
        <s v="Vivaan Patel"/>
        <s v="Priya Bhat"/>
        <s v="Aditya Bhat"/>
        <s v="Vikram Patel"/>
        <s v="Ananya Gupta"/>
        <s v="Aarav Joshi"/>
        <s v="Diya Patel"/>
        <s v="Priya Reddy"/>
        <s v="Vivaan Nair"/>
        <s v="Karan Verma"/>
        <s v="Diya Rao"/>
        <s v="Kavya Joshi"/>
        <s v="Ishita Iyer"/>
        <s v="Aarav Verma"/>
        <s v="Ananya Iyer"/>
        <s v="Ishita Singh"/>
        <s v="Vikram Joshi"/>
        <s v="Karan Singh"/>
        <s v="Ishita Sharma"/>
        <s v="Sneha Gupta"/>
        <s v="Meera Verma"/>
        <s v="Meera Mehta"/>
        <s v="Diya Reddy"/>
        <s v="Vikram Nair"/>
        <s v="Diya Gupta"/>
        <s v="Meera Bhat"/>
        <s v="Aditya Naidu"/>
        <s v="Karan Bhat"/>
        <s v="Priya Sharma"/>
        <s v="Rahul Sharma"/>
        <s v="Diya Verma"/>
        <s v="Meera Joshi"/>
        <s v="Meera Gupta"/>
        <s v="Ishita Kumar"/>
        <s v="Diya Iyer"/>
        <s v="Ishita Joshi"/>
        <s v="Rahul Mehta"/>
        <s v="Vikram Mehta"/>
        <s v="Vivaan Mehta"/>
        <s v="Kavya Kumar"/>
        <s v="Kavya Verma"/>
        <s v="Arjun Patel"/>
        <s v="Karan Gupta"/>
        <s v="Meera Shah"/>
        <s v="Arjun Rao"/>
        <s v="Priya Gupta"/>
        <s v="Nisha Mehta"/>
        <s v="Karan Reddy"/>
        <s v="Vivaan Joshi"/>
        <s v="Kavya Sharma"/>
        <s v="Ishita Bhat"/>
        <s v="Rahul Joshi"/>
        <s v="Arjun Gupta"/>
        <s v="Sneha Kumar"/>
        <s v="Karan Kumar"/>
        <s v="Aditya Gupta"/>
        <s v="Ishita Mehta"/>
        <s v="Nisha Singh"/>
        <s v="Aditya Singh"/>
        <s v="Meera Das"/>
        <s v="Aditya Nair"/>
        <s v="Diya Joshi"/>
        <s v="Vikram Iyer"/>
        <s v="Diya Kumar"/>
        <s v="Kavya Das"/>
        <s v="Priya Joshi"/>
        <s v="Arjun Das"/>
        <s v="Aditya Sharma"/>
        <s v="Ananya Mehta"/>
        <s v="Ananya Kumar"/>
        <s v="Priya Kumar"/>
        <s v="Kavya Iyer"/>
        <s v="Karan Nair"/>
        <s v="Rohan Reddy"/>
        <s v="Vivaan Reddy"/>
        <s v="Sneha Verma"/>
        <s v="Sneha Reddy"/>
        <s v="Meera Iyer"/>
        <s v="Ishita Gupta"/>
        <s v="Karan Rao"/>
        <s v="Ishita Rao"/>
        <s v="Nisha Gupta"/>
        <s v="Karan Mehta"/>
        <s v="Rahul Gupta"/>
        <s v="Priya Das"/>
        <s v="Ananya Sharma"/>
        <s v="Aarav Naidu"/>
        <s v="Vivaan Naidu"/>
        <s v="Aditya Rao"/>
        <s v="Vikram Shah"/>
        <s v="Diya Naidu"/>
        <s v="Arjun Singh"/>
        <s v="Vikram Verma"/>
        <s v="Kavya Singh"/>
        <s v="Sneha Shah"/>
        <s v="Arjun Naidu"/>
        <s v="Ishita Reddy"/>
        <s v="Arjun Mehta"/>
        <s v="Aditya Kumar"/>
        <s v="Vivaan Shah"/>
        <s v="Arjun Reddy"/>
        <s v="Priya Rao"/>
        <s v="Vivaan Singh"/>
        <s v="Ishita Shah"/>
        <s v="Diya Mehta"/>
        <s v="Rohan Naidu"/>
        <s v="Meera Singh"/>
        <s v="Diya Bhat"/>
        <s v="Meera Nair"/>
        <s v="Kavya Mehta"/>
        <s v="Rahul Singh"/>
        <s v="Karan Naidu"/>
        <s v="Ananya Shah"/>
        <s v="Aarav Patel"/>
        <s v="Nisha Das"/>
        <s v="Rahul Bhat"/>
        <s v="Karan Patel"/>
        <s v="Ishita Verma"/>
        <s v="Rohan Bhat"/>
        <s v="Rohan Mehta"/>
        <s v="Vikram Gupta"/>
        <s v="Rohan Nair"/>
        <s v="Vivaan Iyer"/>
        <s v="Sneha Nair"/>
        <s v="Rahul Iyer"/>
        <s v="Ishita Das"/>
        <s v="Rahul Verma"/>
        <s v="Arjun Iyer"/>
        <s v="Arjun Shah"/>
        <s v="Nisha Kumar"/>
        <s v="Vikram Naidu"/>
        <s v="Arjun Kumar"/>
        <s v="Ananya Rao"/>
        <s v="Priya Verma"/>
        <s v="Sneha Patel"/>
        <s v="Vikram Singh"/>
        <s v="Kavya Gupta"/>
        <s v="Ishita Nair"/>
        <s v="Ananya Reddy"/>
        <s v="Sneha Das"/>
        <s v="Ananya Singh"/>
        <s v="Vikram Das"/>
        <s v="Rohan Shah"/>
        <s v="Vivaan Rao"/>
        <s v="Aarav Mehta"/>
        <s v="Meera Reddy"/>
        <s v="Kavya Reddy"/>
        <s v="Aarav Gupta"/>
        <s v="Ananya Joshi"/>
        <s v="Ananya Bhat"/>
        <s v="Aarav Das"/>
        <s v="Rahul Reddy"/>
        <s v="Ishita Patel"/>
        <s v="Vivaan Verma"/>
        <s v="Rahul Shah"/>
        <s v="Rohan Verma"/>
        <s v="Kavya Shah"/>
        <s v="Aditya Patel"/>
        <s v="Rahul Naidu"/>
        <s v="Rahul Rao"/>
        <s v="Priya Iyer"/>
        <s v="Ishita Naidu"/>
        <s v="Ananya Naidu"/>
        <s v="Diya Sharma"/>
        <s v="Vikram Reddy"/>
        <s v="Priya Nair"/>
        <s v="Rahul Das"/>
        <s v="Kavya Bhat"/>
        <s v="Arjun Sharma"/>
        <s v="Sneha Mehta"/>
        <s v="Kavya Patel"/>
        <s v="Priya Shah"/>
        <s v="Aditya Das"/>
        <s v="Karan Joshi"/>
        <s v="Aditya Joshi"/>
        <s v="Rohan Das"/>
        <s v="Vikram Kumar"/>
        <s v="Meera Kumar"/>
        <s v="Rohan Joshi"/>
        <s v="Karan Sharma"/>
        <s v="Diya Das"/>
        <s v="Ananya Nair"/>
        <s v="Diya Singh"/>
        <s v="Aarav Shah"/>
        <s v="Nisha Patel"/>
        <s v="Aditya Iyer"/>
        <s v="Vivaan Gupta"/>
        <s v="Meera Patel"/>
        <s v="Meera Rao"/>
        <s v="Sneha Bhat"/>
        <s v="Rahul Patel"/>
        <s v="Diya Nair"/>
        <s v="Nisha Rao"/>
        <s v="Rahul Nair"/>
        <s v="Kavya Nair"/>
        <s v="Sneha Joshi"/>
        <s v="Aarav Rao"/>
        <s v="Rohan Kumar"/>
        <m/>
      </sharedItems>
    </cacheField>
    <cacheField name="Gender" numFmtId="0">
      <sharedItems containsBlank="1" count="3">
        <s v="Female"/>
        <s v="Male"/>
        <m/>
      </sharedItems>
    </cacheField>
    <cacheField name="Age" numFmtId="0">
      <sharedItems containsString="0" containsBlank="1" containsNumber="1" containsInteger="1" minValue="18" maxValue="60" count="44">
        <n v="38"/>
        <n v="39"/>
        <n v="24"/>
        <n v="31"/>
        <n v="40"/>
        <n v="41"/>
        <n v="32"/>
        <n v="44"/>
        <n v="29"/>
        <n v="43"/>
        <n v="23"/>
        <n v="42"/>
        <n v="58"/>
        <n v="50"/>
        <n v="45"/>
        <n v="30"/>
        <n v="18"/>
        <n v="46"/>
        <n v="22"/>
        <n v="52"/>
        <n v="53"/>
        <n v="36"/>
        <n v="19"/>
        <n v="56"/>
        <n v="35"/>
        <n v="28"/>
        <n v="55"/>
        <n v="54"/>
        <n v="60"/>
        <n v="49"/>
        <n v="21"/>
        <n v="57"/>
        <n v="47"/>
        <n v="26"/>
        <n v="34"/>
        <n v="27"/>
        <n v="48"/>
        <n v="25"/>
        <n v="59"/>
        <n v="33"/>
        <n v="20"/>
        <n v="51"/>
        <n v="37"/>
        <m/>
      </sharedItems>
      <fieldGroup base="6">
        <rangePr startNum="18" endNum="60" groupInterval="10"/>
        <groupItems count="7">
          <s v="(blank)"/>
          <s v="18-27"/>
          <s v="28-37"/>
          <s v="38-47"/>
          <s v="48-57"/>
          <s v="58-67"/>
          <s v="&gt;68"/>
        </groupItems>
      </fieldGroup>
    </cacheField>
    <cacheField name="City" numFmtId="0">
      <sharedItems containsBlank="1" count="16">
        <s v="Pune"/>
        <s v="Kolkata"/>
        <s v="Kochi"/>
        <s v="Bengaluru"/>
        <s v="Chandigarh"/>
        <s v="Bhubaneswar"/>
        <s v="Guwahati"/>
        <s v="Mumbai"/>
        <s v="Mysuru"/>
        <s v="Hyderabad"/>
        <s v="Jaipur"/>
        <s v="Chennai"/>
        <s v="Delhi"/>
        <s v="Lucknow"/>
        <s v="Ahmedabad"/>
        <m/>
      </sharedItems>
    </cacheField>
    <cacheField name="Cleaned city" numFmtId="0">
      <sharedItems containsBlank="1"/>
    </cacheField>
    <cacheField name="State" numFmtId="0">
      <sharedItems containsBlank="1"/>
    </cacheField>
    <cacheField name="Region" numFmtId="0">
      <sharedItems containsBlank="1" count="5">
        <s v="West"/>
        <s v="East"/>
        <s v="South"/>
        <s v="North"/>
        <m/>
      </sharedItems>
    </cacheField>
    <cacheField name="Category" numFmtId="0">
      <sharedItems containsBlank="1" count="7">
        <s v="Fashion"/>
        <s v="Furniture"/>
        <s v="Electronics"/>
        <s v="Sports"/>
        <s v="Beauty"/>
        <s v="Home Appliances"/>
        <m/>
      </sharedItems>
    </cacheField>
    <cacheField name="Sub_Category" numFmtId="0">
      <sharedItems containsBlank="1"/>
    </cacheField>
    <cacheField name="Product" numFmtId="0">
      <sharedItems containsBlank="1" count="31">
        <s v="Sneakers"/>
        <s v="Office Chair"/>
        <s v="T-Shirt"/>
        <s v="Smartwatch"/>
        <s v="Tablet"/>
        <s v="Headphones"/>
        <s v="Bookshelf"/>
        <s v="Dumbbells"/>
        <s v="Shampoo"/>
        <s v="Vacuum Cleaner"/>
        <s v="Football"/>
        <s v="Study Table"/>
        <s v="Handbag"/>
        <s v="Smartphone"/>
        <s v="Hair Dryer"/>
        <s v="Laptop"/>
        <s v="Sofa"/>
        <s v="Tennis Racket"/>
        <s v="Electric Kettle"/>
        <s v="Jeans"/>
        <s v="Yoga Mat"/>
        <s v="Face Cream"/>
        <s v="Mixer Grinder"/>
        <s v="Cricket Bat"/>
        <s v="Bedside Table"/>
        <s v="Jacket"/>
        <s v="Air Fryer"/>
        <s v="Microwave"/>
        <s v="Makeup Kit"/>
        <s v="Perfume"/>
        <m/>
      </sharedItems>
    </cacheField>
    <cacheField name="Quantity" numFmtId="0">
      <sharedItems containsString="0" containsBlank="1" containsNumber="1" containsInteger="1" minValue="1" maxValue="5"/>
    </cacheField>
    <cacheField name="Unit_Price" numFmtId="0">
      <sharedItems containsString="0" containsBlank="1" containsNumber="1" containsInteger="1" minValue="460" maxValue="59310"/>
    </cacheField>
    <cacheField name="Discount_%" numFmtId="0">
      <sharedItems containsString="0" containsBlank="1" containsNumber="1" minValue="0" maxValue="0.3"/>
    </cacheField>
    <cacheField name="Cost" numFmtId="0">
      <sharedItems containsString="0" containsBlank="1" containsNumber="1" containsInteger="1" minValue="220" maxValue="43990"/>
    </cacheField>
    <cacheField name="Payment_Mode" numFmtId="0">
      <sharedItems containsBlank="1"/>
    </cacheField>
    <cacheField name="Order_Status" numFmtId="0">
      <sharedItems containsBlank="1"/>
    </cacheField>
    <cacheField name="Delivery_Days" numFmtId="0">
      <sharedItems containsString="0" containsBlank="1" containsNumber="1" containsInteger="1" minValue="0" maxValue="10"/>
    </cacheField>
    <cacheField name="Customer_Type" numFmtId="0">
      <sharedItems containsBlank="1"/>
    </cacheField>
    <cacheField name="Gross_sales" numFmtId="0">
      <sharedItems containsString="0" containsBlank="1" containsNumber="1" containsInteger="1" minValue="460" maxValue="288850"/>
    </cacheField>
    <cacheField name="Discount_amt" numFmtId="0">
      <sharedItems containsString="0" containsBlank="1" containsNumber="1" minValue="0" maxValue="72212.5"/>
    </cacheField>
    <cacheField name="Net_sales" numFmtId="0">
      <sharedItems containsString="0" containsBlank="1" containsNumber="1" minValue="336" maxValue="251322.5"/>
    </cacheField>
    <cacheField name="Profit" numFmtId="0">
      <sharedItems containsString="0" containsBlank="1" containsNumber="1" minValue="-4512" maxValue="211082.5"/>
    </cacheField>
    <cacheField name="Profit_Margin" numFmtId="9">
      <sharedItems containsString="0" containsBlank="1" containsNumber="1" minValue="-0.11994258067946197" maxValue="0.90157068062827228"/>
    </cacheField>
    <cacheField name="year" numFmtId="0">
      <sharedItems containsString="0" containsBlank="1" containsNumber="1" containsInteger="1" minValue="2025" maxValue="2030"/>
    </cacheField>
    <cacheField name="Month" numFmtId="0">
      <sharedItems containsBlank="1"/>
    </cacheField>
    <cacheField name="Quarter" numFmtId="0">
      <sharedItems containsBlank="1"/>
    </cacheField>
    <cacheField name="Years" numFmtId="0" databaseField="0">
      <fieldGroup base="1">
        <rangePr groupBy="years" startDate="2025-04-13T00:00:00" endDate="2030-10-04T00:00:00"/>
        <groupItems count="8">
          <s v="&lt;13-04-2025"/>
          <s v="2025"/>
          <s v="2026"/>
          <s v="2027"/>
          <s v="2028"/>
          <s v="2029"/>
          <s v="2030"/>
          <s v="&gt;04-10-203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1">
  <r>
    <s v="ORD10001"/>
    <x v="0"/>
    <s v="CUST1436"/>
    <s v="Priya Singh"/>
    <x v="0"/>
    <x v="0"/>
    <x v="0"/>
    <x v="0"/>
    <s v="Pune"/>
    <s v="Maharashtra"/>
    <x v="0"/>
    <x v="0"/>
    <s v="Sneakers"/>
    <x v="0"/>
    <n v="2"/>
    <n v="3410"/>
    <n v="0"/>
    <n v="2130"/>
    <s v="UPI"/>
    <s v="Delivered"/>
    <n v="7"/>
    <s v="New"/>
    <n v="6820"/>
    <n v="0"/>
    <n v="6820"/>
    <n v="4690"/>
    <n v="0.68768328445747806"/>
    <n v="2025"/>
    <s v="Apr"/>
    <s v="Q2"/>
  </r>
  <r>
    <s v="ORD10002"/>
    <x v="1"/>
    <s v="CUST1192"/>
    <s v="Nisha Nair"/>
    <x v="1"/>
    <x v="0"/>
    <x v="1"/>
    <x v="1"/>
    <s v="Kolkata"/>
    <s v="West Bengal"/>
    <x v="1"/>
    <x v="1"/>
    <s v="Office Chair"/>
    <x v="1"/>
    <n v="2"/>
    <n v="6400"/>
    <n v="0"/>
    <n v="4400"/>
    <s v="UPI"/>
    <s v="Delivered"/>
    <n v="4"/>
    <s v="Returning"/>
    <n v="12800"/>
    <n v="0"/>
    <n v="12800"/>
    <n v="8400"/>
    <n v="0.65625"/>
    <n v="2025"/>
    <s v="Apr"/>
    <s v="Q2"/>
  </r>
  <r>
    <s v="ORD10003"/>
    <x v="2"/>
    <s v="CUST1244"/>
    <s v="Sneha Iyer"/>
    <x v="2"/>
    <x v="1"/>
    <x v="2"/>
    <x v="2"/>
    <s v="Kochi"/>
    <s v="Kerala"/>
    <x v="2"/>
    <x v="0"/>
    <s v="T-Shirt"/>
    <x v="2"/>
    <n v="4"/>
    <n v="970"/>
    <n v="0.2"/>
    <n v="440"/>
    <s v="UPI"/>
    <s v="Delivered"/>
    <n v="3"/>
    <s v="Returning"/>
    <n v="3880"/>
    <n v="776"/>
    <n v="3104"/>
    <n v="2664"/>
    <n v="0.85824742268041232"/>
    <n v="2025"/>
    <s v="Apr"/>
    <s v="Q2"/>
  </r>
  <r>
    <s v="ORD10004"/>
    <x v="3"/>
    <s v="CUST1428"/>
    <s v="Nisha Naidu"/>
    <x v="3"/>
    <x v="1"/>
    <x v="3"/>
    <x v="3"/>
    <s v="Bengaluru"/>
    <s v="Karnataka"/>
    <x v="2"/>
    <x v="2"/>
    <s v="Smartwatch"/>
    <x v="3"/>
    <n v="1"/>
    <n v="7020"/>
    <n v="0.1"/>
    <n v="4360"/>
    <s v="Wallet"/>
    <s v="Delivered"/>
    <n v="7"/>
    <s v="New"/>
    <n v="7020"/>
    <n v="702"/>
    <n v="6318"/>
    <n v="1958"/>
    <n v="0.3099081987970877"/>
    <n v="2025"/>
    <s v="Apr"/>
    <s v="Q2"/>
  </r>
  <r>
    <s v="ORD10005"/>
    <x v="4"/>
    <s v="CUST1351"/>
    <s v="Aarav Nair"/>
    <x v="4"/>
    <x v="1"/>
    <x v="4"/>
    <x v="4"/>
    <s v="Chandigarh"/>
    <s v="Chandigarh"/>
    <x v="3"/>
    <x v="2"/>
    <s v="Tablet"/>
    <x v="4"/>
    <n v="1"/>
    <n v="21200"/>
    <n v="0.2"/>
    <n v="15280"/>
    <s v="UPI"/>
    <s v="Delivered"/>
    <n v="2"/>
    <s v="New"/>
    <n v="21200"/>
    <n v="4240"/>
    <n v="16960"/>
    <n v="1680"/>
    <n v="9.9056603773584911E-2"/>
    <n v="2025"/>
    <s v="Apr"/>
    <s v="Q2"/>
  </r>
  <r>
    <s v="ORD10006"/>
    <x v="5"/>
    <s v="CUST1301"/>
    <s v="Priya Patel"/>
    <x v="5"/>
    <x v="0"/>
    <x v="5"/>
    <x v="3"/>
    <s v="Bengaluru"/>
    <s v="Karnataka"/>
    <x v="2"/>
    <x v="2"/>
    <s v="Headphones"/>
    <x v="5"/>
    <n v="1"/>
    <n v="2580"/>
    <n v="0.2"/>
    <n v="1520"/>
    <s v="Net Banking"/>
    <s v="Delivered"/>
    <n v="6"/>
    <s v="New"/>
    <n v="2580"/>
    <n v="516"/>
    <n v="2064"/>
    <n v="544"/>
    <n v="0.26356589147286824"/>
    <n v="2025"/>
    <s v="Apr"/>
    <s v="Q2"/>
  </r>
  <r>
    <s v="ORD10007"/>
    <x v="6"/>
    <s v="CUST1328"/>
    <s v="Kavya Rao"/>
    <x v="6"/>
    <x v="1"/>
    <x v="4"/>
    <x v="5"/>
    <s v="Bhubaneswar"/>
    <s v="Odisha"/>
    <x v="1"/>
    <x v="1"/>
    <s v="Bookshelf"/>
    <x v="6"/>
    <n v="2"/>
    <n v="4820"/>
    <n v="0.1"/>
    <n v="3160"/>
    <s v="Wallet"/>
    <s v="Returned"/>
    <n v="5"/>
    <s v="New"/>
    <n v="9640"/>
    <n v="964"/>
    <n v="8676"/>
    <n v="5516"/>
    <n v="0.6357768556938681"/>
    <n v="2025"/>
    <s v="Apr"/>
    <s v="Q2"/>
  </r>
  <r>
    <s v="ORD10008"/>
    <x v="7"/>
    <s v="CUST1255"/>
    <s v="Arjun Verma"/>
    <x v="7"/>
    <x v="1"/>
    <x v="6"/>
    <x v="6"/>
    <s v="Guwahati"/>
    <s v="Assam"/>
    <x v="1"/>
    <x v="2"/>
    <s v="Smartwatch"/>
    <x v="3"/>
    <n v="1"/>
    <n v="6480"/>
    <n v="0.15"/>
    <n v="4420"/>
    <s v="Credit Card"/>
    <s v="Cancelled"/>
    <n v="0"/>
    <s v="Returning"/>
    <n v="6480"/>
    <n v="972"/>
    <n v="5508"/>
    <n v="1088"/>
    <n v="0.19753086419753085"/>
    <n v="2025"/>
    <s v="Apr"/>
    <s v="Q2"/>
  </r>
  <r>
    <s v="ORD10009"/>
    <x v="8"/>
    <s v="CUST1029"/>
    <s v="Karan Shah"/>
    <x v="8"/>
    <x v="1"/>
    <x v="1"/>
    <x v="4"/>
    <s v="Chandigarh"/>
    <s v="Chandigarh"/>
    <x v="3"/>
    <x v="3"/>
    <s v="Dumbbells"/>
    <x v="7"/>
    <n v="1"/>
    <n v="2340"/>
    <n v="0.1"/>
    <n v="1460"/>
    <s v="Credit Card"/>
    <s v="Returned"/>
    <n v="3"/>
    <s v="Returning"/>
    <n v="2340"/>
    <n v="234"/>
    <n v="2106"/>
    <n v="646"/>
    <n v="0.30674264007597341"/>
    <n v="2025"/>
    <s v="Apr"/>
    <s v="Q2"/>
  </r>
  <r>
    <s v="ORD10010"/>
    <x v="9"/>
    <s v="CUST1473"/>
    <s v="Nisha Iyer"/>
    <x v="9"/>
    <x v="1"/>
    <x v="7"/>
    <x v="5"/>
    <s v="Bhubaneswar"/>
    <s v="Odisha"/>
    <x v="1"/>
    <x v="2"/>
    <s v="Tablet"/>
    <x v="4"/>
    <n v="3"/>
    <n v="20260"/>
    <n v="0.1"/>
    <n v="15370"/>
    <s v="UPI"/>
    <s v="Delivered"/>
    <n v="3"/>
    <s v="New"/>
    <n v="60780"/>
    <n v="6078"/>
    <n v="54702"/>
    <n v="39332"/>
    <n v="0.71902307045446234"/>
    <n v="2025"/>
    <s v="Apr"/>
    <s v="Q2"/>
  </r>
  <r>
    <s v="ORD10011"/>
    <x v="10"/>
    <s v="CUST1160"/>
    <s v="Aditya Shah"/>
    <x v="10"/>
    <x v="0"/>
    <x v="8"/>
    <x v="5"/>
    <s v="Bhubaneswar"/>
    <s v="Odisha"/>
    <x v="1"/>
    <x v="4"/>
    <s v="Shampoo"/>
    <x v="8"/>
    <n v="1"/>
    <n v="480"/>
    <n v="0"/>
    <n v="230"/>
    <s v="Credit Card"/>
    <s v="Delivered"/>
    <n v="3"/>
    <s v="Returning"/>
    <n v="480"/>
    <n v="0"/>
    <n v="480"/>
    <n v="250"/>
    <n v="0.52083333333333337"/>
    <n v="2025"/>
    <s v="Apr"/>
    <s v="Q2"/>
  </r>
  <r>
    <s v="ORD10012"/>
    <x v="11"/>
    <s v="CUST1385"/>
    <s v="Nisha Sharma"/>
    <x v="11"/>
    <x v="1"/>
    <x v="9"/>
    <x v="7"/>
    <s v="Mumbai"/>
    <s v="Maharashtra"/>
    <x v="0"/>
    <x v="2"/>
    <s v="Smartwatch"/>
    <x v="3"/>
    <n v="1"/>
    <n v="6850"/>
    <n v="0.05"/>
    <n v="4640"/>
    <s v="Credit Card"/>
    <s v="Pending"/>
    <n v="3"/>
    <s v="New"/>
    <n v="6850"/>
    <n v="342.5"/>
    <n v="6507.5"/>
    <n v="1867.5"/>
    <n v="0.28697656550134459"/>
    <n v="2025"/>
    <s v="Apr"/>
    <s v="Q2"/>
  </r>
  <r>
    <s v="ORD10013"/>
    <x v="12"/>
    <s v="CUST1240"/>
    <s v="Vikram Sharma"/>
    <x v="12"/>
    <x v="1"/>
    <x v="10"/>
    <x v="1"/>
    <s v="Kolkata"/>
    <s v="West Bengal"/>
    <x v="1"/>
    <x v="5"/>
    <s v="Vacuum Cleaner"/>
    <x v="9"/>
    <n v="2"/>
    <n v="7840"/>
    <n v="0.1"/>
    <n v="5450"/>
    <s v="Debit Card"/>
    <s v="Delivered"/>
    <n v="4"/>
    <s v="Returning"/>
    <n v="15680"/>
    <n v="1568"/>
    <n v="14112"/>
    <n v="8662"/>
    <n v="0.61380385487528344"/>
    <n v="2025"/>
    <s v="Apr"/>
    <s v="Q2"/>
  </r>
  <r>
    <s v="ORD10014"/>
    <x v="13"/>
    <s v="CUST1338"/>
    <s v="Nisha Joshi"/>
    <x v="13"/>
    <x v="0"/>
    <x v="11"/>
    <x v="8"/>
    <s v="Mysuru"/>
    <s v="Karnataka"/>
    <x v="2"/>
    <x v="3"/>
    <s v="Football"/>
    <x v="10"/>
    <n v="1"/>
    <n v="1230"/>
    <n v="0.2"/>
    <n v="600"/>
    <s v="Credit Card"/>
    <s v="Delivered"/>
    <n v="2"/>
    <s v="New"/>
    <n v="1230"/>
    <n v="246"/>
    <n v="984"/>
    <n v="384"/>
    <n v="0.3902439024390244"/>
    <n v="2025"/>
    <s v="Apr"/>
    <s v="Q2"/>
  </r>
  <r>
    <s v="ORD10015"/>
    <x v="14"/>
    <s v="CUST1037"/>
    <s v="Nisha Shah"/>
    <x v="14"/>
    <x v="1"/>
    <x v="12"/>
    <x v="9"/>
    <s v="Hyderabad"/>
    <s v="Telangana"/>
    <x v="2"/>
    <x v="4"/>
    <s v="Shampoo"/>
    <x v="8"/>
    <n v="3"/>
    <n v="490"/>
    <n v="0.2"/>
    <n v="240"/>
    <s v="Net Banking"/>
    <s v="Delivered"/>
    <n v="4"/>
    <s v="Returning"/>
    <n v="1470"/>
    <n v="294"/>
    <n v="1176"/>
    <n v="936"/>
    <n v="0.79591836734693877"/>
    <n v="2025"/>
    <s v="Apr"/>
    <s v="Q2"/>
  </r>
  <r>
    <s v="ORD10016"/>
    <x v="15"/>
    <s v="CUST1227"/>
    <s v="Vikram Rao"/>
    <x v="15"/>
    <x v="0"/>
    <x v="11"/>
    <x v="1"/>
    <s v="Kolkata"/>
    <s v="West Bengal"/>
    <x v="1"/>
    <x v="1"/>
    <s v="Study Table"/>
    <x v="11"/>
    <n v="2"/>
    <n v="8430"/>
    <n v="0.3"/>
    <n v="5420"/>
    <s v="UPI"/>
    <s v="Delivered"/>
    <n v="2"/>
    <s v="Returning"/>
    <n v="16860"/>
    <n v="5058"/>
    <n v="11802"/>
    <n v="6382"/>
    <n v="0.54075580410099988"/>
    <n v="2025"/>
    <s v="Apr"/>
    <s v="Q2"/>
  </r>
  <r>
    <s v="ORD10017"/>
    <x v="16"/>
    <s v="CUST1384"/>
    <s v="Nisha Sharma"/>
    <x v="11"/>
    <x v="0"/>
    <x v="13"/>
    <x v="4"/>
    <s v="Chandigarh"/>
    <s v="Chandigarh"/>
    <x v="3"/>
    <x v="0"/>
    <s v="Handbag"/>
    <x v="12"/>
    <n v="2"/>
    <n v="2980"/>
    <n v="0.1"/>
    <n v="1580"/>
    <s v="Debit Card"/>
    <s v="Delivered"/>
    <n v="6"/>
    <s v="New"/>
    <n v="5960"/>
    <n v="596"/>
    <n v="5364"/>
    <n v="3784"/>
    <n v="0.70544369873228929"/>
    <n v="2025"/>
    <s v="Apr"/>
    <s v="Q2"/>
  </r>
  <r>
    <s v="ORD10018"/>
    <x v="17"/>
    <s v="CUST1035"/>
    <s v="Sneha Singh"/>
    <x v="16"/>
    <x v="1"/>
    <x v="14"/>
    <x v="5"/>
    <s v="Bhubaneswar"/>
    <s v="Odisha"/>
    <x v="1"/>
    <x v="3"/>
    <s v="Dumbbells"/>
    <x v="7"/>
    <n v="3"/>
    <n v="2600"/>
    <n v="0.25"/>
    <n v="1470"/>
    <s v="Debit Card"/>
    <s v="Delivered"/>
    <n v="8"/>
    <s v="Returning"/>
    <n v="7800"/>
    <n v="1950"/>
    <n v="5850"/>
    <n v="4380"/>
    <n v="0.74871794871794872"/>
    <n v="2025"/>
    <s v="Apr"/>
    <s v="Q2"/>
  </r>
  <r>
    <s v="ORD10019"/>
    <x v="18"/>
    <s v="CUST1191"/>
    <s v="Vivaan Das"/>
    <x v="17"/>
    <x v="1"/>
    <x v="13"/>
    <x v="9"/>
    <s v="Hyderabad"/>
    <s v="Telangana"/>
    <x v="2"/>
    <x v="2"/>
    <s v="Smartphone"/>
    <x v="13"/>
    <n v="1"/>
    <n v="18990"/>
    <n v="0.25"/>
    <n v="11960"/>
    <s v="UPI"/>
    <s v="Delivered"/>
    <n v="3"/>
    <s v="Returning"/>
    <n v="18990"/>
    <n v="4747.5"/>
    <n v="14242.5"/>
    <n v="2282.5"/>
    <n v="0.16025978585220291"/>
    <n v="2025"/>
    <s v="May"/>
    <s v="Q2"/>
  </r>
  <r>
    <s v="ORD10020"/>
    <x v="19"/>
    <s v="CUST1490"/>
    <s v="Vikram Bhat"/>
    <x v="18"/>
    <x v="0"/>
    <x v="13"/>
    <x v="10"/>
    <s v="Jaipur"/>
    <s v="Rajasthan"/>
    <x v="3"/>
    <x v="4"/>
    <s v="Hair Dryer"/>
    <x v="14"/>
    <n v="1"/>
    <n v="1780"/>
    <n v="0.05"/>
    <n v="1010"/>
    <s v="UPI"/>
    <s v="Delivered"/>
    <n v="4"/>
    <s v="New"/>
    <n v="1780"/>
    <n v="89"/>
    <n v="1691"/>
    <n v="681"/>
    <n v="0.40272028385570668"/>
    <n v="2025"/>
    <s v="May"/>
    <s v="Q2"/>
  </r>
  <r>
    <s v="ORD10021"/>
    <x v="20"/>
    <s v="CUST1321"/>
    <s v="Aarav Kumar"/>
    <x v="19"/>
    <x v="1"/>
    <x v="3"/>
    <x v="4"/>
    <s v="Chandigarh"/>
    <s v="Chandigarh"/>
    <x v="3"/>
    <x v="5"/>
    <s v="Vacuum Cleaner"/>
    <x v="9"/>
    <n v="2"/>
    <n v="8420"/>
    <n v="0.15"/>
    <n v="5500"/>
    <s v="UPI"/>
    <s v="Pending"/>
    <n v="5"/>
    <s v="New"/>
    <n v="16840"/>
    <n v="2526"/>
    <n v="14314"/>
    <n v="8814"/>
    <n v="0.61576079362861535"/>
    <n v="2025"/>
    <s v="May"/>
    <s v="Q2"/>
  </r>
  <r>
    <s v="ORD10022"/>
    <x v="21"/>
    <s v="CUST1342"/>
    <s v="Karan Iyer"/>
    <x v="20"/>
    <x v="1"/>
    <x v="6"/>
    <x v="7"/>
    <s v="Mumbai"/>
    <s v="Maharashtra"/>
    <x v="0"/>
    <x v="0"/>
    <s v="Handbag"/>
    <x v="12"/>
    <n v="2"/>
    <n v="2920"/>
    <n v="0.05"/>
    <n v="1620"/>
    <s v="UPI"/>
    <s v="Delivered"/>
    <n v="4"/>
    <s v="New"/>
    <n v="5840"/>
    <n v="292"/>
    <n v="5548"/>
    <n v="3928"/>
    <n v="0.70800288392213406"/>
    <n v="2025"/>
    <s v="May"/>
    <s v="Q2"/>
  </r>
  <r>
    <s v="ORD10023"/>
    <x v="22"/>
    <s v="CUST1355"/>
    <s v="Rohan Sharma"/>
    <x v="21"/>
    <x v="0"/>
    <x v="15"/>
    <x v="8"/>
    <s v="Mysuru"/>
    <s v="Karnataka"/>
    <x v="2"/>
    <x v="0"/>
    <s v="Sneakers"/>
    <x v="0"/>
    <n v="3"/>
    <n v="3370"/>
    <n v="0.1"/>
    <n v="2010"/>
    <s v="UPI"/>
    <s v="Pending"/>
    <n v="5"/>
    <s v="New"/>
    <n v="10110"/>
    <n v="1011"/>
    <n v="9099"/>
    <n v="7089"/>
    <n v="0.77909660402242009"/>
    <n v="2025"/>
    <s v="May"/>
    <s v="Q2"/>
  </r>
  <r>
    <s v="ORD10024"/>
    <x v="23"/>
    <s v="CUST1396"/>
    <s v="Nisha Reddy"/>
    <x v="22"/>
    <x v="1"/>
    <x v="16"/>
    <x v="6"/>
    <s v="Guwahati"/>
    <s v="Assam"/>
    <x v="1"/>
    <x v="2"/>
    <s v="Smartphone"/>
    <x v="13"/>
    <n v="2"/>
    <n v="17370"/>
    <n v="0.25"/>
    <n v="12800"/>
    <s v="Debit Card"/>
    <s v="Delivered"/>
    <n v="3"/>
    <s v="New"/>
    <n v="34740"/>
    <n v="8685"/>
    <n v="26055"/>
    <n v="13255"/>
    <n v="0.50873152945691802"/>
    <n v="2025"/>
    <s v="May"/>
    <s v="Q2"/>
  </r>
  <r>
    <s v="ORD10025"/>
    <x v="24"/>
    <s v="CUST1154"/>
    <s v="Rohan Rao"/>
    <x v="23"/>
    <x v="0"/>
    <x v="17"/>
    <x v="5"/>
    <s v="Bhubaneswar"/>
    <s v="Odisha"/>
    <x v="1"/>
    <x v="2"/>
    <s v="Smartphone"/>
    <x v="13"/>
    <n v="1"/>
    <n v="19380"/>
    <n v="0.05"/>
    <n v="11900"/>
    <s v="Cash on Delivery"/>
    <s v="Delivered"/>
    <n v="3"/>
    <s v="Returning"/>
    <n v="19380"/>
    <n v="969"/>
    <n v="18411"/>
    <n v="6511"/>
    <n v="0.35364727608494922"/>
    <n v="2025"/>
    <s v="May"/>
    <s v="Q2"/>
  </r>
  <r>
    <s v="ORD10026"/>
    <x v="25"/>
    <s v="CUST1222"/>
    <s v="Nisha Bhat"/>
    <x v="24"/>
    <x v="1"/>
    <x v="18"/>
    <x v="11"/>
    <s v="Chennai"/>
    <s v="Tamil Nadu"/>
    <x v="2"/>
    <x v="2"/>
    <s v="Laptop"/>
    <x v="15"/>
    <n v="2"/>
    <n v="55030"/>
    <n v="0.2"/>
    <n v="42670"/>
    <s v="UPI"/>
    <s v="Delivered"/>
    <n v="4"/>
    <s v="Returning"/>
    <n v="110060"/>
    <n v="22012"/>
    <n v="88048"/>
    <n v="45378"/>
    <n v="0.5153779756496456"/>
    <n v="2025"/>
    <s v="May"/>
    <s v="Q2"/>
  </r>
  <r>
    <s v="ORD10027"/>
    <x v="26"/>
    <s v="CUST1476"/>
    <s v="Priya Naidu"/>
    <x v="25"/>
    <x v="0"/>
    <x v="5"/>
    <x v="4"/>
    <s v="Chandigarh"/>
    <s v="Chandigarh"/>
    <x v="3"/>
    <x v="1"/>
    <s v="Sofa"/>
    <x v="16"/>
    <n v="1"/>
    <n v="29390"/>
    <n v="0.2"/>
    <n v="20760"/>
    <s v="Cash on Delivery"/>
    <s v="Delivered"/>
    <n v="2"/>
    <s v="New"/>
    <n v="29390"/>
    <n v="5878"/>
    <n v="23512"/>
    <n v="2752"/>
    <n v="0.1170466144947261"/>
    <n v="2025"/>
    <s v="May"/>
    <s v="Q2"/>
  </r>
  <r>
    <s v="ORD10028"/>
    <x v="27"/>
    <s v="CUST1397"/>
    <s v="Arjun Nair"/>
    <x v="26"/>
    <x v="1"/>
    <x v="19"/>
    <x v="0"/>
    <s v="Pune"/>
    <s v="Maharashtra"/>
    <x v="0"/>
    <x v="2"/>
    <s v="Tablet"/>
    <x v="4"/>
    <n v="3"/>
    <n v="20320"/>
    <n v="0.2"/>
    <n v="15160"/>
    <s v="UPI"/>
    <s v="Delivered"/>
    <n v="4"/>
    <s v="New"/>
    <n v="60960"/>
    <n v="12192"/>
    <n v="48768"/>
    <n v="33608"/>
    <n v="0.68914041994750652"/>
    <n v="2025"/>
    <s v="May"/>
    <s v="Q2"/>
  </r>
  <r>
    <s v="ORD10029"/>
    <x v="28"/>
    <s v="CUST1376"/>
    <s v="Sneha Rao"/>
    <x v="27"/>
    <x v="0"/>
    <x v="20"/>
    <x v="12"/>
    <s v="Delhi"/>
    <s v="Delhi"/>
    <x v="3"/>
    <x v="1"/>
    <s v="Bookshelf"/>
    <x v="6"/>
    <n v="5"/>
    <n v="4930"/>
    <n v="0.1"/>
    <n v="3290"/>
    <s v="Credit Card"/>
    <s v="Cancelled"/>
    <n v="0"/>
    <s v="New"/>
    <n v="24650"/>
    <n v="2465"/>
    <n v="22185"/>
    <n v="18895"/>
    <n v="0.85170160018030205"/>
    <n v="2025"/>
    <s v="May"/>
    <s v="Q2"/>
  </r>
  <r>
    <s v="ORD10030"/>
    <x v="29"/>
    <s v="CUST1183"/>
    <s v="Kavya Naidu"/>
    <x v="28"/>
    <x v="0"/>
    <x v="12"/>
    <x v="5"/>
    <s v="Bhubaneswar"/>
    <s v="Odisha"/>
    <x v="1"/>
    <x v="3"/>
    <s v="Tennis Racket"/>
    <x v="17"/>
    <n v="3"/>
    <n v="4370"/>
    <n v="0.2"/>
    <n v="2770"/>
    <s v="UPI"/>
    <s v="Cancelled"/>
    <n v="0"/>
    <s v="Returning"/>
    <n v="13110"/>
    <n v="2622"/>
    <n v="10488"/>
    <n v="7718"/>
    <n v="0.73588863463005338"/>
    <n v="2025"/>
    <s v="May"/>
    <s v="Q2"/>
  </r>
  <r>
    <s v="ORD10031"/>
    <x v="30"/>
    <s v="CUST1284"/>
    <s v="Karan Shah"/>
    <x v="8"/>
    <x v="0"/>
    <x v="21"/>
    <x v="12"/>
    <s v="Delhi"/>
    <s v="Delhi"/>
    <x v="3"/>
    <x v="0"/>
    <s v="Handbag"/>
    <x v="12"/>
    <n v="1"/>
    <n v="2850"/>
    <n v="0.1"/>
    <n v="1550"/>
    <s v="Net Banking"/>
    <s v="Delivered"/>
    <n v="2"/>
    <s v="Returning"/>
    <n v="2850"/>
    <n v="285"/>
    <n v="2565"/>
    <n v="1015"/>
    <n v="0.39571150097465885"/>
    <n v="2025"/>
    <s v="May"/>
    <s v="Q2"/>
  </r>
  <r>
    <s v="ORD10032"/>
    <x v="31"/>
    <s v="CUST1186"/>
    <s v="Ananya Patel"/>
    <x v="29"/>
    <x v="0"/>
    <x v="18"/>
    <x v="9"/>
    <s v="Hyderabad"/>
    <s v="Telangana"/>
    <x v="2"/>
    <x v="5"/>
    <s v="Electric Kettle"/>
    <x v="18"/>
    <n v="2"/>
    <n v="1930"/>
    <n v="0.15"/>
    <n v="980"/>
    <s v="Net Banking"/>
    <s v="Returned"/>
    <n v="3"/>
    <s v="Returning"/>
    <n v="3860"/>
    <n v="579"/>
    <n v="3281"/>
    <n v="2301"/>
    <n v="0.70131057604388902"/>
    <n v="2025"/>
    <s v="May"/>
    <s v="Q2"/>
  </r>
  <r>
    <s v="ORD10033"/>
    <x v="32"/>
    <s v="CUST1170"/>
    <s v="Aditya Verma"/>
    <x v="30"/>
    <x v="0"/>
    <x v="22"/>
    <x v="2"/>
    <s v="Kochi"/>
    <s v="Kerala"/>
    <x v="2"/>
    <x v="0"/>
    <s v="Sneakers"/>
    <x v="0"/>
    <n v="2"/>
    <n v="3700"/>
    <n v="0.2"/>
    <n v="2040"/>
    <s v="Net Banking"/>
    <s v="Delivered"/>
    <n v="3"/>
    <s v="Returning"/>
    <n v="7400"/>
    <n v="1480"/>
    <n v="5920"/>
    <n v="3880"/>
    <n v="0.65540540540540537"/>
    <n v="2025"/>
    <s v="May"/>
    <s v="Q2"/>
  </r>
  <r>
    <s v="ORD10034"/>
    <x v="33"/>
    <s v="CUST1415"/>
    <s v="Aarav Reddy"/>
    <x v="31"/>
    <x v="1"/>
    <x v="23"/>
    <x v="13"/>
    <s v="Lucknow"/>
    <s v="Uttar Pradesh"/>
    <x v="3"/>
    <x v="2"/>
    <s v="Headphones"/>
    <x v="5"/>
    <n v="1"/>
    <n v="2500"/>
    <n v="0"/>
    <n v="1500"/>
    <s v="UPI"/>
    <s v="Delivered"/>
    <n v="2"/>
    <s v="New"/>
    <n v="2500"/>
    <n v="0"/>
    <n v="2500"/>
    <n v="1000"/>
    <n v="0.4"/>
    <n v="2025"/>
    <s v="May"/>
    <s v="Q2"/>
  </r>
  <r>
    <s v="ORD10035"/>
    <x v="34"/>
    <s v="CUST1423"/>
    <s v="Aditya Reddy"/>
    <x v="32"/>
    <x v="0"/>
    <x v="11"/>
    <x v="14"/>
    <s v="Ahmedabad"/>
    <s v="Gujarat"/>
    <x v="0"/>
    <x v="0"/>
    <s v="Handbag"/>
    <x v="12"/>
    <n v="4"/>
    <n v="2580"/>
    <n v="0.25"/>
    <n v="1530"/>
    <s v="Net Banking"/>
    <s v="Delivered"/>
    <n v="10"/>
    <s v="New"/>
    <n v="10320"/>
    <n v="2580"/>
    <n v="7740"/>
    <n v="6210"/>
    <n v="0.80232558139534882"/>
    <n v="2025"/>
    <s v="May"/>
    <s v="Q2"/>
  </r>
  <r>
    <s v="ORD10036"/>
    <x v="35"/>
    <s v="CUST1164"/>
    <s v="Rohan Iyer"/>
    <x v="33"/>
    <x v="0"/>
    <x v="24"/>
    <x v="6"/>
    <s v="Guwahati"/>
    <s v="Assam"/>
    <x v="1"/>
    <x v="0"/>
    <s v="Jeans"/>
    <x v="19"/>
    <n v="2"/>
    <n v="2230"/>
    <n v="0.2"/>
    <n v="1150"/>
    <s v="UPI"/>
    <s v="Cancelled"/>
    <n v="0"/>
    <s v="Returning"/>
    <n v="4460"/>
    <n v="892"/>
    <n v="3568"/>
    <n v="2418"/>
    <n v="0.67769058295964124"/>
    <n v="2025"/>
    <s v="May"/>
    <s v="Q2"/>
  </r>
  <r>
    <s v="ORD10037"/>
    <x v="36"/>
    <s v="CUST1156"/>
    <s v="Nisha Verma"/>
    <x v="34"/>
    <x v="1"/>
    <x v="20"/>
    <x v="12"/>
    <s v="Delhi"/>
    <s v="Delhi"/>
    <x v="3"/>
    <x v="1"/>
    <s v="Sofa"/>
    <x v="16"/>
    <n v="2"/>
    <n v="26110"/>
    <n v="0.25"/>
    <n v="21500"/>
    <s v="Debit Card"/>
    <s v="Delivered"/>
    <n v="3"/>
    <s v="Returning"/>
    <n v="52220"/>
    <n v="13055"/>
    <n v="39165"/>
    <n v="17665"/>
    <n v="0.45104046980722584"/>
    <n v="2025"/>
    <s v="May"/>
    <s v="Q2"/>
  </r>
  <r>
    <s v="ORD10038"/>
    <x v="37"/>
    <s v="CUST1220"/>
    <s v="Vivaan Bhat"/>
    <x v="35"/>
    <x v="1"/>
    <x v="19"/>
    <x v="1"/>
    <s v="Kolkata"/>
    <s v="West Bengal"/>
    <x v="1"/>
    <x v="3"/>
    <s v="Yoga Mat"/>
    <x v="20"/>
    <n v="2"/>
    <n v="920"/>
    <n v="0.1"/>
    <n v="420"/>
    <s v="Net Banking"/>
    <s v="Delivered"/>
    <n v="1"/>
    <s v="Returning"/>
    <n v="1840"/>
    <n v="184"/>
    <n v="1656"/>
    <n v="1236"/>
    <n v="0.74637681159420288"/>
    <n v="2025"/>
    <s v="May"/>
    <s v="Q2"/>
  </r>
  <r>
    <s v="ORD10039"/>
    <x v="38"/>
    <s v="CUST1065"/>
    <s v="Aarav Singh"/>
    <x v="36"/>
    <x v="0"/>
    <x v="25"/>
    <x v="2"/>
    <s v="Kochi"/>
    <s v="Kerala"/>
    <x v="2"/>
    <x v="4"/>
    <s v="Face Cream"/>
    <x v="21"/>
    <n v="4"/>
    <n v="690"/>
    <n v="0.2"/>
    <n v="300"/>
    <s v="Credit Card"/>
    <s v="Delivered"/>
    <n v="1"/>
    <s v="Returning"/>
    <n v="2760"/>
    <n v="552"/>
    <n v="2208"/>
    <n v="1908"/>
    <n v="0.86413043478260865"/>
    <n v="2025"/>
    <s v="May"/>
    <s v="Q2"/>
  </r>
  <r>
    <s v="ORD10040"/>
    <x v="39"/>
    <s v="CUST1476"/>
    <s v="Aarav Iyer"/>
    <x v="37"/>
    <x v="0"/>
    <x v="26"/>
    <x v="9"/>
    <s v="Hyderabad"/>
    <s v="Telangana"/>
    <x v="2"/>
    <x v="0"/>
    <s v="Handbag"/>
    <x v="12"/>
    <n v="2"/>
    <n v="2920"/>
    <n v="0.1"/>
    <n v="1560"/>
    <s v="UPI"/>
    <s v="Delivered"/>
    <n v="3"/>
    <s v="New"/>
    <n v="5840"/>
    <n v="584"/>
    <n v="5256"/>
    <n v="3696"/>
    <n v="0.70319634703196343"/>
    <n v="2025"/>
    <s v="May"/>
    <s v="Q2"/>
  </r>
  <r>
    <s v="ORD10041"/>
    <x v="40"/>
    <s v="CUST1449"/>
    <s v="Meera Naidu"/>
    <x v="38"/>
    <x v="0"/>
    <x v="14"/>
    <x v="6"/>
    <s v="Guwahati"/>
    <s v="Assam"/>
    <x v="1"/>
    <x v="2"/>
    <s v="Laptop"/>
    <x v="15"/>
    <n v="2"/>
    <n v="54790"/>
    <n v="0.2"/>
    <n v="41190"/>
    <s v="Cash on Delivery"/>
    <s v="Pending"/>
    <n v="2"/>
    <s v="New"/>
    <n v="109580"/>
    <n v="21916"/>
    <n v="87664"/>
    <n v="46474"/>
    <n v="0.53013779886840662"/>
    <n v="2025"/>
    <s v="May"/>
    <s v="Q2"/>
  </r>
  <r>
    <s v="ORD10042"/>
    <x v="41"/>
    <s v="CUST1112"/>
    <s v="Arjun Nair"/>
    <x v="26"/>
    <x v="1"/>
    <x v="27"/>
    <x v="2"/>
    <s v="Kochi"/>
    <s v="Kerala"/>
    <x v="2"/>
    <x v="0"/>
    <s v="Sneakers"/>
    <x v="0"/>
    <n v="1"/>
    <n v="3300"/>
    <n v="0"/>
    <n v="2070"/>
    <s v="Debit Card"/>
    <s v="Delivered"/>
    <n v="3"/>
    <s v="Returning"/>
    <n v="3300"/>
    <n v="0"/>
    <n v="3300"/>
    <n v="1230"/>
    <n v="0.37272727272727274"/>
    <n v="2025"/>
    <s v="May"/>
    <s v="Q2"/>
  </r>
  <r>
    <s v="ORD10043"/>
    <x v="42"/>
    <s v="CUST1482"/>
    <s v="Rohan Patel"/>
    <x v="39"/>
    <x v="1"/>
    <x v="5"/>
    <x v="6"/>
    <s v="Guwahati"/>
    <s v="Assam"/>
    <x v="1"/>
    <x v="1"/>
    <s v="Study Table"/>
    <x v="11"/>
    <n v="3"/>
    <n v="9110"/>
    <n v="0"/>
    <n v="5840"/>
    <s v="Credit Card"/>
    <s v="Delivered"/>
    <n v="3"/>
    <s v="New"/>
    <n v="27330"/>
    <n v="0"/>
    <n v="27330"/>
    <n v="21490"/>
    <n v="0.78631540431759972"/>
    <n v="2025"/>
    <s v="May"/>
    <s v="Q2"/>
  </r>
  <r>
    <s v="ORD10044"/>
    <x v="43"/>
    <s v="CUST1262"/>
    <s v="Nisha Reddy"/>
    <x v="22"/>
    <x v="1"/>
    <x v="28"/>
    <x v="13"/>
    <s v="Lucknow"/>
    <s v="Uttar Pradesh"/>
    <x v="3"/>
    <x v="2"/>
    <s v="Headphones"/>
    <x v="5"/>
    <n v="2"/>
    <n v="2480"/>
    <n v="0.1"/>
    <n v="1490"/>
    <s v="Debit Card"/>
    <s v="Delivered"/>
    <n v="4"/>
    <s v="Returning"/>
    <n v="4960"/>
    <n v="496"/>
    <n v="4464"/>
    <n v="2974"/>
    <n v="0.66621863799283154"/>
    <n v="2025"/>
    <s v="May"/>
    <s v="Q2"/>
  </r>
  <r>
    <s v="ORD10045"/>
    <x v="44"/>
    <s v="CUST1195"/>
    <s v="Vivaan Sharma"/>
    <x v="40"/>
    <x v="1"/>
    <x v="29"/>
    <x v="8"/>
    <s v="Mysuru"/>
    <s v="Karnataka"/>
    <x v="2"/>
    <x v="0"/>
    <s v="Sneakers"/>
    <x v="0"/>
    <n v="1"/>
    <n v="3310"/>
    <n v="0.05"/>
    <n v="2030"/>
    <s v="UPI"/>
    <s v="Delivered"/>
    <n v="3"/>
    <s v="Returning"/>
    <n v="3310"/>
    <n v="165.5"/>
    <n v="3144.5"/>
    <n v="1114.5"/>
    <n v="0.35442836698998254"/>
    <n v="2025"/>
    <s v="May"/>
    <s v="Q2"/>
  </r>
  <r>
    <s v="ORD10046"/>
    <x v="45"/>
    <s v="CUST1046"/>
    <s v="Meera Naidu"/>
    <x v="38"/>
    <x v="1"/>
    <x v="7"/>
    <x v="10"/>
    <s v="Jaipur"/>
    <s v="Rajasthan"/>
    <x v="3"/>
    <x v="2"/>
    <s v="Smartphone"/>
    <x v="13"/>
    <n v="2"/>
    <n v="18030"/>
    <n v="0"/>
    <n v="12350"/>
    <s v="UPI"/>
    <s v="Returned"/>
    <n v="2"/>
    <s v="Returning"/>
    <n v="36060"/>
    <n v="0"/>
    <n v="36060"/>
    <n v="23710"/>
    <n v="0.65751525235718244"/>
    <n v="2025"/>
    <s v="May"/>
    <s v="Q2"/>
  </r>
  <r>
    <s v="ORD10047"/>
    <x v="46"/>
    <s v="CUST1180"/>
    <s v="Aditya Reddy"/>
    <x v="32"/>
    <x v="1"/>
    <x v="1"/>
    <x v="5"/>
    <s v="Bhubaneswar"/>
    <s v="Odisha"/>
    <x v="1"/>
    <x v="0"/>
    <s v="T-Shirt"/>
    <x v="2"/>
    <n v="3"/>
    <n v="830"/>
    <n v="0.05"/>
    <n v="460"/>
    <s v="Net Banking"/>
    <s v="Delivered"/>
    <n v="4"/>
    <s v="Returning"/>
    <n v="2490"/>
    <n v="124.5"/>
    <n v="2365.5"/>
    <n v="1905.5"/>
    <n v="0.80553794123863875"/>
    <n v="2025"/>
    <s v="May"/>
    <s v="Q2"/>
  </r>
  <r>
    <s v="ORD10048"/>
    <x v="47"/>
    <s v="CUST1294"/>
    <s v="Ananya Verma"/>
    <x v="41"/>
    <x v="1"/>
    <x v="11"/>
    <x v="0"/>
    <s v="Pune"/>
    <s v="Maharashtra"/>
    <x v="0"/>
    <x v="1"/>
    <s v="Study Table"/>
    <x v="11"/>
    <n v="2"/>
    <n v="8960"/>
    <n v="0"/>
    <n v="5620"/>
    <s v="UPI"/>
    <s v="Delivered"/>
    <n v="3"/>
    <s v="Returning"/>
    <n v="17920"/>
    <n v="0"/>
    <n v="17920"/>
    <n v="12300"/>
    <n v="0.6863839285714286"/>
    <n v="2025"/>
    <s v="May"/>
    <s v="Q2"/>
  </r>
  <r>
    <s v="ORD10049"/>
    <x v="48"/>
    <s v="CUST1067"/>
    <s v="Rohan Gupta"/>
    <x v="42"/>
    <x v="1"/>
    <x v="20"/>
    <x v="6"/>
    <s v="Guwahati"/>
    <s v="Assam"/>
    <x v="1"/>
    <x v="4"/>
    <s v="Face Cream"/>
    <x v="21"/>
    <n v="2"/>
    <n v="640"/>
    <n v="0.05"/>
    <n v="310"/>
    <s v="Debit Card"/>
    <s v="Delivered"/>
    <n v="3"/>
    <s v="Returning"/>
    <n v="1280"/>
    <n v="64"/>
    <n v="1216"/>
    <n v="906"/>
    <n v="0.74506578947368418"/>
    <n v="2025"/>
    <s v="May"/>
    <s v="Q2"/>
  </r>
  <r>
    <s v="ORD10050"/>
    <x v="49"/>
    <s v="CUST1289"/>
    <s v="Vivaan Kumar"/>
    <x v="43"/>
    <x v="1"/>
    <x v="10"/>
    <x v="0"/>
    <s v="Pune"/>
    <s v="Maharashtra"/>
    <x v="0"/>
    <x v="0"/>
    <s v="Sneakers"/>
    <x v="0"/>
    <n v="1"/>
    <n v="3670"/>
    <n v="0"/>
    <n v="2170"/>
    <s v="UPI"/>
    <s v="Delivered"/>
    <n v="4"/>
    <s v="Returning"/>
    <n v="3670"/>
    <n v="0"/>
    <n v="3670"/>
    <n v="1500"/>
    <n v="0.40871934604904631"/>
    <n v="2025"/>
    <s v="Jun"/>
    <s v="Q2"/>
  </r>
  <r>
    <s v="ORD10051"/>
    <x v="50"/>
    <s v="CUST1006"/>
    <s v="Rahul Kumar"/>
    <x v="44"/>
    <x v="0"/>
    <x v="30"/>
    <x v="6"/>
    <s v="Guwahati"/>
    <s v="Assam"/>
    <x v="1"/>
    <x v="5"/>
    <s v="Mixer Grinder"/>
    <x v="22"/>
    <n v="2"/>
    <n v="4350"/>
    <n v="0.2"/>
    <n v="2760"/>
    <s v="Credit Card"/>
    <s v="Delivered"/>
    <n v="5"/>
    <s v="Returning"/>
    <n v="8700"/>
    <n v="1740"/>
    <n v="6960"/>
    <n v="4200"/>
    <n v="0.60344827586206895"/>
    <n v="2025"/>
    <s v="Jun"/>
    <s v="Q2"/>
  </r>
  <r>
    <s v="ORD10052"/>
    <x v="51"/>
    <s v="CUST1410"/>
    <s v="Karan Das"/>
    <x v="45"/>
    <x v="1"/>
    <x v="13"/>
    <x v="11"/>
    <s v="Chennai"/>
    <s v="Tamil Nadu"/>
    <x v="2"/>
    <x v="2"/>
    <s v="Smartphone"/>
    <x v="13"/>
    <n v="2"/>
    <n v="17390"/>
    <n v="0.1"/>
    <n v="12070"/>
    <s v="Credit Card"/>
    <s v="Delivered"/>
    <n v="1"/>
    <s v="New"/>
    <n v="34780"/>
    <n v="3478"/>
    <n v="31302"/>
    <n v="19232"/>
    <n v="0.61440163567823147"/>
    <n v="2025"/>
    <s v="Jun"/>
    <s v="Q2"/>
  </r>
  <r>
    <s v="ORD10053"/>
    <x v="52"/>
    <s v="CUST1261"/>
    <s v="Priya Mehta"/>
    <x v="46"/>
    <x v="0"/>
    <x v="15"/>
    <x v="14"/>
    <s v="Ahmedabad"/>
    <s v="Gujarat"/>
    <x v="0"/>
    <x v="5"/>
    <s v="Mixer Grinder"/>
    <x v="22"/>
    <n v="1"/>
    <n v="3870"/>
    <n v="0"/>
    <n v="2690"/>
    <s v="Debit Card"/>
    <s v="Delivered"/>
    <n v="2"/>
    <s v="Returning"/>
    <n v="3870"/>
    <n v="0"/>
    <n v="3870"/>
    <n v="1180"/>
    <n v="0.30490956072351422"/>
    <n v="2025"/>
    <s v="Jun"/>
    <s v="Q2"/>
  </r>
  <r>
    <s v="ORD10054"/>
    <x v="53"/>
    <s v="CUST1318"/>
    <s v="Rohan Singh"/>
    <x v="47"/>
    <x v="1"/>
    <x v="25"/>
    <x v="10"/>
    <s v="Jaipur"/>
    <s v="Rajasthan"/>
    <x v="3"/>
    <x v="2"/>
    <s v="Headphones"/>
    <x v="5"/>
    <n v="1"/>
    <n v="2600"/>
    <n v="0.1"/>
    <n v="1550"/>
    <s v="UPI"/>
    <s v="Delivered"/>
    <n v="2"/>
    <s v="New"/>
    <n v="2600"/>
    <n v="260"/>
    <n v="2340"/>
    <n v="790"/>
    <n v="0.33760683760683763"/>
    <n v="2025"/>
    <s v="Jun"/>
    <s v="Q2"/>
  </r>
  <r>
    <s v="ORD10055"/>
    <x v="54"/>
    <s v="CUST1213"/>
    <s v="Meera Sharma"/>
    <x v="48"/>
    <x v="1"/>
    <x v="3"/>
    <x v="12"/>
    <s v="Delhi"/>
    <s v="Delhi"/>
    <x v="3"/>
    <x v="3"/>
    <s v="Cricket Bat"/>
    <x v="23"/>
    <n v="3"/>
    <n v="3140"/>
    <n v="0.2"/>
    <n v="1890"/>
    <s v="Credit Card"/>
    <s v="Delivered"/>
    <n v="3"/>
    <s v="Returning"/>
    <n v="9420"/>
    <n v="1884"/>
    <n v="7536"/>
    <n v="5646"/>
    <n v="0.74920382165605093"/>
    <n v="2025"/>
    <s v="Jun"/>
    <s v="Q2"/>
  </r>
  <r>
    <s v="ORD10056"/>
    <x v="55"/>
    <s v="CUST1063"/>
    <s v="Sneha Sharma"/>
    <x v="49"/>
    <x v="1"/>
    <x v="13"/>
    <x v="6"/>
    <s v="Guwahati"/>
    <s v="Assam"/>
    <x v="1"/>
    <x v="1"/>
    <s v="Bedside Table"/>
    <x v="24"/>
    <n v="4"/>
    <n v="4590"/>
    <n v="0"/>
    <n v="3030"/>
    <s v="Debit Card"/>
    <s v="Delivered"/>
    <n v="2"/>
    <s v="Returning"/>
    <n v="18360"/>
    <n v="0"/>
    <n v="18360"/>
    <n v="15330"/>
    <n v="0.83496732026143794"/>
    <n v="2025"/>
    <s v="Jun"/>
    <s v="Q2"/>
  </r>
  <r>
    <s v="ORD10057"/>
    <x v="56"/>
    <s v="CUST1111"/>
    <s v="Sneha Naidu"/>
    <x v="50"/>
    <x v="0"/>
    <x v="23"/>
    <x v="13"/>
    <s v="Lucknow"/>
    <s v="Uttar Pradesh"/>
    <x v="3"/>
    <x v="5"/>
    <s v="Mixer Grinder"/>
    <x v="22"/>
    <n v="1"/>
    <n v="4030"/>
    <n v="0.15"/>
    <n v="2570"/>
    <s v="Debit Card"/>
    <s v="Delivered"/>
    <n v="6"/>
    <s v="Returning"/>
    <n v="4030"/>
    <n v="604.5"/>
    <n v="3425.5"/>
    <n v="855.5"/>
    <n v="0.24974456283754196"/>
    <n v="2025"/>
    <s v="Jun"/>
    <s v="Q2"/>
  </r>
  <r>
    <s v="ORD10058"/>
    <x v="57"/>
    <s v="CUST1294"/>
    <s v="Arjun Joshi"/>
    <x v="51"/>
    <x v="1"/>
    <x v="5"/>
    <x v="11"/>
    <s v="Chennai"/>
    <s v="Tamil Nadu"/>
    <x v="2"/>
    <x v="1"/>
    <s v="Bedside Table"/>
    <x v="24"/>
    <n v="2"/>
    <n v="4490"/>
    <n v="0.1"/>
    <n v="2980"/>
    <s v="UPI"/>
    <s v="Delivered"/>
    <n v="4"/>
    <s v="Returning"/>
    <n v="8980"/>
    <n v="898"/>
    <n v="8082"/>
    <n v="5102"/>
    <n v="0.63127938629052216"/>
    <n v="2025"/>
    <s v="Jun"/>
    <s v="Q2"/>
  </r>
  <r>
    <s v="ORD10059"/>
    <x v="58"/>
    <s v="CUST1069"/>
    <s v="Arjun Bhat"/>
    <x v="52"/>
    <x v="0"/>
    <x v="31"/>
    <x v="7"/>
    <s v="Mumbai"/>
    <s v="Maharashtra"/>
    <x v="0"/>
    <x v="2"/>
    <s v="Laptop"/>
    <x v="15"/>
    <n v="4"/>
    <n v="51950"/>
    <n v="0.1"/>
    <n v="42020"/>
    <s v="Debit Card"/>
    <s v="Delivered"/>
    <n v="6"/>
    <s v="Returning"/>
    <n v="207800"/>
    <n v="20780"/>
    <n v="187020"/>
    <n v="145000"/>
    <n v="0.77531814779168007"/>
    <n v="2025"/>
    <s v="Jun"/>
    <s v="Q2"/>
  </r>
  <r>
    <s v="ORD10060"/>
    <x v="59"/>
    <s v="CUST1492"/>
    <s v="Diya Shah"/>
    <x v="53"/>
    <x v="0"/>
    <x v="27"/>
    <x v="14"/>
    <s v="Ahmedabad"/>
    <s v="Gujarat"/>
    <x v="0"/>
    <x v="4"/>
    <s v="Face Cream"/>
    <x v="21"/>
    <n v="2"/>
    <n v="660"/>
    <n v="0.1"/>
    <n v="310"/>
    <s v="Net Banking"/>
    <s v="Cancelled"/>
    <n v="0"/>
    <s v="New"/>
    <n v="1320"/>
    <n v="132"/>
    <n v="1188"/>
    <n v="878"/>
    <n v="0.73905723905723908"/>
    <n v="2025"/>
    <s v="Jun"/>
    <s v="Q2"/>
  </r>
  <r>
    <s v="ORD10061"/>
    <x v="60"/>
    <s v="CUST1405"/>
    <s v="Ananya Das"/>
    <x v="54"/>
    <x v="1"/>
    <x v="4"/>
    <x v="10"/>
    <s v="Jaipur"/>
    <s v="Rajasthan"/>
    <x v="3"/>
    <x v="1"/>
    <s v="Bookshelf"/>
    <x v="6"/>
    <n v="2"/>
    <n v="4920"/>
    <n v="0"/>
    <n v="3150"/>
    <s v="Cash on Delivery"/>
    <s v="Delivered"/>
    <n v="3"/>
    <s v="New"/>
    <n v="9840"/>
    <n v="0"/>
    <n v="9840"/>
    <n v="6690"/>
    <n v="0.67987804878048785"/>
    <n v="2025"/>
    <s v="Jun"/>
    <s v="Q2"/>
  </r>
  <r>
    <s v="ORD10062"/>
    <x v="61"/>
    <s v="CUST1244"/>
    <s v="Aarav Sharma"/>
    <x v="55"/>
    <x v="0"/>
    <x v="22"/>
    <x v="0"/>
    <s v="Pune"/>
    <s v="Maharashtra"/>
    <x v="0"/>
    <x v="1"/>
    <s v="Study Table"/>
    <x v="11"/>
    <n v="4"/>
    <n v="8620"/>
    <n v="0"/>
    <n v="5830"/>
    <s v="UPI"/>
    <s v="Delivered"/>
    <n v="2"/>
    <s v="Returning"/>
    <n v="34480"/>
    <n v="0"/>
    <n v="34480"/>
    <n v="28650"/>
    <n v="0.83091647331786544"/>
    <n v="2025"/>
    <s v="Jun"/>
    <s v="Q2"/>
  </r>
  <r>
    <s v="ORD10063"/>
    <x v="62"/>
    <s v="CUST1344"/>
    <s v="Aarav Bhat"/>
    <x v="56"/>
    <x v="0"/>
    <x v="28"/>
    <x v="7"/>
    <s v="Mumbai"/>
    <s v="Maharashtra"/>
    <x v="0"/>
    <x v="2"/>
    <s v="Laptop"/>
    <x v="15"/>
    <n v="2"/>
    <n v="52170"/>
    <n v="0.25"/>
    <n v="40520"/>
    <s v="Credit Card"/>
    <s v="Delivered"/>
    <n v="10"/>
    <s v="New"/>
    <n v="104340"/>
    <n v="26085"/>
    <n v="78255"/>
    <n v="37735"/>
    <n v="0.48220560986518435"/>
    <n v="2025"/>
    <s v="Jun"/>
    <s v="Q2"/>
  </r>
  <r>
    <s v="ORD10064"/>
    <x v="63"/>
    <s v="CUST1327"/>
    <s v="Vivaan Patel"/>
    <x v="57"/>
    <x v="1"/>
    <x v="4"/>
    <x v="9"/>
    <s v="Hyderabad"/>
    <s v="Telangana"/>
    <x v="2"/>
    <x v="2"/>
    <s v="Headphones"/>
    <x v="5"/>
    <n v="1"/>
    <n v="2490"/>
    <n v="0.15"/>
    <n v="1480"/>
    <s v="Net Banking"/>
    <s v="Delivered"/>
    <n v="3"/>
    <s v="New"/>
    <n v="2490"/>
    <n v="373.5"/>
    <n v="2116.5"/>
    <n v="636.5"/>
    <n v="0.30073234112922276"/>
    <n v="2025"/>
    <s v="Jun"/>
    <s v="Q2"/>
  </r>
  <r>
    <s v="ORD10065"/>
    <x v="64"/>
    <s v="CUST1175"/>
    <s v="Priya Bhat"/>
    <x v="58"/>
    <x v="0"/>
    <x v="32"/>
    <x v="7"/>
    <s v="Mumbai"/>
    <s v="Maharashtra"/>
    <x v="0"/>
    <x v="5"/>
    <s v="Vacuum Cleaner"/>
    <x v="9"/>
    <n v="1"/>
    <n v="8990"/>
    <n v="0.25"/>
    <n v="5530"/>
    <s v="UPI"/>
    <s v="Delivered"/>
    <n v="3"/>
    <s v="Returning"/>
    <n v="8990"/>
    <n v="2247.5"/>
    <n v="6742.5"/>
    <n v="1212.5"/>
    <n v="0.17982944011865035"/>
    <n v="2025"/>
    <s v="Jun"/>
    <s v="Q2"/>
  </r>
  <r>
    <s v="ORD10066"/>
    <x v="65"/>
    <s v="CUST1055"/>
    <s v="Aditya Bhat"/>
    <x v="59"/>
    <x v="0"/>
    <x v="17"/>
    <x v="14"/>
    <s v="Ahmedabad"/>
    <s v="Gujarat"/>
    <x v="0"/>
    <x v="2"/>
    <s v="Headphones"/>
    <x v="5"/>
    <n v="1"/>
    <n v="2570"/>
    <n v="0"/>
    <n v="1440"/>
    <s v="Cash on Delivery"/>
    <s v="Delivered"/>
    <n v="4"/>
    <s v="Returning"/>
    <n v="2570"/>
    <n v="0"/>
    <n v="2570"/>
    <n v="1130"/>
    <n v="0.43968871595330739"/>
    <n v="2025"/>
    <s v="Jun"/>
    <s v="Q2"/>
  </r>
  <r>
    <s v="ORD10067"/>
    <x v="66"/>
    <s v="CUST1418"/>
    <s v="Nisha Verma"/>
    <x v="34"/>
    <x v="0"/>
    <x v="29"/>
    <x v="14"/>
    <s v="Ahmedabad"/>
    <s v="Gujarat"/>
    <x v="0"/>
    <x v="5"/>
    <s v="Vacuum Cleaner"/>
    <x v="9"/>
    <n v="4"/>
    <n v="8010"/>
    <n v="0.1"/>
    <n v="5500"/>
    <s v="UPI"/>
    <s v="Delivered"/>
    <n v="5"/>
    <s v="New"/>
    <n v="32040"/>
    <n v="3204"/>
    <n v="28836"/>
    <n v="23336"/>
    <n v="0.80926619503398534"/>
    <n v="2025"/>
    <s v="Jun"/>
    <s v="Q2"/>
  </r>
  <r>
    <s v="ORD10068"/>
    <x v="67"/>
    <s v="CUST1147"/>
    <s v="Ananya Patel"/>
    <x v="29"/>
    <x v="0"/>
    <x v="17"/>
    <x v="4"/>
    <s v="Chandigarh"/>
    <s v="Chandigarh"/>
    <x v="3"/>
    <x v="4"/>
    <s v="Face Cream"/>
    <x v="21"/>
    <n v="3"/>
    <n v="630"/>
    <n v="0.05"/>
    <n v="300"/>
    <s v="Debit Card"/>
    <s v="Delivered"/>
    <n v="4"/>
    <s v="Returning"/>
    <n v="1890"/>
    <n v="94.5"/>
    <n v="1795.5"/>
    <n v="1495.5"/>
    <n v="0.83291562238930661"/>
    <n v="2025"/>
    <s v="Jun"/>
    <s v="Q2"/>
  </r>
  <r>
    <s v="ORD10069"/>
    <x v="68"/>
    <s v="CUST1222"/>
    <s v="Vikram Patel"/>
    <x v="60"/>
    <x v="0"/>
    <x v="19"/>
    <x v="11"/>
    <s v="Chennai"/>
    <s v="Tamil Nadu"/>
    <x v="2"/>
    <x v="3"/>
    <s v="Tennis Racket"/>
    <x v="17"/>
    <n v="1"/>
    <n v="4770"/>
    <n v="0.1"/>
    <n v="2910"/>
    <s v="Cash on Delivery"/>
    <s v="Delivered"/>
    <n v="1"/>
    <s v="Returning"/>
    <n v="4770"/>
    <n v="477"/>
    <n v="4293"/>
    <n v="1383"/>
    <n v="0.32215234102026558"/>
    <n v="2025"/>
    <s v="Jun"/>
    <s v="Q2"/>
  </r>
  <r>
    <s v="ORD10070"/>
    <x v="69"/>
    <s v="CUST1009"/>
    <s v="Ananya Gupta"/>
    <x v="61"/>
    <x v="0"/>
    <x v="23"/>
    <x v="10"/>
    <s v="Jaipur"/>
    <s v="Rajasthan"/>
    <x v="3"/>
    <x v="2"/>
    <s v="Headphones"/>
    <x v="5"/>
    <n v="1"/>
    <n v="2350"/>
    <n v="0.2"/>
    <n v="1530"/>
    <s v="Debit Card"/>
    <s v="Returned"/>
    <n v="4"/>
    <s v="Returning"/>
    <n v="2350"/>
    <n v="470"/>
    <n v="1880"/>
    <n v="350"/>
    <n v="0.18617021276595744"/>
    <n v="2025"/>
    <s v="Jun"/>
    <s v="Q2"/>
  </r>
  <r>
    <s v="ORD10071"/>
    <x v="70"/>
    <s v="CUST1356"/>
    <s v="Sneha Sharma"/>
    <x v="49"/>
    <x v="1"/>
    <x v="27"/>
    <x v="10"/>
    <s v="Jaipur"/>
    <s v="Rajasthan"/>
    <x v="3"/>
    <x v="0"/>
    <s v="Jacket"/>
    <x v="25"/>
    <n v="1"/>
    <n v="3870"/>
    <n v="0"/>
    <n v="2700"/>
    <s v="Net Banking"/>
    <s v="Delivered"/>
    <n v="4"/>
    <s v="New"/>
    <n v="3870"/>
    <n v="0"/>
    <n v="3870"/>
    <n v="1170"/>
    <n v="0.30232558139534882"/>
    <n v="2025"/>
    <s v="Jun"/>
    <s v="Q2"/>
  </r>
  <r>
    <s v="ORD10072"/>
    <x v="71"/>
    <s v="CUST1394"/>
    <s v="Aarav Joshi"/>
    <x v="62"/>
    <x v="1"/>
    <x v="14"/>
    <x v="5"/>
    <s v="Bhubaneswar"/>
    <s v="Odisha"/>
    <x v="1"/>
    <x v="0"/>
    <s v="T-Shirt"/>
    <x v="2"/>
    <n v="1"/>
    <n v="930"/>
    <n v="0"/>
    <n v="450"/>
    <s v="UPI"/>
    <s v="Delivered"/>
    <n v="3"/>
    <s v="New"/>
    <n v="930"/>
    <n v="0"/>
    <n v="930"/>
    <n v="480"/>
    <n v="0.5161290322580645"/>
    <n v="2025"/>
    <s v="Jun"/>
    <s v="Q2"/>
  </r>
  <r>
    <s v="ORD10073"/>
    <x v="72"/>
    <s v="CUST1164"/>
    <s v="Diya Patel"/>
    <x v="63"/>
    <x v="1"/>
    <x v="19"/>
    <x v="7"/>
    <s v="Mumbai"/>
    <s v="Maharashtra"/>
    <x v="0"/>
    <x v="0"/>
    <s v="Handbag"/>
    <x v="12"/>
    <n v="2"/>
    <n v="2700"/>
    <n v="0.1"/>
    <n v="1550"/>
    <s v="Net Banking"/>
    <s v="Returned"/>
    <n v="7"/>
    <s v="Returning"/>
    <n v="5400"/>
    <n v="540"/>
    <n v="4860"/>
    <n v="3310"/>
    <n v="0.68106995884773658"/>
    <n v="2025"/>
    <s v="Jun"/>
    <s v="Q2"/>
  </r>
  <r>
    <s v="ORD10074"/>
    <x v="73"/>
    <s v="CUST1201"/>
    <s v="Priya Reddy"/>
    <x v="64"/>
    <x v="1"/>
    <x v="33"/>
    <x v="14"/>
    <s v="Ahmedabad"/>
    <s v="Gujarat"/>
    <x v="0"/>
    <x v="4"/>
    <s v="Face Cream"/>
    <x v="21"/>
    <n v="2"/>
    <n v="660"/>
    <n v="0.1"/>
    <n v="290"/>
    <s v="UPI"/>
    <s v="Delivered"/>
    <n v="8"/>
    <s v="Returning"/>
    <n v="1320"/>
    <n v="132"/>
    <n v="1188"/>
    <n v="898"/>
    <n v="0.75589225589225584"/>
    <n v="2025"/>
    <s v="Jun"/>
    <s v="Q2"/>
  </r>
  <r>
    <s v="ORD10075"/>
    <x v="74"/>
    <s v="CUST1354"/>
    <s v="Vivaan Nair"/>
    <x v="65"/>
    <x v="1"/>
    <x v="34"/>
    <x v="12"/>
    <s v="Delhi"/>
    <s v="Delhi"/>
    <x v="3"/>
    <x v="4"/>
    <s v="Face Cream"/>
    <x v="21"/>
    <n v="1"/>
    <n v="650"/>
    <n v="0.2"/>
    <n v="310"/>
    <s v="Cash on Delivery"/>
    <s v="Delivered"/>
    <n v="4"/>
    <s v="New"/>
    <n v="650"/>
    <n v="130"/>
    <n v="520"/>
    <n v="210"/>
    <n v="0.40384615384615385"/>
    <n v="2025"/>
    <s v="Jun"/>
    <s v="Q2"/>
  </r>
  <r>
    <s v="ORD10076"/>
    <x v="75"/>
    <s v="CUST1025"/>
    <s v="Karan Verma"/>
    <x v="66"/>
    <x v="0"/>
    <x v="9"/>
    <x v="10"/>
    <s v="Jaipur"/>
    <s v="Rajasthan"/>
    <x v="3"/>
    <x v="3"/>
    <s v="Football"/>
    <x v="10"/>
    <n v="2"/>
    <n v="1300"/>
    <n v="0.1"/>
    <n v="600"/>
    <s v="unknown"/>
    <s v="Delivered"/>
    <n v="5"/>
    <s v="Returning"/>
    <n v="2600"/>
    <n v="260"/>
    <n v="2340"/>
    <n v="1740"/>
    <n v="0.74358974358974361"/>
    <n v="2025"/>
    <s v="Jun"/>
    <s v="Q2"/>
  </r>
  <r>
    <s v="ORD10077"/>
    <x v="76"/>
    <s v="CUST1315"/>
    <s v="Diya Rao"/>
    <x v="67"/>
    <x v="1"/>
    <x v="32"/>
    <x v="11"/>
    <s v="Chennai"/>
    <s v="Tamil Nadu"/>
    <x v="2"/>
    <x v="5"/>
    <s v="Air Fryer"/>
    <x v="26"/>
    <n v="2"/>
    <n v="6650"/>
    <n v="0.15"/>
    <n v="4140"/>
    <s v="Debit Card"/>
    <s v="Delivered"/>
    <n v="6"/>
    <s v="New"/>
    <n v="13300"/>
    <n v="1995"/>
    <n v="11305"/>
    <n v="7165"/>
    <n v="0.63379035824856256"/>
    <n v="2025"/>
    <s v="Jun"/>
    <s v="Q2"/>
  </r>
  <r>
    <s v="ORD10078"/>
    <x v="77"/>
    <s v="CUST1424"/>
    <s v="Kavya Joshi"/>
    <x v="68"/>
    <x v="1"/>
    <x v="23"/>
    <x v="6"/>
    <s v="Guwahati"/>
    <s v="Assam"/>
    <x v="1"/>
    <x v="5"/>
    <s v="Vacuum Cleaner"/>
    <x v="9"/>
    <n v="3"/>
    <n v="8250"/>
    <n v="0.15"/>
    <n v="5820"/>
    <s v="Debit Card"/>
    <s v="Delivered"/>
    <n v="1"/>
    <s v="New"/>
    <n v="24750"/>
    <n v="3712.5"/>
    <n v="21037.5"/>
    <n v="15217.5"/>
    <n v="0.72335115864527633"/>
    <n v="2025"/>
    <s v="Jun"/>
    <s v="Q2"/>
  </r>
  <r>
    <s v="ORD10079"/>
    <x v="78"/>
    <s v="CUST1034"/>
    <s v="Diya Shah"/>
    <x v="53"/>
    <x v="0"/>
    <x v="15"/>
    <x v="8"/>
    <s v="Mysuru"/>
    <s v="Karnataka"/>
    <x v="2"/>
    <x v="3"/>
    <s v="Yoga Mat"/>
    <x v="20"/>
    <n v="1"/>
    <n v="830"/>
    <n v="0"/>
    <n v="380"/>
    <s v="UPI"/>
    <s v="Delivered"/>
    <n v="4"/>
    <s v="Returning"/>
    <n v="830"/>
    <n v="0"/>
    <n v="830"/>
    <n v="450"/>
    <n v="0.54216867469879515"/>
    <n v="2025"/>
    <s v="Jun"/>
    <s v="Q2"/>
  </r>
  <r>
    <s v="ORD10080"/>
    <x v="79"/>
    <s v="CUST1377"/>
    <s v="Aarav Nair"/>
    <x v="4"/>
    <x v="1"/>
    <x v="23"/>
    <x v="11"/>
    <s v="Chennai"/>
    <s v="Tamil Nadu"/>
    <x v="2"/>
    <x v="4"/>
    <s v="Face Cream"/>
    <x v="21"/>
    <n v="1"/>
    <n v="630"/>
    <n v="0.05"/>
    <n v="290"/>
    <s v="UPI"/>
    <s v="Delivered"/>
    <n v="1"/>
    <s v="New"/>
    <n v="630"/>
    <n v="31.5"/>
    <n v="598.5"/>
    <n v="308.5"/>
    <n v="0.51545530492898917"/>
    <n v="2025"/>
    <s v="Jul"/>
    <s v="Q3"/>
  </r>
  <r>
    <s v="ORD10081"/>
    <x v="80"/>
    <s v="CUST1399"/>
    <s v="Ishita Iyer"/>
    <x v="69"/>
    <x v="0"/>
    <x v="8"/>
    <x v="13"/>
    <s v="Lucknow"/>
    <s v="Uttar Pradesh"/>
    <x v="3"/>
    <x v="3"/>
    <s v="Dumbbells"/>
    <x v="7"/>
    <n v="1"/>
    <n v="2540"/>
    <n v="0.3"/>
    <n v="1560"/>
    <s v="Debit Card"/>
    <s v="Cancelled"/>
    <n v="0"/>
    <s v="New"/>
    <n v="2540"/>
    <n v="762"/>
    <n v="1778"/>
    <n v="218"/>
    <n v="0.12260967379077616"/>
    <n v="2025"/>
    <s v="Jul"/>
    <s v="Q3"/>
  </r>
  <r>
    <s v="ORD10082"/>
    <x v="81"/>
    <s v="CUST1260"/>
    <s v="Aarav Verma"/>
    <x v="70"/>
    <x v="0"/>
    <x v="35"/>
    <x v="13"/>
    <s v="Lucknow"/>
    <s v="Uttar Pradesh"/>
    <x v="3"/>
    <x v="2"/>
    <s v="Laptop"/>
    <x v="15"/>
    <n v="1"/>
    <n v="59020"/>
    <n v="0.2"/>
    <n v="43260"/>
    <s v="Debit Card"/>
    <s v="Delivered"/>
    <n v="4"/>
    <s v="Returning"/>
    <n v="59020"/>
    <n v="11804"/>
    <n v="47216"/>
    <n v="3956"/>
    <n v="8.3785157573703833E-2"/>
    <n v="2025"/>
    <s v="Jul"/>
    <s v="Q3"/>
  </r>
  <r>
    <s v="ORD10083"/>
    <x v="82"/>
    <s v="CUST1378"/>
    <s v="Ananya Iyer"/>
    <x v="71"/>
    <x v="1"/>
    <x v="19"/>
    <x v="8"/>
    <s v="Mysuru"/>
    <s v="Karnataka"/>
    <x v="2"/>
    <x v="0"/>
    <s v="Jeans"/>
    <x v="19"/>
    <n v="1"/>
    <n v="2310"/>
    <n v="0.05"/>
    <n v="1170"/>
    <s v="Credit Card"/>
    <s v="Delivered"/>
    <n v="4"/>
    <s v="New"/>
    <n v="2310"/>
    <n v="115.5"/>
    <n v="2194.5"/>
    <n v="1024.5"/>
    <n v="0.46684894053315107"/>
    <n v="2025"/>
    <s v="Jul"/>
    <s v="Q3"/>
  </r>
  <r>
    <s v="ORD10084"/>
    <x v="83"/>
    <s v="CUST1267"/>
    <s v="Ishita Singh"/>
    <x v="72"/>
    <x v="1"/>
    <x v="14"/>
    <x v="1"/>
    <s v="Kolkata"/>
    <s v="West Bengal"/>
    <x v="1"/>
    <x v="5"/>
    <s v="Mixer Grinder"/>
    <x v="22"/>
    <n v="3"/>
    <n v="3890"/>
    <n v="0.05"/>
    <n v="2820"/>
    <s v="Cash on Delivery"/>
    <s v="Delivered"/>
    <n v="2"/>
    <s v="Returning"/>
    <n v="11670"/>
    <n v="583.5"/>
    <n v="11086.5"/>
    <n v="8266.5"/>
    <n v="0.74563658503585439"/>
    <n v="2025"/>
    <s v="Jul"/>
    <s v="Q3"/>
  </r>
  <r>
    <s v="ORD10085"/>
    <x v="84"/>
    <s v="CUST1328"/>
    <s v="Vikram Joshi"/>
    <x v="73"/>
    <x v="1"/>
    <x v="24"/>
    <x v="7"/>
    <s v="Mumbai"/>
    <s v="Maharashtra"/>
    <x v="0"/>
    <x v="3"/>
    <s v="Dumbbells"/>
    <x v="7"/>
    <n v="4"/>
    <n v="2700"/>
    <n v="0"/>
    <n v="1560"/>
    <s v="Credit Card"/>
    <s v="Cancelled"/>
    <n v="0"/>
    <s v="New"/>
    <n v="10800"/>
    <n v="0"/>
    <n v="10800"/>
    <n v="9240"/>
    <n v="0.85555555555555551"/>
    <n v="2025"/>
    <s v="Jul"/>
    <s v="Q3"/>
  </r>
  <r>
    <s v="ORD10086"/>
    <x v="85"/>
    <s v="CUST1354"/>
    <s v="Karan Singh"/>
    <x v="74"/>
    <x v="0"/>
    <x v="13"/>
    <x v="7"/>
    <s v="Mumbai"/>
    <s v="Maharashtra"/>
    <x v="0"/>
    <x v="0"/>
    <s v="Jacket"/>
    <x v="25"/>
    <n v="3"/>
    <n v="4450"/>
    <n v="0.15"/>
    <n v="2690"/>
    <s v="Debit Card"/>
    <s v="Delivered"/>
    <n v="4"/>
    <s v="New"/>
    <n v="13350"/>
    <n v="2002.5"/>
    <n v="11347.5"/>
    <n v="8657.5"/>
    <n v="0.76294337959903058"/>
    <n v="2025"/>
    <s v="Jul"/>
    <s v="Q3"/>
  </r>
  <r>
    <s v="ORD10087"/>
    <x v="86"/>
    <s v="CUST1188"/>
    <s v="Ishita Sharma"/>
    <x v="75"/>
    <x v="0"/>
    <x v="36"/>
    <x v="0"/>
    <s v="Pune"/>
    <s v="Maharashtra"/>
    <x v="0"/>
    <x v="2"/>
    <s v="Headphones"/>
    <x v="5"/>
    <n v="1"/>
    <n v="2660"/>
    <n v="0"/>
    <n v="1510"/>
    <s v="Cash on Delivery"/>
    <s v="Delivered"/>
    <n v="2"/>
    <s v="Returning"/>
    <n v="2660"/>
    <n v="0"/>
    <n v="2660"/>
    <n v="1150"/>
    <n v="0.43233082706766918"/>
    <n v="2025"/>
    <s v="Jul"/>
    <s v="Q3"/>
  </r>
  <r>
    <s v="ORD10088"/>
    <x v="87"/>
    <s v="CUST1046"/>
    <s v="Sneha Gupta"/>
    <x v="76"/>
    <x v="0"/>
    <x v="31"/>
    <x v="6"/>
    <s v="Guwahati"/>
    <s v="Assam"/>
    <x v="1"/>
    <x v="1"/>
    <s v="Bedside Table"/>
    <x v="24"/>
    <n v="3"/>
    <n v="4220"/>
    <n v="0.15"/>
    <n v="2910"/>
    <s v="Wallet"/>
    <s v="Delivered"/>
    <n v="4"/>
    <s v="Returning"/>
    <n v="12660"/>
    <n v="1899"/>
    <n v="10761"/>
    <n v="7851"/>
    <n v="0.7295790354056314"/>
    <n v="2025"/>
    <s v="Jul"/>
    <s v="Q3"/>
  </r>
  <r>
    <s v="ORD10089"/>
    <x v="88"/>
    <s v="CUST1037"/>
    <s v="Meera Verma"/>
    <x v="77"/>
    <x v="0"/>
    <x v="29"/>
    <x v="11"/>
    <s v="Chennai"/>
    <s v="Tamil Nadu"/>
    <x v="2"/>
    <x v="2"/>
    <s v="Headphones"/>
    <x v="5"/>
    <n v="1"/>
    <n v="2610"/>
    <n v="0.15"/>
    <n v="1500"/>
    <s v="UPI"/>
    <s v="Delivered"/>
    <n v="6"/>
    <s v="Returning"/>
    <n v="2610"/>
    <n v="391.5"/>
    <n v="2218.5"/>
    <n v="718.5"/>
    <n v="0.32386747802569305"/>
    <n v="2025"/>
    <s v="Jul"/>
    <s v="Q3"/>
  </r>
  <r>
    <s v="ORD10090"/>
    <x v="89"/>
    <s v="CUST1192"/>
    <s v="Aarav Reddy"/>
    <x v="31"/>
    <x v="1"/>
    <x v="19"/>
    <x v="11"/>
    <s v="Chennai"/>
    <s v="Tamil Nadu"/>
    <x v="2"/>
    <x v="4"/>
    <s v="Hair Dryer"/>
    <x v="14"/>
    <n v="1"/>
    <n v="1750"/>
    <n v="0.1"/>
    <n v="1030"/>
    <s v="Debit Card"/>
    <s v="Delivered"/>
    <n v="3"/>
    <s v="Returning"/>
    <n v="1750"/>
    <n v="175"/>
    <n v="1575"/>
    <n v="545"/>
    <n v="0.34603174603174602"/>
    <n v="2025"/>
    <s v="Jul"/>
    <s v="Q3"/>
  </r>
  <r>
    <s v="ORD10091"/>
    <x v="90"/>
    <s v="CUST1004"/>
    <s v="Sneha Singh"/>
    <x v="16"/>
    <x v="1"/>
    <x v="23"/>
    <x v="6"/>
    <s v="Guwahati"/>
    <s v="Assam"/>
    <x v="1"/>
    <x v="5"/>
    <s v="Microwave"/>
    <x v="27"/>
    <n v="1"/>
    <n v="12650"/>
    <n v="0.15"/>
    <n v="7980"/>
    <s v="UPI"/>
    <s v="Returned"/>
    <n v="8"/>
    <s v="Returning"/>
    <n v="12650"/>
    <n v="1897.5"/>
    <n v="10752.5"/>
    <n v="2772.5"/>
    <n v="0.25784701232271567"/>
    <n v="2025"/>
    <s v="Jul"/>
    <s v="Q3"/>
  </r>
  <r>
    <s v="ORD10092"/>
    <x v="91"/>
    <s v="CUST1092"/>
    <s v="Meera Mehta"/>
    <x v="78"/>
    <x v="0"/>
    <x v="27"/>
    <x v="13"/>
    <s v="Lucknow"/>
    <s v="Uttar Pradesh"/>
    <x v="3"/>
    <x v="3"/>
    <s v="Yoga Mat"/>
    <x v="20"/>
    <n v="1"/>
    <n v="970"/>
    <n v="0.1"/>
    <n v="420"/>
    <s v="UPI"/>
    <s v="Delivered"/>
    <n v="1"/>
    <s v="Returning"/>
    <n v="970"/>
    <n v="97"/>
    <n v="873"/>
    <n v="453"/>
    <n v="0.51890034364261173"/>
    <n v="2025"/>
    <s v="Jul"/>
    <s v="Q3"/>
  </r>
  <r>
    <s v="ORD10093"/>
    <x v="92"/>
    <s v="CUST1274"/>
    <s v="Diya Reddy"/>
    <x v="79"/>
    <x v="1"/>
    <x v="37"/>
    <x v="4"/>
    <s v="Chandigarh"/>
    <s v="Chandigarh"/>
    <x v="3"/>
    <x v="2"/>
    <s v="Smartphone"/>
    <x v="13"/>
    <n v="1"/>
    <n v="17000"/>
    <n v="0.1"/>
    <n v="12540"/>
    <s v="UPI"/>
    <s v="Delivered"/>
    <n v="3"/>
    <s v="Returning"/>
    <n v="17000"/>
    <n v="1700"/>
    <n v="15300"/>
    <n v="2760"/>
    <n v="0.1803921568627451"/>
    <n v="2025"/>
    <s v="Jul"/>
    <s v="Q3"/>
  </r>
  <r>
    <s v="ORD10094"/>
    <x v="93"/>
    <s v="CUST1316"/>
    <s v="Vikram Joshi"/>
    <x v="73"/>
    <x v="1"/>
    <x v="6"/>
    <x v="10"/>
    <s v="Jaipur"/>
    <s v="Rajasthan"/>
    <x v="3"/>
    <x v="2"/>
    <s v="Smartphone"/>
    <x v="13"/>
    <n v="2"/>
    <n v="17270"/>
    <n v="0.1"/>
    <n v="12160"/>
    <s v="UPI"/>
    <s v="Delivered"/>
    <n v="3"/>
    <s v="New"/>
    <n v="34540"/>
    <n v="3454"/>
    <n v="31086"/>
    <n v="18926"/>
    <n v="0.60882712475069167"/>
    <n v="2025"/>
    <s v="Jul"/>
    <s v="Q3"/>
  </r>
  <r>
    <s v="ORD10095"/>
    <x v="94"/>
    <s v="CUST1344"/>
    <s v="Vikram Nair"/>
    <x v="80"/>
    <x v="0"/>
    <x v="34"/>
    <x v="14"/>
    <s v="Ahmedabad"/>
    <s v="Gujarat"/>
    <x v="0"/>
    <x v="0"/>
    <s v="T-Shirt"/>
    <x v="2"/>
    <n v="2"/>
    <n v="910"/>
    <n v="0.05"/>
    <n v="460"/>
    <s v="Net Banking"/>
    <s v="Delivered"/>
    <n v="1"/>
    <s v="New"/>
    <n v="1820"/>
    <n v="91"/>
    <n v="1729"/>
    <n v="1269"/>
    <n v="0.7339502602660497"/>
    <n v="2025"/>
    <s v="Jul"/>
    <s v="Q3"/>
  </r>
  <r>
    <s v="ORD10096"/>
    <x v="95"/>
    <s v="CUST1179"/>
    <s v="Diya Gupta"/>
    <x v="81"/>
    <x v="1"/>
    <x v="29"/>
    <x v="6"/>
    <s v="Guwahati"/>
    <s v="Assam"/>
    <x v="1"/>
    <x v="0"/>
    <s v="Jacket"/>
    <x v="25"/>
    <n v="2"/>
    <n v="4240"/>
    <n v="0"/>
    <n v="2550"/>
    <s v="Credit Card"/>
    <s v="Delivered"/>
    <n v="3"/>
    <s v="Returning"/>
    <n v="8480"/>
    <n v="0"/>
    <n v="8480"/>
    <n v="5930"/>
    <n v="0.6992924528301887"/>
    <n v="2025"/>
    <s v="Jul"/>
    <s v="Q3"/>
  </r>
  <r>
    <s v="ORD10097"/>
    <x v="96"/>
    <s v="CUST1116"/>
    <s v="Meera Bhat"/>
    <x v="82"/>
    <x v="1"/>
    <x v="26"/>
    <x v="0"/>
    <s v="Pune"/>
    <s v="Maharashtra"/>
    <x v="0"/>
    <x v="2"/>
    <s v="Laptop"/>
    <x v="15"/>
    <n v="3"/>
    <n v="52360"/>
    <n v="0.05"/>
    <n v="40340"/>
    <s v="Debit Card"/>
    <s v="Delivered"/>
    <n v="1"/>
    <s v="Returning"/>
    <n v="157080"/>
    <n v="7854"/>
    <n v="149226"/>
    <n v="108886"/>
    <n v="0.72967177301542629"/>
    <n v="2025"/>
    <s v="Jul"/>
    <s v="Q3"/>
  </r>
  <r>
    <s v="ORD10098"/>
    <x v="97"/>
    <s v="CUST1359"/>
    <s v="Aditya Naidu"/>
    <x v="83"/>
    <x v="1"/>
    <x v="8"/>
    <x v="14"/>
    <s v="Ahmedabad"/>
    <s v="Gujarat"/>
    <x v="0"/>
    <x v="3"/>
    <s v="Tennis Racket"/>
    <x v="17"/>
    <n v="3"/>
    <n v="4380"/>
    <n v="0.2"/>
    <n v="2680"/>
    <s v="Net Banking"/>
    <s v="Delivered"/>
    <n v="5"/>
    <s v="New"/>
    <n v="13140"/>
    <n v="2628"/>
    <n v="10512"/>
    <n v="7832"/>
    <n v="0.74505327245053277"/>
    <n v="2025"/>
    <s v="Jul"/>
    <s v="Q3"/>
  </r>
  <r>
    <s v="ORD10099"/>
    <x v="98"/>
    <s v="CUST1383"/>
    <s v="Karan Bhat"/>
    <x v="84"/>
    <x v="0"/>
    <x v="38"/>
    <x v="5"/>
    <s v="Bhubaneswar"/>
    <s v="Odisha"/>
    <x v="1"/>
    <x v="2"/>
    <s v="Smartwatch"/>
    <x v="3"/>
    <n v="1"/>
    <n v="6620"/>
    <n v="0.2"/>
    <n v="4370"/>
    <s v="Wallet"/>
    <s v="Delivered"/>
    <n v="2"/>
    <s v="New"/>
    <n v="6620"/>
    <n v="1324"/>
    <n v="5296"/>
    <n v="926"/>
    <n v="0.17484894259818731"/>
    <n v="2025"/>
    <s v="Jul"/>
    <s v="Q3"/>
  </r>
  <r>
    <s v="ORD10100"/>
    <x v="99"/>
    <s v="CUST1309"/>
    <s v="Priya Sharma"/>
    <x v="85"/>
    <x v="1"/>
    <x v="24"/>
    <x v="7"/>
    <s v="Mumbai"/>
    <s v="Maharashtra"/>
    <x v="0"/>
    <x v="4"/>
    <s v="Hair Dryer"/>
    <x v="14"/>
    <n v="5"/>
    <n v="1940"/>
    <n v="0.15"/>
    <n v="970"/>
    <s v="Debit Card"/>
    <s v="Delivered"/>
    <n v="1"/>
    <s v="New"/>
    <n v="9700"/>
    <n v="1455"/>
    <n v="8245"/>
    <n v="7275"/>
    <n v="0.88235294117647056"/>
    <n v="2025"/>
    <s v="Jul"/>
    <s v="Q3"/>
  </r>
  <r>
    <s v="ORD10101"/>
    <x v="100"/>
    <s v="CUST1391"/>
    <s v="Vivaan Bhat"/>
    <x v="35"/>
    <x v="0"/>
    <x v="36"/>
    <x v="12"/>
    <s v="Delhi"/>
    <s v="Delhi"/>
    <x v="3"/>
    <x v="4"/>
    <s v="Makeup Kit"/>
    <x v="28"/>
    <n v="2"/>
    <n v="2280"/>
    <n v="0.15"/>
    <n v="1200"/>
    <s v="Credit Card"/>
    <s v="Delivered"/>
    <n v="4"/>
    <s v="New"/>
    <n v="4560"/>
    <n v="684"/>
    <n v="3876"/>
    <n v="2676"/>
    <n v="0.69040247678018574"/>
    <n v="2025"/>
    <s v="Jul"/>
    <s v="Q3"/>
  </r>
  <r>
    <s v="ORD10102"/>
    <x v="101"/>
    <s v="CUST1117"/>
    <s v="Nisha Shah"/>
    <x v="14"/>
    <x v="0"/>
    <x v="6"/>
    <x v="8"/>
    <s v="Mysuru"/>
    <s v="Karnataka"/>
    <x v="2"/>
    <x v="5"/>
    <s v="Air Fryer"/>
    <x v="26"/>
    <n v="5"/>
    <n v="6280"/>
    <n v="0.05"/>
    <n v="4150"/>
    <s v="Credit Card"/>
    <s v="Returned"/>
    <n v="2"/>
    <s v="Returning"/>
    <n v="31400"/>
    <n v="1570"/>
    <n v="29830"/>
    <n v="25680"/>
    <n v="0.86087831042574592"/>
    <n v="2025"/>
    <s v="Jul"/>
    <s v="Q3"/>
  </r>
  <r>
    <s v="ORD10103"/>
    <x v="102"/>
    <s v="CUST1100"/>
    <s v="Rahul Sharma"/>
    <x v="86"/>
    <x v="1"/>
    <x v="3"/>
    <x v="5"/>
    <s v="Bhubaneswar"/>
    <s v="Odisha"/>
    <x v="1"/>
    <x v="0"/>
    <s v="Handbag"/>
    <x v="12"/>
    <n v="3"/>
    <n v="2800"/>
    <n v="0.05"/>
    <n v="1660"/>
    <s v="Credit Card"/>
    <s v="Delivered"/>
    <n v="3"/>
    <s v="Returning"/>
    <n v="8400"/>
    <n v="420"/>
    <n v="7980"/>
    <n v="6320"/>
    <n v="0.79197994987468667"/>
    <n v="2025"/>
    <s v="Jul"/>
    <s v="Q3"/>
  </r>
  <r>
    <s v="ORD10104"/>
    <x v="103"/>
    <s v="CUST1231"/>
    <s v="Diya Verma"/>
    <x v="87"/>
    <x v="1"/>
    <x v="14"/>
    <x v="8"/>
    <s v="Mysuru"/>
    <s v="Karnataka"/>
    <x v="2"/>
    <x v="5"/>
    <s v="Microwave"/>
    <x v="27"/>
    <n v="1"/>
    <n v="12530"/>
    <n v="0"/>
    <n v="8590"/>
    <s v="Credit Card"/>
    <s v="Delivered"/>
    <n v="1"/>
    <s v="Returning"/>
    <n v="12530"/>
    <n v="0"/>
    <n v="12530"/>
    <n v="3940"/>
    <n v="0.31444533120510776"/>
    <n v="2025"/>
    <s v="Jul"/>
    <s v="Q3"/>
  </r>
  <r>
    <s v="ORD10105"/>
    <x v="104"/>
    <s v="CUST1080"/>
    <s v="Aarav Sharma"/>
    <x v="55"/>
    <x v="1"/>
    <x v="32"/>
    <x v="10"/>
    <s v="Jaipur"/>
    <s v="Rajasthan"/>
    <x v="3"/>
    <x v="1"/>
    <s v="Sofa"/>
    <x v="16"/>
    <n v="2"/>
    <n v="30010"/>
    <n v="0.05"/>
    <n v="20210"/>
    <s v="Credit Card"/>
    <s v="Delivered"/>
    <n v="3"/>
    <s v="Returning"/>
    <n v="60020"/>
    <n v="3001"/>
    <n v="57019"/>
    <n v="36809"/>
    <n v="0.64555674424314702"/>
    <n v="2025"/>
    <s v="Jul"/>
    <s v="Q3"/>
  </r>
  <r>
    <s v="ORD10106"/>
    <x v="105"/>
    <s v="CUST1165"/>
    <s v="Rohan Singh"/>
    <x v="47"/>
    <x v="0"/>
    <x v="14"/>
    <x v="6"/>
    <s v="Guwahati"/>
    <s v="Assam"/>
    <x v="1"/>
    <x v="5"/>
    <s v="Vacuum Cleaner"/>
    <x v="9"/>
    <n v="2"/>
    <n v="7870"/>
    <n v="0.3"/>
    <n v="5390"/>
    <s v="UPI"/>
    <s v="Delivered"/>
    <n v="4"/>
    <s v="Returning"/>
    <n v="15740"/>
    <n v="4722"/>
    <n v="11018"/>
    <n v="5628"/>
    <n v="0.51080050825921219"/>
    <n v="2025"/>
    <s v="Jul"/>
    <s v="Q3"/>
  </r>
  <r>
    <s v="ORD10107"/>
    <x v="106"/>
    <s v="CUST1198"/>
    <s v="Meera Joshi"/>
    <x v="88"/>
    <x v="1"/>
    <x v="13"/>
    <x v="3"/>
    <s v="Bengaluru"/>
    <s v="Karnataka"/>
    <x v="2"/>
    <x v="0"/>
    <s v="Jacket"/>
    <x v="25"/>
    <n v="1"/>
    <n v="4530"/>
    <n v="0.25"/>
    <n v="2470"/>
    <s v="Wallet"/>
    <s v="Delivered"/>
    <n v="6"/>
    <s v="Returning"/>
    <n v="4530"/>
    <n v="1132.5"/>
    <n v="3397.5"/>
    <n v="927.5"/>
    <n v="0.27299484915378958"/>
    <n v="2025"/>
    <s v="Jul"/>
    <s v="Q3"/>
  </r>
  <r>
    <s v="ORD10108"/>
    <x v="107"/>
    <s v="CUST1184"/>
    <s v="Meera Gupta"/>
    <x v="89"/>
    <x v="1"/>
    <x v="26"/>
    <x v="11"/>
    <s v="Chennai"/>
    <s v="Tamil Nadu"/>
    <x v="2"/>
    <x v="2"/>
    <s v="Tablet"/>
    <x v="4"/>
    <n v="1"/>
    <n v="23550"/>
    <n v="0.15"/>
    <n v="14980"/>
    <s v="UPI"/>
    <s v="Delivered"/>
    <n v="2"/>
    <s v="Returning"/>
    <n v="23550"/>
    <n v="3532.5"/>
    <n v="20017.5"/>
    <n v="5037.5"/>
    <n v="0.25165480204820784"/>
    <n v="2025"/>
    <s v="Jul"/>
    <s v="Q3"/>
  </r>
  <r>
    <s v="ORD10109"/>
    <x v="108"/>
    <s v="CUST1005"/>
    <s v="Meera Bhat"/>
    <x v="82"/>
    <x v="1"/>
    <x v="16"/>
    <x v="0"/>
    <s v="Pune"/>
    <s v="Maharashtra"/>
    <x v="0"/>
    <x v="3"/>
    <s v="Yoga Mat"/>
    <x v="20"/>
    <n v="2"/>
    <n v="900"/>
    <n v="0.15"/>
    <n v="410"/>
    <s v="Debit Card"/>
    <s v="Delivered"/>
    <n v="7"/>
    <s v="Returning"/>
    <n v="1800"/>
    <n v="270"/>
    <n v="1530"/>
    <n v="1120"/>
    <n v="0.73202614379084963"/>
    <n v="2025"/>
    <s v="Jul"/>
    <s v="Q3"/>
  </r>
  <r>
    <s v="ORD10110"/>
    <x v="109"/>
    <s v="CUST1147"/>
    <s v="Ishita Kumar"/>
    <x v="90"/>
    <x v="0"/>
    <x v="18"/>
    <x v="10"/>
    <s v="Jaipur"/>
    <s v="Rajasthan"/>
    <x v="3"/>
    <x v="2"/>
    <s v="Smartwatch"/>
    <x v="3"/>
    <n v="1"/>
    <n v="7120"/>
    <n v="0.05"/>
    <n v="4660"/>
    <s v="Wallet"/>
    <s v="Delivered"/>
    <n v="2"/>
    <s v="Returning"/>
    <n v="7120"/>
    <n v="356"/>
    <n v="6764"/>
    <n v="2104"/>
    <n v="0.31105854523950327"/>
    <n v="2025"/>
    <s v="Jul"/>
    <s v="Q3"/>
  </r>
  <r>
    <s v="ORD10111"/>
    <x v="110"/>
    <s v="CUST1489"/>
    <s v="Meera Sharma"/>
    <x v="48"/>
    <x v="0"/>
    <x v="26"/>
    <x v="5"/>
    <s v="Bhubaneswar"/>
    <s v="Odisha"/>
    <x v="1"/>
    <x v="3"/>
    <s v="Yoga Mat"/>
    <x v="20"/>
    <n v="3"/>
    <n v="940"/>
    <n v="0.2"/>
    <n v="400"/>
    <s v="Cash on Delivery"/>
    <s v="Delivered"/>
    <n v="4"/>
    <s v="New"/>
    <n v="2820"/>
    <n v="564"/>
    <n v="2256"/>
    <n v="1856"/>
    <n v="0.82269503546099287"/>
    <n v="2025"/>
    <s v="Aug"/>
    <s v="Q3"/>
  </r>
  <r>
    <s v="ORD10112"/>
    <x v="111"/>
    <s v="CUST1213"/>
    <s v="Diya Iyer"/>
    <x v="91"/>
    <x v="1"/>
    <x v="2"/>
    <x v="6"/>
    <s v="Guwahati"/>
    <s v="Assam"/>
    <x v="1"/>
    <x v="4"/>
    <s v="Makeup Kit"/>
    <x v="28"/>
    <n v="2"/>
    <n v="2230"/>
    <n v="0.1"/>
    <n v="1190"/>
    <s v="UPI"/>
    <s v="Delivered"/>
    <n v="2"/>
    <s v="Returning"/>
    <n v="4460"/>
    <n v="446"/>
    <n v="4014"/>
    <n v="2824"/>
    <n v="0.70353761833582462"/>
    <n v="2025"/>
    <s v="Aug"/>
    <s v="Q3"/>
  </r>
  <r>
    <s v="ORD10113"/>
    <x v="112"/>
    <s v="CUST1085"/>
    <s v="Ishita Joshi"/>
    <x v="92"/>
    <x v="1"/>
    <x v="10"/>
    <x v="4"/>
    <s v="Chandigarh"/>
    <s v="Chandigarh"/>
    <x v="3"/>
    <x v="2"/>
    <s v="Laptop"/>
    <x v="15"/>
    <n v="1"/>
    <n v="51910"/>
    <n v="0.1"/>
    <n v="40930"/>
    <s v="Credit Card"/>
    <s v="Delivered"/>
    <n v="4"/>
    <s v="Returning"/>
    <n v="51910"/>
    <n v="5191"/>
    <n v="46719"/>
    <n v="5789"/>
    <n v="0.12391104261649435"/>
    <n v="2025"/>
    <s v="Aug"/>
    <s v="Q3"/>
  </r>
  <r>
    <s v="ORD10114"/>
    <x v="113"/>
    <s v="CUST1364"/>
    <s v="Kavya Joshi"/>
    <x v="68"/>
    <x v="1"/>
    <x v="4"/>
    <x v="13"/>
    <s v="Lucknow"/>
    <s v="Uttar Pradesh"/>
    <x v="3"/>
    <x v="2"/>
    <s v="Tablet"/>
    <x v="4"/>
    <n v="4"/>
    <n v="21100"/>
    <n v="0.25"/>
    <n v="14820"/>
    <s v="Net Banking"/>
    <s v="Delivered"/>
    <n v="2"/>
    <s v="New"/>
    <n v="84400"/>
    <n v="21100"/>
    <n v="63300"/>
    <n v="48480"/>
    <n v="0.76587677725118486"/>
    <n v="2025"/>
    <s v="Aug"/>
    <s v="Q3"/>
  </r>
  <r>
    <s v="ORD10115"/>
    <x v="114"/>
    <s v="CUST1052"/>
    <s v="Sneha Naidu"/>
    <x v="50"/>
    <x v="0"/>
    <x v="14"/>
    <x v="9"/>
    <s v="Hyderabad"/>
    <s v="Telangana"/>
    <x v="2"/>
    <x v="0"/>
    <s v="T-Shirt"/>
    <x v="2"/>
    <n v="2"/>
    <n v="930"/>
    <n v="0.05"/>
    <n v="450"/>
    <s v="UPI"/>
    <s v="Delivered"/>
    <n v="4"/>
    <s v="Returning"/>
    <n v="1860"/>
    <n v="93"/>
    <n v="1767"/>
    <n v="1317"/>
    <n v="0.74533106960950768"/>
    <n v="2025"/>
    <s v="Aug"/>
    <s v="Q3"/>
  </r>
  <r>
    <s v="ORD10116"/>
    <x v="115"/>
    <s v="CUST1039"/>
    <s v="Rahul Mehta"/>
    <x v="93"/>
    <x v="0"/>
    <x v="38"/>
    <x v="1"/>
    <s v="Kolkata"/>
    <s v="West Bengal"/>
    <x v="1"/>
    <x v="2"/>
    <s v="Smartwatch"/>
    <x v="3"/>
    <n v="1"/>
    <n v="6540"/>
    <n v="0.2"/>
    <n v="4440"/>
    <s v="Credit Card"/>
    <s v="Delivered"/>
    <n v="1"/>
    <s v="Returning"/>
    <n v="6540"/>
    <n v="1308"/>
    <n v="5232"/>
    <n v="792"/>
    <n v="0.15137614678899083"/>
    <n v="2025"/>
    <s v="Aug"/>
    <s v="Q3"/>
  </r>
  <r>
    <s v="ORD10117"/>
    <x v="116"/>
    <s v="CUST1277"/>
    <s v="Karan Das"/>
    <x v="45"/>
    <x v="1"/>
    <x v="33"/>
    <x v="6"/>
    <s v="Guwahati"/>
    <s v="Assam"/>
    <x v="1"/>
    <x v="0"/>
    <s v="T-Shirt"/>
    <x v="2"/>
    <n v="1"/>
    <n v="960"/>
    <n v="0.15"/>
    <n v="450"/>
    <s v="UPI"/>
    <s v="Delivered"/>
    <n v="5"/>
    <s v="Returning"/>
    <n v="960"/>
    <n v="144"/>
    <n v="816"/>
    <n v="366"/>
    <n v="0.4485294117647059"/>
    <n v="2025"/>
    <s v="Aug"/>
    <s v="Q3"/>
  </r>
  <r>
    <s v="ORD10118"/>
    <x v="117"/>
    <s v="CUST1060"/>
    <s v="Karan Bhat"/>
    <x v="84"/>
    <x v="0"/>
    <x v="21"/>
    <x v="11"/>
    <s v="Chennai"/>
    <s v="Tamil Nadu"/>
    <x v="2"/>
    <x v="2"/>
    <s v="Laptop"/>
    <x v="15"/>
    <n v="1"/>
    <n v="52670"/>
    <n v="0.2"/>
    <n v="41890"/>
    <s v="Credit Card"/>
    <s v="Delivered"/>
    <n v="3"/>
    <s v="Returning"/>
    <n v="52670"/>
    <n v="10534"/>
    <n v="42136"/>
    <n v="246"/>
    <n v="5.8382380861970763E-3"/>
    <n v="2025"/>
    <s v="Aug"/>
    <s v="Q3"/>
  </r>
  <r>
    <s v="ORD10119"/>
    <x v="118"/>
    <s v="CUST1476"/>
    <s v="Vikram Mehta"/>
    <x v="94"/>
    <x v="0"/>
    <x v="33"/>
    <x v="5"/>
    <s v="Bhubaneswar"/>
    <s v="Odisha"/>
    <x v="1"/>
    <x v="0"/>
    <s v="Jeans"/>
    <x v="19"/>
    <n v="2"/>
    <n v="2370"/>
    <n v="0"/>
    <n v="1220"/>
    <s v="Credit Card"/>
    <s v="Delivered"/>
    <n v="5"/>
    <s v="New"/>
    <n v="4740"/>
    <n v="0"/>
    <n v="4740"/>
    <n v="3520"/>
    <n v="0.7426160337552743"/>
    <n v="2025"/>
    <s v="Aug"/>
    <s v="Q3"/>
  </r>
  <r>
    <s v="ORD10120"/>
    <x v="119"/>
    <s v="CUST1487"/>
    <s v="Vivaan Mehta"/>
    <x v="95"/>
    <x v="0"/>
    <x v="30"/>
    <x v="12"/>
    <s v="Delhi"/>
    <s v="Delhi"/>
    <x v="3"/>
    <x v="1"/>
    <s v="Bedside Table"/>
    <x v="24"/>
    <n v="1"/>
    <n v="4200"/>
    <n v="0.2"/>
    <n v="2810"/>
    <s v="Credit Card"/>
    <s v="Delivered"/>
    <n v="3"/>
    <s v="New"/>
    <n v="4200"/>
    <n v="840"/>
    <n v="3360"/>
    <n v="550"/>
    <n v="0.16369047619047619"/>
    <n v="2025"/>
    <s v="Aug"/>
    <s v="Q3"/>
  </r>
  <r>
    <s v="ORD10121"/>
    <x v="120"/>
    <s v="CUST1316"/>
    <s v="Kavya Kumar"/>
    <x v="96"/>
    <x v="0"/>
    <x v="7"/>
    <x v="2"/>
    <s v="Kochi"/>
    <s v="Kerala"/>
    <x v="2"/>
    <x v="2"/>
    <s v="Laptop"/>
    <x v="15"/>
    <n v="2"/>
    <n v="52630"/>
    <n v="0.1"/>
    <n v="40700"/>
    <s v="UPI"/>
    <s v="Delivered"/>
    <n v="3"/>
    <s v="New"/>
    <n v="105260"/>
    <n v="10526"/>
    <n v="94734"/>
    <n v="54034"/>
    <n v="0.570376000168894"/>
    <n v="2025"/>
    <s v="Aug"/>
    <s v="Q3"/>
  </r>
  <r>
    <s v="ORD10122"/>
    <x v="121"/>
    <s v="CUST1471"/>
    <s v="Kavya Verma"/>
    <x v="97"/>
    <x v="1"/>
    <x v="20"/>
    <x v="2"/>
    <s v="Kochi"/>
    <s v="Kerala"/>
    <x v="2"/>
    <x v="2"/>
    <s v="Smartphone"/>
    <x v="13"/>
    <n v="1"/>
    <n v="17740"/>
    <n v="0.1"/>
    <n v="12900"/>
    <s v="UPI"/>
    <s v="Delivered"/>
    <n v="8"/>
    <s v="New"/>
    <n v="17740"/>
    <n v="1774"/>
    <n v="15966"/>
    <n v="3066"/>
    <n v="0.19203307027433295"/>
    <n v="2025"/>
    <s v="Aug"/>
    <s v="Q3"/>
  </r>
  <r>
    <s v="ORD10123"/>
    <x v="122"/>
    <s v="CUST1144"/>
    <s v="Arjun Patel"/>
    <x v="98"/>
    <x v="1"/>
    <x v="31"/>
    <x v="7"/>
    <s v="Mumbai"/>
    <s v="Maharashtra"/>
    <x v="0"/>
    <x v="3"/>
    <s v="Tennis Racket"/>
    <x v="17"/>
    <n v="1"/>
    <n v="4620"/>
    <n v="0"/>
    <n v="2730"/>
    <s v="Cash on Delivery"/>
    <s v="Returned"/>
    <n v="4"/>
    <s v="Returning"/>
    <n v="4620"/>
    <n v="0"/>
    <n v="4620"/>
    <n v="1890"/>
    <n v="0.40909090909090912"/>
    <n v="2025"/>
    <s v="Aug"/>
    <s v="Q3"/>
  </r>
  <r>
    <s v="ORD10124"/>
    <x v="123"/>
    <s v="CUST1038"/>
    <s v="Karan Gupta"/>
    <x v="99"/>
    <x v="1"/>
    <x v="20"/>
    <x v="3"/>
    <s v="Bengaluru"/>
    <s v="Karnataka"/>
    <x v="2"/>
    <x v="2"/>
    <s v="Tablet"/>
    <x v="4"/>
    <n v="1"/>
    <n v="20550"/>
    <n v="0.25"/>
    <n v="15580"/>
    <s v="Credit Card"/>
    <s v="Delivered"/>
    <n v="3"/>
    <s v="Returning"/>
    <n v="20550"/>
    <n v="5137.5"/>
    <n v="15412.5"/>
    <n v="-167.5"/>
    <n v="-1.0867802108678021E-2"/>
    <n v="2025"/>
    <s v="Aug"/>
    <s v="Q3"/>
  </r>
  <r>
    <s v="ORD10125"/>
    <x v="124"/>
    <s v="CUST1466"/>
    <s v="Aditya Bhat"/>
    <x v="59"/>
    <x v="0"/>
    <x v="28"/>
    <x v="6"/>
    <s v="Guwahati"/>
    <s v="Assam"/>
    <x v="1"/>
    <x v="3"/>
    <s v="Dumbbells"/>
    <x v="7"/>
    <n v="1"/>
    <n v="2500"/>
    <n v="0.1"/>
    <n v="1510"/>
    <s v="Debit Card"/>
    <s v="Delivered"/>
    <n v="4"/>
    <s v="New"/>
    <n v="2500"/>
    <n v="250"/>
    <n v="2250"/>
    <n v="740"/>
    <n v="0.3288888888888889"/>
    <n v="2025"/>
    <s v="Aug"/>
    <s v="Q3"/>
  </r>
  <r>
    <s v="ORD10126"/>
    <x v="125"/>
    <s v="CUST1134"/>
    <s v="Meera Shah"/>
    <x v="100"/>
    <x v="1"/>
    <x v="3"/>
    <x v="10"/>
    <s v="Jaipur"/>
    <s v="Rajasthan"/>
    <x v="3"/>
    <x v="1"/>
    <s v="Bookshelf"/>
    <x v="6"/>
    <n v="1"/>
    <n v="5160"/>
    <n v="0.05"/>
    <n v="3350"/>
    <s v="Debit Card"/>
    <s v="Returned"/>
    <n v="2"/>
    <s v="Returning"/>
    <n v="5160"/>
    <n v="258"/>
    <n v="4902"/>
    <n v="1552"/>
    <n v="0.31660546715626275"/>
    <n v="2025"/>
    <s v="Aug"/>
    <s v="Q3"/>
  </r>
  <r>
    <s v="ORD10127"/>
    <x v="126"/>
    <s v="CUST1164"/>
    <s v="Priya Mehta"/>
    <x v="46"/>
    <x v="1"/>
    <x v="39"/>
    <x v="7"/>
    <s v="Mumbai"/>
    <s v="Maharashtra"/>
    <x v="0"/>
    <x v="5"/>
    <s v="Vacuum Cleaner"/>
    <x v="9"/>
    <n v="2"/>
    <n v="8360"/>
    <n v="0"/>
    <n v="5530"/>
    <s v="UPI"/>
    <s v="Delivered"/>
    <n v="2"/>
    <s v="Returning"/>
    <n v="16720"/>
    <n v="0"/>
    <n v="16720"/>
    <n v="11190"/>
    <n v="0.66925837320574166"/>
    <n v="2025"/>
    <s v="Aug"/>
    <s v="Q3"/>
  </r>
  <r>
    <s v="ORD10128"/>
    <x v="127"/>
    <s v="CUST1173"/>
    <s v="Vivaan Das"/>
    <x v="17"/>
    <x v="0"/>
    <x v="29"/>
    <x v="4"/>
    <s v="Chandigarh"/>
    <s v="Chandigarh"/>
    <x v="3"/>
    <x v="1"/>
    <s v="Sofa"/>
    <x v="16"/>
    <n v="2"/>
    <n v="26230"/>
    <n v="0.15"/>
    <n v="19920"/>
    <s v="Debit Card"/>
    <s v="Delivered"/>
    <n v="2"/>
    <s v="Returning"/>
    <n v="52460"/>
    <n v="7869"/>
    <n v="44591"/>
    <n v="24671"/>
    <n v="0.55327308201206526"/>
    <n v="2025"/>
    <s v="Aug"/>
    <s v="Q3"/>
  </r>
  <r>
    <s v="ORD10129"/>
    <x v="128"/>
    <s v="CUST1467"/>
    <s v="Arjun Rao"/>
    <x v="101"/>
    <x v="1"/>
    <x v="25"/>
    <x v="8"/>
    <s v="Mysuru"/>
    <s v="Karnataka"/>
    <x v="2"/>
    <x v="2"/>
    <s v="Smartphone"/>
    <x v="13"/>
    <n v="2"/>
    <n v="17050"/>
    <n v="0"/>
    <n v="12850"/>
    <s v="UPI"/>
    <s v="Delivered"/>
    <n v="4"/>
    <s v="New"/>
    <n v="34100"/>
    <n v="0"/>
    <n v="34100"/>
    <n v="21250"/>
    <n v="0.62316715542521994"/>
    <n v="2025"/>
    <s v="Aug"/>
    <s v="Q3"/>
  </r>
  <r>
    <s v="ORD10130"/>
    <x v="129"/>
    <s v="CUST1260"/>
    <s v="Priya Gupta"/>
    <x v="102"/>
    <x v="1"/>
    <x v="27"/>
    <x v="0"/>
    <s v="Pune"/>
    <s v="Maharashtra"/>
    <x v="0"/>
    <x v="2"/>
    <s v="Tablet"/>
    <x v="4"/>
    <n v="2"/>
    <n v="22100"/>
    <n v="0.1"/>
    <n v="14930"/>
    <s v="Net Banking"/>
    <s v="Delivered"/>
    <n v="2"/>
    <s v="Returning"/>
    <n v="44200"/>
    <n v="4420"/>
    <n v="39780"/>
    <n v="24850"/>
    <n v="0.62468577174459528"/>
    <n v="2025"/>
    <s v="Aug"/>
    <s v="Q3"/>
  </r>
  <r>
    <s v="ORD10131"/>
    <x v="130"/>
    <s v="CUST1155"/>
    <s v="Diya Patel"/>
    <x v="63"/>
    <x v="0"/>
    <x v="27"/>
    <x v="1"/>
    <s v="Kolkata"/>
    <s v="West Bengal"/>
    <x v="1"/>
    <x v="5"/>
    <s v="Air Fryer"/>
    <x v="26"/>
    <n v="1"/>
    <n v="6420"/>
    <n v="0.2"/>
    <n v="4230"/>
    <s v="Debit Card"/>
    <s v="Delivered"/>
    <n v="4"/>
    <s v="Returning"/>
    <n v="6420"/>
    <n v="1284"/>
    <n v="5136"/>
    <n v="906"/>
    <n v="0.17640186915887851"/>
    <n v="2025"/>
    <s v="Aug"/>
    <s v="Q3"/>
  </r>
  <r>
    <s v="ORD10132"/>
    <x v="131"/>
    <s v="CUST1213"/>
    <s v="Nisha Mehta"/>
    <x v="103"/>
    <x v="0"/>
    <x v="24"/>
    <x v="2"/>
    <s v="Kochi"/>
    <s v="Kerala"/>
    <x v="2"/>
    <x v="3"/>
    <s v="Tennis Racket"/>
    <x v="17"/>
    <n v="1"/>
    <n v="4330"/>
    <n v="0.15"/>
    <n v="2800"/>
    <s v="UPI"/>
    <s v="Delivered"/>
    <n v="2"/>
    <s v="Returning"/>
    <n v="4330"/>
    <n v="649.5"/>
    <n v="3680.5"/>
    <n v="880.5"/>
    <n v="0.23923379975546802"/>
    <n v="2025"/>
    <s v="Aug"/>
    <s v="Q3"/>
  </r>
  <r>
    <s v="ORD10133"/>
    <x v="132"/>
    <s v="CUST1052"/>
    <s v="Sneha Sharma"/>
    <x v="49"/>
    <x v="0"/>
    <x v="19"/>
    <x v="10"/>
    <s v="Jaipur"/>
    <s v="Rajasthan"/>
    <x v="3"/>
    <x v="0"/>
    <s v="Handbag"/>
    <x v="12"/>
    <n v="2"/>
    <n v="2930"/>
    <n v="0.2"/>
    <n v="1670"/>
    <s v="Cash on Delivery"/>
    <s v="Delivered"/>
    <n v="4"/>
    <s v="Returning"/>
    <n v="5860"/>
    <n v="1172"/>
    <n v="4688"/>
    <n v="3018"/>
    <n v="0.64377133105802042"/>
    <n v="2025"/>
    <s v="Aug"/>
    <s v="Q3"/>
  </r>
  <r>
    <s v="ORD10134"/>
    <x v="133"/>
    <s v="CUST1048"/>
    <s v="Rohan Iyer"/>
    <x v="33"/>
    <x v="0"/>
    <x v="31"/>
    <x v="2"/>
    <s v="Kochi"/>
    <s v="Kerala"/>
    <x v="2"/>
    <x v="5"/>
    <s v="Air Fryer"/>
    <x v="26"/>
    <n v="1"/>
    <n v="6450"/>
    <n v="0.05"/>
    <n v="4360"/>
    <s v="Credit Card"/>
    <s v="Returned"/>
    <n v="2"/>
    <s v="Returning"/>
    <n v="6450"/>
    <n v="322.5"/>
    <n v="6127.5"/>
    <n v="1767.5"/>
    <n v="0.28845369237046103"/>
    <n v="2025"/>
    <s v="Aug"/>
    <s v="Q3"/>
  </r>
  <r>
    <s v="ORD10135"/>
    <x v="134"/>
    <s v="CUST1087"/>
    <s v="Karan Reddy"/>
    <x v="104"/>
    <x v="1"/>
    <x v="4"/>
    <x v="13"/>
    <s v="Lucknow"/>
    <s v="Uttar Pradesh"/>
    <x v="3"/>
    <x v="4"/>
    <s v="Shampoo"/>
    <x v="8"/>
    <n v="1"/>
    <n v="460"/>
    <n v="0.25"/>
    <n v="240"/>
    <s v="Credit Card"/>
    <s v="Delivered"/>
    <n v="3"/>
    <s v="Returning"/>
    <n v="460"/>
    <n v="115"/>
    <n v="345"/>
    <n v="105"/>
    <n v="0.30434782608695654"/>
    <n v="2025"/>
    <s v="Aug"/>
    <s v="Q3"/>
  </r>
  <r>
    <s v="ORD10136"/>
    <x v="135"/>
    <s v="CUST1211"/>
    <s v="Kavya Kumar"/>
    <x v="96"/>
    <x v="1"/>
    <x v="28"/>
    <x v="12"/>
    <s v="Delhi"/>
    <s v="Delhi"/>
    <x v="3"/>
    <x v="2"/>
    <s v="Laptop"/>
    <x v="15"/>
    <n v="1"/>
    <n v="51320"/>
    <n v="0.25"/>
    <n v="41140"/>
    <s v="Cash on Delivery"/>
    <s v="Delivered"/>
    <n v="3"/>
    <s v="Returning"/>
    <n v="51320"/>
    <n v="12830"/>
    <n v="38490"/>
    <n v="-2650"/>
    <n v="-6.8849051701740716E-2"/>
    <n v="2025"/>
    <s v="Aug"/>
    <s v="Q3"/>
  </r>
  <r>
    <s v="ORD10137"/>
    <x v="136"/>
    <s v="CUST1292"/>
    <s v="Vivaan Joshi"/>
    <x v="105"/>
    <x v="0"/>
    <x v="12"/>
    <x v="10"/>
    <s v="Jaipur"/>
    <s v="Rajasthan"/>
    <x v="3"/>
    <x v="0"/>
    <s v="T-Shirt"/>
    <x v="2"/>
    <n v="1"/>
    <n v="850"/>
    <n v="0.1"/>
    <n v="430"/>
    <s v="Credit Card"/>
    <s v="Cancelled"/>
    <n v="0"/>
    <s v="Returning"/>
    <n v="850"/>
    <n v="85"/>
    <n v="765"/>
    <n v="335"/>
    <n v="0.43790849673202614"/>
    <n v="2025"/>
    <s v="Aug"/>
    <s v="Q3"/>
  </r>
  <r>
    <s v="ORD10138"/>
    <x v="137"/>
    <s v="CUST1380"/>
    <s v="Kavya Sharma"/>
    <x v="106"/>
    <x v="1"/>
    <x v="34"/>
    <x v="14"/>
    <s v="Ahmedabad"/>
    <s v="Gujarat"/>
    <x v="0"/>
    <x v="0"/>
    <s v="Jeans"/>
    <x v="19"/>
    <n v="1"/>
    <n v="2180"/>
    <n v="0.1"/>
    <n v="1210"/>
    <s v="Net Banking"/>
    <s v="Delivered"/>
    <n v="2"/>
    <s v="New"/>
    <n v="2180"/>
    <n v="218"/>
    <n v="1962"/>
    <n v="752"/>
    <n v="0.38328236493374107"/>
    <n v="2025"/>
    <s v="Aug"/>
    <s v="Q3"/>
  </r>
  <r>
    <s v="ORD10139"/>
    <x v="138"/>
    <s v="CUST1435"/>
    <s v="Ishita Bhat"/>
    <x v="107"/>
    <x v="0"/>
    <x v="19"/>
    <x v="12"/>
    <s v="Delhi"/>
    <s v="Delhi"/>
    <x v="3"/>
    <x v="5"/>
    <s v="Mixer Grinder"/>
    <x v="22"/>
    <n v="1"/>
    <n v="4230"/>
    <n v="0.15"/>
    <n v="2620"/>
    <s v="Wallet"/>
    <s v="Delivered"/>
    <n v="4"/>
    <s v="New"/>
    <n v="4230"/>
    <n v="634.5"/>
    <n v="3595.5"/>
    <n v="975.5"/>
    <n v="0.27131136142400225"/>
    <n v="2025"/>
    <s v="Aug"/>
    <s v="Q3"/>
  </r>
  <r>
    <s v="ORD10140"/>
    <x v="139"/>
    <s v="CUST1224"/>
    <s v="Rahul Joshi"/>
    <x v="108"/>
    <x v="0"/>
    <x v="28"/>
    <x v="10"/>
    <s v="Jaipur"/>
    <s v="Rajasthan"/>
    <x v="3"/>
    <x v="3"/>
    <s v="Dumbbells"/>
    <x v="7"/>
    <n v="2"/>
    <n v="2340"/>
    <n v="0.15"/>
    <n v="1440"/>
    <s v="Wallet"/>
    <s v="Delivered"/>
    <n v="2"/>
    <s v="Returning"/>
    <n v="4680"/>
    <n v="702"/>
    <n v="3978"/>
    <n v="2538"/>
    <n v="0.63800904977375561"/>
    <n v="2025"/>
    <s v="Aug"/>
    <s v="Q3"/>
  </r>
  <r>
    <s v="ORD10141"/>
    <x v="140"/>
    <s v="CUST1461"/>
    <s v="Priya Singh"/>
    <x v="0"/>
    <x v="0"/>
    <x v="13"/>
    <x v="14"/>
    <s v="Ahmedabad"/>
    <s v="Gujarat"/>
    <x v="0"/>
    <x v="0"/>
    <s v="Sneakers"/>
    <x v="0"/>
    <n v="1"/>
    <n v="3270"/>
    <n v="0.1"/>
    <n v="2180"/>
    <s v="Credit Card"/>
    <s v="Delivered"/>
    <n v="4"/>
    <s v="New"/>
    <n v="3270"/>
    <n v="327"/>
    <n v="2943"/>
    <n v="763"/>
    <n v="0.25925925925925924"/>
    <n v="2025"/>
    <s v="Aug"/>
    <s v="Q3"/>
  </r>
  <r>
    <s v="ORD10142"/>
    <x v="141"/>
    <s v="CUST1129"/>
    <s v="Arjun Gupta"/>
    <x v="109"/>
    <x v="0"/>
    <x v="30"/>
    <x v="14"/>
    <s v="Ahmedabad"/>
    <s v="Gujarat"/>
    <x v="0"/>
    <x v="2"/>
    <s v="Laptop"/>
    <x v="15"/>
    <n v="2"/>
    <n v="53340"/>
    <n v="0.15"/>
    <n v="43320"/>
    <s v="Debit Card"/>
    <s v="Delivered"/>
    <n v="3"/>
    <s v="Returning"/>
    <n v="106680"/>
    <n v="16002"/>
    <n v="90678"/>
    <n v="47358"/>
    <n v="0.52226559915304704"/>
    <n v="2025"/>
    <s v="Sep"/>
    <s v="Q3"/>
  </r>
  <r>
    <s v="ORD10143"/>
    <x v="142"/>
    <s v="CUST1500"/>
    <s v="Sneha Kumar"/>
    <x v="110"/>
    <x v="0"/>
    <x v="8"/>
    <x v="3"/>
    <s v="Bengaluru"/>
    <s v="Karnataka"/>
    <x v="2"/>
    <x v="2"/>
    <s v="Smartphone"/>
    <x v="13"/>
    <n v="4"/>
    <n v="17620"/>
    <n v="0.05"/>
    <n v="12060"/>
    <s v="Credit Card"/>
    <s v="Returned"/>
    <n v="10"/>
    <s v="New"/>
    <n v="70480"/>
    <n v="3524"/>
    <n v="66956"/>
    <n v="54896"/>
    <n v="0.81988171336400029"/>
    <n v="2025"/>
    <s v="Sep"/>
    <s v="Q3"/>
  </r>
  <r>
    <s v="ORD10144"/>
    <x v="143"/>
    <s v="CUST1111"/>
    <s v="Karan Kumar"/>
    <x v="111"/>
    <x v="0"/>
    <x v="5"/>
    <x v="7"/>
    <s v="Mumbai"/>
    <s v="Maharashtra"/>
    <x v="0"/>
    <x v="0"/>
    <s v="Handbag"/>
    <x v="12"/>
    <n v="2"/>
    <n v="2580"/>
    <n v="0.05"/>
    <n v="1520"/>
    <s v="UPI"/>
    <s v="Delivered"/>
    <n v="3"/>
    <s v="Returning"/>
    <n v="5160"/>
    <n v="258"/>
    <n v="4902"/>
    <n v="3382"/>
    <n v="0.68992248062015504"/>
    <n v="2025"/>
    <s v="Sep"/>
    <s v="Q3"/>
  </r>
  <r>
    <s v="ORD10145"/>
    <x v="144"/>
    <s v="CUST1119"/>
    <s v="Aditya Gupta"/>
    <x v="112"/>
    <x v="1"/>
    <x v="40"/>
    <x v="14"/>
    <s v="Ahmedabad"/>
    <s v="Gujarat"/>
    <x v="0"/>
    <x v="2"/>
    <s v="Laptop"/>
    <x v="15"/>
    <n v="2"/>
    <n v="55530"/>
    <n v="0.1"/>
    <n v="42740"/>
    <s v="Cash on Delivery"/>
    <s v="Delivered"/>
    <n v="5"/>
    <s v="Returning"/>
    <n v="111060"/>
    <n v="11106"/>
    <n v="99954"/>
    <n v="57214"/>
    <n v="0.57240330552053942"/>
    <n v="2025"/>
    <s v="Sep"/>
    <s v="Q3"/>
  </r>
  <r>
    <s v="ORD10146"/>
    <x v="145"/>
    <s v="CUST1366"/>
    <s v="Ishita Mehta"/>
    <x v="113"/>
    <x v="0"/>
    <x v="8"/>
    <x v="5"/>
    <s v="Bhubaneswar"/>
    <s v="Odisha"/>
    <x v="1"/>
    <x v="3"/>
    <s v="Dumbbells"/>
    <x v="7"/>
    <n v="3"/>
    <n v="2510"/>
    <n v="0.1"/>
    <n v="1450"/>
    <s v="Credit Card"/>
    <s v="Delivered"/>
    <n v="2"/>
    <s v="New"/>
    <n v="7530"/>
    <n v="753"/>
    <n v="6777"/>
    <n v="5327"/>
    <n v="0.78604102110078211"/>
    <n v="2025"/>
    <s v="Sep"/>
    <s v="Q3"/>
  </r>
  <r>
    <s v="ORD10147"/>
    <x v="146"/>
    <s v="CUST1113"/>
    <s v="Nisha Singh"/>
    <x v="114"/>
    <x v="0"/>
    <x v="25"/>
    <x v="10"/>
    <s v="Jaipur"/>
    <s v="Rajasthan"/>
    <x v="3"/>
    <x v="3"/>
    <s v="Dumbbells"/>
    <x v="7"/>
    <n v="1"/>
    <n v="2560"/>
    <n v="0.1"/>
    <n v="1450"/>
    <s v="Debit Card"/>
    <s v="Pending"/>
    <n v="5"/>
    <s v="Returning"/>
    <n v="2560"/>
    <n v="256"/>
    <n v="2304"/>
    <n v="854"/>
    <n v="0.37065972222222221"/>
    <n v="2025"/>
    <s v="Sep"/>
    <s v="Q3"/>
  </r>
  <r>
    <s v="ORD10148"/>
    <x v="147"/>
    <s v="CUST1090"/>
    <s v="Aditya Singh"/>
    <x v="115"/>
    <x v="1"/>
    <x v="35"/>
    <x v="8"/>
    <s v="Mysuru"/>
    <s v="Karnataka"/>
    <x v="2"/>
    <x v="2"/>
    <s v="Headphones"/>
    <x v="5"/>
    <n v="1"/>
    <n v="2630"/>
    <n v="0.05"/>
    <n v="1500"/>
    <s v="UPI"/>
    <s v="Cancelled"/>
    <n v="0"/>
    <s v="Returning"/>
    <n v="2630"/>
    <n v="131.5"/>
    <n v="2498.5"/>
    <n v="998.5"/>
    <n v="0.39963978387032217"/>
    <n v="2025"/>
    <s v="Sep"/>
    <s v="Q3"/>
  </r>
  <r>
    <s v="ORD10149"/>
    <x v="148"/>
    <s v="CUST1410"/>
    <s v="Ananya Gupta"/>
    <x v="61"/>
    <x v="0"/>
    <x v="27"/>
    <x v="11"/>
    <s v="Chennai"/>
    <s v="Tamil Nadu"/>
    <x v="2"/>
    <x v="5"/>
    <s v="Air Fryer"/>
    <x v="26"/>
    <n v="4"/>
    <n v="6710"/>
    <n v="0.15"/>
    <n v="4010"/>
    <s v="Net Banking"/>
    <s v="Cancelled"/>
    <n v="0"/>
    <s v="New"/>
    <n v="26840"/>
    <n v="4026"/>
    <n v="22814"/>
    <n v="18804"/>
    <n v="0.8242307355132813"/>
    <n v="2025"/>
    <s v="Sep"/>
    <s v="Q3"/>
  </r>
  <r>
    <s v="ORD10150"/>
    <x v="149"/>
    <s v="CUST1326"/>
    <s v="Meera Das"/>
    <x v="116"/>
    <x v="1"/>
    <x v="36"/>
    <x v="11"/>
    <s v="Chennai"/>
    <s v="Tamil Nadu"/>
    <x v="2"/>
    <x v="4"/>
    <s v="Makeup Kit"/>
    <x v="28"/>
    <n v="1"/>
    <n v="2120"/>
    <n v="0"/>
    <n v="1140"/>
    <s v="UPI"/>
    <s v="Delivered"/>
    <n v="5"/>
    <s v="New"/>
    <n v="2120"/>
    <n v="0"/>
    <n v="2120"/>
    <n v="980"/>
    <n v="0.46226415094339623"/>
    <n v="2025"/>
    <s v="Sep"/>
    <s v="Q3"/>
  </r>
  <r>
    <s v="ORD10151"/>
    <x v="150"/>
    <s v="CUST1182"/>
    <s v="Nisha Iyer"/>
    <x v="9"/>
    <x v="0"/>
    <x v="10"/>
    <x v="4"/>
    <s v="Chandigarh"/>
    <s v="Chandigarh"/>
    <x v="3"/>
    <x v="2"/>
    <s v="Smartwatch"/>
    <x v="3"/>
    <n v="1"/>
    <n v="6510"/>
    <n v="0.2"/>
    <n v="4340"/>
    <s v="Credit Card"/>
    <s v="Delivered"/>
    <n v="3"/>
    <s v="Returning"/>
    <n v="6510"/>
    <n v="1302"/>
    <n v="5208"/>
    <n v="868"/>
    <n v="0.16666666666666666"/>
    <n v="2025"/>
    <s v="Sep"/>
    <s v="Q3"/>
  </r>
  <r>
    <s v="ORD10152"/>
    <x v="151"/>
    <s v="CUST1466"/>
    <s v="Aditya Nair"/>
    <x v="117"/>
    <x v="0"/>
    <x v="5"/>
    <x v="6"/>
    <s v="Guwahati"/>
    <s v="Assam"/>
    <x v="1"/>
    <x v="5"/>
    <s v="Microwave"/>
    <x v="27"/>
    <n v="1"/>
    <n v="11840"/>
    <n v="0.05"/>
    <n v="8390"/>
    <s v="Wallet"/>
    <s v="Delivered"/>
    <n v="4"/>
    <s v="New"/>
    <n v="11840"/>
    <n v="592"/>
    <n v="11248"/>
    <n v="2858"/>
    <n v="0.25408961593172119"/>
    <n v="2025"/>
    <s v="Sep"/>
    <s v="Q3"/>
  </r>
  <r>
    <s v="ORD10153"/>
    <x v="152"/>
    <s v="CUST1403"/>
    <s v="Diya Joshi"/>
    <x v="118"/>
    <x v="0"/>
    <x v="8"/>
    <x v="10"/>
    <s v="Jaipur"/>
    <s v="Rajasthan"/>
    <x v="3"/>
    <x v="2"/>
    <s v="Smartphone"/>
    <x v="13"/>
    <n v="1"/>
    <n v="17210"/>
    <n v="0.05"/>
    <n v="12940"/>
    <s v="Debit Card"/>
    <s v="Delivered"/>
    <n v="2"/>
    <s v="New"/>
    <n v="17210"/>
    <n v="860.5"/>
    <n v="16349.5"/>
    <n v="3409.5"/>
    <n v="0.20853848741551728"/>
    <n v="2025"/>
    <s v="Sep"/>
    <s v="Q3"/>
  </r>
  <r>
    <s v="ORD10154"/>
    <x v="153"/>
    <s v="CUST1028"/>
    <s v="Rahul Mehta"/>
    <x v="93"/>
    <x v="1"/>
    <x v="1"/>
    <x v="3"/>
    <s v="Bengaluru"/>
    <s v="Karnataka"/>
    <x v="2"/>
    <x v="0"/>
    <s v="T-Shirt"/>
    <x v="2"/>
    <n v="2"/>
    <n v="850"/>
    <n v="0.25"/>
    <n v="470"/>
    <s v="Debit Card"/>
    <s v="Delivered"/>
    <n v="3"/>
    <s v="Returning"/>
    <n v="1700"/>
    <n v="425"/>
    <n v="1275"/>
    <n v="805"/>
    <n v="0.63137254901960782"/>
    <n v="2025"/>
    <s v="Sep"/>
    <s v="Q3"/>
  </r>
  <r>
    <s v="ORD10155"/>
    <x v="154"/>
    <s v="CUST1167"/>
    <s v="Vikram Iyer"/>
    <x v="119"/>
    <x v="1"/>
    <x v="31"/>
    <x v="7"/>
    <s v="Mumbai"/>
    <s v="Maharashtra"/>
    <x v="0"/>
    <x v="5"/>
    <s v="Air Fryer"/>
    <x v="26"/>
    <n v="5"/>
    <n v="6810"/>
    <n v="0.1"/>
    <n v="4130"/>
    <s v="Net Banking"/>
    <s v="Delivered"/>
    <n v="5"/>
    <s v="Returning"/>
    <n v="34050"/>
    <n v="3405"/>
    <n v="30645"/>
    <n v="26515"/>
    <n v="0.86523086963615603"/>
    <n v="2025"/>
    <s v="Sep"/>
    <s v="Q3"/>
  </r>
  <r>
    <s v="ORD10156"/>
    <x v="155"/>
    <s v="CUST1143"/>
    <s v="Diya Kumar"/>
    <x v="120"/>
    <x v="0"/>
    <x v="1"/>
    <x v="11"/>
    <s v="Chennai"/>
    <s v="Tamil Nadu"/>
    <x v="2"/>
    <x v="5"/>
    <s v="Electric Kettle"/>
    <x v="18"/>
    <n v="4"/>
    <n v="1820"/>
    <n v="0.15"/>
    <n v="960"/>
    <s v="Debit Card"/>
    <s v="Delivered"/>
    <n v="3"/>
    <s v="Returning"/>
    <n v="7280"/>
    <n v="1092"/>
    <n v="6188"/>
    <n v="5228"/>
    <n v="0.84486102133160956"/>
    <n v="2025"/>
    <s v="Sep"/>
    <s v="Q3"/>
  </r>
  <r>
    <s v="ORD10157"/>
    <x v="156"/>
    <s v="CUST1097"/>
    <s v="Rohan Iyer"/>
    <x v="33"/>
    <x v="0"/>
    <x v="23"/>
    <x v="11"/>
    <s v="Chennai"/>
    <s v="Tamil Nadu"/>
    <x v="2"/>
    <x v="0"/>
    <s v="Sneakers"/>
    <x v="0"/>
    <n v="1"/>
    <n v="3650"/>
    <n v="0.25"/>
    <n v="2040"/>
    <s v="Credit Card"/>
    <s v="Delivered"/>
    <n v="5"/>
    <s v="Returning"/>
    <n v="3650"/>
    <n v="912.5"/>
    <n v="2737.5"/>
    <n v="697.5"/>
    <n v="0.25479452054794521"/>
    <n v="2025"/>
    <s v="Sep"/>
    <s v="Q3"/>
  </r>
  <r>
    <s v="ORD10158"/>
    <x v="157"/>
    <s v="CUST1485"/>
    <s v="Priya Sharma"/>
    <x v="85"/>
    <x v="0"/>
    <x v="6"/>
    <x v="5"/>
    <s v="Bhubaneswar"/>
    <s v="Odisha"/>
    <x v="1"/>
    <x v="0"/>
    <s v="T-Shirt"/>
    <x v="2"/>
    <n v="2"/>
    <n v="910"/>
    <n v="0.05"/>
    <n v="460"/>
    <s v="Credit Card"/>
    <s v="Returned"/>
    <n v="2"/>
    <s v="New"/>
    <n v="1820"/>
    <n v="91"/>
    <n v="1729"/>
    <n v="1269"/>
    <n v="0.7339502602660497"/>
    <n v="2025"/>
    <s v="Sep"/>
    <s v="Q3"/>
  </r>
  <r>
    <s v="ORD10159"/>
    <x v="158"/>
    <s v="CUST1417"/>
    <s v="Sneha Rao"/>
    <x v="27"/>
    <x v="1"/>
    <x v="37"/>
    <x v="2"/>
    <s v="Kochi"/>
    <s v="Kerala"/>
    <x v="2"/>
    <x v="4"/>
    <s v="Shampoo"/>
    <x v="8"/>
    <n v="1"/>
    <n v="520"/>
    <n v="0.25"/>
    <n v="240"/>
    <s v="UPI"/>
    <s v="Delivered"/>
    <n v="3"/>
    <s v="New"/>
    <n v="520"/>
    <n v="130"/>
    <n v="390"/>
    <n v="150"/>
    <n v="0.38461538461538464"/>
    <n v="2025"/>
    <s v="Sep"/>
    <s v="Q3"/>
  </r>
  <r>
    <s v="ORD10160"/>
    <x v="159"/>
    <s v="CUST1063"/>
    <s v="Aditya Verma"/>
    <x v="30"/>
    <x v="1"/>
    <x v="32"/>
    <x v="1"/>
    <s v="Kolkata"/>
    <s v="West Bengal"/>
    <x v="1"/>
    <x v="1"/>
    <s v="Sofa"/>
    <x v="16"/>
    <n v="3"/>
    <n v="27680"/>
    <n v="0.05"/>
    <n v="19500"/>
    <s v="Debit Card"/>
    <s v="Delivered"/>
    <n v="5"/>
    <s v="Returning"/>
    <n v="83040"/>
    <n v="4152"/>
    <n v="78888"/>
    <n v="59388"/>
    <n v="0.75281411621539396"/>
    <n v="2025"/>
    <s v="Sep"/>
    <s v="Q3"/>
  </r>
  <r>
    <s v="ORD10161"/>
    <x v="160"/>
    <s v="CUST1133"/>
    <s v="Kavya Das"/>
    <x v="121"/>
    <x v="1"/>
    <x v="33"/>
    <x v="11"/>
    <s v="Chennai"/>
    <s v="Tamil Nadu"/>
    <x v="2"/>
    <x v="3"/>
    <s v="Yoga Mat"/>
    <x v="20"/>
    <n v="3"/>
    <n v="970"/>
    <n v="0.2"/>
    <n v="410"/>
    <s v="Credit Card"/>
    <s v="Delivered"/>
    <n v="5"/>
    <s v="Returning"/>
    <n v="2910"/>
    <n v="582"/>
    <n v="2328"/>
    <n v="1918"/>
    <n v="0.82388316151202745"/>
    <n v="2025"/>
    <s v="Sep"/>
    <s v="Q3"/>
  </r>
  <r>
    <s v="ORD10162"/>
    <x v="161"/>
    <s v="CUST1476"/>
    <s v="Priya Joshi"/>
    <x v="122"/>
    <x v="1"/>
    <x v="14"/>
    <x v="14"/>
    <s v="Ahmedabad"/>
    <s v="Gujarat"/>
    <x v="0"/>
    <x v="2"/>
    <s v="Smartphone"/>
    <x v="13"/>
    <n v="1"/>
    <n v="16970"/>
    <n v="0.05"/>
    <n v="12440"/>
    <s v="Cash on Delivery"/>
    <s v="Delivered"/>
    <n v="4"/>
    <s v="New"/>
    <n v="16970"/>
    <n v="848.5"/>
    <n v="16121.5"/>
    <n v="3681.5"/>
    <n v="0.22835964395372638"/>
    <n v="2025"/>
    <s v="Sep"/>
    <s v="Q3"/>
  </r>
  <r>
    <s v="ORD10163"/>
    <x v="162"/>
    <s v="CUST1325"/>
    <s v="Arjun Das"/>
    <x v="123"/>
    <x v="0"/>
    <x v="7"/>
    <x v="9"/>
    <s v="Hyderabad"/>
    <s v="Telangana"/>
    <x v="2"/>
    <x v="2"/>
    <s v="Tablet"/>
    <x v="4"/>
    <n v="2"/>
    <n v="21380"/>
    <n v="0.15"/>
    <n v="14830"/>
    <s v="UPI"/>
    <s v="Returned"/>
    <n v="2"/>
    <s v="New"/>
    <n v="42760"/>
    <n v="6414"/>
    <n v="36346"/>
    <n v="21516"/>
    <n v="0.59197710889781541"/>
    <n v="2025"/>
    <s v="Sep"/>
    <s v="Q3"/>
  </r>
  <r>
    <s v="ORD10164"/>
    <x v="163"/>
    <s v="CUST1067"/>
    <s v="Aditya Sharma"/>
    <x v="124"/>
    <x v="1"/>
    <x v="26"/>
    <x v="6"/>
    <s v="Guwahati"/>
    <s v="Assam"/>
    <x v="1"/>
    <x v="2"/>
    <s v="Headphones"/>
    <x v="5"/>
    <n v="3"/>
    <n v="2460"/>
    <n v="0.15"/>
    <n v="1560"/>
    <s v="UPI"/>
    <s v="Delivered"/>
    <n v="1"/>
    <s v="Returning"/>
    <n v="7380"/>
    <n v="1107"/>
    <n v="6273"/>
    <n v="4713"/>
    <n v="0.75131516021042566"/>
    <n v="2025"/>
    <s v="Sep"/>
    <s v="Q3"/>
  </r>
  <r>
    <s v="ORD10165"/>
    <x v="164"/>
    <s v="CUST1210"/>
    <s v="Ananya Iyer"/>
    <x v="71"/>
    <x v="0"/>
    <x v="7"/>
    <x v="0"/>
    <s v="Pune"/>
    <s v="Maharashtra"/>
    <x v="0"/>
    <x v="2"/>
    <s v="Laptop"/>
    <x v="15"/>
    <n v="2"/>
    <n v="54650"/>
    <n v="0.2"/>
    <n v="42200"/>
    <s v="Credit Card"/>
    <s v="Pending"/>
    <n v="2"/>
    <s v="Returning"/>
    <n v="109300"/>
    <n v="21860"/>
    <n v="87440"/>
    <n v="45240"/>
    <n v="0.51738334858188473"/>
    <n v="2025"/>
    <s v="Sep"/>
    <s v="Q3"/>
  </r>
  <r>
    <s v="ORD10166"/>
    <x v="165"/>
    <s v="CUST1369"/>
    <s v="Ananya Mehta"/>
    <x v="125"/>
    <x v="0"/>
    <x v="9"/>
    <x v="7"/>
    <s v="Mumbai"/>
    <s v="Maharashtra"/>
    <x v="0"/>
    <x v="1"/>
    <s v="Office Chair"/>
    <x v="1"/>
    <n v="1"/>
    <n v="6930"/>
    <n v="0.15"/>
    <n v="4330"/>
    <s v="UPI"/>
    <s v="Pending"/>
    <n v="5"/>
    <s v="New"/>
    <n v="6930"/>
    <n v="1039.5"/>
    <n v="5890.5"/>
    <n v="1560.5"/>
    <n v="0.2649180884475002"/>
    <n v="2025"/>
    <s v="Sep"/>
    <s v="Q3"/>
  </r>
  <r>
    <s v="ORD10167"/>
    <x v="166"/>
    <s v="CUST1375"/>
    <s v="Ananya Kumar"/>
    <x v="126"/>
    <x v="0"/>
    <x v="3"/>
    <x v="14"/>
    <s v="Ahmedabad"/>
    <s v="Gujarat"/>
    <x v="0"/>
    <x v="4"/>
    <s v="Hair Dryer"/>
    <x v="14"/>
    <n v="1"/>
    <n v="1730"/>
    <n v="0"/>
    <n v="1010"/>
    <s v="UPI"/>
    <s v="Returned"/>
    <n v="1"/>
    <s v="New"/>
    <n v="1730"/>
    <n v="0"/>
    <n v="1730"/>
    <n v="720"/>
    <n v="0.41618497109826591"/>
    <n v="2025"/>
    <s v="Sep"/>
    <s v="Q3"/>
  </r>
  <r>
    <s v="ORD10168"/>
    <x v="167"/>
    <s v="CUST1222"/>
    <s v="Nisha Shah"/>
    <x v="14"/>
    <x v="1"/>
    <x v="14"/>
    <x v="14"/>
    <s v="Ahmedabad"/>
    <s v="Gujarat"/>
    <x v="0"/>
    <x v="5"/>
    <s v="Microwave"/>
    <x v="27"/>
    <n v="2"/>
    <n v="12750"/>
    <n v="0.05"/>
    <n v="7850"/>
    <s v="UPI"/>
    <s v="Delivered"/>
    <n v="1"/>
    <s v="Returning"/>
    <n v="25500"/>
    <n v="1275"/>
    <n v="24225"/>
    <n v="16375"/>
    <n v="0.67595459236326105"/>
    <n v="2025"/>
    <s v="Sep"/>
    <s v="Q3"/>
  </r>
  <r>
    <s v="ORD10169"/>
    <x v="168"/>
    <s v="CUST1267"/>
    <s v="Sneha Rao"/>
    <x v="27"/>
    <x v="0"/>
    <x v="0"/>
    <x v="2"/>
    <s v="Kochi"/>
    <s v="Kerala"/>
    <x v="2"/>
    <x v="2"/>
    <s v="Tablet"/>
    <x v="4"/>
    <n v="2"/>
    <n v="20640"/>
    <n v="0"/>
    <n v="16130"/>
    <s v="Debit Card"/>
    <s v="Returned"/>
    <n v="6"/>
    <s v="Returning"/>
    <n v="41280"/>
    <n v="0"/>
    <n v="41280"/>
    <n v="25150"/>
    <n v="0.60925387596899228"/>
    <n v="2025"/>
    <s v="Sep"/>
    <s v="Q3"/>
  </r>
  <r>
    <s v="ORD10170"/>
    <x v="169"/>
    <s v="CUST1008"/>
    <s v="Priya Kumar"/>
    <x v="127"/>
    <x v="1"/>
    <x v="8"/>
    <x v="7"/>
    <s v="Mumbai"/>
    <s v="Maharashtra"/>
    <x v="0"/>
    <x v="1"/>
    <s v="Office Chair"/>
    <x v="1"/>
    <n v="1"/>
    <n v="6150"/>
    <n v="0.05"/>
    <n v="4390"/>
    <s v="Credit Card"/>
    <s v="Delivered"/>
    <n v="4"/>
    <s v="Returning"/>
    <n v="6150"/>
    <n v="307.5"/>
    <n v="5842.5"/>
    <n v="1452.5"/>
    <n v="0.24860932819854514"/>
    <n v="2025"/>
    <s v="Sep"/>
    <s v="Q3"/>
  </r>
  <r>
    <s v="ORD10171"/>
    <x v="170"/>
    <s v="CUST1348"/>
    <s v="Ishita Iyer"/>
    <x v="69"/>
    <x v="1"/>
    <x v="40"/>
    <x v="7"/>
    <s v="Mumbai"/>
    <s v="Maharashtra"/>
    <x v="0"/>
    <x v="2"/>
    <s v="Laptop"/>
    <x v="15"/>
    <n v="2"/>
    <n v="59260"/>
    <n v="0.05"/>
    <n v="41610"/>
    <s v="Net Banking"/>
    <s v="Delivered"/>
    <n v="1"/>
    <s v="New"/>
    <n v="118520"/>
    <n v="5926"/>
    <n v="112594"/>
    <n v="70984"/>
    <n v="0.63044211947350659"/>
    <n v="2025"/>
    <s v="Sep"/>
    <s v="Q3"/>
  </r>
  <r>
    <s v="ORD10172"/>
    <x v="171"/>
    <s v="CUST1218"/>
    <s v="Kavya Iyer"/>
    <x v="128"/>
    <x v="1"/>
    <x v="38"/>
    <x v="3"/>
    <s v="Bengaluru"/>
    <s v="Karnataka"/>
    <x v="2"/>
    <x v="0"/>
    <s v="Handbag"/>
    <x v="12"/>
    <n v="2"/>
    <n v="2660"/>
    <n v="0.15"/>
    <n v="1560"/>
    <s v="UPI"/>
    <s v="Delivered"/>
    <n v="1"/>
    <s v="Returning"/>
    <n v="5320"/>
    <n v="798"/>
    <n v="4522"/>
    <n v="2962"/>
    <n v="0.65501990269792132"/>
    <n v="2025"/>
    <s v="Oct"/>
    <s v="Q4"/>
  </r>
  <r>
    <s v="ORD10173"/>
    <x v="172"/>
    <s v="CUST1369"/>
    <s v="Karan Nair"/>
    <x v="129"/>
    <x v="1"/>
    <x v="13"/>
    <x v="12"/>
    <s v="Delhi"/>
    <s v="Delhi"/>
    <x v="3"/>
    <x v="0"/>
    <s v="Handbag"/>
    <x v="12"/>
    <n v="2"/>
    <n v="2810"/>
    <n v="0.05"/>
    <n v="1670"/>
    <s v="Credit Card"/>
    <s v="Delivered"/>
    <n v="4"/>
    <s v="New"/>
    <n v="5620"/>
    <n v="281"/>
    <n v="5339"/>
    <n v="3669"/>
    <n v="0.68720734219891366"/>
    <n v="2025"/>
    <s v="Oct"/>
    <s v="Q4"/>
  </r>
  <r>
    <s v="ORD10174"/>
    <x v="173"/>
    <s v="CUST1423"/>
    <s v="Aarav Verma"/>
    <x v="70"/>
    <x v="1"/>
    <x v="25"/>
    <x v="5"/>
    <s v="Bhubaneswar"/>
    <s v="Odisha"/>
    <x v="1"/>
    <x v="3"/>
    <s v="Dumbbells"/>
    <x v="7"/>
    <n v="4"/>
    <n v="2370"/>
    <n v="0.1"/>
    <n v="1530"/>
    <s v="Net Banking"/>
    <s v="Delivered"/>
    <n v="2"/>
    <s v="New"/>
    <n v="9480"/>
    <n v="948"/>
    <n v="8532"/>
    <n v="7002"/>
    <n v="0.82067510548523204"/>
    <n v="2025"/>
    <s v="Oct"/>
    <s v="Q4"/>
  </r>
  <r>
    <s v="ORD10175"/>
    <x v="174"/>
    <s v="CUST1240"/>
    <s v="Rohan Reddy"/>
    <x v="130"/>
    <x v="0"/>
    <x v="14"/>
    <x v="12"/>
    <s v="Delhi"/>
    <s v="Delhi"/>
    <x v="3"/>
    <x v="4"/>
    <s v="Face Cream"/>
    <x v="21"/>
    <n v="2"/>
    <n v="600"/>
    <n v="0.05"/>
    <n v="290"/>
    <s v="Debit Card"/>
    <s v="Delivered"/>
    <n v="2"/>
    <s v="Returning"/>
    <n v="1200"/>
    <n v="60"/>
    <n v="1140"/>
    <n v="850"/>
    <n v="0.74561403508771928"/>
    <n v="2025"/>
    <s v="Oct"/>
    <s v="Q4"/>
  </r>
  <r>
    <s v="ORD10176"/>
    <x v="175"/>
    <s v="CUST1082"/>
    <s v="Vivaan Reddy"/>
    <x v="131"/>
    <x v="0"/>
    <x v="31"/>
    <x v="11"/>
    <s v="Chennai"/>
    <s v="Tamil Nadu"/>
    <x v="2"/>
    <x v="3"/>
    <s v="Tennis Racket"/>
    <x v="17"/>
    <n v="1"/>
    <n v="4400"/>
    <n v="0.25"/>
    <n v="2850"/>
    <s v="Debit Card"/>
    <s v="Delivered"/>
    <n v="4"/>
    <s v="Returning"/>
    <n v="4400"/>
    <n v="1100"/>
    <n v="3300"/>
    <n v="450"/>
    <n v="0.13636363636363635"/>
    <n v="2025"/>
    <s v="Oct"/>
    <s v="Q4"/>
  </r>
  <r>
    <s v="ORD10177"/>
    <x v="176"/>
    <s v="CUST1398"/>
    <s v="Karan Verma"/>
    <x v="66"/>
    <x v="0"/>
    <x v="23"/>
    <x v="4"/>
    <s v="Chandigarh"/>
    <s v="Chandigarh"/>
    <x v="3"/>
    <x v="2"/>
    <s v="Headphones"/>
    <x v="5"/>
    <n v="3"/>
    <n v="2510"/>
    <n v="0.2"/>
    <n v="1570"/>
    <s v="Cash on Delivery"/>
    <s v="Delivered"/>
    <n v="4"/>
    <s v="New"/>
    <n v="7530"/>
    <n v="1506"/>
    <n v="6024"/>
    <n v="4454"/>
    <n v="0.73937583001328022"/>
    <n v="2025"/>
    <s v="Oct"/>
    <s v="Q4"/>
  </r>
  <r>
    <s v="ORD10178"/>
    <x v="177"/>
    <s v="CUST1321"/>
    <s v="Priya Mehta"/>
    <x v="46"/>
    <x v="1"/>
    <x v="27"/>
    <x v="2"/>
    <s v="Kochi"/>
    <s v="Kerala"/>
    <x v="2"/>
    <x v="5"/>
    <s v="Mixer Grinder"/>
    <x v="22"/>
    <n v="2"/>
    <n v="4300"/>
    <n v="0.2"/>
    <n v="2750"/>
    <s v="Credit Card"/>
    <s v="Delivered"/>
    <n v="3"/>
    <s v="New"/>
    <n v="8600"/>
    <n v="1720"/>
    <n v="6880"/>
    <n v="4130"/>
    <n v="0.60029069767441856"/>
    <n v="2025"/>
    <s v="Oct"/>
    <s v="Q4"/>
  </r>
  <r>
    <s v="ORD10179"/>
    <x v="178"/>
    <s v="CUST1030"/>
    <s v="Priya Singh"/>
    <x v="0"/>
    <x v="0"/>
    <x v="40"/>
    <x v="9"/>
    <s v="Hyderabad"/>
    <s v="Telangana"/>
    <x v="2"/>
    <x v="5"/>
    <s v="Mixer Grinder"/>
    <x v="22"/>
    <n v="2"/>
    <n v="4080"/>
    <n v="0.1"/>
    <n v="2670"/>
    <s v="Debit Card"/>
    <s v="Delivered"/>
    <n v="4"/>
    <s v="Returning"/>
    <n v="8160"/>
    <n v="816"/>
    <n v="7344"/>
    <n v="4674"/>
    <n v="0.63643790849673199"/>
    <n v="2025"/>
    <s v="Oct"/>
    <s v="Q4"/>
  </r>
  <r>
    <s v="ORD10180"/>
    <x v="179"/>
    <s v="CUST1440"/>
    <s v="Vikram Patel"/>
    <x v="60"/>
    <x v="0"/>
    <x v="27"/>
    <x v="14"/>
    <s v="Ahmedabad"/>
    <s v="Gujarat"/>
    <x v="0"/>
    <x v="5"/>
    <s v="Vacuum Cleaner"/>
    <x v="9"/>
    <n v="1"/>
    <n v="8520"/>
    <n v="0.1"/>
    <n v="5320"/>
    <s v="Credit Card"/>
    <s v="Delivered"/>
    <n v="4"/>
    <s v="New"/>
    <n v="8520"/>
    <n v="852"/>
    <n v="7668"/>
    <n v="2348"/>
    <n v="0.30620761606677099"/>
    <n v="2025"/>
    <s v="Oct"/>
    <s v="Q4"/>
  </r>
  <r>
    <s v="ORD10181"/>
    <x v="180"/>
    <s v="CUST1325"/>
    <s v="Nisha Joshi"/>
    <x v="13"/>
    <x v="0"/>
    <x v="8"/>
    <x v="7"/>
    <s v="Mumbai"/>
    <s v="Maharashtra"/>
    <x v="0"/>
    <x v="0"/>
    <s v="Jacket"/>
    <x v="25"/>
    <n v="1"/>
    <n v="4520"/>
    <n v="0.05"/>
    <n v="2720"/>
    <s v="Credit Card"/>
    <s v="Delivered"/>
    <n v="2"/>
    <s v="New"/>
    <n v="4520"/>
    <n v="226"/>
    <n v="4294"/>
    <n v="1574"/>
    <n v="0.36655798789007921"/>
    <n v="2025"/>
    <s v="Oct"/>
    <s v="Q4"/>
  </r>
  <r>
    <s v="ORD10182"/>
    <x v="181"/>
    <s v="CUST1363"/>
    <s v="Sneha Verma"/>
    <x v="132"/>
    <x v="1"/>
    <x v="10"/>
    <x v="13"/>
    <s v="Lucknow"/>
    <s v="Uttar Pradesh"/>
    <x v="3"/>
    <x v="2"/>
    <s v="Tablet"/>
    <x v="4"/>
    <n v="1"/>
    <n v="23410"/>
    <n v="0"/>
    <n v="16210"/>
    <s v="Credit Card"/>
    <s v="Returned"/>
    <n v="4"/>
    <s v="New"/>
    <n v="23410"/>
    <n v="0"/>
    <n v="23410"/>
    <n v="7200"/>
    <n v="0.30756087142246902"/>
    <n v="2025"/>
    <s v="Oct"/>
    <s v="Q4"/>
  </r>
  <r>
    <s v="ORD10183"/>
    <x v="182"/>
    <s v="CUST1369"/>
    <s v="Sneha Reddy"/>
    <x v="133"/>
    <x v="0"/>
    <x v="34"/>
    <x v="1"/>
    <s v="Kolkata"/>
    <s v="West Bengal"/>
    <x v="1"/>
    <x v="3"/>
    <s v="Tennis Racket"/>
    <x v="17"/>
    <n v="5"/>
    <n v="4480"/>
    <n v="0.1"/>
    <n v="2710"/>
    <s v="UPI"/>
    <s v="Returned"/>
    <n v="3"/>
    <s v="New"/>
    <n v="22400"/>
    <n v="2240"/>
    <n v="20160"/>
    <n v="17450"/>
    <n v="0.86557539682539686"/>
    <n v="2025"/>
    <s v="Oct"/>
    <s v="Q4"/>
  </r>
  <r>
    <s v="ORD10184"/>
    <x v="183"/>
    <s v="CUST1416"/>
    <s v="Aditya Verma"/>
    <x v="30"/>
    <x v="1"/>
    <x v="0"/>
    <x v="5"/>
    <s v="Bhubaneswar"/>
    <s v="Odisha"/>
    <x v="1"/>
    <x v="4"/>
    <s v="Hair Dryer"/>
    <x v="14"/>
    <n v="4"/>
    <n v="1820"/>
    <n v="0.05"/>
    <n v="1010"/>
    <s v="UPI"/>
    <s v="Delivered"/>
    <n v="4"/>
    <s v="New"/>
    <n v="7280"/>
    <n v="364"/>
    <n v="6916"/>
    <n v="5906"/>
    <n v="0.85396182764603812"/>
    <n v="2025"/>
    <s v="Oct"/>
    <s v="Q4"/>
  </r>
  <r>
    <s v="ORD10185"/>
    <x v="184"/>
    <s v="CUST1484"/>
    <s v="Vivaan Joshi"/>
    <x v="105"/>
    <x v="0"/>
    <x v="24"/>
    <x v="14"/>
    <s v="Ahmedabad"/>
    <s v="Gujarat"/>
    <x v="0"/>
    <x v="1"/>
    <s v="Study Table"/>
    <x v="11"/>
    <n v="2"/>
    <n v="8810"/>
    <n v="0"/>
    <n v="5800"/>
    <s v="Cash on Delivery"/>
    <s v="Cancelled"/>
    <n v="0"/>
    <s v="New"/>
    <n v="17620"/>
    <n v="0"/>
    <n v="17620"/>
    <n v="11820"/>
    <n v="0.6708286038592508"/>
    <n v="2025"/>
    <s v="Oct"/>
    <s v="Q4"/>
  </r>
  <r>
    <s v="ORD10186"/>
    <x v="185"/>
    <s v="CUST1117"/>
    <s v="Priya Kumar"/>
    <x v="127"/>
    <x v="1"/>
    <x v="8"/>
    <x v="7"/>
    <s v="Mumbai"/>
    <s v="Maharashtra"/>
    <x v="0"/>
    <x v="2"/>
    <s v="Headphones"/>
    <x v="5"/>
    <n v="2"/>
    <n v="2320"/>
    <n v="0.15"/>
    <n v="1500"/>
    <s v="UPI"/>
    <s v="Pending"/>
    <n v="7"/>
    <s v="Returning"/>
    <n v="4640"/>
    <n v="696"/>
    <n v="3944"/>
    <n v="2444"/>
    <n v="0.61967545638945232"/>
    <n v="2025"/>
    <s v="Oct"/>
    <s v="Q4"/>
  </r>
  <r>
    <s v="ORD10187"/>
    <x v="186"/>
    <s v="CUST1108"/>
    <s v="Nisha Naidu"/>
    <x v="3"/>
    <x v="0"/>
    <x v="20"/>
    <x v="7"/>
    <s v="Mumbai"/>
    <s v="Maharashtra"/>
    <x v="0"/>
    <x v="0"/>
    <s v="Sneakers"/>
    <x v="0"/>
    <n v="2"/>
    <n v="3500"/>
    <n v="0.1"/>
    <n v="2180"/>
    <s v="Wallet"/>
    <s v="Delivered"/>
    <n v="5"/>
    <s v="Returning"/>
    <n v="7000"/>
    <n v="700"/>
    <n v="6300"/>
    <n v="4120"/>
    <n v="0.65396825396825398"/>
    <n v="2025"/>
    <s v="Oct"/>
    <s v="Q4"/>
  </r>
  <r>
    <s v="ORD10188"/>
    <x v="187"/>
    <s v="CUST1163"/>
    <s v="Rahul Joshi"/>
    <x v="108"/>
    <x v="1"/>
    <x v="34"/>
    <x v="3"/>
    <s v="Bengaluru"/>
    <s v="Karnataka"/>
    <x v="2"/>
    <x v="5"/>
    <s v="Electric Kettle"/>
    <x v="18"/>
    <n v="1"/>
    <n v="1730"/>
    <n v="0"/>
    <n v="990"/>
    <s v="UPI"/>
    <s v="Delivered"/>
    <n v="5"/>
    <s v="Returning"/>
    <n v="1730"/>
    <n v="0"/>
    <n v="1730"/>
    <n v="740"/>
    <n v="0.4277456647398844"/>
    <n v="2025"/>
    <s v="Oct"/>
    <s v="Q4"/>
  </r>
  <r>
    <s v="ORD10189"/>
    <x v="188"/>
    <s v="CUST1349"/>
    <s v="Aarav Iyer"/>
    <x v="37"/>
    <x v="0"/>
    <x v="35"/>
    <x v="12"/>
    <s v="Delhi"/>
    <s v="Delhi"/>
    <x v="3"/>
    <x v="0"/>
    <s v="Handbag"/>
    <x v="12"/>
    <n v="1"/>
    <n v="2940"/>
    <n v="0.05"/>
    <n v="1550"/>
    <s v="Wallet"/>
    <s v="Delivered"/>
    <n v="10"/>
    <s v="New"/>
    <n v="2940"/>
    <n v="147"/>
    <n v="2793"/>
    <n v="1243"/>
    <n v="0.44504117436448265"/>
    <n v="2025"/>
    <s v="Oct"/>
    <s v="Q4"/>
  </r>
  <r>
    <s v="ORD10190"/>
    <x v="189"/>
    <s v="CUST1282"/>
    <s v="Meera Iyer"/>
    <x v="134"/>
    <x v="1"/>
    <x v="2"/>
    <x v="9"/>
    <s v="Hyderabad"/>
    <s v="Telangana"/>
    <x v="2"/>
    <x v="4"/>
    <s v="Face Cream"/>
    <x v="21"/>
    <n v="2"/>
    <n v="610"/>
    <n v="0"/>
    <n v="310"/>
    <s v="Cash on Delivery"/>
    <s v="Delivered"/>
    <n v="6"/>
    <s v="Returning"/>
    <n v="1220"/>
    <n v="0"/>
    <n v="1220"/>
    <n v="910"/>
    <n v="0.74590163934426235"/>
    <n v="2025"/>
    <s v="Oct"/>
    <s v="Q4"/>
  </r>
  <r>
    <s v="ORD10191"/>
    <x v="190"/>
    <s v="CUST1194"/>
    <s v="Ishita Gupta"/>
    <x v="135"/>
    <x v="1"/>
    <x v="41"/>
    <x v="5"/>
    <s v="Bhubaneswar"/>
    <s v="Odisha"/>
    <x v="1"/>
    <x v="1"/>
    <s v="Sofa"/>
    <x v="16"/>
    <n v="1"/>
    <n v="26060"/>
    <n v="0.05"/>
    <n v="19700"/>
    <s v="Cash on Delivery"/>
    <s v="Cancelled"/>
    <n v="0"/>
    <s v="Returning"/>
    <n v="26060"/>
    <n v="1303"/>
    <n v="24757"/>
    <n v="5057"/>
    <n v="0.20426546027386194"/>
    <n v="2025"/>
    <s v="Oct"/>
    <s v="Q4"/>
  </r>
  <r>
    <s v="ORD10192"/>
    <x v="191"/>
    <s v="CUST1083"/>
    <s v="Karan Shah"/>
    <x v="8"/>
    <x v="1"/>
    <x v="31"/>
    <x v="3"/>
    <s v="Bengaluru"/>
    <s v="Karnataka"/>
    <x v="2"/>
    <x v="0"/>
    <s v="T-Shirt"/>
    <x v="2"/>
    <n v="1"/>
    <n v="900"/>
    <n v="0"/>
    <n v="460"/>
    <s v="Debit Card"/>
    <s v="Delivered"/>
    <n v="6"/>
    <s v="Returning"/>
    <n v="900"/>
    <n v="0"/>
    <n v="900"/>
    <n v="440"/>
    <n v="0.48888888888888887"/>
    <n v="2025"/>
    <s v="Oct"/>
    <s v="Q4"/>
  </r>
  <r>
    <s v="ORD10193"/>
    <x v="192"/>
    <s v="CUST1392"/>
    <s v="Karan Rao"/>
    <x v="136"/>
    <x v="1"/>
    <x v="7"/>
    <x v="7"/>
    <s v="Mumbai"/>
    <s v="Maharashtra"/>
    <x v="0"/>
    <x v="1"/>
    <s v="Bedside Table"/>
    <x v="24"/>
    <n v="3"/>
    <n v="4540"/>
    <n v="0.05"/>
    <n v="2760"/>
    <s v="UPI"/>
    <s v="Delivered"/>
    <n v="5"/>
    <s v="New"/>
    <n v="13620"/>
    <n v="681"/>
    <n v="12939"/>
    <n v="10179"/>
    <n v="0.7866913980987712"/>
    <n v="2025"/>
    <s v="Oct"/>
    <s v="Q4"/>
  </r>
  <r>
    <s v="ORD10194"/>
    <x v="193"/>
    <s v="CUST1337"/>
    <s v="Ishita Rao"/>
    <x v="137"/>
    <x v="0"/>
    <x v="35"/>
    <x v="12"/>
    <s v="Delhi"/>
    <s v="Delhi"/>
    <x v="3"/>
    <x v="5"/>
    <s v="Vacuum Cleaner"/>
    <x v="9"/>
    <n v="2"/>
    <n v="8540"/>
    <n v="0.1"/>
    <n v="5450"/>
    <s v="Credit Card"/>
    <s v="Delivered"/>
    <n v="4"/>
    <s v="New"/>
    <n v="17080"/>
    <n v="1708"/>
    <n v="15372"/>
    <n v="9922"/>
    <n v="0.64545927660681757"/>
    <n v="2025"/>
    <s v="Oct"/>
    <s v="Q4"/>
  </r>
  <r>
    <s v="ORD10195"/>
    <x v="194"/>
    <s v="CUST1205"/>
    <s v="Nisha Gupta"/>
    <x v="138"/>
    <x v="0"/>
    <x v="8"/>
    <x v="0"/>
    <s v="Pune"/>
    <s v="Maharashtra"/>
    <x v="0"/>
    <x v="2"/>
    <s v="Laptop"/>
    <x v="15"/>
    <n v="1"/>
    <n v="56140"/>
    <n v="0"/>
    <n v="43040"/>
    <s v="Credit Card"/>
    <s v="Delivered"/>
    <n v="4"/>
    <s v="Returning"/>
    <n v="56140"/>
    <n v="0"/>
    <n v="56140"/>
    <n v="13100"/>
    <n v="0.23334520840755255"/>
    <n v="2025"/>
    <s v="Oct"/>
    <s v="Q4"/>
  </r>
  <r>
    <s v="ORD10196"/>
    <x v="195"/>
    <s v="CUST1274"/>
    <s v="Arjun Patel"/>
    <x v="98"/>
    <x v="0"/>
    <x v="4"/>
    <x v="14"/>
    <s v="Ahmedabad"/>
    <s v="Gujarat"/>
    <x v="0"/>
    <x v="5"/>
    <s v="Mixer Grinder"/>
    <x v="22"/>
    <n v="1"/>
    <n v="4500"/>
    <n v="0"/>
    <n v="2820"/>
    <s v="Cash on Delivery"/>
    <s v="Delivered"/>
    <n v="4"/>
    <s v="Returning"/>
    <n v="4500"/>
    <n v="0"/>
    <n v="4500"/>
    <n v="1680"/>
    <n v="0.37333333333333335"/>
    <n v="2025"/>
    <s v="Oct"/>
    <s v="Q4"/>
  </r>
  <r>
    <s v="ORD10197"/>
    <x v="196"/>
    <s v="CUST1452"/>
    <s v="Rohan Singh"/>
    <x v="47"/>
    <x v="0"/>
    <x v="15"/>
    <x v="9"/>
    <s v="Hyderabad"/>
    <s v="Telangana"/>
    <x v="2"/>
    <x v="3"/>
    <s v="Tennis Racket"/>
    <x v="17"/>
    <n v="2"/>
    <n v="4220"/>
    <n v="0"/>
    <n v="2820"/>
    <s v="Net Banking"/>
    <s v="Returned"/>
    <n v="4"/>
    <s v="New"/>
    <n v="8440"/>
    <n v="0"/>
    <n v="8440"/>
    <n v="5620"/>
    <n v="0.66587677725118488"/>
    <n v="2025"/>
    <s v="Oct"/>
    <s v="Q4"/>
  </r>
  <r>
    <s v="ORD10198"/>
    <x v="197"/>
    <s v="CUST1023"/>
    <s v="Karan Mehta"/>
    <x v="139"/>
    <x v="0"/>
    <x v="27"/>
    <x v="3"/>
    <s v="Bengaluru"/>
    <s v="Karnataka"/>
    <x v="2"/>
    <x v="2"/>
    <s v="Headphones"/>
    <x v="5"/>
    <n v="4"/>
    <n v="2580"/>
    <n v="0.05"/>
    <n v="1440"/>
    <s v="Cash on Delivery"/>
    <s v="Delivered"/>
    <n v="1"/>
    <s v="Returning"/>
    <n v="10320"/>
    <n v="516"/>
    <n v="9804"/>
    <n v="8364"/>
    <n v="0.85312117503059981"/>
    <n v="2025"/>
    <s v="Oct"/>
    <s v="Q4"/>
  </r>
  <r>
    <s v="ORD10199"/>
    <x v="198"/>
    <s v="CUST1304"/>
    <s v="Ishita Gupta"/>
    <x v="135"/>
    <x v="0"/>
    <x v="19"/>
    <x v="6"/>
    <s v="Guwahati"/>
    <s v="Assam"/>
    <x v="1"/>
    <x v="2"/>
    <s v="Headphones"/>
    <x v="5"/>
    <n v="1"/>
    <n v="2320"/>
    <n v="0.15"/>
    <n v="1490"/>
    <s v="Cash on Delivery"/>
    <s v="Returned"/>
    <n v="2"/>
    <s v="New"/>
    <n v="2320"/>
    <n v="348"/>
    <n v="1972"/>
    <n v="482"/>
    <n v="0.24442190669371197"/>
    <n v="2025"/>
    <s v="Oct"/>
    <s v="Q4"/>
  </r>
  <r>
    <s v="ORD10200"/>
    <x v="199"/>
    <s v="CUST1166"/>
    <s v="Rahul Gupta"/>
    <x v="140"/>
    <x v="0"/>
    <x v="13"/>
    <x v="11"/>
    <s v="Chennai"/>
    <s v="Tamil Nadu"/>
    <x v="2"/>
    <x v="4"/>
    <s v="Hair Dryer"/>
    <x v="14"/>
    <n v="1"/>
    <n v="1770"/>
    <n v="0.25"/>
    <n v="960"/>
    <s v="Cash on Delivery"/>
    <s v="Pending"/>
    <n v="1"/>
    <s v="Returning"/>
    <n v="1770"/>
    <n v="442.5"/>
    <n v="1327.5"/>
    <n v="367.5"/>
    <n v="0.2768361581920904"/>
    <n v="2025"/>
    <s v="Oct"/>
    <s v="Q4"/>
  </r>
  <r>
    <s v="ORD10201"/>
    <x v="200"/>
    <s v="CUST1488"/>
    <s v="Aditya Nair"/>
    <x v="117"/>
    <x v="0"/>
    <x v="0"/>
    <x v="4"/>
    <s v="Chandigarh"/>
    <s v="Chandigarh"/>
    <x v="3"/>
    <x v="2"/>
    <s v="Tablet"/>
    <x v="4"/>
    <n v="1"/>
    <n v="20630"/>
    <n v="0.1"/>
    <n v="15140"/>
    <s v="Net Banking"/>
    <s v="Delivered"/>
    <n v="3"/>
    <s v="New"/>
    <n v="20630"/>
    <n v="2063"/>
    <n v="18567"/>
    <n v="3427"/>
    <n v="0.18457478321753648"/>
    <n v="2025"/>
    <s v="Oct"/>
    <s v="Q4"/>
  </r>
  <r>
    <s v="ORD10202"/>
    <x v="201"/>
    <s v="CUST1138"/>
    <s v="Priya Das"/>
    <x v="141"/>
    <x v="0"/>
    <x v="26"/>
    <x v="3"/>
    <s v="Bengaluru"/>
    <s v="Karnataka"/>
    <x v="2"/>
    <x v="3"/>
    <s v="Tennis Racket"/>
    <x v="17"/>
    <n v="1"/>
    <n v="4470"/>
    <n v="0.25"/>
    <n v="2810"/>
    <s v="Debit Card"/>
    <s v="Delivered"/>
    <n v="5"/>
    <s v="Returning"/>
    <n v="4470"/>
    <n v="1117.5"/>
    <n v="3352.5"/>
    <n v="542.5"/>
    <n v="0.16181953765846382"/>
    <n v="2025"/>
    <s v="Oct"/>
    <s v="Q4"/>
  </r>
  <r>
    <s v="ORD10203"/>
    <x v="202"/>
    <s v="CUST1104"/>
    <s v="Nisha Bhat"/>
    <x v="24"/>
    <x v="0"/>
    <x v="38"/>
    <x v="13"/>
    <s v="Lucknow"/>
    <s v="Uttar Pradesh"/>
    <x v="3"/>
    <x v="1"/>
    <s v="Office Chair"/>
    <x v="1"/>
    <n v="1"/>
    <n v="6260"/>
    <n v="0"/>
    <n v="4110"/>
    <s v="Cash on Delivery"/>
    <s v="Delivered"/>
    <n v="3"/>
    <s v="Returning"/>
    <n v="6260"/>
    <n v="0"/>
    <n v="6260"/>
    <n v="2150"/>
    <n v="0.34345047923322686"/>
    <n v="2025"/>
    <s v="Nov"/>
    <s v="Q4"/>
  </r>
  <r>
    <s v="ORD10204"/>
    <x v="203"/>
    <s v="CUST1012"/>
    <s v="Ananya Verma"/>
    <x v="41"/>
    <x v="1"/>
    <x v="20"/>
    <x v="1"/>
    <s v="Kolkata"/>
    <s v="West Bengal"/>
    <x v="1"/>
    <x v="3"/>
    <s v="Yoga Mat"/>
    <x v="20"/>
    <n v="1"/>
    <n v="960"/>
    <n v="0.15"/>
    <n v="410"/>
    <s v="Credit Card"/>
    <s v="Delivered"/>
    <n v="3"/>
    <s v="Returning"/>
    <n v="960"/>
    <n v="144"/>
    <n v="816"/>
    <n v="406"/>
    <n v="0.49754901960784315"/>
    <n v="2025"/>
    <s v="Nov"/>
    <s v="Q4"/>
  </r>
  <r>
    <s v="ORD10205"/>
    <x v="204"/>
    <s v="CUST1413"/>
    <s v="Ananya Sharma"/>
    <x v="142"/>
    <x v="1"/>
    <x v="14"/>
    <x v="1"/>
    <s v="Kolkata"/>
    <s v="West Bengal"/>
    <x v="1"/>
    <x v="4"/>
    <s v="Makeup Kit"/>
    <x v="28"/>
    <n v="1"/>
    <n v="2360"/>
    <n v="0.25"/>
    <n v="1230"/>
    <s v="Wallet"/>
    <s v="Delivered"/>
    <n v="8"/>
    <s v="New"/>
    <n v="2360"/>
    <n v="590"/>
    <n v="1770"/>
    <n v="540"/>
    <n v="0.30508474576271188"/>
    <n v="2025"/>
    <s v="Nov"/>
    <s v="Q4"/>
  </r>
  <r>
    <s v="ORD10206"/>
    <x v="205"/>
    <s v="CUST1278"/>
    <s v="Aarav Naidu"/>
    <x v="143"/>
    <x v="1"/>
    <x v="2"/>
    <x v="12"/>
    <s v="Delhi"/>
    <s v="Delhi"/>
    <x v="3"/>
    <x v="5"/>
    <s v="Mixer Grinder"/>
    <x v="22"/>
    <n v="3"/>
    <n v="4250"/>
    <n v="0"/>
    <n v="2780"/>
    <s v="Debit Card"/>
    <s v="Delivered"/>
    <n v="4"/>
    <s v="Returning"/>
    <n v="12750"/>
    <n v="0"/>
    <n v="12750"/>
    <n v="9970"/>
    <n v="0.78196078431372551"/>
    <n v="2025"/>
    <s v="Nov"/>
    <s v="Q4"/>
  </r>
  <r>
    <s v="ORD10207"/>
    <x v="206"/>
    <s v="CUST1321"/>
    <s v="Vivaan Naidu"/>
    <x v="144"/>
    <x v="0"/>
    <x v="5"/>
    <x v="7"/>
    <s v="Mumbai"/>
    <s v="Maharashtra"/>
    <x v="0"/>
    <x v="0"/>
    <s v="Jeans"/>
    <x v="19"/>
    <n v="2"/>
    <n v="2270"/>
    <n v="0.25"/>
    <n v="1200"/>
    <s v="UPI"/>
    <s v="Delivered"/>
    <n v="3"/>
    <s v="New"/>
    <n v="4540"/>
    <n v="1135"/>
    <n v="3405"/>
    <n v="2205"/>
    <n v="0.64757709251101325"/>
    <n v="2025"/>
    <s v="Nov"/>
    <s v="Q4"/>
  </r>
  <r>
    <s v="ORD10208"/>
    <x v="207"/>
    <s v="CUST1411"/>
    <s v="Aarav Bhat"/>
    <x v="56"/>
    <x v="1"/>
    <x v="0"/>
    <x v="5"/>
    <s v="Bhubaneswar"/>
    <s v="Odisha"/>
    <x v="1"/>
    <x v="2"/>
    <s v="Laptop"/>
    <x v="15"/>
    <n v="2"/>
    <n v="52190"/>
    <n v="0.1"/>
    <n v="42260"/>
    <s v="Net Banking"/>
    <s v="Delivered"/>
    <n v="6"/>
    <s v="New"/>
    <n v="104380"/>
    <n v="10438"/>
    <n v="93942"/>
    <n v="51682"/>
    <n v="0.5501479636371378"/>
    <n v="2025"/>
    <s v="Nov"/>
    <s v="Q4"/>
  </r>
  <r>
    <s v="ORD10209"/>
    <x v="208"/>
    <s v="CUST1161"/>
    <s v="Aditya Rao"/>
    <x v="145"/>
    <x v="0"/>
    <x v="25"/>
    <x v="6"/>
    <s v="Guwahati"/>
    <s v="Assam"/>
    <x v="1"/>
    <x v="2"/>
    <s v="Smartphone"/>
    <x v="13"/>
    <n v="1"/>
    <n v="19300"/>
    <n v="0.3"/>
    <n v="12760"/>
    <s v="Wallet"/>
    <s v="Delivered"/>
    <n v="2"/>
    <s v="Returning"/>
    <n v="19300"/>
    <n v="5790"/>
    <n v="13510"/>
    <n v="750"/>
    <n v="5.5514433752775719E-2"/>
    <n v="2025"/>
    <s v="Nov"/>
    <s v="Q4"/>
  </r>
  <r>
    <s v="ORD10210"/>
    <x v="209"/>
    <s v="CUST1274"/>
    <s v="Vikram Shah"/>
    <x v="146"/>
    <x v="1"/>
    <x v="24"/>
    <x v="12"/>
    <s v="Delhi"/>
    <s v="Delhi"/>
    <x v="3"/>
    <x v="2"/>
    <s v="Smartwatch"/>
    <x v="3"/>
    <n v="3"/>
    <n v="7460"/>
    <n v="0.25"/>
    <n v="4710"/>
    <s v="Credit Card"/>
    <s v="Pending"/>
    <n v="5"/>
    <s v="Returning"/>
    <n v="22380"/>
    <n v="5595"/>
    <n v="16785"/>
    <n v="12075"/>
    <n v="0.71939231456657726"/>
    <n v="2025"/>
    <s v="Nov"/>
    <s v="Q4"/>
  </r>
  <r>
    <s v="ORD10211"/>
    <x v="210"/>
    <s v="CUST1362"/>
    <s v="Diya Naidu"/>
    <x v="147"/>
    <x v="0"/>
    <x v="32"/>
    <x v="3"/>
    <s v="Bengaluru"/>
    <s v="Karnataka"/>
    <x v="2"/>
    <x v="0"/>
    <s v="Jeans"/>
    <x v="19"/>
    <n v="1"/>
    <n v="2220"/>
    <n v="0.15"/>
    <n v="1200"/>
    <s v="UPI"/>
    <s v="Delivered"/>
    <n v="3"/>
    <s v="New"/>
    <n v="2220"/>
    <n v="333"/>
    <n v="1887"/>
    <n v="687"/>
    <n v="0.36406995230524641"/>
    <n v="2025"/>
    <s v="Nov"/>
    <s v="Q4"/>
  </r>
  <r>
    <s v="ORD10212"/>
    <x v="211"/>
    <s v="CUST1156"/>
    <s v="Vikram Rao"/>
    <x v="15"/>
    <x v="0"/>
    <x v="5"/>
    <x v="12"/>
    <s v="Delhi"/>
    <s v="Delhi"/>
    <x v="3"/>
    <x v="1"/>
    <s v="Study Table"/>
    <x v="11"/>
    <n v="2"/>
    <n v="8920"/>
    <n v="0.05"/>
    <n v="5460"/>
    <s v="Credit Card"/>
    <s v="Returned"/>
    <n v="1"/>
    <s v="Returning"/>
    <n v="17840"/>
    <n v="892"/>
    <n v="16948"/>
    <n v="11488"/>
    <n v="0.67783809299032338"/>
    <n v="2025"/>
    <s v="Nov"/>
    <s v="Q4"/>
  </r>
  <r>
    <s v="ORD10213"/>
    <x v="212"/>
    <s v="CUST1438"/>
    <s v="Arjun Singh"/>
    <x v="148"/>
    <x v="0"/>
    <x v="16"/>
    <x v="10"/>
    <s v="Jaipur"/>
    <s v="Rajasthan"/>
    <x v="3"/>
    <x v="5"/>
    <s v="Mixer Grinder"/>
    <x v="22"/>
    <n v="2"/>
    <n v="3920"/>
    <n v="0"/>
    <n v="2580"/>
    <s v="Credit Card"/>
    <s v="Delivered"/>
    <n v="4"/>
    <s v="New"/>
    <n v="7840"/>
    <n v="0"/>
    <n v="7840"/>
    <n v="5260"/>
    <n v="0.67091836734693877"/>
    <n v="2025"/>
    <s v="Nov"/>
    <s v="Q4"/>
  </r>
  <r>
    <s v="ORD10214"/>
    <x v="213"/>
    <s v="CUST1349"/>
    <s v="Vikram Verma"/>
    <x v="149"/>
    <x v="1"/>
    <x v="30"/>
    <x v="3"/>
    <s v="Bengaluru"/>
    <s v="Karnataka"/>
    <x v="2"/>
    <x v="2"/>
    <s v="Laptop"/>
    <x v="15"/>
    <n v="3"/>
    <n v="59170"/>
    <n v="0"/>
    <n v="43430"/>
    <s v="Cash on Delivery"/>
    <s v="Delivered"/>
    <n v="7"/>
    <s v="New"/>
    <n v="177510"/>
    <n v="0"/>
    <n v="177510"/>
    <n v="134080"/>
    <n v="0.75533772745197458"/>
    <n v="2025"/>
    <s v="Nov"/>
    <s v="Q4"/>
  </r>
  <r>
    <s v="ORD10215"/>
    <x v="214"/>
    <s v="CUST1354"/>
    <s v="Arjun Rao"/>
    <x v="101"/>
    <x v="1"/>
    <x v="30"/>
    <x v="2"/>
    <s v="Kochi"/>
    <s v="Kerala"/>
    <x v="2"/>
    <x v="4"/>
    <s v="Shampoo"/>
    <x v="8"/>
    <n v="1"/>
    <n v="490"/>
    <n v="0.2"/>
    <n v="220"/>
    <s v="Credit Card"/>
    <s v="Cancelled"/>
    <n v="0"/>
    <s v="New"/>
    <n v="490"/>
    <n v="98"/>
    <n v="392"/>
    <n v="172"/>
    <n v="0.43877551020408162"/>
    <n v="2025"/>
    <s v="Nov"/>
    <s v="Q4"/>
  </r>
  <r>
    <s v="ORD10216"/>
    <x v="215"/>
    <s v="CUST1462"/>
    <s v="Aditya Naidu"/>
    <x v="83"/>
    <x v="1"/>
    <x v="6"/>
    <x v="8"/>
    <s v="Mysuru"/>
    <s v="Karnataka"/>
    <x v="2"/>
    <x v="2"/>
    <s v="Tablet"/>
    <x v="4"/>
    <n v="1"/>
    <n v="21280"/>
    <n v="0.1"/>
    <n v="14780"/>
    <s v="Debit Card"/>
    <s v="Delivered"/>
    <n v="3"/>
    <s v="New"/>
    <n v="21280"/>
    <n v="2128"/>
    <n v="19152"/>
    <n v="4372"/>
    <n v="0.22827903091060986"/>
    <n v="2025"/>
    <s v="Nov"/>
    <s v="Q4"/>
  </r>
  <r>
    <s v="ORD10217"/>
    <x v="216"/>
    <s v="CUST1385"/>
    <s v="Kavya Singh"/>
    <x v="150"/>
    <x v="0"/>
    <x v="31"/>
    <x v="6"/>
    <s v="Guwahati"/>
    <s v="Assam"/>
    <x v="1"/>
    <x v="1"/>
    <s v="Study Table"/>
    <x v="11"/>
    <n v="3"/>
    <n v="8300"/>
    <n v="0.2"/>
    <n v="5610"/>
    <s v="Credit Card"/>
    <s v="Delivered"/>
    <n v="3"/>
    <s v="New"/>
    <n v="24900"/>
    <n v="4980"/>
    <n v="19920"/>
    <n v="14310"/>
    <n v="0.71837349397590367"/>
    <n v="2025"/>
    <s v="Nov"/>
    <s v="Q4"/>
  </r>
  <r>
    <s v="ORD10218"/>
    <x v="217"/>
    <s v="CUST1351"/>
    <s v="Sneha Rao"/>
    <x v="27"/>
    <x v="0"/>
    <x v="10"/>
    <x v="2"/>
    <s v="Kochi"/>
    <s v="Kerala"/>
    <x v="2"/>
    <x v="4"/>
    <s v="Hair Dryer"/>
    <x v="14"/>
    <n v="1"/>
    <n v="1720"/>
    <n v="0"/>
    <n v="1020"/>
    <s v="Wallet"/>
    <s v="Delivered"/>
    <n v="4"/>
    <s v="New"/>
    <n v="1720"/>
    <n v="0"/>
    <n v="1720"/>
    <n v="700"/>
    <n v="0.40697674418604651"/>
    <n v="2025"/>
    <s v="Nov"/>
    <s v="Q4"/>
  </r>
  <r>
    <s v="ORD10219"/>
    <x v="218"/>
    <s v="CUST1453"/>
    <s v="Vikram Sharma"/>
    <x v="12"/>
    <x v="0"/>
    <x v="32"/>
    <x v="5"/>
    <s v="Bhubaneswar"/>
    <s v="Odisha"/>
    <x v="1"/>
    <x v="5"/>
    <s v="Electric Kettle"/>
    <x v="18"/>
    <n v="1"/>
    <n v="1690"/>
    <n v="0.05"/>
    <n v="1000"/>
    <s v="Credit Card"/>
    <s v="Delivered"/>
    <n v="5"/>
    <s v="New"/>
    <n v="1690"/>
    <n v="84.5"/>
    <n v="1605.5"/>
    <n v="605.5"/>
    <n v="0.37714107754593584"/>
    <n v="2025"/>
    <s v="Nov"/>
    <s v="Q4"/>
  </r>
  <r>
    <s v="ORD10220"/>
    <x v="219"/>
    <s v="CUST1149"/>
    <s v="Ishita Singh"/>
    <x v="72"/>
    <x v="1"/>
    <x v="36"/>
    <x v="12"/>
    <s v="Delhi"/>
    <s v="Delhi"/>
    <x v="3"/>
    <x v="4"/>
    <s v="Shampoo"/>
    <x v="8"/>
    <n v="1"/>
    <n v="500"/>
    <n v="0.05"/>
    <n v="230"/>
    <s v="Credit Card"/>
    <s v="Delivered"/>
    <n v="7"/>
    <s v="Returning"/>
    <n v="500"/>
    <n v="25"/>
    <n v="475"/>
    <n v="245"/>
    <n v="0.51578947368421058"/>
    <n v="2025"/>
    <s v="Nov"/>
    <s v="Q4"/>
  </r>
  <r>
    <s v="ORD10221"/>
    <x v="220"/>
    <s v="CUST1153"/>
    <s v="Sneha Shah"/>
    <x v="151"/>
    <x v="0"/>
    <x v="16"/>
    <x v="6"/>
    <s v="Guwahati"/>
    <s v="Assam"/>
    <x v="1"/>
    <x v="0"/>
    <s v="Jacket"/>
    <x v="25"/>
    <n v="5"/>
    <n v="4170"/>
    <n v="0"/>
    <n v="2520"/>
    <s v="UPI"/>
    <s v="Delivered"/>
    <n v="2"/>
    <s v="Returning"/>
    <n v="20850"/>
    <n v="0"/>
    <n v="20850"/>
    <n v="18330"/>
    <n v="0.87913669064748201"/>
    <n v="2025"/>
    <s v="Nov"/>
    <s v="Q4"/>
  </r>
  <r>
    <s v="ORD10222"/>
    <x v="221"/>
    <s v="CUST1167"/>
    <s v="Aarav Sharma"/>
    <x v="55"/>
    <x v="1"/>
    <x v="41"/>
    <x v="13"/>
    <s v="Lucknow"/>
    <s v="Uttar Pradesh"/>
    <x v="3"/>
    <x v="2"/>
    <s v="Smartphone"/>
    <x v="13"/>
    <n v="1"/>
    <n v="17530"/>
    <n v="0.25"/>
    <n v="12950"/>
    <s v="Debit Card"/>
    <s v="Delivered"/>
    <n v="4"/>
    <s v="Returning"/>
    <n v="17530"/>
    <n v="4382.5"/>
    <n v="13147.5"/>
    <n v="197.5"/>
    <n v="1.5021867275147366E-2"/>
    <n v="2025"/>
    <s v="Nov"/>
    <s v="Q4"/>
  </r>
  <r>
    <s v="ORD10223"/>
    <x v="222"/>
    <s v="CUST1192"/>
    <s v="Aditya Gupta"/>
    <x v="112"/>
    <x v="1"/>
    <x v="6"/>
    <x v="11"/>
    <s v="Chennai"/>
    <s v="Tamil Nadu"/>
    <x v="2"/>
    <x v="5"/>
    <s v="Vacuum Cleaner"/>
    <x v="9"/>
    <n v="1"/>
    <n v="7850"/>
    <n v="0.2"/>
    <n v="5330"/>
    <s v="Debit Card"/>
    <s v="Pending"/>
    <n v="3"/>
    <s v="Returning"/>
    <n v="7850"/>
    <n v="1570"/>
    <n v="6280"/>
    <n v="950"/>
    <n v="0.15127388535031847"/>
    <n v="2025"/>
    <s v="Nov"/>
    <s v="Q4"/>
  </r>
  <r>
    <s v="ORD10224"/>
    <x v="223"/>
    <s v="CUST1413"/>
    <s v="Arjun Naidu"/>
    <x v="152"/>
    <x v="0"/>
    <x v="31"/>
    <x v="9"/>
    <s v="Hyderabad"/>
    <s v="Telangana"/>
    <x v="2"/>
    <x v="1"/>
    <s v="Bedside Table"/>
    <x v="24"/>
    <n v="2"/>
    <n v="4760"/>
    <n v="0.05"/>
    <n v="2990"/>
    <s v="Debit Card"/>
    <s v="Delivered"/>
    <n v="2"/>
    <s v="New"/>
    <n v="9520"/>
    <n v="476"/>
    <n v="9044"/>
    <n v="6054"/>
    <n v="0.66939407341884127"/>
    <n v="2025"/>
    <s v="Nov"/>
    <s v="Q4"/>
  </r>
  <r>
    <s v="ORD10225"/>
    <x v="224"/>
    <s v="CUST1089"/>
    <s v="Vikram Mehta"/>
    <x v="94"/>
    <x v="1"/>
    <x v="4"/>
    <x v="8"/>
    <s v="Mysuru"/>
    <s v="Karnataka"/>
    <x v="2"/>
    <x v="5"/>
    <s v="Electric Kettle"/>
    <x v="18"/>
    <n v="2"/>
    <n v="1680"/>
    <n v="0.05"/>
    <n v="990"/>
    <s v="Net Banking"/>
    <s v="Pending"/>
    <n v="4"/>
    <s v="Returning"/>
    <n v="3360"/>
    <n v="168"/>
    <n v="3192"/>
    <n v="2202"/>
    <n v="0.68984962406015038"/>
    <n v="2025"/>
    <s v="Nov"/>
    <s v="Q4"/>
  </r>
  <r>
    <s v="ORD10226"/>
    <x v="225"/>
    <s v="CUST1464"/>
    <s v="Nisha Nair"/>
    <x v="1"/>
    <x v="1"/>
    <x v="8"/>
    <x v="5"/>
    <s v="Bhubaneswar"/>
    <s v="Odisha"/>
    <x v="1"/>
    <x v="1"/>
    <s v="Bedside Table"/>
    <x v="24"/>
    <n v="1"/>
    <n v="4590"/>
    <n v="0.05"/>
    <n v="2970"/>
    <s v="Credit Card"/>
    <s v="Delivered"/>
    <n v="5"/>
    <s v="New"/>
    <n v="4590"/>
    <n v="229.5"/>
    <n v="4360.5"/>
    <n v="1390.5"/>
    <n v="0.31888544891640869"/>
    <n v="2025"/>
    <s v="Nov"/>
    <s v="Q4"/>
  </r>
  <r>
    <s v="ORD10227"/>
    <x v="226"/>
    <s v="CUST1050"/>
    <s v="Vikram Patel"/>
    <x v="60"/>
    <x v="0"/>
    <x v="18"/>
    <x v="13"/>
    <s v="Lucknow"/>
    <s v="Uttar Pradesh"/>
    <x v="3"/>
    <x v="2"/>
    <s v="Smartwatch"/>
    <x v="3"/>
    <n v="5"/>
    <n v="7320"/>
    <n v="0.15"/>
    <n v="4330"/>
    <s v="Cash on Delivery"/>
    <s v="Delivered"/>
    <n v="4"/>
    <s v="Returning"/>
    <n v="36600"/>
    <n v="5490"/>
    <n v="31110"/>
    <n v="26780"/>
    <n v="0.8608164577306332"/>
    <n v="2025"/>
    <s v="Nov"/>
    <s v="Q4"/>
  </r>
  <r>
    <s v="ORD10228"/>
    <x v="227"/>
    <s v="CUST1029"/>
    <s v="Ishita Reddy"/>
    <x v="153"/>
    <x v="0"/>
    <x v="12"/>
    <x v="10"/>
    <s v="Jaipur"/>
    <s v="Rajasthan"/>
    <x v="3"/>
    <x v="2"/>
    <s v="Tablet"/>
    <x v="4"/>
    <n v="5"/>
    <n v="20600"/>
    <n v="0.1"/>
    <n v="16240"/>
    <s v="Debit Card"/>
    <s v="Delivered"/>
    <n v="4"/>
    <s v="Returning"/>
    <n v="103000"/>
    <n v="10300"/>
    <n v="92700"/>
    <n v="76460"/>
    <n v="0.82481121898597631"/>
    <n v="2025"/>
    <s v="Nov"/>
    <s v="Q4"/>
  </r>
  <r>
    <s v="ORD10229"/>
    <x v="228"/>
    <s v="CUST1071"/>
    <s v="Arjun Mehta"/>
    <x v="154"/>
    <x v="1"/>
    <x v="11"/>
    <x v="9"/>
    <s v="Hyderabad"/>
    <s v="Telangana"/>
    <x v="2"/>
    <x v="2"/>
    <s v="Smartwatch"/>
    <x v="3"/>
    <n v="2"/>
    <n v="7210"/>
    <n v="0"/>
    <n v="4540"/>
    <s v="UPI"/>
    <s v="Cancelled"/>
    <n v="0"/>
    <s v="Returning"/>
    <n v="14420"/>
    <n v="0"/>
    <n v="14420"/>
    <n v="9880"/>
    <n v="0.6851595006934813"/>
    <n v="2025"/>
    <s v="Nov"/>
    <s v="Q4"/>
  </r>
  <r>
    <s v="ORD10230"/>
    <x v="229"/>
    <s v="CUST1438"/>
    <s v="Priya Patel"/>
    <x v="5"/>
    <x v="1"/>
    <x v="19"/>
    <x v="6"/>
    <s v="Guwahati"/>
    <s v="Assam"/>
    <x v="1"/>
    <x v="0"/>
    <s v="Handbag"/>
    <x v="12"/>
    <n v="1"/>
    <n v="3010"/>
    <n v="0.05"/>
    <n v="1630"/>
    <s v="Debit Card"/>
    <s v="Delivered"/>
    <n v="3"/>
    <s v="New"/>
    <n v="3010"/>
    <n v="150.5"/>
    <n v="2859.5"/>
    <n v="1229.5"/>
    <n v="0.4299702745235181"/>
    <n v="2025"/>
    <s v="Nov"/>
    <s v="Q4"/>
  </r>
  <r>
    <s v="ORD10231"/>
    <x v="230"/>
    <s v="CUST1059"/>
    <s v="Aarav Verma"/>
    <x v="70"/>
    <x v="0"/>
    <x v="16"/>
    <x v="9"/>
    <s v="Hyderabad"/>
    <s v="Telangana"/>
    <x v="2"/>
    <x v="2"/>
    <s v="Laptop"/>
    <x v="15"/>
    <n v="2"/>
    <n v="52480"/>
    <n v="0.25"/>
    <n v="39930"/>
    <s v="Cash on Delivery"/>
    <s v="Delivered"/>
    <n v="3"/>
    <s v="Returning"/>
    <n v="104960"/>
    <n v="26240"/>
    <n v="78720"/>
    <n v="38790"/>
    <n v="0.49275914634146339"/>
    <n v="2025"/>
    <s v="Nov"/>
    <s v="Q4"/>
  </r>
  <r>
    <s v="ORD10232"/>
    <x v="231"/>
    <s v="CUST1449"/>
    <s v="Aditya Kumar"/>
    <x v="155"/>
    <x v="0"/>
    <x v="33"/>
    <x v="11"/>
    <s v="Chennai"/>
    <s v="Tamil Nadu"/>
    <x v="2"/>
    <x v="3"/>
    <s v="Football"/>
    <x v="10"/>
    <n v="1"/>
    <n v="1270"/>
    <n v="0.05"/>
    <n v="610"/>
    <s v="Wallet"/>
    <s v="Delivered"/>
    <n v="1"/>
    <s v="New"/>
    <n v="1270"/>
    <n v="63.5"/>
    <n v="1206.5"/>
    <n v="596.5"/>
    <n v="0.49440530460008286"/>
    <n v="2025"/>
    <s v="Nov"/>
    <s v="Q4"/>
  </r>
  <r>
    <s v="ORD10233"/>
    <x v="232"/>
    <s v="CUST1178"/>
    <s v="Vikram Rao"/>
    <x v="15"/>
    <x v="0"/>
    <x v="11"/>
    <x v="4"/>
    <s v="Chandigarh"/>
    <s v="Chandigarh"/>
    <x v="3"/>
    <x v="5"/>
    <s v="Vacuum Cleaner"/>
    <x v="9"/>
    <n v="2"/>
    <n v="8800"/>
    <n v="0"/>
    <n v="5650"/>
    <s v="Debit Card"/>
    <s v="Delivered"/>
    <n v="2"/>
    <s v="Returning"/>
    <n v="17600"/>
    <n v="0"/>
    <n v="17600"/>
    <n v="11950"/>
    <n v="0.67897727272727271"/>
    <n v="2025"/>
    <s v="Dec"/>
    <s v="Q4"/>
  </r>
  <r>
    <s v="ORD10234"/>
    <x v="233"/>
    <s v="CUST1493"/>
    <s v="Vivaan Shah"/>
    <x v="156"/>
    <x v="1"/>
    <x v="4"/>
    <x v="6"/>
    <s v="Guwahati"/>
    <s v="Assam"/>
    <x v="1"/>
    <x v="4"/>
    <s v="Face Cream"/>
    <x v="21"/>
    <n v="1"/>
    <n v="630"/>
    <n v="0.05"/>
    <n v="290"/>
    <s v="Credit Card"/>
    <s v="Delivered"/>
    <n v="4"/>
    <s v="New"/>
    <n v="630"/>
    <n v="31.5"/>
    <n v="598.5"/>
    <n v="308.5"/>
    <n v="0.51545530492898917"/>
    <n v="2025"/>
    <s v="Dec"/>
    <s v="Q4"/>
  </r>
  <r>
    <s v="ORD10235"/>
    <x v="234"/>
    <s v="CUST1016"/>
    <s v="Aarav Nair"/>
    <x v="4"/>
    <x v="0"/>
    <x v="35"/>
    <x v="8"/>
    <s v="Mysuru"/>
    <s v="Karnataka"/>
    <x v="2"/>
    <x v="5"/>
    <s v="Electric Kettle"/>
    <x v="18"/>
    <n v="2"/>
    <n v="1740"/>
    <n v="0.15"/>
    <n v="940"/>
    <s v="Credit Card"/>
    <s v="Delivered"/>
    <n v="8"/>
    <s v="Returning"/>
    <n v="3480"/>
    <n v="522"/>
    <n v="2958"/>
    <n v="2018"/>
    <n v="0.6822177146720757"/>
    <n v="2025"/>
    <s v="Dec"/>
    <s v="Q4"/>
  </r>
  <r>
    <s v="ORD10236"/>
    <x v="235"/>
    <s v="CUST1490"/>
    <s v="Diya Iyer"/>
    <x v="91"/>
    <x v="1"/>
    <x v="28"/>
    <x v="10"/>
    <s v="Jaipur"/>
    <s v="Rajasthan"/>
    <x v="3"/>
    <x v="1"/>
    <s v="Sofa"/>
    <x v="16"/>
    <n v="1"/>
    <n v="29770"/>
    <n v="0.15"/>
    <n v="21090"/>
    <s v="Credit Card"/>
    <s v="Delivered"/>
    <n v="2"/>
    <s v="New"/>
    <n v="29770"/>
    <n v="4465.5"/>
    <n v="25304.5"/>
    <n v="4214.5"/>
    <n v="0.166551403900492"/>
    <n v="2025"/>
    <s v="Dec"/>
    <s v="Q4"/>
  </r>
  <r>
    <s v="ORD10237"/>
    <x v="236"/>
    <s v="CUST1230"/>
    <s v="Priya Naidu"/>
    <x v="25"/>
    <x v="1"/>
    <x v="28"/>
    <x v="2"/>
    <s v="Kochi"/>
    <s v="Kerala"/>
    <x v="2"/>
    <x v="5"/>
    <s v="Air Fryer"/>
    <x v="26"/>
    <n v="3"/>
    <n v="6280"/>
    <n v="0.1"/>
    <n v="4000"/>
    <s v="Credit Card"/>
    <s v="Delivered"/>
    <n v="1"/>
    <s v="Returning"/>
    <n v="18840"/>
    <n v="1884"/>
    <n v="16956"/>
    <n v="12956"/>
    <n v="0.76409530549657934"/>
    <n v="2025"/>
    <s v="Dec"/>
    <s v="Q4"/>
  </r>
  <r>
    <s v="ORD10238"/>
    <x v="237"/>
    <s v="CUST1324"/>
    <s v="Arjun Reddy"/>
    <x v="157"/>
    <x v="1"/>
    <x v="40"/>
    <x v="5"/>
    <s v="Bhubaneswar"/>
    <s v="Odisha"/>
    <x v="1"/>
    <x v="2"/>
    <s v="Smartphone"/>
    <x v="13"/>
    <n v="1"/>
    <n v="17020"/>
    <n v="0.05"/>
    <n v="11960"/>
    <s v="UPI"/>
    <s v="Delivered"/>
    <n v="6"/>
    <s v="New"/>
    <n v="17020"/>
    <n v="851"/>
    <n v="16169"/>
    <n v="4209"/>
    <n v="0.26031294452347081"/>
    <n v="2025"/>
    <s v="Dec"/>
    <s v="Q4"/>
  </r>
  <r>
    <s v="ORD10239"/>
    <x v="238"/>
    <s v="CUST1303"/>
    <s v="Nisha Singh"/>
    <x v="114"/>
    <x v="1"/>
    <x v="18"/>
    <x v="3"/>
    <s v="Bengaluru"/>
    <s v="Karnataka"/>
    <x v="2"/>
    <x v="1"/>
    <s v="Sofa"/>
    <x v="16"/>
    <n v="2"/>
    <n v="28240"/>
    <n v="0.05"/>
    <n v="21000"/>
    <s v="UPI"/>
    <s v="Returned"/>
    <n v="5"/>
    <s v="New"/>
    <n v="56480"/>
    <n v="2824"/>
    <n v="53656"/>
    <n v="32656"/>
    <n v="0.60861786193529144"/>
    <n v="2025"/>
    <s v="Dec"/>
    <s v="Q4"/>
  </r>
  <r>
    <s v="ORD10240"/>
    <x v="239"/>
    <s v="CUST1055"/>
    <s v="Priya Rao"/>
    <x v="158"/>
    <x v="1"/>
    <x v="38"/>
    <x v="3"/>
    <s v="Bengaluru"/>
    <s v="Karnataka"/>
    <x v="2"/>
    <x v="0"/>
    <s v="Jeans"/>
    <x v="19"/>
    <n v="1"/>
    <n v="2340"/>
    <n v="0"/>
    <n v="1240"/>
    <s v="Credit Card"/>
    <s v="Delivered"/>
    <n v="5"/>
    <s v="Returning"/>
    <n v="2340"/>
    <n v="0"/>
    <n v="2340"/>
    <n v="1100"/>
    <n v="0.47008547008547008"/>
    <n v="2025"/>
    <s v="Dec"/>
    <s v="Q4"/>
  </r>
  <r>
    <s v="ORD10241"/>
    <x v="240"/>
    <s v="CUST1465"/>
    <s v="Vivaan Singh"/>
    <x v="159"/>
    <x v="1"/>
    <x v="32"/>
    <x v="10"/>
    <s v="Jaipur"/>
    <s v="Rajasthan"/>
    <x v="3"/>
    <x v="2"/>
    <s v="Smartphone"/>
    <x v="13"/>
    <n v="1"/>
    <n v="18500"/>
    <n v="0.05"/>
    <n v="12740"/>
    <s v="UPI"/>
    <s v="Delivered"/>
    <n v="2"/>
    <s v="New"/>
    <n v="18500"/>
    <n v="925"/>
    <n v="17575"/>
    <n v="4835"/>
    <n v="0.27510668563300145"/>
    <n v="2025"/>
    <s v="Dec"/>
    <s v="Q4"/>
  </r>
  <r>
    <s v="ORD10242"/>
    <x v="241"/>
    <s v="CUST1085"/>
    <s v="Ishita Shah"/>
    <x v="160"/>
    <x v="0"/>
    <x v="24"/>
    <x v="5"/>
    <s v="Bhubaneswar"/>
    <s v="Odisha"/>
    <x v="1"/>
    <x v="2"/>
    <s v="Smartphone"/>
    <x v="13"/>
    <n v="1"/>
    <n v="17750"/>
    <n v="0.15"/>
    <n v="12980"/>
    <s v="UPI"/>
    <s v="Delivered"/>
    <n v="4"/>
    <s v="Returning"/>
    <n v="17750"/>
    <n v="2662.5"/>
    <n v="15087.5"/>
    <n v="2107.5"/>
    <n v="0.13968516984258492"/>
    <n v="2025"/>
    <s v="Dec"/>
    <s v="Q4"/>
  </r>
  <r>
    <s v="ORD10243"/>
    <x v="242"/>
    <s v="CUST1028"/>
    <s v="Vivaan Patel"/>
    <x v="57"/>
    <x v="1"/>
    <x v="21"/>
    <x v="7"/>
    <s v="Mumbai"/>
    <s v="Maharashtra"/>
    <x v="0"/>
    <x v="2"/>
    <s v="Smartwatch"/>
    <x v="3"/>
    <n v="2"/>
    <n v="7540"/>
    <n v="0.1"/>
    <n v="4610"/>
    <s v="Net Banking"/>
    <s v="Delivered"/>
    <n v="3"/>
    <s v="Returning"/>
    <n v="15080"/>
    <n v="1508"/>
    <n v="13572"/>
    <n v="8962"/>
    <n v="0.6603300913645741"/>
    <n v="2025"/>
    <s v="Dec"/>
    <s v="Q4"/>
  </r>
  <r>
    <s v="ORD10244"/>
    <x v="243"/>
    <s v="CUST1413"/>
    <s v="Karan Das"/>
    <x v="45"/>
    <x v="1"/>
    <x v="16"/>
    <x v="8"/>
    <s v="Mysuru"/>
    <s v="Karnataka"/>
    <x v="2"/>
    <x v="2"/>
    <s v="Tablet"/>
    <x v="4"/>
    <n v="2"/>
    <n v="21980"/>
    <n v="0.25"/>
    <n v="15410"/>
    <s v="Wallet"/>
    <s v="Delivered"/>
    <n v="2"/>
    <s v="New"/>
    <n v="43960"/>
    <n v="10990"/>
    <n v="32970"/>
    <n v="17560"/>
    <n v="0.53260539884743707"/>
    <n v="2025"/>
    <s v="Dec"/>
    <s v="Q4"/>
  </r>
  <r>
    <s v="ORD10245"/>
    <x v="244"/>
    <s v="CUST1451"/>
    <s v="Vikram Sharma"/>
    <x v="12"/>
    <x v="1"/>
    <x v="16"/>
    <x v="3"/>
    <s v="Bengaluru"/>
    <s v="Karnataka"/>
    <x v="2"/>
    <x v="0"/>
    <s v="Sneakers"/>
    <x v="0"/>
    <n v="1"/>
    <n v="3490"/>
    <n v="0.1"/>
    <n v="2130"/>
    <s v="Debit Card"/>
    <s v="Delivered"/>
    <n v="1"/>
    <s v="New"/>
    <n v="3490"/>
    <n v="349"/>
    <n v="3141"/>
    <n v="1011"/>
    <n v="0.32187201528175741"/>
    <n v="2025"/>
    <s v="Dec"/>
    <s v="Q4"/>
  </r>
  <r>
    <s v="ORD10246"/>
    <x v="245"/>
    <s v="CUST1120"/>
    <s v="Vikram Patel"/>
    <x v="60"/>
    <x v="1"/>
    <x v="1"/>
    <x v="10"/>
    <s v="Jaipur"/>
    <s v="Rajasthan"/>
    <x v="3"/>
    <x v="0"/>
    <s v="Sneakers"/>
    <x v="0"/>
    <n v="1"/>
    <n v="3520"/>
    <n v="0.1"/>
    <n v="2170"/>
    <s v="Credit Card"/>
    <s v="Delivered"/>
    <n v="1"/>
    <s v="Returning"/>
    <n v="3520"/>
    <n v="352"/>
    <n v="3168"/>
    <n v="998"/>
    <n v="0.31502525252525254"/>
    <n v="2025"/>
    <s v="Dec"/>
    <s v="Q4"/>
  </r>
  <r>
    <s v="ORD10247"/>
    <x v="246"/>
    <s v="CUST1057"/>
    <s v="Nisha Verma"/>
    <x v="34"/>
    <x v="0"/>
    <x v="22"/>
    <x v="14"/>
    <s v="Ahmedabad"/>
    <s v="Gujarat"/>
    <x v="0"/>
    <x v="5"/>
    <s v="Vacuum Cleaner"/>
    <x v="9"/>
    <n v="1"/>
    <n v="8830"/>
    <n v="0.2"/>
    <n v="5630"/>
    <s v="Wallet"/>
    <s v="Delivered"/>
    <n v="4"/>
    <s v="Returning"/>
    <n v="8830"/>
    <n v="1766"/>
    <n v="7064"/>
    <n v="1434"/>
    <n v="0.20300113250283125"/>
    <n v="2025"/>
    <s v="Dec"/>
    <s v="Q4"/>
  </r>
  <r>
    <s v="ORD10248"/>
    <x v="247"/>
    <s v="CUST1020"/>
    <s v="Aarav Nair"/>
    <x v="4"/>
    <x v="0"/>
    <x v="17"/>
    <x v="9"/>
    <s v="Hyderabad"/>
    <s v="Telangana"/>
    <x v="2"/>
    <x v="2"/>
    <s v="Headphones"/>
    <x v="5"/>
    <n v="2"/>
    <n v="2450"/>
    <n v="0.1"/>
    <n v="1430"/>
    <s v="Credit Card"/>
    <s v="Cancelled"/>
    <n v="0"/>
    <s v="Returning"/>
    <n v="4900"/>
    <n v="490"/>
    <n v="4410"/>
    <n v="2980"/>
    <n v="0.67573696145124718"/>
    <n v="2025"/>
    <s v="Dec"/>
    <s v="Q4"/>
  </r>
  <r>
    <s v="ORD10249"/>
    <x v="248"/>
    <s v="CUST1256"/>
    <s v="Aditya Bhat"/>
    <x v="59"/>
    <x v="1"/>
    <x v="41"/>
    <x v="1"/>
    <s v="Kolkata"/>
    <s v="West Bengal"/>
    <x v="1"/>
    <x v="2"/>
    <s v="Smartphone"/>
    <x v="13"/>
    <n v="2"/>
    <n v="17790"/>
    <n v="0.1"/>
    <n v="12530"/>
    <s v="Credit Card"/>
    <s v="Delivered"/>
    <n v="5"/>
    <s v="Returning"/>
    <n v="35580"/>
    <n v="3558"/>
    <n v="32022"/>
    <n v="19492"/>
    <n v="0.6087065142714384"/>
    <n v="2025"/>
    <s v="Dec"/>
    <s v="Q4"/>
  </r>
  <r>
    <s v="ORD10250"/>
    <x v="249"/>
    <s v="CUST1485"/>
    <s v="Diya Mehta"/>
    <x v="161"/>
    <x v="0"/>
    <x v="2"/>
    <x v="4"/>
    <s v="Chandigarh"/>
    <s v="Chandigarh"/>
    <x v="3"/>
    <x v="2"/>
    <s v="Smartwatch"/>
    <x v="3"/>
    <n v="1"/>
    <n v="6620"/>
    <n v="0.05"/>
    <n v="4550"/>
    <s v="Credit Card"/>
    <s v="Delivered"/>
    <n v="6"/>
    <s v="New"/>
    <n v="6620"/>
    <n v="331"/>
    <n v="6289"/>
    <n v="1739"/>
    <n v="0.27651454921291141"/>
    <n v="2025"/>
    <s v="Dec"/>
    <s v="Q4"/>
  </r>
  <r>
    <s v="ORD10251"/>
    <x v="250"/>
    <s v="CUST1062"/>
    <s v="Priya Reddy"/>
    <x v="64"/>
    <x v="1"/>
    <x v="15"/>
    <x v="13"/>
    <s v="Lucknow"/>
    <s v="Uttar Pradesh"/>
    <x v="3"/>
    <x v="2"/>
    <s v="Headphones"/>
    <x v="5"/>
    <n v="1"/>
    <n v="2540"/>
    <n v="0.2"/>
    <n v="1560"/>
    <s v="Cash on Delivery"/>
    <s v="Delivered"/>
    <n v="4"/>
    <s v="Returning"/>
    <n v="2540"/>
    <n v="508"/>
    <n v="2032"/>
    <n v="472"/>
    <n v="0.23228346456692914"/>
    <n v="2025"/>
    <s v="Dec"/>
    <s v="Q4"/>
  </r>
  <r>
    <s v="ORD10252"/>
    <x v="251"/>
    <s v="CUST1178"/>
    <s v="Rohan Naidu"/>
    <x v="162"/>
    <x v="0"/>
    <x v="24"/>
    <x v="5"/>
    <s v="Bhubaneswar"/>
    <s v="Odisha"/>
    <x v="1"/>
    <x v="5"/>
    <s v="Mixer Grinder"/>
    <x v="22"/>
    <n v="1"/>
    <n v="4500"/>
    <n v="0.15"/>
    <n v="2650"/>
    <s v="UPI"/>
    <s v="Delivered"/>
    <n v="4"/>
    <s v="Returning"/>
    <n v="4500"/>
    <n v="675"/>
    <n v="3825"/>
    <n v="1175"/>
    <n v="0.30718954248366015"/>
    <n v="2025"/>
    <s v="Dec"/>
    <s v="Q4"/>
  </r>
  <r>
    <s v="ORD10253"/>
    <x v="252"/>
    <s v="CUST1487"/>
    <s v="Meera Singh"/>
    <x v="163"/>
    <x v="0"/>
    <x v="29"/>
    <x v="0"/>
    <s v="Pune"/>
    <s v="Maharashtra"/>
    <x v="0"/>
    <x v="3"/>
    <s v="Tennis Racket"/>
    <x v="17"/>
    <n v="3"/>
    <n v="4680"/>
    <n v="0"/>
    <n v="2720"/>
    <s v="Credit Card"/>
    <s v="Delivered"/>
    <n v="3"/>
    <s v="New"/>
    <n v="14040"/>
    <n v="0"/>
    <n v="14040"/>
    <n v="11320"/>
    <n v="0.80626780626780625"/>
    <n v="2025"/>
    <s v="Dec"/>
    <s v="Q4"/>
  </r>
  <r>
    <s v="ORD10254"/>
    <x v="253"/>
    <s v="CUST1163"/>
    <s v="Ishita Kumar"/>
    <x v="90"/>
    <x v="0"/>
    <x v="10"/>
    <x v="10"/>
    <s v="Jaipur"/>
    <s v="Rajasthan"/>
    <x v="3"/>
    <x v="5"/>
    <s v="Electric Kettle"/>
    <x v="18"/>
    <n v="2"/>
    <n v="1870"/>
    <n v="0.1"/>
    <n v="970"/>
    <s v="UPI"/>
    <s v="Delivered"/>
    <n v="5"/>
    <s v="Returning"/>
    <n v="3740"/>
    <n v="374"/>
    <n v="3366"/>
    <n v="2396"/>
    <n v="0.71182412358882952"/>
    <n v="2025"/>
    <s v="Dec"/>
    <s v="Q4"/>
  </r>
  <r>
    <s v="ORD10255"/>
    <x v="254"/>
    <s v="CUST1176"/>
    <s v="Ishita Shah"/>
    <x v="160"/>
    <x v="0"/>
    <x v="36"/>
    <x v="13"/>
    <s v="Lucknow"/>
    <s v="Uttar Pradesh"/>
    <x v="3"/>
    <x v="5"/>
    <s v="Air Fryer"/>
    <x v="26"/>
    <n v="1"/>
    <n v="6460"/>
    <n v="0.1"/>
    <n v="4120"/>
    <s v="Credit Card"/>
    <s v="Pending"/>
    <n v="6"/>
    <s v="Returning"/>
    <n v="6460"/>
    <n v="646"/>
    <n v="5814"/>
    <n v="1694"/>
    <n v="0.29136566907464739"/>
    <n v="2025"/>
    <s v="Dec"/>
    <s v="Q4"/>
  </r>
  <r>
    <s v="ORD10256"/>
    <x v="255"/>
    <s v="CUST1438"/>
    <s v="Aditya Nair"/>
    <x v="117"/>
    <x v="1"/>
    <x v="19"/>
    <x v="7"/>
    <s v="Mumbai"/>
    <s v="Maharashtra"/>
    <x v="0"/>
    <x v="2"/>
    <s v="Laptop"/>
    <x v="15"/>
    <n v="2"/>
    <n v="53320"/>
    <n v="0"/>
    <n v="42050"/>
    <s v="UPI"/>
    <s v="Cancelled"/>
    <n v="0"/>
    <s v="New"/>
    <n v="106640"/>
    <n v="0"/>
    <n v="106640"/>
    <n v="64590"/>
    <n v="0.6056826706676669"/>
    <n v="2025"/>
    <s v="Dec"/>
    <s v="Q4"/>
  </r>
  <r>
    <s v="ORD10257"/>
    <x v="256"/>
    <s v="CUST1138"/>
    <s v="Rohan Reddy"/>
    <x v="130"/>
    <x v="1"/>
    <x v="17"/>
    <x v="6"/>
    <s v="Guwahati"/>
    <s v="Assam"/>
    <x v="1"/>
    <x v="4"/>
    <s v="Perfume"/>
    <x v="29"/>
    <n v="2"/>
    <n v="1770"/>
    <n v="0.05"/>
    <n v="910"/>
    <s v="Net Banking"/>
    <s v="Cancelled"/>
    <n v="0"/>
    <s v="Returning"/>
    <n v="3540"/>
    <n v="177"/>
    <n v="3363"/>
    <n v="2453"/>
    <n v="0.72940826642878387"/>
    <n v="2025"/>
    <s v="Dec"/>
    <s v="Q4"/>
  </r>
  <r>
    <s v="ORD10258"/>
    <x v="257"/>
    <s v="CUST1315"/>
    <s v="Priya Singh"/>
    <x v="0"/>
    <x v="1"/>
    <x v="30"/>
    <x v="7"/>
    <s v="Mumbai"/>
    <s v="Maharashtra"/>
    <x v="0"/>
    <x v="5"/>
    <s v="Vacuum Cleaner"/>
    <x v="9"/>
    <n v="4"/>
    <n v="8510"/>
    <n v="0.25"/>
    <n v="5790"/>
    <s v="Credit Card"/>
    <s v="Returned"/>
    <n v="2"/>
    <s v="New"/>
    <n v="34040"/>
    <n v="8510"/>
    <n v="25530"/>
    <n v="19740"/>
    <n v="0.7732079905992949"/>
    <n v="2025"/>
    <s v="Dec"/>
    <s v="Q4"/>
  </r>
  <r>
    <s v="ORD10259"/>
    <x v="258"/>
    <s v="CUST1277"/>
    <s v="Vivaan Kumar"/>
    <x v="43"/>
    <x v="1"/>
    <x v="11"/>
    <x v="10"/>
    <s v="Jaipur"/>
    <s v="Rajasthan"/>
    <x v="3"/>
    <x v="2"/>
    <s v="Headphones"/>
    <x v="5"/>
    <n v="3"/>
    <n v="2620"/>
    <n v="0.1"/>
    <n v="1460"/>
    <s v="UPI"/>
    <s v="Delivered"/>
    <n v="3"/>
    <s v="Returning"/>
    <n v="7860"/>
    <n v="786"/>
    <n v="7074"/>
    <n v="5614"/>
    <n v="0.79361040429742724"/>
    <n v="2025"/>
    <s v="Dec"/>
    <s v="Q4"/>
  </r>
  <r>
    <s v="ORD10260"/>
    <x v="259"/>
    <s v="CUST1142"/>
    <s v="Ishita Iyer"/>
    <x v="69"/>
    <x v="0"/>
    <x v="13"/>
    <x v="0"/>
    <s v="Pune"/>
    <s v="Maharashtra"/>
    <x v="0"/>
    <x v="2"/>
    <s v="Smartwatch"/>
    <x v="3"/>
    <n v="2"/>
    <n v="7210"/>
    <n v="0.25"/>
    <n v="4560"/>
    <s v="Wallet"/>
    <s v="Returned"/>
    <n v="4"/>
    <s v="Returning"/>
    <n v="14420"/>
    <n v="3605"/>
    <n v="10815"/>
    <n v="6255"/>
    <n v="0.57836338418862687"/>
    <n v="2025"/>
    <s v="Dec"/>
    <s v="Q4"/>
  </r>
  <r>
    <s v="ORD10261"/>
    <x v="260"/>
    <s v="CUST1026"/>
    <s v="Meera Iyer"/>
    <x v="134"/>
    <x v="1"/>
    <x v="28"/>
    <x v="7"/>
    <s v="Mumbai"/>
    <s v="Maharashtra"/>
    <x v="0"/>
    <x v="4"/>
    <s v="Hair Dryer"/>
    <x v="14"/>
    <n v="1"/>
    <n v="1680"/>
    <n v="0.1"/>
    <n v="1040"/>
    <s v="Net Banking"/>
    <s v="Delivered"/>
    <n v="2"/>
    <s v="Returning"/>
    <n v="1680"/>
    <n v="168"/>
    <n v="1512"/>
    <n v="472"/>
    <n v="0.31216931216931215"/>
    <n v="2025"/>
    <s v="Dec"/>
    <s v="Q4"/>
  </r>
  <r>
    <s v="ORD10262"/>
    <x v="261"/>
    <s v="CUST1443"/>
    <s v="Priya Rao"/>
    <x v="158"/>
    <x v="1"/>
    <x v="4"/>
    <x v="14"/>
    <s v="Ahmedabad"/>
    <s v="Gujarat"/>
    <x v="0"/>
    <x v="5"/>
    <s v="Mixer Grinder"/>
    <x v="22"/>
    <n v="5"/>
    <n v="3880"/>
    <n v="0.2"/>
    <n v="2730"/>
    <s v="Wallet"/>
    <s v="Delivered"/>
    <n v="6"/>
    <s v="New"/>
    <n v="19400"/>
    <n v="3880"/>
    <n v="15520"/>
    <n v="12790"/>
    <n v="0.82409793814432986"/>
    <n v="2025"/>
    <s v="Dec"/>
    <s v="Q4"/>
  </r>
  <r>
    <s v="ORD10263"/>
    <x v="262"/>
    <s v="CUST1276"/>
    <s v="Diya Bhat"/>
    <x v="164"/>
    <x v="1"/>
    <x v="8"/>
    <x v="3"/>
    <s v="Bengaluru"/>
    <s v="Karnataka"/>
    <x v="2"/>
    <x v="4"/>
    <s v="Perfume"/>
    <x v="29"/>
    <n v="4"/>
    <n v="1680"/>
    <n v="0.1"/>
    <n v="860"/>
    <s v="UPI"/>
    <s v="Delivered"/>
    <n v="3"/>
    <s v="Returning"/>
    <n v="6720"/>
    <n v="672"/>
    <n v="6048"/>
    <n v="5188"/>
    <n v="0.85780423280423279"/>
    <n v="2025"/>
    <s v="Dec"/>
    <s v="Q4"/>
  </r>
  <r>
    <s v="ORD10264"/>
    <x v="263"/>
    <s v="CUST1216"/>
    <s v="Karan Mehta"/>
    <x v="139"/>
    <x v="1"/>
    <x v="27"/>
    <x v="11"/>
    <s v="Chennai"/>
    <s v="Tamil Nadu"/>
    <x v="2"/>
    <x v="3"/>
    <s v="Cricket Bat"/>
    <x v="23"/>
    <n v="4"/>
    <n v="3170"/>
    <n v="0.05"/>
    <n v="1960"/>
    <s v="Credit Card"/>
    <s v="Delivered"/>
    <n v="2"/>
    <s v="Returning"/>
    <n v="12680"/>
    <n v="634"/>
    <n v="12046"/>
    <n v="10086"/>
    <n v="0.8372903868504068"/>
    <n v="2026"/>
    <s v="Jan"/>
    <s v="Q1"/>
  </r>
  <r>
    <s v="ORD10265"/>
    <x v="264"/>
    <s v="CUST1138"/>
    <s v="Kavya Singh"/>
    <x v="150"/>
    <x v="1"/>
    <x v="15"/>
    <x v="11"/>
    <s v="Chennai"/>
    <s v="Tamil Nadu"/>
    <x v="2"/>
    <x v="2"/>
    <s v="Smartwatch"/>
    <x v="3"/>
    <n v="1"/>
    <n v="6820"/>
    <n v="0.2"/>
    <n v="4340"/>
    <s v="UPI"/>
    <s v="Delivered"/>
    <n v="3"/>
    <s v="Returning"/>
    <n v="6820"/>
    <n v="1364"/>
    <n v="5456"/>
    <n v="1116"/>
    <n v="0.20454545454545456"/>
    <n v="2026"/>
    <s v="Jan"/>
    <s v="Q1"/>
  </r>
  <r>
    <s v="ORD10266"/>
    <x v="265"/>
    <s v="CUST1096"/>
    <s v="Vivaan Nair"/>
    <x v="65"/>
    <x v="1"/>
    <x v="35"/>
    <x v="14"/>
    <s v="Ahmedabad"/>
    <s v="Gujarat"/>
    <x v="0"/>
    <x v="1"/>
    <s v="Bookshelf"/>
    <x v="6"/>
    <n v="1"/>
    <n v="4740"/>
    <n v="0.2"/>
    <n v="3180"/>
    <s v="Wallet"/>
    <s v="Delivered"/>
    <n v="5"/>
    <s v="Returning"/>
    <n v="4740"/>
    <n v="948"/>
    <n v="3792"/>
    <n v="612"/>
    <n v="0.16139240506329114"/>
    <n v="2026"/>
    <s v="Jan"/>
    <s v="Q1"/>
  </r>
  <r>
    <s v="ORD10267"/>
    <x v="266"/>
    <s v="CUST1184"/>
    <s v="Nisha Nair"/>
    <x v="1"/>
    <x v="1"/>
    <x v="11"/>
    <x v="8"/>
    <s v="Mysuru"/>
    <s v="Karnataka"/>
    <x v="2"/>
    <x v="4"/>
    <s v="Face Cream"/>
    <x v="21"/>
    <n v="3"/>
    <n v="630"/>
    <n v="0.1"/>
    <n v="310"/>
    <s v="Wallet"/>
    <s v="Returned"/>
    <n v="3"/>
    <s v="Returning"/>
    <n v="1890"/>
    <n v="189"/>
    <n v="1701"/>
    <n v="1391"/>
    <n v="0.81775426219870662"/>
    <n v="2026"/>
    <s v="Jan"/>
    <s v="Q1"/>
  </r>
  <r>
    <s v="ORD10268"/>
    <x v="267"/>
    <s v="CUST1333"/>
    <s v="Aditya Verma"/>
    <x v="30"/>
    <x v="1"/>
    <x v="26"/>
    <x v="9"/>
    <s v="Hyderabad"/>
    <s v="Telangana"/>
    <x v="2"/>
    <x v="4"/>
    <s v="Face Cream"/>
    <x v="21"/>
    <n v="3"/>
    <n v="640"/>
    <n v="0.05"/>
    <n v="300"/>
    <s v="Cash on Delivery"/>
    <s v="Delivered"/>
    <n v="2"/>
    <s v="New"/>
    <n v="1920"/>
    <n v="96"/>
    <n v="1824"/>
    <n v="1524"/>
    <n v="0.83552631578947367"/>
    <n v="2026"/>
    <s v="Jan"/>
    <s v="Q1"/>
  </r>
  <r>
    <s v="ORD10269"/>
    <x v="268"/>
    <s v="CUST1390"/>
    <s v="Aditya Verma"/>
    <x v="30"/>
    <x v="0"/>
    <x v="9"/>
    <x v="5"/>
    <s v="Bhubaneswar"/>
    <s v="Odisha"/>
    <x v="1"/>
    <x v="4"/>
    <s v="Makeup Kit"/>
    <x v="28"/>
    <n v="5"/>
    <n v="2350"/>
    <n v="0.15"/>
    <n v="1170"/>
    <s v="UPI"/>
    <s v="Returned"/>
    <n v="2"/>
    <s v="New"/>
    <n v="11750"/>
    <n v="1762.5"/>
    <n v="9987.5"/>
    <n v="8817.5"/>
    <n v="0.88285356695869832"/>
    <n v="2026"/>
    <s v="Jan"/>
    <s v="Q1"/>
  </r>
  <r>
    <s v="ORD10270"/>
    <x v="269"/>
    <s v="CUST1412"/>
    <s v="Meera Nair"/>
    <x v="165"/>
    <x v="1"/>
    <x v="39"/>
    <x v="7"/>
    <s v="Mumbai"/>
    <s v="Maharashtra"/>
    <x v="0"/>
    <x v="0"/>
    <s v="Jeans"/>
    <x v="19"/>
    <n v="3"/>
    <n v="2110"/>
    <n v="0.25"/>
    <n v="1250"/>
    <s v="Credit Card"/>
    <s v="Delivered"/>
    <n v="4"/>
    <s v="New"/>
    <n v="6330"/>
    <n v="1582.5"/>
    <n v="4747.5"/>
    <n v="3497.5"/>
    <n v="0.73670352817272244"/>
    <n v="2026"/>
    <s v="Jan"/>
    <s v="Q1"/>
  </r>
  <r>
    <s v="ORD10271"/>
    <x v="270"/>
    <s v="CUST1345"/>
    <s v="Diya Iyer"/>
    <x v="91"/>
    <x v="1"/>
    <x v="0"/>
    <x v="12"/>
    <s v="Delhi"/>
    <s v="Delhi"/>
    <x v="3"/>
    <x v="0"/>
    <s v="Jacket"/>
    <x v="25"/>
    <n v="1"/>
    <n v="4450"/>
    <n v="0.2"/>
    <n v="2630"/>
    <s v="Cash on Delivery"/>
    <s v="Delivered"/>
    <n v="3"/>
    <s v="New"/>
    <n v="4450"/>
    <n v="890"/>
    <n v="3560"/>
    <n v="930"/>
    <n v="0.2612359550561798"/>
    <n v="2026"/>
    <s v="Jan"/>
    <s v="Q1"/>
  </r>
  <r>
    <s v="ORD10272"/>
    <x v="271"/>
    <s v="CUST1408"/>
    <s v="Kavya Rao"/>
    <x v="6"/>
    <x v="0"/>
    <x v="4"/>
    <x v="5"/>
    <s v="Bhubaneswar"/>
    <s v="Odisha"/>
    <x v="1"/>
    <x v="0"/>
    <s v="Sneakers"/>
    <x v="0"/>
    <n v="1"/>
    <n v="3730"/>
    <n v="0.1"/>
    <n v="2090"/>
    <s v="Cash on Delivery"/>
    <s v="Delivered"/>
    <n v="3"/>
    <s v="New"/>
    <n v="3730"/>
    <n v="373"/>
    <n v="3357"/>
    <n v="1267"/>
    <n v="0.37742031575811735"/>
    <n v="2026"/>
    <s v="Jan"/>
    <s v="Q1"/>
  </r>
  <r>
    <s v="ORD10273"/>
    <x v="272"/>
    <s v="CUST1401"/>
    <s v="Rohan Rao"/>
    <x v="23"/>
    <x v="0"/>
    <x v="17"/>
    <x v="5"/>
    <s v="Bhubaneswar"/>
    <s v="Odisha"/>
    <x v="1"/>
    <x v="5"/>
    <s v="Microwave"/>
    <x v="27"/>
    <n v="2"/>
    <n v="12500"/>
    <n v="0"/>
    <n v="8320"/>
    <s v="UPI"/>
    <s v="Delivered"/>
    <n v="3"/>
    <s v="New"/>
    <n v="25000"/>
    <n v="0"/>
    <n v="25000"/>
    <n v="16680"/>
    <n v="0.66720000000000002"/>
    <n v="2026"/>
    <s v="Jan"/>
    <s v="Q1"/>
  </r>
  <r>
    <s v="ORD10274"/>
    <x v="273"/>
    <s v="CUST1479"/>
    <s v="Kavya Mehta"/>
    <x v="166"/>
    <x v="0"/>
    <x v="32"/>
    <x v="3"/>
    <s v="Bengaluru"/>
    <s v="Karnataka"/>
    <x v="2"/>
    <x v="5"/>
    <s v="Mixer Grinder"/>
    <x v="22"/>
    <n v="3"/>
    <n v="3970"/>
    <n v="0"/>
    <n v="2690"/>
    <s v="UPI"/>
    <s v="Delivered"/>
    <n v="5"/>
    <s v="New"/>
    <n v="11910"/>
    <n v="0"/>
    <n v="11910"/>
    <n v="9220"/>
    <n v="0.77413937867338367"/>
    <n v="2026"/>
    <s v="Jan"/>
    <s v="Q1"/>
  </r>
  <r>
    <s v="ORD10275"/>
    <x v="274"/>
    <s v="CUST1155"/>
    <s v="Rahul Singh"/>
    <x v="167"/>
    <x v="1"/>
    <x v="31"/>
    <x v="12"/>
    <s v="Delhi"/>
    <s v="Delhi"/>
    <x v="3"/>
    <x v="1"/>
    <s v="Bookshelf"/>
    <x v="6"/>
    <n v="2"/>
    <n v="5120"/>
    <n v="0.05"/>
    <n v="3220"/>
    <s v="Net Banking"/>
    <s v="Returned"/>
    <n v="7"/>
    <s v="Returning"/>
    <n v="10240"/>
    <n v="512"/>
    <n v="9728"/>
    <n v="6508"/>
    <n v="0.66899671052631582"/>
    <n v="2026"/>
    <s v="Jan"/>
    <s v="Q1"/>
  </r>
  <r>
    <s v="ORD10276"/>
    <x v="275"/>
    <s v="CUST1434"/>
    <s v="Rahul Mehta"/>
    <x v="93"/>
    <x v="0"/>
    <x v="37"/>
    <x v="10"/>
    <s v="Jaipur"/>
    <s v="Rajasthan"/>
    <x v="3"/>
    <x v="1"/>
    <s v="Bookshelf"/>
    <x v="6"/>
    <n v="1"/>
    <n v="4620"/>
    <n v="0.25"/>
    <n v="3250"/>
    <s v="Net Banking"/>
    <s v="Delivered"/>
    <n v="4"/>
    <s v="New"/>
    <n v="4620"/>
    <n v="1155"/>
    <n v="3465"/>
    <n v="215"/>
    <n v="6.2049062049062048E-2"/>
    <n v="2026"/>
    <s v="Jan"/>
    <s v="Q1"/>
  </r>
  <r>
    <s v="ORD10277"/>
    <x v="276"/>
    <s v="CUST1184"/>
    <s v="Priya Reddy"/>
    <x v="64"/>
    <x v="0"/>
    <x v="27"/>
    <x v="9"/>
    <s v="Hyderabad"/>
    <s v="Telangana"/>
    <x v="2"/>
    <x v="0"/>
    <s v="T-Shirt"/>
    <x v="2"/>
    <n v="4"/>
    <n v="880"/>
    <n v="0.1"/>
    <n v="460"/>
    <s v="Credit Card"/>
    <s v="Delivered"/>
    <n v="3"/>
    <s v="Returning"/>
    <n v="3520"/>
    <n v="352"/>
    <n v="3168"/>
    <n v="2708"/>
    <n v="0.85479797979797978"/>
    <n v="2026"/>
    <s v="Jan"/>
    <s v="Q1"/>
  </r>
  <r>
    <s v="ORD10278"/>
    <x v="277"/>
    <s v="CUST1186"/>
    <s v="Vikram Rao"/>
    <x v="15"/>
    <x v="1"/>
    <x v="14"/>
    <x v="3"/>
    <s v="Bengaluru"/>
    <s v="Karnataka"/>
    <x v="2"/>
    <x v="2"/>
    <s v="Smartphone"/>
    <x v="13"/>
    <n v="4"/>
    <n v="17090"/>
    <n v="0.1"/>
    <n v="13040"/>
    <s v="UPI"/>
    <s v="Delivered"/>
    <n v="2"/>
    <s v="Returning"/>
    <n v="68360"/>
    <n v="6836"/>
    <n v="61524"/>
    <n v="48484"/>
    <n v="0.78805019179507185"/>
    <n v="2026"/>
    <s v="Jan"/>
    <s v="Q1"/>
  </r>
  <r>
    <s v="ORD10279"/>
    <x v="278"/>
    <s v="CUST1287"/>
    <s v="Ishita Bhat"/>
    <x v="107"/>
    <x v="0"/>
    <x v="11"/>
    <x v="6"/>
    <s v="Guwahati"/>
    <s v="Assam"/>
    <x v="1"/>
    <x v="0"/>
    <s v="T-Shirt"/>
    <x v="2"/>
    <n v="1"/>
    <n v="840"/>
    <n v="0.2"/>
    <n v="460"/>
    <s v="UPI"/>
    <s v="Delivered"/>
    <n v="3"/>
    <s v="Returning"/>
    <n v="840"/>
    <n v="168"/>
    <n v="672"/>
    <n v="212"/>
    <n v="0.31547619047619047"/>
    <n v="2026"/>
    <s v="Jan"/>
    <s v="Q1"/>
  </r>
  <r>
    <s v="ORD10280"/>
    <x v="279"/>
    <s v="CUST1442"/>
    <s v="Ananya Patel"/>
    <x v="29"/>
    <x v="0"/>
    <x v="19"/>
    <x v="4"/>
    <s v="Chandigarh"/>
    <s v="Chandigarh"/>
    <x v="3"/>
    <x v="5"/>
    <s v="Vacuum Cleaner"/>
    <x v="9"/>
    <n v="1"/>
    <n v="8370"/>
    <n v="0.2"/>
    <n v="5820"/>
    <s v="Net Banking"/>
    <s v="Delivered"/>
    <n v="4"/>
    <s v="New"/>
    <n v="8370"/>
    <n v="1674"/>
    <n v="6696"/>
    <n v="876"/>
    <n v="0.13082437275985664"/>
    <n v="2026"/>
    <s v="Jan"/>
    <s v="Q1"/>
  </r>
  <r>
    <s v="ORD10281"/>
    <x v="280"/>
    <s v="CUST1246"/>
    <s v="Rohan Iyer"/>
    <x v="33"/>
    <x v="1"/>
    <x v="0"/>
    <x v="10"/>
    <s v="Jaipur"/>
    <s v="Rajasthan"/>
    <x v="3"/>
    <x v="5"/>
    <s v="Vacuum Cleaner"/>
    <x v="9"/>
    <n v="1"/>
    <n v="8820"/>
    <n v="0.1"/>
    <n v="5480"/>
    <s v="Credit Card"/>
    <s v="Delivered"/>
    <n v="4"/>
    <s v="Returning"/>
    <n v="8820"/>
    <n v="882"/>
    <n v="7938"/>
    <n v="2458"/>
    <n v="0.30964978584026204"/>
    <n v="2026"/>
    <s v="Jan"/>
    <s v="Q1"/>
  </r>
  <r>
    <s v="ORD10282"/>
    <x v="281"/>
    <s v="CUST1025"/>
    <s v="Ananya Kumar"/>
    <x v="126"/>
    <x v="1"/>
    <x v="18"/>
    <x v="7"/>
    <s v="Mumbai"/>
    <s v="Maharashtra"/>
    <x v="0"/>
    <x v="3"/>
    <s v="Tennis Racket"/>
    <x v="17"/>
    <n v="3"/>
    <n v="4610"/>
    <n v="0.25"/>
    <n v="2890"/>
    <s v="Debit Card"/>
    <s v="Delivered"/>
    <n v="6"/>
    <s v="Returning"/>
    <n v="13830"/>
    <n v="3457.5"/>
    <n v="10372.5"/>
    <n v="7482.5"/>
    <n v="0.72137864545673658"/>
    <n v="2026"/>
    <s v="Jan"/>
    <s v="Q1"/>
  </r>
  <r>
    <s v="ORD10283"/>
    <x v="282"/>
    <s v="CUST1138"/>
    <s v="Priya Reddy"/>
    <x v="64"/>
    <x v="1"/>
    <x v="25"/>
    <x v="1"/>
    <s v="Kolkata"/>
    <s v="West Bengal"/>
    <x v="1"/>
    <x v="5"/>
    <s v="Air Fryer"/>
    <x v="26"/>
    <n v="2"/>
    <n v="6460"/>
    <n v="0"/>
    <n v="4400"/>
    <s v="UPI"/>
    <s v="Delivered"/>
    <n v="4"/>
    <s v="Returning"/>
    <n v="12920"/>
    <n v="0"/>
    <n v="12920"/>
    <n v="8520"/>
    <n v="0.65944272445820429"/>
    <n v="2026"/>
    <s v="Jan"/>
    <s v="Q1"/>
  </r>
  <r>
    <s v="ORD10284"/>
    <x v="283"/>
    <s v="CUST1360"/>
    <s v="Karan Naidu"/>
    <x v="168"/>
    <x v="0"/>
    <x v="14"/>
    <x v="4"/>
    <s v="Chandigarh"/>
    <s v="Chandigarh"/>
    <x v="3"/>
    <x v="2"/>
    <s v="Laptop"/>
    <x v="15"/>
    <n v="3"/>
    <n v="57180"/>
    <n v="0.1"/>
    <n v="40930"/>
    <s v="Credit Card"/>
    <s v="Delivered"/>
    <n v="1"/>
    <s v="New"/>
    <n v="171540"/>
    <n v="17154"/>
    <n v="154386"/>
    <n v="113456"/>
    <n v="0.73488528752607096"/>
    <n v="2026"/>
    <s v="Jan"/>
    <s v="Q1"/>
  </r>
  <r>
    <s v="ORD10285"/>
    <x v="284"/>
    <s v="CUST1162"/>
    <s v="Kavya Naidu"/>
    <x v="28"/>
    <x v="1"/>
    <x v="8"/>
    <x v="3"/>
    <s v="Bengaluru"/>
    <s v="Karnataka"/>
    <x v="2"/>
    <x v="0"/>
    <s v="Handbag"/>
    <x v="12"/>
    <n v="2"/>
    <n v="2690"/>
    <n v="0.1"/>
    <n v="1580"/>
    <s v="Cash on Delivery"/>
    <s v="Returned"/>
    <n v="3"/>
    <s v="Returning"/>
    <n v="5380"/>
    <n v="538"/>
    <n v="4842"/>
    <n v="3262"/>
    <n v="0.67368855844692277"/>
    <n v="2026"/>
    <s v="Jan"/>
    <s v="Q1"/>
  </r>
  <r>
    <s v="ORD10286"/>
    <x v="285"/>
    <s v="CUST1008"/>
    <s v="Meera Singh"/>
    <x v="163"/>
    <x v="1"/>
    <x v="9"/>
    <x v="1"/>
    <s v="Kolkata"/>
    <s v="West Bengal"/>
    <x v="1"/>
    <x v="2"/>
    <s v="Smartphone"/>
    <x v="13"/>
    <n v="1"/>
    <n v="19190"/>
    <n v="0.1"/>
    <n v="12100"/>
    <s v="UPI"/>
    <s v="Delivered"/>
    <n v="5"/>
    <s v="Returning"/>
    <n v="19190"/>
    <n v="1919"/>
    <n v="17271"/>
    <n v="5171"/>
    <n v="0.29940362457298364"/>
    <n v="2026"/>
    <s v="Jan"/>
    <s v="Q1"/>
  </r>
  <r>
    <s v="ORD10287"/>
    <x v="286"/>
    <s v="CUST1241"/>
    <s v="Ananya Shah"/>
    <x v="169"/>
    <x v="1"/>
    <x v="10"/>
    <x v="2"/>
    <s v="Kochi"/>
    <s v="Kerala"/>
    <x v="2"/>
    <x v="3"/>
    <s v="Cricket Bat"/>
    <x v="23"/>
    <n v="1"/>
    <n v="3250"/>
    <n v="0.25"/>
    <n v="1860"/>
    <s v="UPI"/>
    <s v="Delivered"/>
    <n v="4"/>
    <s v="Returning"/>
    <n v="3250"/>
    <n v="812.5"/>
    <n v="2437.5"/>
    <n v="577.5"/>
    <n v="0.23692307692307693"/>
    <n v="2026"/>
    <s v="Jan"/>
    <s v="Q1"/>
  </r>
  <r>
    <s v="ORD10288"/>
    <x v="287"/>
    <s v="CUST1273"/>
    <s v="Vikram Verma"/>
    <x v="149"/>
    <x v="0"/>
    <x v="2"/>
    <x v="4"/>
    <s v="Chandigarh"/>
    <s v="Chandigarh"/>
    <x v="3"/>
    <x v="2"/>
    <s v="Headphones"/>
    <x v="5"/>
    <n v="3"/>
    <n v="2320"/>
    <n v="0.15"/>
    <n v="1520"/>
    <s v="UPI"/>
    <s v="Delivered"/>
    <n v="7"/>
    <s v="Returning"/>
    <n v="6960"/>
    <n v="1044"/>
    <n v="5916"/>
    <n v="4396"/>
    <n v="0.7430696416497633"/>
    <n v="2026"/>
    <s v="Jan"/>
    <s v="Q1"/>
  </r>
  <r>
    <s v="ORD10289"/>
    <x v="288"/>
    <s v="CUST1360"/>
    <s v="Priya Bhat"/>
    <x v="58"/>
    <x v="1"/>
    <x v="2"/>
    <x v="13"/>
    <s v="Lucknow"/>
    <s v="Uttar Pradesh"/>
    <x v="3"/>
    <x v="3"/>
    <s v="Yoga Mat"/>
    <x v="20"/>
    <n v="1"/>
    <n v="890"/>
    <n v="0.15"/>
    <n v="410"/>
    <s v="UPI"/>
    <s v="Delivered"/>
    <n v="2"/>
    <s v="New"/>
    <n v="890"/>
    <n v="133.5"/>
    <n v="756.5"/>
    <n v="346.5"/>
    <n v="0.45803040317250493"/>
    <n v="2026"/>
    <s v="Jan"/>
    <s v="Q1"/>
  </r>
  <r>
    <s v="ORD10290"/>
    <x v="289"/>
    <s v="CUST1208"/>
    <s v="Aditya Rao"/>
    <x v="145"/>
    <x v="1"/>
    <x v="9"/>
    <x v="4"/>
    <s v="Chandigarh"/>
    <s v="Chandigarh"/>
    <x v="3"/>
    <x v="0"/>
    <s v="T-Shirt"/>
    <x v="2"/>
    <n v="2"/>
    <n v="860"/>
    <n v="0.1"/>
    <n v="460"/>
    <s v="Wallet"/>
    <s v="Delivered"/>
    <n v="6"/>
    <s v="Returning"/>
    <n v="1720"/>
    <n v="172"/>
    <n v="1548"/>
    <n v="1088"/>
    <n v="0.70284237726098187"/>
    <n v="2026"/>
    <s v="Jan"/>
    <s v="Q1"/>
  </r>
  <r>
    <s v="ORD10291"/>
    <x v="290"/>
    <s v="CUST1364"/>
    <s v="Priya Kumar"/>
    <x v="127"/>
    <x v="0"/>
    <x v="39"/>
    <x v="9"/>
    <s v="Hyderabad"/>
    <s v="Telangana"/>
    <x v="2"/>
    <x v="2"/>
    <s v="Laptop"/>
    <x v="15"/>
    <n v="1"/>
    <n v="57470"/>
    <n v="0.1"/>
    <n v="41760"/>
    <s v="Net Banking"/>
    <s v="Delivered"/>
    <n v="1"/>
    <s v="New"/>
    <n v="57470"/>
    <n v="5747"/>
    <n v="51723"/>
    <n v="9963"/>
    <n v="0.19262223768922918"/>
    <n v="2026"/>
    <s v="Jan"/>
    <s v="Q1"/>
  </r>
  <r>
    <s v="ORD10292"/>
    <x v="291"/>
    <s v="CUST1494"/>
    <s v="Arjun Naidu"/>
    <x v="152"/>
    <x v="0"/>
    <x v="10"/>
    <x v="12"/>
    <s v="Delhi"/>
    <s v="Delhi"/>
    <x v="3"/>
    <x v="5"/>
    <s v="Air Fryer"/>
    <x v="26"/>
    <n v="2"/>
    <n v="6300"/>
    <n v="0.1"/>
    <n v="4130"/>
    <s v="UPI"/>
    <s v="Delivered"/>
    <n v="1"/>
    <s v="New"/>
    <n v="12600"/>
    <n v="1260"/>
    <n v="11340"/>
    <n v="7210"/>
    <n v="0.63580246913580252"/>
    <n v="2026"/>
    <s v="Jan"/>
    <s v="Q1"/>
  </r>
  <r>
    <s v="ORD10293"/>
    <x v="292"/>
    <s v="CUST1096"/>
    <s v="Aarav Patel"/>
    <x v="170"/>
    <x v="1"/>
    <x v="12"/>
    <x v="9"/>
    <s v="Hyderabad"/>
    <s v="Telangana"/>
    <x v="2"/>
    <x v="1"/>
    <s v="Bookshelf"/>
    <x v="6"/>
    <n v="4"/>
    <n v="4920"/>
    <n v="0.15"/>
    <n v="3130"/>
    <s v="Wallet"/>
    <s v="Delivered"/>
    <n v="4"/>
    <s v="Returning"/>
    <n v="19680"/>
    <n v="2952"/>
    <n v="16728"/>
    <n v="13598"/>
    <n v="0.81288857006217119"/>
    <n v="2026"/>
    <s v="Jan"/>
    <s v="Q1"/>
  </r>
  <r>
    <s v="ORD10294"/>
    <x v="293"/>
    <s v="CUST1270"/>
    <s v="Diya Shah"/>
    <x v="53"/>
    <x v="1"/>
    <x v="12"/>
    <x v="10"/>
    <s v="Jaipur"/>
    <s v="Rajasthan"/>
    <x v="3"/>
    <x v="2"/>
    <s v="Headphones"/>
    <x v="5"/>
    <n v="3"/>
    <n v="2470"/>
    <n v="0.1"/>
    <n v="1560"/>
    <s v="Cash on Delivery"/>
    <s v="Delivered"/>
    <n v="4"/>
    <s v="Returning"/>
    <n v="7410"/>
    <n v="741"/>
    <n v="6669"/>
    <n v="5109"/>
    <n v="0.76608187134502925"/>
    <n v="2026"/>
    <s v="Jan"/>
    <s v="Q1"/>
  </r>
  <r>
    <s v="ORD10295"/>
    <x v="294"/>
    <s v="CUST1025"/>
    <s v="Nisha Shah"/>
    <x v="14"/>
    <x v="0"/>
    <x v="32"/>
    <x v="0"/>
    <s v="Pune"/>
    <s v="Maharashtra"/>
    <x v="0"/>
    <x v="5"/>
    <s v="Mixer Grinder"/>
    <x v="22"/>
    <n v="2"/>
    <n v="4270"/>
    <n v="0.05"/>
    <n v="2630"/>
    <s v="UPI"/>
    <s v="Returned"/>
    <n v="8"/>
    <s v="Returning"/>
    <n v="8540"/>
    <n v="427"/>
    <n v="8113"/>
    <n v="5483"/>
    <n v="0.67582891655367927"/>
    <n v="2026"/>
    <s v="Feb"/>
    <s v="Q1"/>
  </r>
  <r>
    <s v="ORD10296"/>
    <x v="295"/>
    <s v="CUST1209"/>
    <s v="Nisha Das"/>
    <x v="171"/>
    <x v="0"/>
    <x v="8"/>
    <x v="10"/>
    <s v="Jaipur"/>
    <s v="Rajasthan"/>
    <x v="3"/>
    <x v="1"/>
    <s v="Bookshelf"/>
    <x v="6"/>
    <n v="1"/>
    <n v="5060"/>
    <n v="0.1"/>
    <n v="3050"/>
    <s v="Debit Card"/>
    <s v="Delivered"/>
    <n v="5"/>
    <s v="Returning"/>
    <n v="5060"/>
    <n v="506"/>
    <n v="4554"/>
    <n v="1504"/>
    <n v="0.33025911286780851"/>
    <n v="2026"/>
    <s v="Feb"/>
    <s v="Q1"/>
  </r>
  <r>
    <s v="ORD10297"/>
    <x v="296"/>
    <s v="CUST1239"/>
    <s v="Kavya Joshi"/>
    <x v="68"/>
    <x v="0"/>
    <x v="15"/>
    <x v="11"/>
    <s v="Chennai"/>
    <s v="Tamil Nadu"/>
    <x v="2"/>
    <x v="3"/>
    <s v="Football"/>
    <x v="10"/>
    <n v="1"/>
    <n v="1210"/>
    <n v="0.1"/>
    <n v="620"/>
    <s v="UPI"/>
    <s v="Delivered"/>
    <n v="2"/>
    <s v="Returning"/>
    <n v="1210"/>
    <n v="121"/>
    <n v="1089"/>
    <n v="469"/>
    <n v="0.43067033976124885"/>
    <n v="2026"/>
    <s v="Feb"/>
    <s v="Q1"/>
  </r>
  <r>
    <s v="ORD10298"/>
    <x v="297"/>
    <s v="CUST1141"/>
    <s v="Arjun Mehta"/>
    <x v="154"/>
    <x v="0"/>
    <x v="34"/>
    <x v="14"/>
    <s v="Ahmedabad"/>
    <s v="Gujarat"/>
    <x v="0"/>
    <x v="2"/>
    <s v="Tablet"/>
    <x v="4"/>
    <n v="1"/>
    <n v="20920"/>
    <n v="0"/>
    <n v="15700"/>
    <s v="UPI"/>
    <s v="Delivered"/>
    <n v="3"/>
    <s v="Returning"/>
    <n v="20920"/>
    <n v="0"/>
    <n v="20920"/>
    <n v="5220"/>
    <n v="0.24952198852772467"/>
    <n v="2026"/>
    <s v="Feb"/>
    <s v="Q1"/>
  </r>
  <r>
    <s v="ORD10299"/>
    <x v="298"/>
    <s v="CUST1493"/>
    <s v="Rahul Bhat"/>
    <x v="172"/>
    <x v="0"/>
    <x v="17"/>
    <x v="9"/>
    <s v="Hyderabad"/>
    <s v="Telangana"/>
    <x v="2"/>
    <x v="0"/>
    <s v="Jacket"/>
    <x v="25"/>
    <n v="1"/>
    <n v="4250"/>
    <n v="0.2"/>
    <n v="2670"/>
    <s v="UPI"/>
    <s v="Delivered"/>
    <n v="3"/>
    <s v="New"/>
    <n v="4250"/>
    <n v="850"/>
    <n v="3400"/>
    <n v="730"/>
    <n v="0.21470588235294116"/>
    <n v="2026"/>
    <s v="Feb"/>
    <s v="Q1"/>
  </r>
  <r>
    <s v="ORD10300"/>
    <x v="299"/>
    <s v="CUST1386"/>
    <s v="Arjun Naidu"/>
    <x v="152"/>
    <x v="0"/>
    <x v="18"/>
    <x v="7"/>
    <s v="Mumbai"/>
    <s v="Maharashtra"/>
    <x v="0"/>
    <x v="2"/>
    <s v="Tablet"/>
    <x v="4"/>
    <n v="1"/>
    <n v="23070"/>
    <n v="0.05"/>
    <n v="16240"/>
    <s v="Credit Card"/>
    <s v="Delivered"/>
    <n v="3"/>
    <s v="New"/>
    <n v="23070"/>
    <n v="1153.5"/>
    <n v="21916.5"/>
    <n v="5676.5"/>
    <n v="0.25900577190701068"/>
    <n v="2026"/>
    <s v="Feb"/>
    <s v="Q1"/>
  </r>
  <r>
    <s v="ORD10301"/>
    <x v="300"/>
    <s v="CUST1070"/>
    <s v="Karan Kumar"/>
    <x v="111"/>
    <x v="0"/>
    <x v="42"/>
    <x v="10"/>
    <s v="Jaipur"/>
    <s v="Rajasthan"/>
    <x v="3"/>
    <x v="0"/>
    <s v="T-Shirt"/>
    <x v="2"/>
    <n v="1"/>
    <n v="850"/>
    <n v="0.15"/>
    <n v="440"/>
    <s v="Debit Card"/>
    <s v="Delivered"/>
    <n v="2"/>
    <s v="Returning"/>
    <n v="850"/>
    <n v="127.5"/>
    <n v="722.5"/>
    <n v="282.5"/>
    <n v="0.39100346020761245"/>
    <n v="2026"/>
    <s v="Feb"/>
    <s v="Q1"/>
  </r>
  <r>
    <s v="ORD10302"/>
    <x v="301"/>
    <s v="CUST1095"/>
    <s v="Kavya Rao"/>
    <x v="6"/>
    <x v="0"/>
    <x v="32"/>
    <x v="6"/>
    <s v="Guwahati"/>
    <s v="Assam"/>
    <x v="1"/>
    <x v="4"/>
    <s v="Face Cream"/>
    <x v="21"/>
    <n v="2"/>
    <n v="660"/>
    <n v="0.3"/>
    <n v="310"/>
    <s v="Credit Card"/>
    <s v="Delivered"/>
    <n v="4"/>
    <s v="Returning"/>
    <n v="1320"/>
    <n v="396"/>
    <n v="924"/>
    <n v="614"/>
    <n v="0.66450216450216448"/>
    <n v="2026"/>
    <s v="Feb"/>
    <s v="Q1"/>
  </r>
  <r>
    <s v="ORD10303"/>
    <x v="302"/>
    <s v="CUST1016"/>
    <s v="Karan Patel"/>
    <x v="173"/>
    <x v="0"/>
    <x v="28"/>
    <x v="14"/>
    <s v="Ahmedabad"/>
    <s v="Gujarat"/>
    <x v="0"/>
    <x v="5"/>
    <s v="Microwave"/>
    <x v="27"/>
    <n v="3"/>
    <n v="11070"/>
    <n v="0.2"/>
    <n v="7820"/>
    <s v="Net Banking"/>
    <s v="Pending"/>
    <n v="3"/>
    <s v="Returning"/>
    <n v="33210"/>
    <n v="6642"/>
    <n v="26568"/>
    <n v="18748"/>
    <n v="0.70566094549834391"/>
    <n v="2026"/>
    <s v="Feb"/>
    <s v="Q1"/>
  </r>
  <r>
    <s v="ORD10304"/>
    <x v="303"/>
    <s v="CUST1106"/>
    <s v="Kavya Kumar"/>
    <x v="96"/>
    <x v="0"/>
    <x v="30"/>
    <x v="4"/>
    <s v="Chandigarh"/>
    <s v="Chandigarh"/>
    <x v="3"/>
    <x v="2"/>
    <s v="Headphones"/>
    <x v="5"/>
    <n v="5"/>
    <n v="2570"/>
    <n v="0.2"/>
    <n v="1470"/>
    <s v="Debit Card"/>
    <s v="Delivered"/>
    <n v="4"/>
    <s v="Returning"/>
    <n v="12850"/>
    <n v="2570"/>
    <n v="10280"/>
    <n v="8810"/>
    <n v="0.85700389105058361"/>
    <n v="2026"/>
    <s v="Feb"/>
    <s v="Q1"/>
  </r>
  <r>
    <s v="ORD10305"/>
    <x v="304"/>
    <s v="CUST1182"/>
    <s v="Ishita Joshi"/>
    <x v="92"/>
    <x v="1"/>
    <x v="11"/>
    <x v="1"/>
    <s v="Kolkata"/>
    <s v="West Bengal"/>
    <x v="1"/>
    <x v="0"/>
    <s v="T-Shirt"/>
    <x v="2"/>
    <n v="1"/>
    <n v="920"/>
    <n v="0.15"/>
    <n v="440"/>
    <s v="UPI"/>
    <s v="Delivered"/>
    <n v="4"/>
    <s v="Returning"/>
    <n v="920"/>
    <n v="138"/>
    <n v="782"/>
    <n v="342"/>
    <n v="0.4373401534526854"/>
    <n v="2026"/>
    <s v="Feb"/>
    <s v="Q1"/>
  </r>
  <r>
    <s v="ORD10306"/>
    <x v="305"/>
    <s v="CUST1242"/>
    <s v="Priya Kumar"/>
    <x v="127"/>
    <x v="0"/>
    <x v="41"/>
    <x v="12"/>
    <s v="Delhi"/>
    <s v="Delhi"/>
    <x v="3"/>
    <x v="0"/>
    <s v="Jacket"/>
    <x v="25"/>
    <n v="1"/>
    <n v="4180"/>
    <n v="0"/>
    <n v="2490"/>
    <s v="UPI"/>
    <s v="Delivered"/>
    <n v="4"/>
    <s v="Returning"/>
    <n v="4180"/>
    <n v="0"/>
    <n v="4180"/>
    <n v="1690"/>
    <n v="0.40430622009569378"/>
    <n v="2026"/>
    <s v="Feb"/>
    <s v="Q1"/>
  </r>
  <r>
    <s v="ORD10307"/>
    <x v="306"/>
    <s v="CUST1435"/>
    <s v="Priya Gupta"/>
    <x v="102"/>
    <x v="1"/>
    <x v="7"/>
    <x v="8"/>
    <s v="Mysuru"/>
    <s v="Karnataka"/>
    <x v="2"/>
    <x v="4"/>
    <s v="Perfume"/>
    <x v="29"/>
    <n v="1"/>
    <n v="1910"/>
    <n v="0.1"/>
    <n v="910"/>
    <s v="Credit Card"/>
    <s v="Delivered"/>
    <n v="2"/>
    <s v="New"/>
    <n v="1910"/>
    <n v="191"/>
    <n v="1719"/>
    <n v="809"/>
    <n v="0.47062245491564864"/>
    <n v="2026"/>
    <s v="Feb"/>
    <s v="Q1"/>
  </r>
  <r>
    <s v="ORD10308"/>
    <x v="307"/>
    <s v="CUST1314"/>
    <s v="Ishita Singh"/>
    <x v="72"/>
    <x v="1"/>
    <x v="20"/>
    <x v="1"/>
    <s v="Kolkata"/>
    <s v="West Bengal"/>
    <x v="1"/>
    <x v="1"/>
    <s v="Bedside Table"/>
    <x v="24"/>
    <n v="4"/>
    <n v="4710"/>
    <n v="0.15"/>
    <n v="2950"/>
    <s v="Net Banking"/>
    <s v="Delivered"/>
    <n v="1"/>
    <s v="New"/>
    <n v="18840"/>
    <n v="2826"/>
    <n v="16014"/>
    <n v="13064"/>
    <n v="0.81578618708629946"/>
    <n v="2026"/>
    <s v="Feb"/>
    <s v="Q1"/>
  </r>
  <r>
    <s v="ORD10309"/>
    <x v="308"/>
    <s v="CUST1400"/>
    <s v="Vivaan Singh"/>
    <x v="159"/>
    <x v="0"/>
    <x v="31"/>
    <x v="9"/>
    <s v="Hyderabad"/>
    <s v="Telangana"/>
    <x v="2"/>
    <x v="0"/>
    <s v="Jacket"/>
    <x v="25"/>
    <n v="1"/>
    <n v="4310"/>
    <n v="0.1"/>
    <n v="2560"/>
    <s v="UPI"/>
    <s v="Delivered"/>
    <n v="5"/>
    <s v="New"/>
    <n v="4310"/>
    <n v="431"/>
    <n v="3879"/>
    <n v="1319"/>
    <n v="0.34003609177623101"/>
    <n v="2026"/>
    <s v="Feb"/>
    <s v="Q1"/>
  </r>
  <r>
    <s v="ORD10310"/>
    <x v="309"/>
    <s v="CUST1044"/>
    <s v="Aditya Singh"/>
    <x v="115"/>
    <x v="1"/>
    <x v="4"/>
    <x v="14"/>
    <s v="Ahmedabad"/>
    <s v="Gujarat"/>
    <x v="0"/>
    <x v="1"/>
    <s v="Bookshelf"/>
    <x v="6"/>
    <n v="1"/>
    <n v="5170"/>
    <n v="0.05"/>
    <n v="3120"/>
    <s v="UPI"/>
    <s v="Delivered"/>
    <n v="6"/>
    <s v="Returning"/>
    <n v="5170"/>
    <n v="258.5"/>
    <n v="4911.5"/>
    <n v="1791.5"/>
    <n v="0.36475618446503105"/>
    <n v="2026"/>
    <s v="Feb"/>
    <s v="Q1"/>
  </r>
  <r>
    <s v="ORD10311"/>
    <x v="310"/>
    <s v="CUST1212"/>
    <s v="Ishita Verma"/>
    <x v="174"/>
    <x v="1"/>
    <x v="10"/>
    <x v="6"/>
    <s v="Guwahati"/>
    <s v="Assam"/>
    <x v="1"/>
    <x v="0"/>
    <s v="T-Shirt"/>
    <x v="2"/>
    <n v="2"/>
    <n v="880"/>
    <n v="0.05"/>
    <n v="430"/>
    <s v="Credit Card"/>
    <s v="Delivered"/>
    <n v="2"/>
    <s v="Returning"/>
    <n v="1760"/>
    <n v="88"/>
    <n v="1672"/>
    <n v="1242"/>
    <n v="0.74282296650717705"/>
    <n v="2026"/>
    <s v="Feb"/>
    <s v="Q1"/>
  </r>
  <r>
    <s v="ORD10312"/>
    <x v="311"/>
    <s v="CUST1344"/>
    <s v="Aditya Singh"/>
    <x v="115"/>
    <x v="1"/>
    <x v="39"/>
    <x v="9"/>
    <s v="Hyderabad"/>
    <s v="Telangana"/>
    <x v="2"/>
    <x v="5"/>
    <s v="Electric Kettle"/>
    <x v="18"/>
    <n v="3"/>
    <n v="1750"/>
    <n v="0.05"/>
    <n v="940"/>
    <s v="Debit Card"/>
    <s v="Delivered"/>
    <n v="3"/>
    <s v="New"/>
    <n v="5250"/>
    <n v="262.5"/>
    <n v="4987.5"/>
    <n v="4047.5"/>
    <n v="0.81152882205513788"/>
    <n v="2026"/>
    <s v="Feb"/>
    <s v="Q1"/>
  </r>
  <r>
    <s v="ORD10313"/>
    <x v="312"/>
    <s v="CUST1188"/>
    <s v="Meera Singh"/>
    <x v="163"/>
    <x v="0"/>
    <x v="8"/>
    <x v="11"/>
    <s v="Chennai"/>
    <s v="Tamil Nadu"/>
    <x v="2"/>
    <x v="4"/>
    <s v="Face Cream"/>
    <x v="21"/>
    <n v="3"/>
    <n v="640"/>
    <n v="0.3"/>
    <n v="290"/>
    <s v="Cash on Delivery"/>
    <s v="Delivered"/>
    <n v="5"/>
    <s v="Returning"/>
    <n v="1920"/>
    <n v="576"/>
    <n v="1344"/>
    <n v="1054"/>
    <n v="0.78422619047619047"/>
    <n v="2026"/>
    <s v="Feb"/>
    <s v="Q1"/>
  </r>
  <r>
    <s v="ORD10314"/>
    <x v="313"/>
    <s v="CUST1052"/>
    <s v="Meera Naidu"/>
    <x v="38"/>
    <x v="0"/>
    <x v="28"/>
    <x v="9"/>
    <s v="Hyderabad"/>
    <s v="Telangana"/>
    <x v="2"/>
    <x v="2"/>
    <s v="Laptop"/>
    <x v="15"/>
    <n v="2"/>
    <n v="53080"/>
    <n v="0.05"/>
    <n v="41070"/>
    <s v="Cash on Delivery"/>
    <s v="Delivered"/>
    <n v="5"/>
    <s v="Returning"/>
    <n v="106160"/>
    <n v="5308"/>
    <n v="100852"/>
    <n v="59782"/>
    <n v="0.5927696029825883"/>
    <n v="2026"/>
    <s v="Feb"/>
    <s v="Q1"/>
  </r>
  <r>
    <s v="ORD10315"/>
    <x v="314"/>
    <s v="CUST1268"/>
    <s v="Ishita Kumar"/>
    <x v="90"/>
    <x v="1"/>
    <x v="25"/>
    <x v="12"/>
    <s v="Delhi"/>
    <s v="Delhi"/>
    <x v="3"/>
    <x v="1"/>
    <s v="Bookshelf"/>
    <x v="6"/>
    <n v="1"/>
    <n v="5000"/>
    <n v="0.15"/>
    <n v="3120"/>
    <s v="Credit Card"/>
    <s v="Delivered"/>
    <n v="6"/>
    <s v="Returning"/>
    <n v="5000"/>
    <n v="750"/>
    <n v="4250"/>
    <n v="1130"/>
    <n v="0.26588235294117646"/>
    <n v="2026"/>
    <s v="Feb"/>
    <s v="Q1"/>
  </r>
  <r>
    <s v="ORD10316"/>
    <x v="315"/>
    <s v="CUST1328"/>
    <s v="Sneha Gupta"/>
    <x v="76"/>
    <x v="0"/>
    <x v="2"/>
    <x v="13"/>
    <s v="Lucknow"/>
    <s v="Uttar Pradesh"/>
    <x v="3"/>
    <x v="3"/>
    <s v="Tennis Racket"/>
    <x v="17"/>
    <n v="1"/>
    <n v="4650"/>
    <n v="0.1"/>
    <n v="2760"/>
    <s v="Net Banking"/>
    <s v="Delivered"/>
    <n v="3"/>
    <s v="New"/>
    <n v="4650"/>
    <n v="465"/>
    <n v="4185"/>
    <n v="1425"/>
    <n v="0.34050179211469533"/>
    <n v="2026"/>
    <s v="Feb"/>
    <s v="Q1"/>
  </r>
  <r>
    <s v="ORD10317"/>
    <x v="316"/>
    <s v="CUST1089"/>
    <s v="Aditya Sharma"/>
    <x v="124"/>
    <x v="1"/>
    <x v="30"/>
    <x v="13"/>
    <s v="Lucknow"/>
    <s v="Uttar Pradesh"/>
    <x v="3"/>
    <x v="3"/>
    <s v="Football"/>
    <x v="10"/>
    <n v="1"/>
    <n v="1280"/>
    <n v="0.05"/>
    <n v="580"/>
    <s v="Debit Card"/>
    <s v="Pending"/>
    <n v="3"/>
    <s v="Returning"/>
    <n v="1280"/>
    <n v="64"/>
    <n v="1216"/>
    <n v="636"/>
    <n v="0.52302631578947367"/>
    <n v="2026"/>
    <s v="Feb"/>
    <s v="Q1"/>
  </r>
  <r>
    <s v="ORD10318"/>
    <x v="317"/>
    <s v="CUST1029"/>
    <s v="Rohan Bhat"/>
    <x v="175"/>
    <x v="1"/>
    <x v="3"/>
    <x v="9"/>
    <s v="Hyderabad"/>
    <s v="Telangana"/>
    <x v="2"/>
    <x v="4"/>
    <s v="Face Cream"/>
    <x v="21"/>
    <n v="1"/>
    <n v="610"/>
    <n v="0.25"/>
    <n v="310"/>
    <s v="Credit Card"/>
    <s v="Pending"/>
    <n v="1"/>
    <s v="Returning"/>
    <n v="610"/>
    <n v="152.5"/>
    <n v="457.5"/>
    <n v="147.5"/>
    <n v="0.32240437158469948"/>
    <n v="2026"/>
    <s v="Feb"/>
    <s v="Q1"/>
  </r>
  <r>
    <s v="ORD10319"/>
    <x v="318"/>
    <s v="CUST1047"/>
    <s v="Rohan Mehta"/>
    <x v="176"/>
    <x v="1"/>
    <x v="26"/>
    <x v="0"/>
    <s v="Pune"/>
    <s v="Maharashtra"/>
    <x v="0"/>
    <x v="1"/>
    <s v="Office Chair"/>
    <x v="1"/>
    <n v="4"/>
    <n v="6140"/>
    <n v="0.1"/>
    <n v="4240"/>
    <s v="Debit Card"/>
    <s v="Delivered"/>
    <n v="3"/>
    <s v="Returning"/>
    <n v="24560"/>
    <n v="2456"/>
    <n v="22104"/>
    <n v="17864"/>
    <n v="0.80817951501990593"/>
    <n v="2026"/>
    <s v="Feb"/>
    <s v="Q1"/>
  </r>
  <r>
    <s v="ORD10320"/>
    <x v="319"/>
    <s v="CUST1236"/>
    <s v="Ishita Bhat"/>
    <x v="107"/>
    <x v="1"/>
    <x v="34"/>
    <x v="11"/>
    <s v="Chennai"/>
    <s v="Tamil Nadu"/>
    <x v="2"/>
    <x v="2"/>
    <s v="Laptop"/>
    <x v="15"/>
    <n v="1"/>
    <n v="50970"/>
    <n v="0.1"/>
    <n v="40310"/>
    <s v="UPI"/>
    <s v="Delivered"/>
    <n v="3"/>
    <s v="Returning"/>
    <n v="50970"/>
    <n v="5097"/>
    <n v="45873"/>
    <n v="5563"/>
    <n v="0.12126959213480697"/>
    <n v="2026"/>
    <s v="Feb"/>
    <s v="Q1"/>
  </r>
  <r>
    <s v="ORD10321"/>
    <x v="320"/>
    <s v="CUST1299"/>
    <s v="Rahul Joshi"/>
    <x v="108"/>
    <x v="0"/>
    <x v="24"/>
    <x v="4"/>
    <s v="Chandigarh"/>
    <s v="Chandigarh"/>
    <x v="3"/>
    <x v="1"/>
    <s v="Bookshelf"/>
    <x v="6"/>
    <n v="1"/>
    <n v="4950"/>
    <n v="0.1"/>
    <n v="3070"/>
    <s v="Net Banking"/>
    <s v="Delivered"/>
    <n v="4"/>
    <s v="Returning"/>
    <n v="4950"/>
    <n v="495"/>
    <n v="4455"/>
    <n v="1385"/>
    <n v="0.31088664421997753"/>
    <n v="2026"/>
    <s v="Feb"/>
    <s v="Q1"/>
  </r>
  <r>
    <s v="ORD10322"/>
    <x v="321"/>
    <s v="CUST1158"/>
    <s v="Rohan Patel"/>
    <x v="39"/>
    <x v="0"/>
    <x v="8"/>
    <x v="5"/>
    <s v="Bhubaneswar"/>
    <s v="Odisha"/>
    <x v="1"/>
    <x v="1"/>
    <s v="Study Table"/>
    <x v="11"/>
    <n v="1"/>
    <n v="9100"/>
    <n v="0"/>
    <n v="5810"/>
    <s v="Wallet"/>
    <s v="Delivered"/>
    <n v="5"/>
    <s v="Returning"/>
    <n v="9100"/>
    <n v="0"/>
    <n v="9100"/>
    <n v="3290"/>
    <n v="0.36153846153846153"/>
    <n v="2026"/>
    <s v="Feb"/>
    <s v="Q1"/>
  </r>
  <r>
    <s v="ORD10323"/>
    <x v="322"/>
    <s v="CUST1019"/>
    <s v="Vivaan Kumar"/>
    <x v="43"/>
    <x v="0"/>
    <x v="27"/>
    <x v="5"/>
    <s v="Bhubaneswar"/>
    <s v="Odisha"/>
    <x v="1"/>
    <x v="4"/>
    <s v="Face Cream"/>
    <x v="21"/>
    <n v="1"/>
    <n v="680"/>
    <n v="0.15"/>
    <n v="300"/>
    <s v="Net Banking"/>
    <s v="Delivered"/>
    <n v="2"/>
    <s v="Returning"/>
    <n v="680"/>
    <n v="102"/>
    <n v="578"/>
    <n v="278"/>
    <n v="0.48096885813148788"/>
    <n v="2026"/>
    <s v="Mar"/>
    <s v="Q1"/>
  </r>
  <r>
    <s v="ORD10324"/>
    <x v="323"/>
    <s v="CUST1271"/>
    <s v="Vikram Gupta"/>
    <x v="177"/>
    <x v="1"/>
    <x v="24"/>
    <x v="9"/>
    <s v="Hyderabad"/>
    <s v="Telangana"/>
    <x v="2"/>
    <x v="2"/>
    <s v="Laptop"/>
    <x v="15"/>
    <n v="1"/>
    <n v="52500"/>
    <n v="0.1"/>
    <n v="40100"/>
    <s v="Cash on Delivery"/>
    <s v="Returned"/>
    <n v="4"/>
    <s v="Returning"/>
    <n v="52500"/>
    <n v="5250"/>
    <n v="47250"/>
    <n v="7150"/>
    <n v="0.15132275132275133"/>
    <n v="2026"/>
    <s v="Mar"/>
    <s v="Q1"/>
  </r>
  <r>
    <s v="ORD10325"/>
    <x v="324"/>
    <s v="CUST1093"/>
    <s v="Nisha Singh"/>
    <x v="114"/>
    <x v="1"/>
    <x v="10"/>
    <x v="12"/>
    <s v="Delhi"/>
    <s v="Delhi"/>
    <x v="3"/>
    <x v="5"/>
    <s v="Mixer Grinder"/>
    <x v="22"/>
    <n v="1"/>
    <n v="4030"/>
    <n v="0.2"/>
    <n v="2610"/>
    <s v="Credit Card"/>
    <s v="Delivered"/>
    <n v="3"/>
    <s v="Returning"/>
    <n v="4030"/>
    <n v="806"/>
    <n v="3224"/>
    <n v="614"/>
    <n v="0.19044665012406947"/>
    <n v="2026"/>
    <s v="Mar"/>
    <s v="Q1"/>
  </r>
  <r>
    <s v="ORD10326"/>
    <x v="325"/>
    <s v="CUST1150"/>
    <s v="Priya Naidu"/>
    <x v="25"/>
    <x v="0"/>
    <x v="38"/>
    <x v="2"/>
    <s v="Kochi"/>
    <s v="Kerala"/>
    <x v="2"/>
    <x v="0"/>
    <s v="T-Shirt"/>
    <x v="2"/>
    <n v="2"/>
    <n v="880"/>
    <n v="0.15"/>
    <n v="430"/>
    <s v="UPI"/>
    <s v="Delivered"/>
    <n v="2"/>
    <s v="Returning"/>
    <n v="1760"/>
    <n v="264"/>
    <n v="1496"/>
    <n v="1066"/>
    <n v="0.71256684491978606"/>
    <n v="2026"/>
    <s v="Mar"/>
    <s v="Q1"/>
  </r>
  <r>
    <s v="ORD10327"/>
    <x v="326"/>
    <s v="CUST1006"/>
    <s v="Rohan Nair"/>
    <x v="178"/>
    <x v="0"/>
    <x v="17"/>
    <x v="9"/>
    <s v="Hyderabad"/>
    <s v="Telangana"/>
    <x v="2"/>
    <x v="5"/>
    <s v="Air Fryer"/>
    <x v="26"/>
    <n v="1"/>
    <n v="6510"/>
    <n v="0"/>
    <n v="4020"/>
    <s v="Debit Card"/>
    <s v="Delivered"/>
    <n v="6"/>
    <s v="Returning"/>
    <n v="6510"/>
    <n v="0"/>
    <n v="6510"/>
    <n v="2490"/>
    <n v="0.38248847926267282"/>
    <n v="2026"/>
    <s v="Mar"/>
    <s v="Q1"/>
  </r>
  <r>
    <s v="ORD10328"/>
    <x v="327"/>
    <s v="CUST1333"/>
    <s v="Diya Shah"/>
    <x v="53"/>
    <x v="0"/>
    <x v="2"/>
    <x v="7"/>
    <s v="Mumbai"/>
    <s v="Maharashtra"/>
    <x v="0"/>
    <x v="5"/>
    <s v="Mixer Grinder"/>
    <x v="22"/>
    <n v="2"/>
    <n v="3890"/>
    <n v="0.25"/>
    <n v="2790"/>
    <s v="UPI"/>
    <s v="Delivered"/>
    <n v="2"/>
    <s v="New"/>
    <n v="7780"/>
    <n v="1945"/>
    <n v="5835"/>
    <n v="3045"/>
    <n v="0.52185089974293064"/>
    <n v="2026"/>
    <s v="Mar"/>
    <s v="Q1"/>
  </r>
  <r>
    <s v="ORD10329"/>
    <x v="328"/>
    <s v="CUST1188"/>
    <s v="Priya Reddy"/>
    <x v="64"/>
    <x v="1"/>
    <x v="12"/>
    <x v="11"/>
    <s v="Chennai"/>
    <s v="Tamil Nadu"/>
    <x v="2"/>
    <x v="1"/>
    <s v="Bookshelf"/>
    <x v="6"/>
    <n v="2"/>
    <n v="5180"/>
    <n v="0"/>
    <n v="3340"/>
    <s v="UPI"/>
    <s v="Delivered"/>
    <n v="4"/>
    <s v="Returning"/>
    <n v="10360"/>
    <n v="0"/>
    <n v="10360"/>
    <n v="7020"/>
    <n v="0.67760617760617758"/>
    <n v="2026"/>
    <s v="Mar"/>
    <s v="Q1"/>
  </r>
  <r>
    <s v="ORD10330"/>
    <x v="329"/>
    <s v="CUST1441"/>
    <s v="Sneha Verma"/>
    <x v="132"/>
    <x v="1"/>
    <x v="29"/>
    <x v="6"/>
    <s v="Guwahati"/>
    <s v="Assam"/>
    <x v="1"/>
    <x v="1"/>
    <s v="Sofa"/>
    <x v="16"/>
    <n v="2"/>
    <n v="25860"/>
    <n v="0.3"/>
    <n v="19560"/>
    <s v="Wallet"/>
    <s v="Delivered"/>
    <n v="8"/>
    <s v="New"/>
    <n v="51720"/>
    <n v="15516"/>
    <n v="36204"/>
    <n v="16644"/>
    <n v="0.45972820682797483"/>
    <n v="2026"/>
    <s v="Mar"/>
    <s v="Q1"/>
  </r>
  <r>
    <s v="ORD10331"/>
    <x v="330"/>
    <s v="CUST1094"/>
    <s v="Karan Singh"/>
    <x v="74"/>
    <x v="1"/>
    <x v="42"/>
    <x v="7"/>
    <s v="Mumbai"/>
    <s v="Maharashtra"/>
    <x v="0"/>
    <x v="0"/>
    <s v="T-Shirt"/>
    <x v="2"/>
    <n v="2"/>
    <n v="910"/>
    <n v="0.1"/>
    <n v="470"/>
    <s v="UPI"/>
    <s v="Delivered"/>
    <n v="3"/>
    <s v="Returning"/>
    <n v="1820"/>
    <n v="182"/>
    <n v="1638"/>
    <n v="1168"/>
    <n v="0.71306471306471308"/>
    <n v="2026"/>
    <s v="Mar"/>
    <s v="Q1"/>
  </r>
  <r>
    <s v="ORD10332"/>
    <x v="331"/>
    <s v="CUST1035"/>
    <s v="Priya Joshi"/>
    <x v="122"/>
    <x v="0"/>
    <x v="3"/>
    <x v="7"/>
    <s v="Mumbai"/>
    <s v="Maharashtra"/>
    <x v="0"/>
    <x v="4"/>
    <s v="Face Cream"/>
    <x v="21"/>
    <n v="2"/>
    <n v="670"/>
    <n v="0.15"/>
    <n v="290"/>
    <s v="UPI"/>
    <s v="Delivered"/>
    <n v="3"/>
    <s v="Returning"/>
    <n v="1340"/>
    <n v="201"/>
    <n v="1139"/>
    <n v="849"/>
    <n v="0.74539069359086918"/>
    <n v="2026"/>
    <s v="Mar"/>
    <s v="Q1"/>
  </r>
  <r>
    <s v="ORD10333"/>
    <x v="332"/>
    <s v="CUST1403"/>
    <s v="Priya Rao"/>
    <x v="158"/>
    <x v="1"/>
    <x v="27"/>
    <x v="12"/>
    <s v="Delhi"/>
    <s v="Delhi"/>
    <x v="3"/>
    <x v="5"/>
    <s v="Electric Kettle"/>
    <x v="18"/>
    <n v="2"/>
    <n v="1850"/>
    <n v="0.15"/>
    <n v="960"/>
    <s v="UPI"/>
    <s v="Delivered"/>
    <n v="5"/>
    <s v="New"/>
    <n v="3700"/>
    <n v="555"/>
    <n v="3145"/>
    <n v="2185"/>
    <n v="0.69475357710651831"/>
    <n v="2026"/>
    <s v="Mar"/>
    <s v="Q1"/>
  </r>
  <r>
    <s v="ORD10334"/>
    <x v="333"/>
    <s v="CUST1328"/>
    <s v="Rohan Nair"/>
    <x v="178"/>
    <x v="0"/>
    <x v="0"/>
    <x v="12"/>
    <s v="Delhi"/>
    <s v="Delhi"/>
    <x v="3"/>
    <x v="3"/>
    <s v="Cricket Bat"/>
    <x v="23"/>
    <n v="1"/>
    <n v="3130"/>
    <n v="0.05"/>
    <n v="1940"/>
    <s v="Debit Card"/>
    <s v="Delivered"/>
    <n v="7"/>
    <s v="New"/>
    <n v="3130"/>
    <n v="156.5"/>
    <n v="2973.5"/>
    <n v="1033.5"/>
    <n v="0.34757020346393142"/>
    <n v="2026"/>
    <s v="Mar"/>
    <s v="Q1"/>
  </r>
  <r>
    <s v="ORD10335"/>
    <x v="334"/>
    <s v="CUST1225"/>
    <s v="Vikram Bhat"/>
    <x v="18"/>
    <x v="1"/>
    <x v="7"/>
    <x v="1"/>
    <s v="Kolkata"/>
    <s v="West Bengal"/>
    <x v="1"/>
    <x v="2"/>
    <s v="Headphones"/>
    <x v="5"/>
    <n v="3"/>
    <n v="2400"/>
    <n v="0.1"/>
    <n v="1430"/>
    <s v="Debit Card"/>
    <s v="Delivered"/>
    <n v="5"/>
    <s v="Returning"/>
    <n v="7200"/>
    <n v="720"/>
    <n v="6480"/>
    <n v="5050"/>
    <n v="0.77932098765432101"/>
    <n v="2026"/>
    <s v="Mar"/>
    <s v="Q1"/>
  </r>
  <r>
    <s v="ORD10336"/>
    <x v="335"/>
    <s v="CUST1090"/>
    <s v="Vivaan Iyer"/>
    <x v="179"/>
    <x v="1"/>
    <x v="4"/>
    <x v="11"/>
    <s v="Chennai"/>
    <s v="Tamil Nadu"/>
    <x v="2"/>
    <x v="2"/>
    <s v="Tablet"/>
    <x v="4"/>
    <n v="1"/>
    <n v="22680"/>
    <n v="0.05"/>
    <n v="15220"/>
    <s v="Credit Card"/>
    <s v="Cancelled"/>
    <n v="0"/>
    <s v="Returning"/>
    <n v="22680"/>
    <n v="1134"/>
    <n v="21546"/>
    <n v="6326"/>
    <n v="0.29360438132367955"/>
    <n v="2026"/>
    <s v="Mar"/>
    <s v="Q1"/>
  </r>
  <r>
    <s v="ORD10337"/>
    <x v="336"/>
    <s v="CUST1142"/>
    <s v="Vivaan Nair"/>
    <x v="65"/>
    <x v="1"/>
    <x v="19"/>
    <x v="3"/>
    <s v="Bengaluru"/>
    <s v="Karnataka"/>
    <x v="2"/>
    <x v="2"/>
    <s v="Laptop"/>
    <x v="15"/>
    <n v="2"/>
    <n v="53780"/>
    <n v="0"/>
    <n v="40970"/>
    <s v="Debit Card"/>
    <s v="Delivered"/>
    <n v="3"/>
    <s v="Returning"/>
    <n v="107560"/>
    <n v="0"/>
    <n v="107560"/>
    <n v="66590"/>
    <n v="0.61909631833395318"/>
    <n v="2026"/>
    <s v="Mar"/>
    <s v="Q1"/>
  </r>
  <r>
    <s v="ORD10338"/>
    <x v="337"/>
    <s v="CUST1491"/>
    <s v="Sneha Verma"/>
    <x v="132"/>
    <x v="1"/>
    <x v="17"/>
    <x v="9"/>
    <s v="Hyderabad"/>
    <s v="Telangana"/>
    <x v="2"/>
    <x v="5"/>
    <s v="Mixer Grinder"/>
    <x v="22"/>
    <n v="3"/>
    <n v="4480"/>
    <n v="0.1"/>
    <n v="2610"/>
    <s v="UPI"/>
    <s v="Delivered"/>
    <n v="2"/>
    <s v="New"/>
    <n v="13440"/>
    <n v="1344"/>
    <n v="12096"/>
    <n v="9486"/>
    <n v="0.78422619047619047"/>
    <n v="2026"/>
    <s v="Mar"/>
    <s v="Q1"/>
  </r>
  <r>
    <s v="ORD10339"/>
    <x v="338"/>
    <s v="CUST1345"/>
    <s v="Sneha Nair"/>
    <x v="180"/>
    <x v="0"/>
    <x v="10"/>
    <x v="10"/>
    <s v="Jaipur"/>
    <s v="Rajasthan"/>
    <x v="3"/>
    <x v="2"/>
    <s v="Laptop"/>
    <x v="15"/>
    <n v="3"/>
    <n v="56890"/>
    <n v="0.1"/>
    <n v="39960"/>
    <s v="Credit Card"/>
    <s v="Delivered"/>
    <n v="3"/>
    <s v="New"/>
    <n v="170670"/>
    <n v="17067"/>
    <n v="153603"/>
    <n v="113643"/>
    <n v="0.73984883107751798"/>
    <n v="2026"/>
    <s v="Mar"/>
    <s v="Q1"/>
  </r>
  <r>
    <s v="ORD10340"/>
    <x v="339"/>
    <s v="CUST1009"/>
    <s v="Ananya Iyer"/>
    <x v="71"/>
    <x v="1"/>
    <x v="34"/>
    <x v="6"/>
    <s v="Guwahati"/>
    <s v="Assam"/>
    <x v="1"/>
    <x v="2"/>
    <s v="Smartwatch"/>
    <x v="3"/>
    <n v="2"/>
    <n v="7180"/>
    <n v="0.2"/>
    <n v="4670"/>
    <s v="Cash on Delivery"/>
    <s v="Delivered"/>
    <n v="5"/>
    <s v="Returning"/>
    <n v="14360"/>
    <n v="2872"/>
    <n v="11488"/>
    <n v="6818"/>
    <n v="0.59348885793871864"/>
    <n v="2026"/>
    <s v="Mar"/>
    <s v="Q1"/>
  </r>
  <r>
    <s v="ORD10341"/>
    <x v="340"/>
    <s v="CUST1095"/>
    <s v="Rahul Iyer"/>
    <x v="181"/>
    <x v="0"/>
    <x v="33"/>
    <x v="5"/>
    <s v="Bhubaneswar"/>
    <s v="Odisha"/>
    <x v="1"/>
    <x v="2"/>
    <s v="Headphones"/>
    <x v="5"/>
    <n v="4"/>
    <n v="2310"/>
    <n v="0.05"/>
    <n v="1490"/>
    <s v="Credit Card"/>
    <s v="Cancelled"/>
    <n v="0"/>
    <s v="Returning"/>
    <n v="9240"/>
    <n v="462"/>
    <n v="8778"/>
    <n v="7288"/>
    <n v="0.83025746183640925"/>
    <n v="2026"/>
    <s v="Mar"/>
    <s v="Q1"/>
  </r>
  <r>
    <s v="ORD10342"/>
    <x v="341"/>
    <s v="CUST1130"/>
    <s v="Vivaan Nair"/>
    <x v="65"/>
    <x v="0"/>
    <x v="23"/>
    <x v="14"/>
    <s v="Ahmedabad"/>
    <s v="Gujarat"/>
    <x v="0"/>
    <x v="5"/>
    <s v="Microwave"/>
    <x v="27"/>
    <n v="4"/>
    <n v="11620"/>
    <n v="0.15"/>
    <n v="8420"/>
    <s v="Debit Card"/>
    <s v="Pending"/>
    <n v="3"/>
    <s v="Returning"/>
    <n v="46480"/>
    <n v="6972"/>
    <n v="39508"/>
    <n v="31088"/>
    <n v="0.78687860686443256"/>
    <n v="2026"/>
    <s v="Mar"/>
    <s v="Q1"/>
  </r>
  <r>
    <s v="ORD10343"/>
    <x v="342"/>
    <s v="CUST1493"/>
    <s v="Nisha Bhat"/>
    <x v="24"/>
    <x v="0"/>
    <x v="23"/>
    <x v="4"/>
    <s v="Chandigarh"/>
    <s v="Chandigarh"/>
    <x v="3"/>
    <x v="2"/>
    <s v="Headphones"/>
    <x v="5"/>
    <n v="1"/>
    <n v="2470"/>
    <n v="0.15"/>
    <n v="1540"/>
    <s v="UPI"/>
    <s v="Delivered"/>
    <n v="3"/>
    <s v="New"/>
    <n v="2470"/>
    <n v="370.5"/>
    <n v="2099.5"/>
    <n v="559.5"/>
    <n v="0.26649202190997856"/>
    <n v="2026"/>
    <s v="Mar"/>
    <s v="Q1"/>
  </r>
  <r>
    <s v="ORD10344"/>
    <x v="343"/>
    <s v="CUST1318"/>
    <s v="Vikram Patel"/>
    <x v="60"/>
    <x v="0"/>
    <x v="30"/>
    <x v="6"/>
    <s v="Guwahati"/>
    <s v="Assam"/>
    <x v="1"/>
    <x v="4"/>
    <s v="Shampoo"/>
    <x v="8"/>
    <n v="3"/>
    <n v="470"/>
    <n v="0.25"/>
    <n v="230"/>
    <s v="Credit Card"/>
    <s v="Delivered"/>
    <n v="3"/>
    <s v="New"/>
    <n v="1410"/>
    <n v="352.5"/>
    <n v="1057.5"/>
    <n v="827.5"/>
    <n v="0.78250591016548465"/>
    <n v="2026"/>
    <s v="Mar"/>
    <s v="Q1"/>
  </r>
  <r>
    <s v="ORD10345"/>
    <x v="344"/>
    <s v="CUST1179"/>
    <s v="Kavya Iyer"/>
    <x v="128"/>
    <x v="1"/>
    <x v="21"/>
    <x v="12"/>
    <s v="Delhi"/>
    <s v="Delhi"/>
    <x v="3"/>
    <x v="0"/>
    <s v="Handbag"/>
    <x v="12"/>
    <n v="3"/>
    <n v="2960"/>
    <n v="0.15"/>
    <n v="1540"/>
    <s v="Debit Card"/>
    <s v="Cancelled"/>
    <n v="0"/>
    <s v="Returning"/>
    <n v="8880"/>
    <n v="1332"/>
    <n v="7548"/>
    <n v="6008"/>
    <n v="0.79597244303126657"/>
    <n v="2026"/>
    <s v="Mar"/>
    <s v="Q1"/>
  </r>
  <r>
    <s v="ORD10346"/>
    <x v="345"/>
    <s v="CUST1337"/>
    <s v="Ananya Verma"/>
    <x v="41"/>
    <x v="1"/>
    <x v="41"/>
    <x v="4"/>
    <s v="Chandigarh"/>
    <s v="Chandigarh"/>
    <x v="3"/>
    <x v="5"/>
    <s v="Microwave"/>
    <x v="27"/>
    <n v="1"/>
    <n v="12870"/>
    <n v="0.05"/>
    <n v="8330"/>
    <s v="Cash on Delivery"/>
    <s v="Delivered"/>
    <n v="7"/>
    <s v="New"/>
    <n v="12870"/>
    <n v="643.5"/>
    <n v="12226.5"/>
    <n v="3896.5"/>
    <n v="0.3186930029035292"/>
    <n v="2026"/>
    <s v="Mar"/>
    <s v="Q1"/>
  </r>
  <r>
    <s v="ORD10347"/>
    <x v="346"/>
    <s v="CUST1327"/>
    <s v="Ishita Das"/>
    <x v="182"/>
    <x v="0"/>
    <x v="37"/>
    <x v="14"/>
    <s v="Ahmedabad"/>
    <s v="Gujarat"/>
    <x v="0"/>
    <x v="4"/>
    <s v="Shampoo"/>
    <x v="8"/>
    <n v="3"/>
    <n v="470"/>
    <n v="0"/>
    <n v="240"/>
    <s v="Credit Card"/>
    <s v="Returned"/>
    <n v="3"/>
    <s v="New"/>
    <n v="1410"/>
    <n v="0"/>
    <n v="1410"/>
    <n v="1170"/>
    <n v="0.82978723404255317"/>
    <n v="2026"/>
    <s v="Mar"/>
    <s v="Q1"/>
  </r>
  <r>
    <s v="ORD10348"/>
    <x v="347"/>
    <s v="CUST1123"/>
    <s v="Meera Naidu"/>
    <x v="38"/>
    <x v="0"/>
    <x v="20"/>
    <x v="2"/>
    <s v="Kochi"/>
    <s v="Kerala"/>
    <x v="2"/>
    <x v="0"/>
    <s v="Jeans"/>
    <x v="19"/>
    <n v="2"/>
    <n v="2320"/>
    <n v="0.2"/>
    <n v="1230"/>
    <s v="UPI"/>
    <s v="Returned"/>
    <n v="4"/>
    <s v="Returning"/>
    <n v="4640"/>
    <n v="928"/>
    <n v="3712"/>
    <n v="2482"/>
    <n v="0.66864224137931039"/>
    <n v="2026"/>
    <s v="Mar"/>
    <s v="Q1"/>
  </r>
  <r>
    <s v="ORD10349"/>
    <x v="348"/>
    <s v="CUST1317"/>
    <s v="Ananya Patel"/>
    <x v="29"/>
    <x v="0"/>
    <x v="5"/>
    <x v="11"/>
    <s v="Chennai"/>
    <s v="Tamil Nadu"/>
    <x v="2"/>
    <x v="2"/>
    <s v="Laptop"/>
    <x v="15"/>
    <n v="1"/>
    <n v="53470"/>
    <n v="0"/>
    <n v="41370"/>
    <s v="Net Banking"/>
    <s v="Delivered"/>
    <n v="4"/>
    <s v="New"/>
    <n v="53470"/>
    <n v="0"/>
    <n v="53470"/>
    <n v="12100"/>
    <n v="0.22629511875818215"/>
    <n v="2026"/>
    <s v="Mar"/>
    <s v="Q1"/>
  </r>
  <r>
    <s v="ORD10350"/>
    <x v="349"/>
    <s v="CUST1461"/>
    <s v="Nisha Verma"/>
    <x v="34"/>
    <x v="0"/>
    <x v="29"/>
    <x v="1"/>
    <s v="Kolkata"/>
    <s v="West Bengal"/>
    <x v="1"/>
    <x v="2"/>
    <s v="Smartwatch"/>
    <x v="3"/>
    <n v="2"/>
    <n v="7530"/>
    <n v="0.1"/>
    <n v="4440"/>
    <s v="Credit Card"/>
    <s v="Delivered"/>
    <n v="3"/>
    <s v="New"/>
    <n v="15060"/>
    <n v="1506"/>
    <n v="13554"/>
    <n v="9114"/>
    <n v="0.67242142540947325"/>
    <n v="2026"/>
    <s v="Mar"/>
    <s v="Q1"/>
  </r>
  <r>
    <s v="ORD10351"/>
    <x v="350"/>
    <s v="CUST1415"/>
    <s v="Nisha Sharma"/>
    <x v="11"/>
    <x v="1"/>
    <x v="3"/>
    <x v="14"/>
    <s v="Ahmedabad"/>
    <s v="Gujarat"/>
    <x v="0"/>
    <x v="1"/>
    <s v="Study Table"/>
    <x v="11"/>
    <n v="1"/>
    <n v="8720"/>
    <n v="0.1"/>
    <n v="5550"/>
    <s v="Credit Card"/>
    <s v="Delivered"/>
    <n v="2"/>
    <s v="New"/>
    <n v="8720"/>
    <n v="872"/>
    <n v="7848"/>
    <n v="2298"/>
    <n v="0.29281345565749234"/>
    <n v="2026"/>
    <s v="Mar"/>
    <s v="Q1"/>
  </r>
  <r>
    <s v="ORD10352"/>
    <x v="351"/>
    <s v="CUST1122"/>
    <s v="Vikram Nair"/>
    <x v="80"/>
    <x v="1"/>
    <x v="39"/>
    <x v="12"/>
    <s v="Delhi"/>
    <s v="Delhi"/>
    <x v="3"/>
    <x v="2"/>
    <s v="Smartwatch"/>
    <x v="3"/>
    <n v="2"/>
    <n v="6800"/>
    <n v="0.1"/>
    <n v="4720"/>
    <s v="Credit Card"/>
    <s v="Cancelled"/>
    <n v="0"/>
    <s v="Returning"/>
    <n v="13600"/>
    <n v="1360"/>
    <n v="12240"/>
    <n v="7520"/>
    <n v="0.6143790849673203"/>
    <n v="2026"/>
    <s v="Mar"/>
    <s v="Q1"/>
  </r>
  <r>
    <s v="ORD10353"/>
    <x v="352"/>
    <s v="CUST1165"/>
    <s v="Vivaan Joshi"/>
    <x v="105"/>
    <x v="1"/>
    <x v="22"/>
    <x v="10"/>
    <s v="Jaipur"/>
    <s v="Rajasthan"/>
    <x v="3"/>
    <x v="0"/>
    <s v="T-Shirt"/>
    <x v="2"/>
    <n v="1"/>
    <n v="850"/>
    <n v="0"/>
    <n v="460"/>
    <s v="Net Banking"/>
    <s v="Delivered"/>
    <n v="2"/>
    <s v="Returning"/>
    <n v="850"/>
    <n v="0"/>
    <n v="850"/>
    <n v="390"/>
    <n v="0.45882352941176469"/>
    <n v="2026"/>
    <s v="Mar"/>
    <s v="Q1"/>
  </r>
  <r>
    <s v="ORD10354"/>
    <x v="353"/>
    <s v="CUST1125"/>
    <s v="Rahul Verma"/>
    <x v="183"/>
    <x v="1"/>
    <x v="29"/>
    <x v="3"/>
    <s v="Bengaluru"/>
    <s v="Karnataka"/>
    <x v="2"/>
    <x v="4"/>
    <s v="Face Cream"/>
    <x v="21"/>
    <n v="3"/>
    <n v="690"/>
    <n v="0"/>
    <n v="290"/>
    <s v="Cash on Delivery"/>
    <s v="Delivered"/>
    <n v="4"/>
    <s v="Returning"/>
    <n v="2070"/>
    <n v="0"/>
    <n v="2070"/>
    <n v="1780"/>
    <n v="0.85990338164251212"/>
    <n v="2026"/>
    <s v="Apr"/>
    <s v="Q2"/>
  </r>
  <r>
    <s v="ORD10355"/>
    <x v="354"/>
    <s v="CUST1018"/>
    <s v="Vikram Gupta"/>
    <x v="177"/>
    <x v="0"/>
    <x v="28"/>
    <x v="0"/>
    <s v="Pune"/>
    <s v="Maharashtra"/>
    <x v="0"/>
    <x v="5"/>
    <s v="Mixer Grinder"/>
    <x v="22"/>
    <n v="3"/>
    <n v="4450"/>
    <n v="0"/>
    <n v="2780"/>
    <s v="Credit Card"/>
    <s v="Pending"/>
    <n v="3"/>
    <s v="Returning"/>
    <n v="13350"/>
    <n v="0"/>
    <n v="13350"/>
    <n v="10570"/>
    <n v="0.79176029962546812"/>
    <n v="2026"/>
    <s v="Apr"/>
    <s v="Q2"/>
  </r>
  <r>
    <s v="ORD10356"/>
    <x v="355"/>
    <s v="CUST1263"/>
    <s v="Arjun Iyer"/>
    <x v="184"/>
    <x v="1"/>
    <x v="16"/>
    <x v="11"/>
    <s v="Chennai"/>
    <s v="Tamil Nadu"/>
    <x v="2"/>
    <x v="3"/>
    <s v="Tennis Racket"/>
    <x v="17"/>
    <n v="3"/>
    <n v="4330"/>
    <n v="0.1"/>
    <n v="2900"/>
    <s v="Credit Card"/>
    <s v="Cancelled"/>
    <n v="0"/>
    <s v="Returning"/>
    <n v="12990"/>
    <n v="1299"/>
    <n v="11691"/>
    <n v="8791"/>
    <n v="0.75194594132238479"/>
    <n v="2026"/>
    <s v="Apr"/>
    <s v="Q2"/>
  </r>
  <r>
    <s v="ORD10357"/>
    <x v="356"/>
    <s v="CUST1128"/>
    <s v="Arjun Shah"/>
    <x v="185"/>
    <x v="1"/>
    <x v="37"/>
    <x v="3"/>
    <s v="Bengaluru"/>
    <s v="Karnataka"/>
    <x v="2"/>
    <x v="3"/>
    <s v="Cricket Bat"/>
    <x v="23"/>
    <n v="1"/>
    <n v="2980"/>
    <n v="0.05"/>
    <n v="1910"/>
    <s v="UPI"/>
    <s v="Delivered"/>
    <n v="3"/>
    <s v="Returning"/>
    <n v="2980"/>
    <n v="149"/>
    <n v="2831"/>
    <n v="921"/>
    <n v="0.32532673966796183"/>
    <n v="2026"/>
    <s v="Apr"/>
    <s v="Q2"/>
  </r>
  <r>
    <s v="ORD10358"/>
    <x v="357"/>
    <s v="CUST1459"/>
    <s v="Vivaan Reddy"/>
    <x v="131"/>
    <x v="1"/>
    <x v="12"/>
    <x v="12"/>
    <s v="Delhi"/>
    <s v="Delhi"/>
    <x v="3"/>
    <x v="2"/>
    <s v="Laptop"/>
    <x v="15"/>
    <n v="1"/>
    <n v="53220"/>
    <n v="0.05"/>
    <n v="40590"/>
    <s v="Cash on Delivery"/>
    <s v="Delivered"/>
    <n v="4"/>
    <s v="New"/>
    <n v="53220"/>
    <n v="2661"/>
    <n v="50559"/>
    <n v="9969"/>
    <n v="0.1971755770485967"/>
    <n v="2026"/>
    <s v="Apr"/>
    <s v="Q2"/>
  </r>
  <r>
    <s v="ORD10359"/>
    <x v="358"/>
    <s v="CUST1428"/>
    <s v="Diya Bhat"/>
    <x v="164"/>
    <x v="0"/>
    <x v="16"/>
    <x v="11"/>
    <s v="Chennai"/>
    <s v="Tamil Nadu"/>
    <x v="2"/>
    <x v="5"/>
    <s v="Microwave"/>
    <x v="27"/>
    <n v="1"/>
    <n v="11950"/>
    <n v="0.15"/>
    <n v="7900"/>
    <s v="Credit Card"/>
    <s v="Delivered"/>
    <n v="2"/>
    <s v="New"/>
    <n v="11950"/>
    <n v="1792.5"/>
    <n v="10157.5"/>
    <n v="2257.5"/>
    <n v="0.22224956928378045"/>
    <n v="2026"/>
    <s v="Apr"/>
    <s v="Q2"/>
  </r>
  <r>
    <s v="ORD10360"/>
    <x v="359"/>
    <s v="CUST1100"/>
    <s v="Rohan Mehta"/>
    <x v="176"/>
    <x v="0"/>
    <x v="4"/>
    <x v="0"/>
    <s v="Pune"/>
    <s v="Maharashtra"/>
    <x v="0"/>
    <x v="2"/>
    <s v="Smartwatch"/>
    <x v="3"/>
    <n v="1"/>
    <n v="6860"/>
    <n v="0.1"/>
    <n v="4520"/>
    <s v="UPI"/>
    <s v="Delivered"/>
    <n v="2"/>
    <s v="Returning"/>
    <n v="6860"/>
    <n v="686"/>
    <n v="6174"/>
    <n v="1654"/>
    <n v="0.267897635244574"/>
    <n v="2026"/>
    <s v="Apr"/>
    <s v="Q2"/>
  </r>
  <r>
    <s v="ORD10361"/>
    <x v="360"/>
    <s v="CUST1081"/>
    <s v="Aarav Naidu"/>
    <x v="143"/>
    <x v="0"/>
    <x v="29"/>
    <x v="10"/>
    <s v="Jaipur"/>
    <s v="Rajasthan"/>
    <x v="3"/>
    <x v="4"/>
    <s v="Hair Dryer"/>
    <x v="14"/>
    <n v="1"/>
    <n v="1880"/>
    <n v="0.05"/>
    <n v="970"/>
    <s v="Wallet"/>
    <s v="Delivered"/>
    <n v="3"/>
    <s v="Returning"/>
    <n v="1880"/>
    <n v="94"/>
    <n v="1786"/>
    <n v="816"/>
    <n v="0.45688689809630462"/>
    <n v="2026"/>
    <s v="Apr"/>
    <s v="Q2"/>
  </r>
  <r>
    <s v="ORD10362"/>
    <x v="361"/>
    <s v="CUST1282"/>
    <s v="Aarav Nair"/>
    <x v="4"/>
    <x v="0"/>
    <x v="7"/>
    <x v="10"/>
    <s v="Jaipur"/>
    <s v="Rajasthan"/>
    <x v="3"/>
    <x v="4"/>
    <s v="Perfume"/>
    <x v="29"/>
    <n v="3"/>
    <n v="1690"/>
    <n v="0.3"/>
    <n v="890"/>
    <s v="Cash on Delivery"/>
    <s v="Delivered"/>
    <n v="4"/>
    <s v="Returning"/>
    <n v="5070"/>
    <n v="1521"/>
    <n v="3549"/>
    <n v="2659"/>
    <n v="0.74922513384051848"/>
    <n v="2026"/>
    <s v="Apr"/>
    <s v="Q2"/>
  </r>
  <r>
    <s v="ORD10363"/>
    <x v="362"/>
    <s v="CUST1034"/>
    <s v="Aarav Sharma"/>
    <x v="55"/>
    <x v="0"/>
    <x v="2"/>
    <x v="9"/>
    <s v="Hyderabad"/>
    <s v="Telangana"/>
    <x v="2"/>
    <x v="5"/>
    <s v="Air Fryer"/>
    <x v="26"/>
    <n v="4"/>
    <n v="6830"/>
    <n v="0.1"/>
    <n v="4270"/>
    <s v="Net Banking"/>
    <s v="Delivered"/>
    <n v="5"/>
    <s v="Returning"/>
    <n v="27320"/>
    <n v="2732"/>
    <n v="24588"/>
    <n v="20318"/>
    <n v="0.82633805108182856"/>
    <n v="2026"/>
    <s v="Apr"/>
    <s v="Q2"/>
  </r>
  <r>
    <s v="ORD10364"/>
    <x v="363"/>
    <s v="CUST1444"/>
    <s v="Sneha Naidu"/>
    <x v="50"/>
    <x v="1"/>
    <x v="38"/>
    <x v="9"/>
    <s v="Hyderabad"/>
    <s v="Telangana"/>
    <x v="2"/>
    <x v="4"/>
    <s v="Face Cream"/>
    <x v="21"/>
    <n v="2"/>
    <n v="680"/>
    <n v="0.15"/>
    <n v="290"/>
    <s v="Credit Card"/>
    <s v="Delivered"/>
    <n v="3"/>
    <s v="New"/>
    <n v="1360"/>
    <n v="204"/>
    <n v="1156"/>
    <n v="866"/>
    <n v="0.74913494809688586"/>
    <n v="2026"/>
    <s v="Apr"/>
    <s v="Q2"/>
  </r>
  <r>
    <s v="ORD10365"/>
    <x v="364"/>
    <s v="CUST1199"/>
    <s v="Vivaan Bhat"/>
    <x v="35"/>
    <x v="1"/>
    <x v="1"/>
    <x v="6"/>
    <s v="Guwahati"/>
    <s v="Assam"/>
    <x v="1"/>
    <x v="0"/>
    <s v="Sneakers"/>
    <x v="0"/>
    <n v="1"/>
    <n v="3560"/>
    <n v="0.05"/>
    <n v="2080"/>
    <s v="UPI"/>
    <s v="Delivered"/>
    <n v="3"/>
    <s v="Returning"/>
    <n v="3560"/>
    <n v="178"/>
    <n v="3382"/>
    <n v="1302"/>
    <n v="0.38497930218805443"/>
    <n v="2026"/>
    <s v="Apr"/>
    <s v="Q2"/>
  </r>
  <r>
    <s v="ORD10366"/>
    <x v="365"/>
    <s v="CUST1313"/>
    <s v="Nisha Kumar"/>
    <x v="186"/>
    <x v="1"/>
    <x v="5"/>
    <x v="10"/>
    <s v="Jaipur"/>
    <s v="Rajasthan"/>
    <x v="3"/>
    <x v="1"/>
    <s v="Office Chair"/>
    <x v="1"/>
    <n v="1"/>
    <n v="6980"/>
    <n v="0.05"/>
    <n v="4300"/>
    <s v="Credit Card"/>
    <s v="Returned"/>
    <n v="4"/>
    <s v="New"/>
    <n v="6980"/>
    <n v="349"/>
    <n v="6631"/>
    <n v="2331"/>
    <n v="0.35153068918715125"/>
    <n v="2026"/>
    <s v="Apr"/>
    <s v="Q2"/>
  </r>
  <r>
    <s v="ORD10367"/>
    <x v="366"/>
    <s v="CUST1042"/>
    <s v="Priya Singh"/>
    <x v="0"/>
    <x v="0"/>
    <x v="24"/>
    <x v="3"/>
    <s v="Bengaluru"/>
    <s v="Karnataka"/>
    <x v="2"/>
    <x v="1"/>
    <s v="Office Chair"/>
    <x v="1"/>
    <n v="1"/>
    <n v="5980"/>
    <n v="0.1"/>
    <n v="4230"/>
    <s v="Debit Card"/>
    <s v="Delivered"/>
    <n v="3"/>
    <s v="Returning"/>
    <n v="5980"/>
    <n v="598"/>
    <n v="5382"/>
    <n v="1152"/>
    <n v="0.21404682274247491"/>
    <n v="2026"/>
    <s v="Apr"/>
    <s v="Q2"/>
  </r>
  <r>
    <s v="ORD10368"/>
    <x v="367"/>
    <s v="CUST1271"/>
    <s v="Vikram Naidu"/>
    <x v="187"/>
    <x v="0"/>
    <x v="9"/>
    <x v="11"/>
    <s v="Chennai"/>
    <s v="Tamil Nadu"/>
    <x v="2"/>
    <x v="0"/>
    <s v="T-Shirt"/>
    <x v="2"/>
    <n v="1"/>
    <n v="970"/>
    <n v="0.1"/>
    <n v="450"/>
    <s v="Credit Card"/>
    <s v="Cancelled"/>
    <n v="0"/>
    <s v="Returning"/>
    <n v="970"/>
    <n v="97"/>
    <n v="873"/>
    <n v="423"/>
    <n v="0.4845360824742268"/>
    <n v="2026"/>
    <s v="Apr"/>
    <s v="Q2"/>
  </r>
  <r>
    <s v="ORD10369"/>
    <x v="368"/>
    <s v="CUST1177"/>
    <s v="Nisha Bhat"/>
    <x v="24"/>
    <x v="0"/>
    <x v="9"/>
    <x v="9"/>
    <s v="Hyderabad"/>
    <s v="Telangana"/>
    <x v="2"/>
    <x v="3"/>
    <s v="Tennis Racket"/>
    <x v="17"/>
    <n v="4"/>
    <n v="4590"/>
    <n v="0.15"/>
    <n v="2890"/>
    <s v="Net Banking"/>
    <s v="Delivered"/>
    <n v="1"/>
    <s v="Returning"/>
    <n v="18360"/>
    <n v="2754"/>
    <n v="15606"/>
    <n v="12716"/>
    <n v="0.81481481481481477"/>
    <n v="2026"/>
    <s v="Apr"/>
    <s v="Q2"/>
  </r>
  <r>
    <s v="ORD10370"/>
    <x v="369"/>
    <s v="CUST1118"/>
    <s v="Arjun Kumar"/>
    <x v="188"/>
    <x v="1"/>
    <x v="17"/>
    <x v="0"/>
    <s v="Pune"/>
    <s v="Maharashtra"/>
    <x v="0"/>
    <x v="1"/>
    <s v="Sofa"/>
    <x v="16"/>
    <n v="1"/>
    <n v="29120"/>
    <n v="0.1"/>
    <n v="19890"/>
    <s v="UPI"/>
    <s v="Delivered"/>
    <n v="3"/>
    <s v="Returning"/>
    <n v="29120"/>
    <n v="2912"/>
    <n v="26208"/>
    <n v="6318"/>
    <n v="0.24107142857142858"/>
    <n v="2026"/>
    <s v="Apr"/>
    <s v="Q2"/>
  </r>
  <r>
    <s v="ORD10371"/>
    <x v="370"/>
    <s v="CUST1451"/>
    <s v="Ananya Rao"/>
    <x v="189"/>
    <x v="0"/>
    <x v="25"/>
    <x v="8"/>
    <s v="Mysuru"/>
    <s v="Karnataka"/>
    <x v="2"/>
    <x v="1"/>
    <s v="Office Chair"/>
    <x v="1"/>
    <n v="4"/>
    <n v="6530"/>
    <n v="0.15"/>
    <n v="4100"/>
    <s v="Credit Card"/>
    <s v="Delivered"/>
    <n v="2"/>
    <s v="New"/>
    <n v="26120"/>
    <n v="3918"/>
    <n v="22202"/>
    <n v="18102"/>
    <n v="0.81533195207638953"/>
    <n v="2026"/>
    <s v="Apr"/>
    <s v="Q2"/>
  </r>
  <r>
    <s v="ORD10372"/>
    <x v="371"/>
    <s v="CUST1234"/>
    <s v="Priya Verma"/>
    <x v="190"/>
    <x v="1"/>
    <x v="4"/>
    <x v="3"/>
    <s v="Bengaluru"/>
    <s v="Karnataka"/>
    <x v="2"/>
    <x v="5"/>
    <s v="Vacuum Cleaner"/>
    <x v="9"/>
    <n v="3"/>
    <n v="8990"/>
    <n v="0.25"/>
    <n v="5600"/>
    <s v="Debit Card"/>
    <s v="Returned"/>
    <n v="3"/>
    <s v="Returning"/>
    <n v="26970"/>
    <n v="6742.5"/>
    <n v="20227.5"/>
    <n v="14627.5"/>
    <n v="0.72314917809912249"/>
    <n v="2026"/>
    <s v="Apr"/>
    <s v="Q2"/>
  </r>
  <r>
    <s v="ORD10373"/>
    <x v="372"/>
    <s v="CUST1162"/>
    <s v="Rohan Bhat"/>
    <x v="175"/>
    <x v="1"/>
    <x v="15"/>
    <x v="11"/>
    <s v="Chennai"/>
    <s v="Tamil Nadu"/>
    <x v="2"/>
    <x v="2"/>
    <s v="Smartwatch"/>
    <x v="3"/>
    <n v="3"/>
    <n v="7130"/>
    <n v="0.05"/>
    <n v="4360"/>
    <s v="Debit Card"/>
    <s v="Delivered"/>
    <n v="2"/>
    <s v="Returning"/>
    <n v="21390"/>
    <n v="1069.5"/>
    <n v="20320.5"/>
    <n v="15960.5"/>
    <n v="0.78543835043429044"/>
    <n v="2026"/>
    <s v="Apr"/>
    <s v="Q2"/>
  </r>
  <r>
    <s v="ORD10374"/>
    <x v="373"/>
    <s v="CUST1107"/>
    <s v="Ishita Gupta"/>
    <x v="135"/>
    <x v="1"/>
    <x v="18"/>
    <x v="13"/>
    <s v="Lucknow"/>
    <s v="Uttar Pradesh"/>
    <x v="3"/>
    <x v="2"/>
    <s v="Headphones"/>
    <x v="5"/>
    <n v="1"/>
    <n v="2580"/>
    <n v="0.1"/>
    <n v="1520"/>
    <s v="UPI"/>
    <s v="Delivered"/>
    <n v="1"/>
    <s v="Returning"/>
    <n v="2580"/>
    <n v="258"/>
    <n v="2322"/>
    <n v="802"/>
    <n v="0.34539190353143839"/>
    <n v="2026"/>
    <s v="Apr"/>
    <s v="Q2"/>
  </r>
  <r>
    <s v="ORD10375"/>
    <x v="374"/>
    <s v="CUST1377"/>
    <s v="Sneha Patel"/>
    <x v="191"/>
    <x v="0"/>
    <x v="5"/>
    <x v="1"/>
    <s v="Kolkata"/>
    <s v="West Bengal"/>
    <x v="1"/>
    <x v="1"/>
    <s v="Study Table"/>
    <x v="11"/>
    <n v="4"/>
    <n v="8540"/>
    <n v="0.05"/>
    <n v="5350"/>
    <s v="Cash on Delivery"/>
    <s v="Delivered"/>
    <n v="3"/>
    <s v="New"/>
    <n v="34160"/>
    <n v="1708"/>
    <n v="32452"/>
    <n v="27102"/>
    <n v="0.83514113151731784"/>
    <n v="2026"/>
    <s v="Apr"/>
    <s v="Q2"/>
  </r>
  <r>
    <s v="ORD10376"/>
    <x v="375"/>
    <s v="CUST1426"/>
    <s v="Diya Joshi"/>
    <x v="118"/>
    <x v="1"/>
    <x v="1"/>
    <x v="10"/>
    <s v="Jaipur"/>
    <s v="Rajasthan"/>
    <x v="3"/>
    <x v="3"/>
    <s v="Dumbbells"/>
    <x v="7"/>
    <n v="1"/>
    <n v="2350"/>
    <n v="0.15"/>
    <n v="1450"/>
    <s v="Credit Card"/>
    <s v="Delivered"/>
    <n v="1"/>
    <s v="New"/>
    <n v="2350"/>
    <n v="352.5"/>
    <n v="1997.5"/>
    <n v="547.5"/>
    <n v="0.27409261576971217"/>
    <n v="2026"/>
    <s v="Apr"/>
    <s v="Q2"/>
  </r>
  <r>
    <s v="ORD10377"/>
    <x v="376"/>
    <s v="CUST1008"/>
    <s v="Karan Rao"/>
    <x v="136"/>
    <x v="1"/>
    <x v="20"/>
    <x v="12"/>
    <s v="Delhi"/>
    <s v="Delhi"/>
    <x v="3"/>
    <x v="5"/>
    <s v="Vacuum Cleaner"/>
    <x v="9"/>
    <n v="1"/>
    <n v="8410"/>
    <n v="0.15"/>
    <n v="5570"/>
    <s v="UPI"/>
    <s v="Delivered"/>
    <n v="3"/>
    <s v="Returning"/>
    <n v="8410"/>
    <n v="1261.5"/>
    <n v="7148.5"/>
    <n v="1578.5"/>
    <n v="0.22081555571098832"/>
    <n v="2026"/>
    <s v="Apr"/>
    <s v="Q2"/>
  </r>
  <r>
    <s v="ORD10378"/>
    <x v="377"/>
    <s v="CUST1216"/>
    <s v="Vikram Singh"/>
    <x v="192"/>
    <x v="1"/>
    <x v="9"/>
    <x v="7"/>
    <s v="Mumbai"/>
    <s v="Maharashtra"/>
    <x v="0"/>
    <x v="5"/>
    <s v="Microwave"/>
    <x v="27"/>
    <n v="2"/>
    <n v="11690"/>
    <n v="0.25"/>
    <n v="7800"/>
    <s v="Debit Card"/>
    <s v="Delivered"/>
    <n v="3"/>
    <s v="Returning"/>
    <n v="23380"/>
    <n v="5845"/>
    <n v="17535"/>
    <n v="9735"/>
    <n v="0.55517536355859709"/>
    <n v="2026"/>
    <s v="Apr"/>
    <s v="Q2"/>
  </r>
  <r>
    <s v="ORD10379"/>
    <x v="378"/>
    <s v="CUST1120"/>
    <s v="Nisha Das"/>
    <x v="171"/>
    <x v="1"/>
    <x v="0"/>
    <x v="10"/>
    <s v="Jaipur"/>
    <s v="Rajasthan"/>
    <x v="3"/>
    <x v="2"/>
    <s v="Smartphone"/>
    <x v="13"/>
    <n v="1"/>
    <n v="16780"/>
    <n v="0"/>
    <n v="12920"/>
    <s v="UPI"/>
    <s v="Delivered"/>
    <n v="3"/>
    <s v="Returning"/>
    <n v="16780"/>
    <n v="0"/>
    <n v="16780"/>
    <n v="3860"/>
    <n v="0.23003575685339689"/>
    <n v="2026"/>
    <s v="Apr"/>
    <s v="Q2"/>
  </r>
  <r>
    <s v="ORD10380"/>
    <x v="379"/>
    <s v="CUST1426"/>
    <s v="Arjun Reddy"/>
    <x v="157"/>
    <x v="0"/>
    <x v="25"/>
    <x v="0"/>
    <s v="Pune"/>
    <s v="Maharashtra"/>
    <x v="0"/>
    <x v="2"/>
    <s v="Smartwatch"/>
    <x v="3"/>
    <n v="1"/>
    <n v="6870"/>
    <n v="0.15"/>
    <n v="4520"/>
    <s v="Net Banking"/>
    <s v="Delivered"/>
    <n v="2"/>
    <s v="New"/>
    <n v="6870"/>
    <n v="1030.5"/>
    <n v="5839.5"/>
    <n v="1319.5"/>
    <n v="0.22596112680880212"/>
    <n v="2026"/>
    <s v="Apr"/>
    <s v="Q2"/>
  </r>
  <r>
    <s v="ORD10381"/>
    <x v="380"/>
    <s v="CUST1226"/>
    <s v="Ananya Kumar"/>
    <x v="126"/>
    <x v="0"/>
    <x v="24"/>
    <x v="5"/>
    <s v="Bhubaneswar"/>
    <s v="Odisha"/>
    <x v="1"/>
    <x v="1"/>
    <s v="Bedside Table"/>
    <x v="24"/>
    <n v="3"/>
    <n v="4310"/>
    <n v="0.1"/>
    <n v="3040"/>
    <s v="Net Banking"/>
    <s v="Delivered"/>
    <n v="4"/>
    <s v="Returning"/>
    <n v="12930"/>
    <n v="1293"/>
    <n v="11637"/>
    <n v="8597"/>
    <n v="0.73876428632809144"/>
    <n v="2026"/>
    <s v="Apr"/>
    <s v="Q2"/>
  </r>
  <r>
    <s v="ORD10382"/>
    <x v="381"/>
    <s v="CUST1296"/>
    <s v="Kavya Gupta"/>
    <x v="193"/>
    <x v="0"/>
    <x v="24"/>
    <x v="2"/>
    <s v="Kochi"/>
    <s v="Kerala"/>
    <x v="2"/>
    <x v="1"/>
    <s v="Study Table"/>
    <x v="11"/>
    <n v="3"/>
    <n v="8200"/>
    <n v="0.05"/>
    <n v="5840"/>
    <s v="UPI"/>
    <s v="Delivered"/>
    <n v="6"/>
    <s v="Returning"/>
    <n v="24600"/>
    <n v="1230"/>
    <n v="23370"/>
    <n v="17530"/>
    <n v="0.75010697475395804"/>
    <n v="2026"/>
    <s v="Apr"/>
    <s v="Q2"/>
  </r>
  <r>
    <s v="ORD10383"/>
    <x v="382"/>
    <s v="CUST1410"/>
    <s v="Vikram Mehta"/>
    <x v="94"/>
    <x v="1"/>
    <x v="17"/>
    <x v="9"/>
    <s v="Hyderabad"/>
    <s v="Telangana"/>
    <x v="2"/>
    <x v="5"/>
    <s v="Electric Kettle"/>
    <x v="18"/>
    <n v="1"/>
    <n v="1870"/>
    <n v="0.2"/>
    <n v="970"/>
    <s v="Credit Card"/>
    <s v="Returned"/>
    <n v="4"/>
    <s v="New"/>
    <n v="1870"/>
    <n v="374"/>
    <n v="1496"/>
    <n v="526"/>
    <n v="0.35160427807486633"/>
    <n v="2026"/>
    <s v="Apr"/>
    <s v="Q2"/>
  </r>
  <r>
    <s v="ORD10384"/>
    <x v="383"/>
    <s v="CUST1474"/>
    <s v="Nisha Reddy"/>
    <x v="22"/>
    <x v="1"/>
    <x v="31"/>
    <x v="5"/>
    <s v="Bhubaneswar"/>
    <s v="Odisha"/>
    <x v="1"/>
    <x v="5"/>
    <s v="Microwave"/>
    <x v="27"/>
    <n v="2"/>
    <n v="11410"/>
    <n v="0.15"/>
    <n v="8010"/>
    <s v="Credit Card"/>
    <s v="Returned"/>
    <n v="3"/>
    <s v="New"/>
    <n v="22820"/>
    <n v="3423"/>
    <n v="19397"/>
    <n v="11387"/>
    <n v="0.58704954374387797"/>
    <n v="2026"/>
    <s v="May"/>
    <s v="Q2"/>
  </r>
  <r>
    <s v="ORD10385"/>
    <x v="384"/>
    <s v="CUST1412"/>
    <s v="Ishita Bhat"/>
    <x v="107"/>
    <x v="1"/>
    <x v="20"/>
    <x v="2"/>
    <s v="Kochi"/>
    <s v="Kerala"/>
    <x v="2"/>
    <x v="1"/>
    <s v="Sofa"/>
    <x v="16"/>
    <n v="1"/>
    <n v="28520"/>
    <n v="0"/>
    <n v="20140"/>
    <s v="Credit Card"/>
    <s v="Delivered"/>
    <n v="8"/>
    <s v="New"/>
    <n v="28520"/>
    <n v="0"/>
    <n v="28520"/>
    <n v="8380"/>
    <n v="0.29382889200561008"/>
    <n v="2026"/>
    <s v="May"/>
    <s v="Q2"/>
  </r>
  <r>
    <s v="ORD10386"/>
    <x v="385"/>
    <s v="CUST1151"/>
    <s v="Aditya Singh"/>
    <x v="115"/>
    <x v="1"/>
    <x v="30"/>
    <x v="14"/>
    <s v="Ahmedabad"/>
    <s v="Gujarat"/>
    <x v="0"/>
    <x v="0"/>
    <s v="Handbag"/>
    <x v="12"/>
    <n v="1"/>
    <n v="2580"/>
    <n v="0.1"/>
    <n v="1570"/>
    <s v="UPI"/>
    <s v="Delivered"/>
    <n v="3"/>
    <s v="Returning"/>
    <n v="2580"/>
    <n v="258"/>
    <n v="2322"/>
    <n v="752"/>
    <n v="0.32385874246339363"/>
    <n v="2026"/>
    <s v="May"/>
    <s v="Q2"/>
  </r>
  <r>
    <s v="ORD10387"/>
    <x v="386"/>
    <s v="CUST1312"/>
    <s v="Ishita Nair"/>
    <x v="194"/>
    <x v="0"/>
    <x v="41"/>
    <x v="1"/>
    <s v="Kolkata"/>
    <s v="West Bengal"/>
    <x v="1"/>
    <x v="0"/>
    <s v="Handbag"/>
    <x v="12"/>
    <n v="2"/>
    <n v="2740"/>
    <n v="0.25"/>
    <n v="1560"/>
    <s v="Credit Card"/>
    <s v="Delivered"/>
    <n v="5"/>
    <s v="New"/>
    <n v="5480"/>
    <n v="1370"/>
    <n v="4110"/>
    <n v="2550"/>
    <n v="0.62043795620437958"/>
    <n v="2026"/>
    <s v="May"/>
    <s v="Q2"/>
  </r>
  <r>
    <s v="ORD10388"/>
    <x v="387"/>
    <s v="CUST1074"/>
    <s v="Ananya Verma"/>
    <x v="41"/>
    <x v="1"/>
    <x v="6"/>
    <x v="2"/>
    <s v="Kochi"/>
    <s v="Kerala"/>
    <x v="2"/>
    <x v="1"/>
    <s v="Bookshelf"/>
    <x v="6"/>
    <n v="1"/>
    <n v="5360"/>
    <n v="0.25"/>
    <n v="3060"/>
    <s v="Credit Card"/>
    <s v="Delivered"/>
    <n v="2"/>
    <s v="Returning"/>
    <n v="5360"/>
    <n v="1340"/>
    <n v="4020"/>
    <n v="960"/>
    <n v="0.23880597014925373"/>
    <n v="2026"/>
    <s v="May"/>
    <s v="Q2"/>
  </r>
  <r>
    <s v="ORD10389"/>
    <x v="388"/>
    <s v="CUST1451"/>
    <s v="Rohan Patel"/>
    <x v="39"/>
    <x v="0"/>
    <x v="28"/>
    <x v="9"/>
    <s v="Hyderabad"/>
    <s v="Telangana"/>
    <x v="2"/>
    <x v="0"/>
    <s v="Jeans"/>
    <x v="19"/>
    <n v="1"/>
    <n v="2290"/>
    <n v="0.1"/>
    <n v="1210"/>
    <s v="Credit Card"/>
    <s v="Delivered"/>
    <n v="2"/>
    <s v="New"/>
    <n v="2290"/>
    <n v="229"/>
    <n v="2061"/>
    <n v="851"/>
    <n v="0.41290635613779719"/>
    <n v="2026"/>
    <s v="May"/>
    <s v="Q2"/>
  </r>
  <r>
    <s v="ORD10390"/>
    <x v="389"/>
    <s v="CUST1116"/>
    <s v="Ananya Kumar"/>
    <x v="126"/>
    <x v="1"/>
    <x v="23"/>
    <x v="12"/>
    <s v="Delhi"/>
    <s v="Delhi"/>
    <x v="3"/>
    <x v="2"/>
    <s v="Headphones"/>
    <x v="5"/>
    <n v="1"/>
    <n v="2530"/>
    <n v="0.2"/>
    <n v="1450"/>
    <s v="Debit Card"/>
    <s v="Delivered"/>
    <n v="3"/>
    <s v="Returning"/>
    <n v="2530"/>
    <n v="506"/>
    <n v="2024"/>
    <n v="574"/>
    <n v="0.283596837944664"/>
    <n v="2026"/>
    <s v="May"/>
    <s v="Q2"/>
  </r>
  <r>
    <s v="ORD10391"/>
    <x v="390"/>
    <s v="CUST1059"/>
    <s v="Kavya Mehta"/>
    <x v="166"/>
    <x v="1"/>
    <x v="22"/>
    <x v="3"/>
    <s v="Bengaluru"/>
    <s v="Karnataka"/>
    <x v="2"/>
    <x v="4"/>
    <s v="Shampoo"/>
    <x v="8"/>
    <n v="2"/>
    <n v="530"/>
    <n v="0.1"/>
    <n v="230"/>
    <s v="Credit Card"/>
    <s v="Delivered"/>
    <n v="3"/>
    <s v="Returning"/>
    <n v="1060"/>
    <n v="106"/>
    <n v="954"/>
    <n v="724"/>
    <n v="0.75890985324947591"/>
    <n v="2026"/>
    <s v="May"/>
    <s v="Q2"/>
  </r>
  <r>
    <s v="ORD10392"/>
    <x v="391"/>
    <s v="CUST1448"/>
    <s v="Arjun Naidu"/>
    <x v="152"/>
    <x v="1"/>
    <x v="40"/>
    <x v="7"/>
    <s v="Mumbai"/>
    <s v="Maharashtra"/>
    <x v="0"/>
    <x v="4"/>
    <s v="Perfume"/>
    <x v="29"/>
    <n v="3"/>
    <n v="1790"/>
    <n v="0"/>
    <n v="900"/>
    <s v="Credit Card"/>
    <s v="Returned"/>
    <n v="2"/>
    <s v="New"/>
    <n v="5370"/>
    <n v="0"/>
    <n v="5370"/>
    <n v="4470"/>
    <n v="0.83240223463687146"/>
    <n v="2026"/>
    <s v="May"/>
    <s v="Q2"/>
  </r>
  <r>
    <s v="ORD10393"/>
    <x v="392"/>
    <s v="CUST1437"/>
    <s v="Karan Nair"/>
    <x v="129"/>
    <x v="0"/>
    <x v="39"/>
    <x v="2"/>
    <s v="Kochi"/>
    <s v="Kerala"/>
    <x v="2"/>
    <x v="1"/>
    <s v="Office Chair"/>
    <x v="1"/>
    <n v="2"/>
    <n v="6870"/>
    <n v="0.05"/>
    <n v="4070"/>
    <s v="UPI"/>
    <s v="Delivered"/>
    <n v="5"/>
    <s v="New"/>
    <n v="13740"/>
    <n v="687"/>
    <n v="13053"/>
    <n v="8983"/>
    <n v="0.68819428483873435"/>
    <n v="2026"/>
    <s v="May"/>
    <s v="Q2"/>
  </r>
  <r>
    <s v="ORD10394"/>
    <x v="393"/>
    <s v="CUST1300"/>
    <s v="Rohan Iyer"/>
    <x v="33"/>
    <x v="1"/>
    <x v="30"/>
    <x v="13"/>
    <s v="Lucknow"/>
    <s v="Uttar Pradesh"/>
    <x v="3"/>
    <x v="3"/>
    <s v="Dumbbells"/>
    <x v="7"/>
    <n v="1"/>
    <n v="2480"/>
    <n v="0.05"/>
    <n v="1430"/>
    <s v="Credit Card"/>
    <s v="Delivered"/>
    <n v="3"/>
    <s v="Returning"/>
    <n v="2480"/>
    <n v="124"/>
    <n v="2356"/>
    <n v="926"/>
    <n v="0.3930390492359932"/>
    <n v="2026"/>
    <s v="May"/>
    <s v="Q2"/>
  </r>
  <r>
    <s v="ORD10395"/>
    <x v="394"/>
    <s v="CUST1179"/>
    <s v="Vivaan Sharma"/>
    <x v="40"/>
    <x v="1"/>
    <x v="23"/>
    <x v="5"/>
    <s v="Bhubaneswar"/>
    <s v="Odisha"/>
    <x v="1"/>
    <x v="2"/>
    <s v="Tablet"/>
    <x v="4"/>
    <n v="1"/>
    <n v="20410"/>
    <n v="0"/>
    <n v="15020"/>
    <s v="Credit Card"/>
    <s v="Cancelled"/>
    <n v="0"/>
    <s v="Returning"/>
    <n v="20410"/>
    <n v="0"/>
    <n v="20410"/>
    <n v="5390"/>
    <n v="0.2640862322390985"/>
    <n v="2026"/>
    <s v="May"/>
    <s v="Q2"/>
  </r>
  <r>
    <s v="ORD10396"/>
    <x v="395"/>
    <s v="CUST1484"/>
    <s v="Kavya Rao"/>
    <x v="6"/>
    <x v="1"/>
    <x v="13"/>
    <x v="5"/>
    <s v="Bhubaneswar"/>
    <s v="Odisha"/>
    <x v="1"/>
    <x v="1"/>
    <s v="Office Chair"/>
    <x v="1"/>
    <n v="5"/>
    <n v="6240"/>
    <n v="0.1"/>
    <n v="4370"/>
    <s v="Cash on Delivery"/>
    <s v="Delivered"/>
    <n v="7"/>
    <s v="New"/>
    <n v="31200"/>
    <n v="3120"/>
    <n v="28080"/>
    <n v="23710"/>
    <n v="0.84437321937321941"/>
    <n v="2026"/>
    <s v="May"/>
    <s v="Q2"/>
  </r>
  <r>
    <s v="ORD10397"/>
    <x v="396"/>
    <s v="CUST1312"/>
    <s v="Ananya Iyer"/>
    <x v="71"/>
    <x v="1"/>
    <x v="26"/>
    <x v="7"/>
    <s v="Mumbai"/>
    <s v="Maharashtra"/>
    <x v="0"/>
    <x v="5"/>
    <s v="Microwave"/>
    <x v="27"/>
    <n v="1"/>
    <n v="12150"/>
    <n v="0.05"/>
    <n v="8020"/>
    <s v="Credit Card"/>
    <s v="Pending"/>
    <n v="1"/>
    <s v="New"/>
    <n v="12150"/>
    <n v="607.5"/>
    <n v="11542.5"/>
    <n v="3522.5"/>
    <n v="0.30517652155079056"/>
    <n v="2026"/>
    <s v="May"/>
    <s v="Q2"/>
  </r>
  <r>
    <s v="ORD10398"/>
    <x v="397"/>
    <s v="CUST1227"/>
    <s v="Sneha Patel"/>
    <x v="191"/>
    <x v="1"/>
    <x v="26"/>
    <x v="1"/>
    <s v="Kolkata"/>
    <s v="West Bengal"/>
    <x v="1"/>
    <x v="2"/>
    <s v="Smartwatch"/>
    <x v="3"/>
    <n v="1"/>
    <n v="7410"/>
    <n v="0.1"/>
    <n v="4600"/>
    <s v="Credit Card"/>
    <s v="Delivered"/>
    <n v="3"/>
    <s v="Returning"/>
    <n v="7410"/>
    <n v="741"/>
    <n v="6669"/>
    <n v="2069"/>
    <n v="0.3102414155045734"/>
    <n v="2026"/>
    <s v="May"/>
    <s v="Q2"/>
  </r>
  <r>
    <s v="ORD10399"/>
    <x v="398"/>
    <s v="CUST1337"/>
    <s v="Rahul Joshi"/>
    <x v="108"/>
    <x v="0"/>
    <x v="2"/>
    <x v="7"/>
    <s v="Mumbai"/>
    <s v="Maharashtra"/>
    <x v="0"/>
    <x v="2"/>
    <s v="Laptop"/>
    <x v="15"/>
    <n v="4"/>
    <n v="57540"/>
    <n v="0"/>
    <n v="42140"/>
    <s v="Debit Card"/>
    <s v="Delivered"/>
    <n v="2"/>
    <s v="New"/>
    <n v="230160"/>
    <n v="0"/>
    <n v="230160"/>
    <n v="188020"/>
    <n v="0.81690997566909973"/>
    <n v="2026"/>
    <s v="May"/>
    <s v="Q2"/>
  </r>
  <r>
    <s v="ORD10400"/>
    <x v="399"/>
    <s v="CUST1373"/>
    <s v="Ananya Reddy"/>
    <x v="195"/>
    <x v="1"/>
    <x v="23"/>
    <x v="11"/>
    <s v="Chennai"/>
    <s v="Tamil Nadu"/>
    <x v="2"/>
    <x v="2"/>
    <s v="Smartwatch"/>
    <x v="3"/>
    <n v="5"/>
    <n v="7400"/>
    <n v="0.1"/>
    <n v="4550"/>
    <s v="UPI"/>
    <s v="Delivered"/>
    <n v="4"/>
    <s v="New"/>
    <n v="37000"/>
    <n v="3700"/>
    <n v="33300"/>
    <n v="28750"/>
    <n v="0.86336336336336339"/>
    <n v="2026"/>
    <s v="May"/>
    <s v="Q2"/>
  </r>
  <r>
    <s v="ORD10401"/>
    <x v="400"/>
    <s v="CUST1426"/>
    <s v="Priya Kumar"/>
    <x v="127"/>
    <x v="0"/>
    <x v="34"/>
    <x v="5"/>
    <s v="Bhubaneswar"/>
    <s v="Odisha"/>
    <x v="1"/>
    <x v="5"/>
    <s v="Electric Kettle"/>
    <x v="18"/>
    <n v="1"/>
    <n v="1910"/>
    <n v="0"/>
    <n v="930"/>
    <s v="UPI"/>
    <s v="Delivered"/>
    <n v="4"/>
    <s v="New"/>
    <n v="1910"/>
    <n v="0"/>
    <n v="1910"/>
    <n v="980"/>
    <n v="0.51308900523560208"/>
    <n v="2026"/>
    <s v="May"/>
    <s v="Q2"/>
  </r>
  <r>
    <s v="ORD10402"/>
    <x v="401"/>
    <s v="CUST1365"/>
    <s v="Vikram Gupta"/>
    <x v="177"/>
    <x v="1"/>
    <x v="16"/>
    <x v="12"/>
    <s v="Delhi"/>
    <s v="Delhi"/>
    <x v="3"/>
    <x v="2"/>
    <s v="Headphones"/>
    <x v="5"/>
    <n v="1"/>
    <n v="2370"/>
    <n v="0.1"/>
    <n v="1550"/>
    <s v="UPI"/>
    <s v="Delivered"/>
    <n v="4"/>
    <s v="New"/>
    <n v="2370"/>
    <n v="237"/>
    <n v="2133"/>
    <n v="583"/>
    <n v="0.27332395686826066"/>
    <n v="2026"/>
    <s v="May"/>
    <s v="Q2"/>
  </r>
  <r>
    <s v="ORD10403"/>
    <x v="402"/>
    <s v="CUST1428"/>
    <s v="Karan Kumar"/>
    <x v="111"/>
    <x v="0"/>
    <x v="41"/>
    <x v="0"/>
    <s v="Pune"/>
    <s v="Maharashtra"/>
    <x v="0"/>
    <x v="1"/>
    <s v="Sofa"/>
    <x v="16"/>
    <n v="2"/>
    <n v="27530"/>
    <n v="0.2"/>
    <n v="19980"/>
    <s v="Wallet"/>
    <s v="Cancelled"/>
    <n v="0"/>
    <s v="New"/>
    <n v="55060"/>
    <n v="11012"/>
    <n v="44048"/>
    <n v="24068"/>
    <n v="0.54640392299309848"/>
    <n v="2026"/>
    <s v="May"/>
    <s v="Q2"/>
  </r>
  <r>
    <s v="ORD10404"/>
    <x v="403"/>
    <s v="CUST1004"/>
    <s v="Diya Gupta"/>
    <x v="81"/>
    <x v="1"/>
    <x v="14"/>
    <x v="4"/>
    <s v="Chandigarh"/>
    <s v="Chandigarh"/>
    <x v="3"/>
    <x v="2"/>
    <s v="Smartwatch"/>
    <x v="3"/>
    <n v="1"/>
    <n v="6560"/>
    <n v="0.2"/>
    <n v="4340"/>
    <s v="Cash on Delivery"/>
    <s v="Delivered"/>
    <n v="7"/>
    <s v="Returning"/>
    <n v="6560"/>
    <n v="1312"/>
    <n v="5248"/>
    <n v="908"/>
    <n v="0.17301829268292682"/>
    <n v="2026"/>
    <s v="May"/>
    <s v="Q2"/>
  </r>
  <r>
    <s v="ORD10405"/>
    <x v="404"/>
    <s v="CUST1178"/>
    <s v="Sneha Das"/>
    <x v="196"/>
    <x v="0"/>
    <x v="23"/>
    <x v="8"/>
    <s v="Mysuru"/>
    <s v="Karnataka"/>
    <x v="2"/>
    <x v="5"/>
    <s v="Vacuum Cleaner"/>
    <x v="9"/>
    <n v="5"/>
    <n v="8150"/>
    <n v="0.15"/>
    <n v="5720"/>
    <s v="Debit Card"/>
    <s v="Delivered"/>
    <n v="4"/>
    <s v="Returning"/>
    <n v="40750"/>
    <n v="6112.5"/>
    <n v="34637.5"/>
    <n v="28917.5"/>
    <n v="0.83486106098881274"/>
    <n v="2026"/>
    <s v="May"/>
    <s v="Q2"/>
  </r>
  <r>
    <s v="ORD10406"/>
    <x v="405"/>
    <s v="CUST1486"/>
    <s v="Vikram Patel"/>
    <x v="60"/>
    <x v="1"/>
    <x v="41"/>
    <x v="4"/>
    <s v="Chandigarh"/>
    <s v="Chandigarh"/>
    <x v="3"/>
    <x v="4"/>
    <s v="Perfume"/>
    <x v="29"/>
    <n v="1"/>
    <n v="1750"/>
    <n v="0.25"/>
    <n v="920"/>
    <s v="UPI"/>
    <s v="Delivered"/>
    <n v="3"/>
    <s v="New"/>
    <n v="1750"/>
    <n v="437.5"/>
    <n v="1312.5"/>
    <n v="392.5"/>
    <n v="0.29904761904761906"/>
    <n v="2026"/>
    <s v="May"/>
    <s v="Q2"/>
  </r>
  <r>
    <s v="ORD10407"/>
    <x v="406"/>
    <s v="CUST1269"/>
    <s v="Ananya Singh"/>
    <x v="197"/>
    <x v="1"/>
    <x v="23"/>
    <x v="14"/>
    <s v="Ahmedabad"/>
    <s v="Gujarat"/>
    <x v="0"/>
    <x v="2"/>
    <s v="Headphones"/>
    <x v="5"/>
    <n v="1"/>
    <n v="2580"/>
    <n v="0.05"/>
    <n v="1480"/>
    <s v="Credit Card"/>
    <s v="Pending"/>
    <n v="7"/>
    <s v="Returning"/>
    <n v="2580"/>
    <n v="129"/>
    <n v="2451"/>
    <n v="971"/>
    <n v="0.39616483068135455"/>
    <n v="2026"/>
    <s v="May"/>
    <s v="Q2"/>
  </r>
  <r>
    <s v="ORD10408"/>
    <x v="407"/>
    <s v="CUST1324"/>
    <s v="Vivaan Kumar"/>
    <x v="43"/>
    <x v="1"/>
    <x v="19"/>
    <x v="6"/>
    <s v="Guwahati"/>
    <s v="Assam"/>
    <x v="1"/>
    <x v="2"/>
    <s v="Smartphone"/>
    <x v="13"/>
    <n v="3"/>
    <n v="19030"/>
    <n v="0.2"/>
    <n v="12320"/>
    <s v="Debit Card"/>
    <s v="Delivered"/>
    <n v="1"/>
    <s v="New"/>
    <n v="57090"/>
    <n v="11418"/>
    <n v="45672"/>
    <n v="33352"/>
    <n v="0.73025048169556839"/>
    <n v="2026"/>
    <s v="May"/>
    <s v="Q2"/>
  </r>
  <r>
    <s v="ORD10409"/>
    <x v="408"/>
    <s v="CUST1180"/>
    <s v="Vikram Das"/>
    <x v="198"/>
    <x v="1"/>
    <x v="9"/>
    <x v="7"/>
    <s v="Mumbai"/>
    <s v="Maharashtra"/>
    <x v="0"/>
    <x v="1"/>
    <s v="Bookshelf"/>
    <x v="6"/>
    <n v="1"/>
    <n v="4960"/>
    <n v="0.15"/>
    <n v="3260"/>
    <s v="Wallet"/>
    <s v="Delivered"/>
    <n v="4"/>
    <s v="Returning"/>
    <n v="4960"/>
    <n v="744"/>
    <n v="4216"/>
    <n v="956"/>
    <n v="0.22675521821631878"/>
    <n v="2026"/>
    <s v="May"/>
    <s v="Q2"/>
  </r>
  <r>
    <s v="ORD10410"/>
    <x v="409"/>
    <s v="CUST1013"/>
    <s v="Meera Joshi"/>
    <x v="88"/>
    <x v="1"/>
    <x v="31"/>
    <x v="7"/>
    <s v="Mumbai"/>
    <s v="Maharashtra"/>
    <x v="0"/>
    <x v="0"/>
    <s v="Handbag"/>
    <x v="12"/>
    <n v="1"/>
    <n v="2690"/>
    <n v="0.1"/>
    <n v="1640"/>
    <s v="UPI"/>
    <s v="Delivered"/>
    <n v="5"/>
    <s v="Returning"/>
    <n v="2690"/>
    <n v="269"/>
    <n v="2421"/>
    <n v="781"/>
    <n v="0.32259396943411811"/>
    <n v="2026"/>
    <s v="May"/>
    <s v="Q2"/>
  </r>
  <r>
    <s v="ORD10411"/>
    <x v="410"/>
    <s v="CUST1200"/>
    <s v="Rahul Gupta"/>
    <x v="140"/>
    <x v="1"/>
    <x v="22"/>
    <x v="7"/>
    <s v="Mumbai"/>
    <s v="Maharashtra"/>
    <x v="0"/>
    <x v="2"/>
    <s v="Smartwatch"/>
    <x v="3"/>
    <n v="1"/>
    <n v="6730"/>
    <n v="0.1"/>
    <n v="4330"/>
    <s v="Net Banking"/>
    <s v="Returned"/>
    <n v="4"/>
    <s v="Returning"/>
    <n v="6730"/>
    <n v="673"/>
    <n v="6057"/>
    <n v="1727"/>
    <n v="0.28512464916625391"/>
    <n v="2026"/>
    <s v="May"/>
    <s v="Q2"/>
  </r>
  <r>
    <s v="ORD10412"/>
    <x v="411"/>
    <s v="CUST1238"/>
    <s v="Rohan Shah"/>
    <x v="199"/>
    <x v="0"/>
    <x v="1"/>
    <x v="11"/>
    <s v="Chennai"/>
    <s v="Tamil Nadu"/>
    <x v="2"/>
    <x v="2"/>
    <s v="Smartwatch"/>
    <x v="3"/>
    <n v="1"/>
    <n v="7000"/>
    <n v="0.15"/>
    <n v="4390"/>
    <s v="Cash on Delivery"/>
    <s v="Delivered"/>
    <n v="5"/>
    <s v="Returning"/>
    <n v="7000"/>
    <n v="1050"/>
    <n v="5950"/>
    <n v="1560"/>
    <n v="0.26218487394957984"/>
    <n v="2026"/>
    <s v="May"/>
    <s v="Q2"/>
  </r>
  <r>
    <s v="ORD10413"/>
    <x v="412"/>
    <s v="CUST1373"/>
    <s v="Rohan Rao"/>
    <x v="23"/>
    <x v="1"/>
    <x v="35"/>
    <x v="6"/>
    <s v="Guwahati"/>
    <s v="Assam"/>
    <x v="1"/>
    <x v="2"/>
    <s v="Smartwatch"/>
    <x v="3"/>
    <n v="3"/>
    <n v="6620"/>
    <n v="0"/>
    <n v="4340"/>
    <s v="Net Banking"/>
    <s v="Delivered"/>
    <n v="3"/>
    <s v="New"/>
    <n v="19860"/>
    <n v="0"/>
    <n v="19860"/>
    <n v="15520"/>
    <n v="0.78147029204431018"/>
    <n v="2026"/>
    <s v="May"/>
    <s v="Q2"/>
  </r>
  <r>
    <s v="ORD10414"/>
    <x v="413"/>
    <s v="CUST1092"/>
    <s v="Nisha Das"/>
    <x v="171"/>
    <x v="0"/>
    <x v="5"/>
    <x v="1"/>
    <s v="Kolkata"/>
    <s v="West Bengal"/>
    <x v="1"/>
    <x v="2"/>
    <s v="Laptop"/>
    <x v="15"/>
    <n v="2"/>
    <n v="52530"/>
    <n v="0.1"/>
    <n v="43680"/>
    <s v="UPI"/>
    <s v="Delivered"/>
    <n v="5"/>
    <s v="Returning"/>
    <n v="105060"/>
    <n v="10506"/>
    <n v="94554"/>
    <n v="50874"/>
    <n v="0.53804175391839582"/>
    <n v="2026"/>
    <s v="May"/>
    <s v="Q2"/>
  </r>
  <r>
    <s v="ORD10415"/>
    <x v="414"/>
    <s v="CUST1399"/>
    <s v="Aarav Singh"/>
    <x v="36"/>
    <x v="1"/>
    <x v="21"/>
    <x v="10"/>
    <s v="Jaipur"/>
    <s v="Rajasthan"/>
    <x v="3"/>
    <x v="3"/>
    <s v="Dumbbells"/>
    <x v="7"/>
    <n v="1"/>
    <n v="2470"/>
    <n v="0.1"/>
    <n v="1540"/>
    <s v="Debit Card"/>
    <s v="Delivered"/>
    <n v="10"/>
    <s v="New"/>
    <n v="2470"/>
    <n v="247"/>
    <n v="2223"/>
    <n v="683"/>
    <n v="0.30724246513720199"/>
    <n v="2026"/>
    <s v="Jun"/>
    <s v="Q2"/>
  </r>
  <r>
    <s v="ORD10416"/>
    <x v="415"/>
    <s v="CUST1411"/>
    <s v="Aditya Naidu"/>
    <x v="83"/>
    <x v="1"/>
    <x v="26"/>
    <x v="5"/>
    <s v="Bhubaneswar"/>
    <s v="Odisha"/>
    <x v="1"/>
    <x v="2"/>
    <s v="Smartwatch"/>
    <x v="3"/>
    <n v="3"/>
    <n v="7160"/>
    <n v="0.15"/>
    <n v="4330"/>
    <s v="Debit Card"/>
    <s v="Pending"/>
    <n v="6"/>
    <s v="New"/>
    <n v="21480"/>
    <n v="3222"/>
    <n v="18258"/>
    <n v="13928"/>
    <n v="0.76284368496001753"/>
    <n v="2026"/>
    <s v="Jun"/>
    <s v="Q2"/>
  </r>
  <r>
    <s v="ORD10417"/>
    <x v="416"/>
    <s v="CUST1084"/>
    <s v="Rahul Bhat"/>
    <x v="172"/>
    <x v="1"/>
    <x v="24"/>
    <x v="5"/>
    <s v="Bhubaneswar"/>
    <s v="Odisha"/>
    <x v="1"/>
    <x v="4"/>
    <s v="Perfume"/>
    <x v="29"/>
    <n v="1"/>
    <n v="1780"/>
    <n v="0.1"/>
    <n v="940"/>
    <s v="Debit Card"/>
    <s v="Delivered"/>
    <n v="4"/>
    <s v="Returning"/>
    <n v="1780"/>
    <n v="178"/>
    <n v="1602"/>
    <n v="662"/>
    <n v="0.41323345817727841"/>
    <n v="2026"/>
    <s v="Jun"/>
    <s v="Q2"/>
  </r>
  <r>
    <s v="ORD10418"/>
    <x v="417"/>
    <s v="CUST1495"/>
    <s v="Arjun Naidu"/>
    <x v="152"/>
    <x v="1"/>
    <x v="35"/>
    <x v="2"/>
    <s v="Kochi"/>
    <s v="Kerala"/>
    <x v="2"/>
    <x v="1"/>
    <s v="Bedside Table"/>
    <x v="24"/>
    <n v="3"/>
    <n v="4640"/>
    <n v="0.05"/>
    <n v="2770"/>
    <s v="Credit Card"/>
    <s v="Delivered"/>
    <n v="2"/>
    <s v="New"/>
    <n v="13920"/>
    <n v="696"/>
    <n v="13224"/>
    <n v="10454"/>
    <n v="0.79053236539624927"/>
    <n v="2026"/>
    <s v="Jun"/>
    <s v="Q2"/>
  </r>
  <r>
    <s v="ORD10419"/>
    <x v="418"/>
    <s v="CUST1259"/>
    <s v="Nisha Gupta"/>
    <x v="138"/>
    <x v="0"/>
    <x v="39"/>
    <x v="0"/>
    <s v="Pune"/>
    <s v="Maharashtra"/>
    <x v="0"/>
    <x v="0"/>
    <s v="T-Shirt"/>
    <x v="2"/>
    <n v="2"/>
    <n v="950"/>
    <n v="0.05"/>
    <n v="450"/>
    <s v="Net Banking"/>
    <s v="Returned"/>
    <n v="2"/>
    <s v="Returning"/>
    <n v="1900"/>
    <n v="95"/>
    <n v="1805"/>
    <n v="1355"/>
    <n v="0.75069252077562332"/>
    <n v="2026"/>
    <s v="Jun"/>
    <s v="Q2"/>
  </r>
  <r>
    <s v="ORD10420"/>
    <x v="419"/>
    <s v="CUST1199"/>
    <s v="Rahul Singh"/>
    <x v="167"/>
    <x v="1"/>
    <x v="0"/>
    <x v="14"/>
    <s v="Ahmedabad"/>
    <s v="Gujarat"/>
    <x v="0"/>
    <x v="2"/>
    <s v="Laptop"/>
    <x v="15"/>
    <n v="2"/>
    <n v="56160"/>
    <n v="0.1"/>
    <n v="42350"/>
    <s v="Debit Card"/>
    <s v="Delivered"/>
    <n v="5"/>
    <s v="Returning"/>
    <n v="112320"/>
    <n v="11232"/>
    <n v="101088"/>
    <n v="58738"/>
    <n v="0.58105808800253245"/>
    <n v="2026"/>
    <s v="Jun"/>
    <s v="Q2"/>
  </r>
  <r>
    <s v="ORD10421"/>
    <x v="420"/>
    <s v="CUST1365"/>
    <s v="Aarav Joshi"/>
    <x v="62"/>
    <x v="1"/>
    <x v="4"/>
    <x v="10"/>
    <s v="Jaipur"/>
    <s v="Rajasthan"/>
    <x v="3"/>
    <x v="5"/>
    <s v="Vacuum Cleaner"/>
    <x v="9"/>
    <n v="1"/>
    <n v="8100"/>
    <n v="0.3"/>
    <n v="5620"/>
    <s v="UPI"/>
    <s v="Pending"/>
    <n v="8"/>
    <s v="New"/>
    <n v="8100"/>
    <n v="2430"/>
    <n v="5670"/>
    <n v="50"/>
    <n v="8.8183421516754845E-3"/>
    <n v="2026"/>
    <s v="Jun"/>
    <s v="Q2"/>
  </r>
  <r>
    <s v="ORD10422"/>
    <x v="421"/>
    <s v="CUST1435"/>
    <s v="Ananya Gupta"/>
    <x v="61"/>
    <x v="0"/>
    <x v="37"/>
    <x v="0"/>
    <s v="Pune"/>
    <s v="Maharashtra"/>
    <x v="0"/>
    <x v="4"/>
    <s v="Perfume"/>
    <x v="29"/>
    <n v="1"/>
    <n v="1760"/>
    <n v="0"/>
    <n v="870"/>
    <s v="Debit Card"/>
    <s v="Returned"/>
    <n v="8"/>
    <s v="New"/>
    <n v="1760"/>
    <n v="0"/>
    <n v="1760"/>
    <n v="890"/>
    <n v="0.50568181818181823"/>
    <n v="2026"/>
    <s v="Jun"/>
    <s v="Q2"/>
  </r>
  <r>
    <s v="ORD10423"/>
    <x v="422"/>
    <s v="CUST1436"/>
    <s v="Aarav Joshi"/>
    <x v="62"/>
    <x v="1"/>
    <x v="10"/>
    <x v="1"/>
    <s v="Kolkata"/>
    <s v="West Bengal"/>
    <x v="1"/>
    <x v="1"/>
    <s v="Bedside Table"/>
    <x v="24"/>
    <n v="3"/>
    <n v="4650"/>
    <n v="0.2"/>
    <n v="2770"/>
    <s v="Cash on Delivery"/>
    <s v="Returned"/>
    <n v="3"/>
    <s v="New"/>
    <n v="13950"/>
    <n v="2790"/>
    <n v="11160"/>
    <n v="8390"/>
    <n v="0.75179211469534046"/>
    <n v="2026"/>
    <s v="Jun"/>
    <s v="Q2"/>
  </r>
  <r>
    <s v="ORD10424"/>
    <x v="423"/>
    <s v="CUST1449"/>
    <s v="Vikram Bhat"/>
    <x v="18"/>
    <x v="0"/>
    <x v="32"/>
    <x v="10"/>
    <s v="Jaipur"/>
    <s v="Rajasthan"/>
    <x v="3"/>
    <x v="2"/>
    <s v="Headphones"/>
    <x v="5"/>
    <n v="1"/>
    <n v="2550"/>
    <n v="0"/>
    <n v="1500"/>
    <s v="UPI"/>
    <s v="Cancelled"/>
    <n v="0"/>
    <s v="New"/>
    <n v="2550"/>
    <n v="0"/>
    <n v="2550"/>
    <n v="1050"/>
    <n v="0.41176470588235292"/>
    <n v="2026"/>
    <s v="Jun"/>
    <s v="Q2"/>
  </r>
  <r>
    <s v="ORD10425"/>
    <x v="424"/>
    <s v="CUST1464"/>
    <s v="Vivaan Rao"/>
    <x v="200"/>
    <x v="0"/>
    <x v="6"/>
    <x v="6"/>
    <s v="Guwahati"/>
    <s v="Assam"/>
    <x v="1"/>
    <x v="4"/>
    <s v="Shampoo"/>
    <x v="8"/>
    <n v="3"/>
    <n v="500"/>
    <n v="0.25"/>
    <n v="240"/>
    <s v="UPI"/>
    <s v="Delivered"/>
    <n v="8"/>
    <s v="New"/>
    <n v="1500"/>
    <n v="375"/>
    <n v="1125"/>
    <n v="885"/>
    <n v="0.78666666666666663"/>
    <n v="2026"/>
    <s v="Jun"/>
    <s v="Q2"/>
  </r>
  <r>
    <s v="ORD10426"/>
    <x v="425"/>
    <s v="CUST1490"/>
    <s v="Aarav Mehta"/>
    <x v="201"/>
    <x v="0"/>
    <x v="23"/>
    <x v="9"/>
    <s v="Hyderabad"/>
    <s v="Telangana"/>
    <x v="2"/>
    <x v="2"/>
    <s v="Smartphone"/>
    <x v="13"/>
    <n v="4"/>
    <n v="16860"/>
    <n v="0.15"/>
    <n v="13010"/>
    <s v="UPI"/>
    <s v="Pending"/>
    <n v="3"/>
    <s v="New"/>
    <n v="67440"/>
    <n v="10116"/>
    <n v="57324"/>
    <n v="44314"/>
    <n v="0.77304444909636449"/>
    <n v="2026"/>
    <s v="Jun"/>
    <s v="Q2"/>
  </r>
  <r>
    <s v="ORD10427"/>
    <x v="426"/>
    <s v="CUST1333"/>
    <s v="Arjun Kumar"/>
    <x v="188"/>
    <x v="1"/>
    <x v="32"/>
    <x v="7"/>
    <s v="Mumbai"/>
    <s v="Maharashtra"/>
    <x v="0"/>
    <x v="1"/>
    <s v="Office Chair"/>
    <x v="1"/>
    <n v="2"/>
    <n v="6510"/>
    <n v="0"/>
    <n v="4170"/>
    <s v="Credit Card"/>
    <s v="Delivered"/>
    <n v="6"/>
    <s v="New"/>
    <n v="13020"/>
    <n v="0"/>
    <n v="13020"/>
    <n v="8850"/>
    <n v="0.67972350230414746"/>
    <n v="2026"/>
    <s v="Jun"/>
    <s v="Q2"/>
  </r>
  <r>
    <s v="ORD10428"/>
    <x v="427"/>
    <s v="CUST1164"/>
    <s v="Meera Reddy"/>
    <x v="202"/>
    <x v="1"/>
    <x v="24"/>
    <x v="8"/>
    <s v="Mysuru"/>
    <s v="Karnataka"/>
    <x v="2"/>
    <x v="2"/>
    <s v="Laptop"/>
    <x v="15"/>
    <n v="2"/>
    <n v="56560"/>
    <n v="0.15"/>
    <n v="42540"/>
    <s v="UPI"/>
    <s v="Delivered"/>
    <n v="3"/>
    <s v="Returning"/>
    <n v="113120"/>
    <n v="16968"/>
    <n v="96152"/>
    <n v="53612"/>
    <n v="0.55757550544970469"/>
    <n v="2026"/>
    <s v="Jun"/>
    <s v="Q2"/>
  </r>
  <r>
    <s v="ORD10429"/>
    <x v="428"/>
    <s v="CUST1188"/>
    <s v="Ishita Singh"/>
    <x v="72"/>
    <x v="0"/>
    <x v="3"/>
    <x v="3"/>
    <s v="Bengaluru"/>
    <s v="Karnataka"/>
    <x v="2"/>
    <x v="2"/>
    <s v="Smartwatch"/>
    <x v="3"/>
    <n v="1"/>
    <n v="6960"/>
    <n v="0.15"/>
    <n v="4380"/>
    <s v="UPI"/>
    <s v="Returned"/>
    <n v="3"/>
    <s v="Returning"/>
    <n v="6960"/>
    <n v="1044"/>
    <n v="5916"/>
    <n v="1536"/>
    <n v="0.25963488843813387"/>
    <n v="2026"/>
    <s v="Jun"/>
    <s v="Q2"/>
  </r>
  <r>
    <s v="ORD10430"/>
    <x v="429"/>
    <s v="CUST1211"/>
    <s v="Ananya Shah"/>
    <x v="169"/>
    <x v="0"/>
    <x v="30"/>
    <x v="4"/>
    <s v="Chandigarh"/>
    <s v="Chandigarh"/>
    <x v="3"/>
    <x v="0"/>
    <s v="Jacket"/>
    <x v="25"/>
    <n v="1"/>
    <n v="4380"/>
    <n v="0.25"/>
    <n v="2710"/>
    <s v="UPI"/>
    <s v="Returned"/>
    <n v="5"/>
    <s v="Returning"/>
    <n v="4380"/>
    <n v="1095"/>
    <n v="3285"/>
    <n v="575"/>
    <n v="0.17503805175038051"/>
    <n v="2026"/>
    <s v="Jun"/>
    <s v="Q2"/>
  </r>
  <r>
    <s v="ORD10431"/>
    <x v="430"/>
    <s v="CUST1146"/>
    <s v="Diya Bhat"/>
    <x v="164"/>
    <x v="0"/>
    <x v="3"/>
    <x v="10"/>
    <s v="Jaipur"/>
    <s v="Rajasthan"/>
    <x v="3"/>
    <x v="2"/>
    <s v="Laptop"/>
    <x v="15"/>
    <n v="1"/>
    <n v="53900"/>
    <n v="0.15"/>
    <n v="40510"/>
    <s v="Cash on Delivery"/>
    <s v="Delivered"/>
    <n v="4"/>
    <s v="Returning"/>
    <n v="53900"/>
    <n v="8085"/>
    <n v="45815"/>
    <n v="5305"/>
    <n v="0.11579177125395612"/>
    <n v="2026"/>
    <s v="Jun"/>
    <s v="Q2"/>
  </r>
  <r>
    <s v="ORD10432"/>
    <x v="431"/>
    <s v="CUST1062"/>
    <s v="Rohan Gupta"/>
    <x v="42"/>
    <x v="1"/>
    <x v="38"/>
    <x v="8"/>
    <s v="Mysuru"/>
    <s v="Karnataka"/>
    <x v="2"/>
    <x v="3"/>
    <s v="Tennis Racket"/>
    <x v="17"/>
    <n v="3"/>
    <n v="4860"/>
    <n v="0.05"/>
    <n v="2730"/>
    <s v="Debit Card"/>
    <s v="Pending"/>
    <n v="6"/>
    <s v="Returning"/>
    <n v="14580"/>
    <n v="729"/>
    <n v="13851"/>
    <n v="11121"/>
    <n v="0.80290231752220054"/>
    <n v="2026"/>
    <s v="Jun"/>
    <s v="Q2"/>
  </r>
  <r>
    <s v="ORD10433"/>
    <x v="432"/>
    <s v="CUST1236"/>
    <s v="Ananya Reddy"/>
    <x v="195"/>
    <x v="0"/>
    <x v="33"/>
    <x v="12"/>
    <s v="Delhi"/>
    <s v="Delhi"/>
    <x v="3"/>
    <x v="2"/>
    <s v="Headphones"/>
    <x v="5"/>
    <n v="1"/>
    <n v="2410"/>
    <n v="0.2"/>
    <n v="1480"/>
    <s v="UPI"/>
    <s v="Delivered"/>
    <n v="8"/>
    <s v="Returning"/>
    <n v="2410"/>
    <n v="482"/>
    <n v="1928"/>
    <n v="448"/>
    <n v="0.23236514522821577"/>
    <n v="2026"/>
    <s v="Jun"/>
    <s v="Q2"/>
  </r>
  <r>
    <s v="ORD10434"/>
    <x v="433"/>
    <s v="CUST1068"/>
    <s v="Priya Das"/>
    <x v="141"/>
    <x v="1"/>
    <x v="19"/>
    <x v="0"/>
    <s v="Pune"/>
    <s v="Maharashtra"/>
    <x v="0"/>
    <x v="2"/>
    <s v="Laptop"/>
    <x v="15"/>
    <n v="1"/>
    <n v="51100"/>
    <n v="0"/>
    <n v="42340"/>
    <s v="Net Banking"/>
    <s v="Delivered"/>
    <n v="6"/>
    <s v="Returning"/>
    <n v="51100"/>
    <n v="0"/>
    <n v="51100"/>
    <n v="8760"/>
    <n v="0.17142857142857143"/>
    <n v="2026"/>
    <s v="Jun"/>
    <s v="Q2"/>
  </r>
  <r>
    <s v="ORD10435"/>
    <x v="434"/>
    <s v="CUST1106"/>
    <s v="Priya Das"/>
    <x v="141"/>
    <x v="0"/>
    <x v="28"/>
    <x v="6"/>
    <s v="Guwahati"/>
    <s v="Assam"/>
    <x v="1"/>
    <x v="1"/>
    <s v="Bedside Table"/>
    <x v="24"/>
    <n v="2"/>
    <n v="4230"/>
    <n v="0.1"/>
    <n v="2840"/>
    <s v="UPI"/>
    <s v="Delivered"/>
    <n v="6"/>
    <s v="Returning"/>
    <n v="8460"/>
    <n v="846"/>
    <n v="7614"/>
    <n v="4774"/>
    <n v="0.62700288941423699"/>
    <n v="2026"/>
    <s v="Jun"/>
    <s v="Q2"/>
  </r>
  <r>
    <s v="ORD10436"/>
    <x v="435"/>
    <s v="CUST1299"/>
    <s v="Meera Verma"/>
    <x v="77"/>
    <x v="0"/>
    <x v="8"/>
    <x v="3"/>
    <s v="Bengaluru"/>
    <s v="Karnataka"/>
    <x v="2"/>
    <x v="4"/>
    <s v="Shampoo"/>
    <x v="8"/>
    <n v="2"/>
    <n v="490"/>
    <n v="0"/>
    <n v="220"/>
    <s v="UPI"/>
    <s v="Returned"/>
    <n v="2"/>
    <s v="Returning"/>
    <n v="980"/>
    <n v="0"/>
    <n v="980"/>
    <n v="760"/>
    <n v="0.77551020408163263"/>
    <n v="2026"/>
    <s v="Jun"/>
    <s v="Q2"/>
  </r>
  <r>
    <s v="ORD10437"/>
    <x v="436"/>
    <s v="CUST1491"/>
    <s v="Kavya Reddy"/>
    <x v="203"/>
    <x v="1"/>
    <x v="37"/>
    <x v="8"/>
    <s v="Mysuru"/>
    <s v="Karnataka"/>
    <x v="2"/>
    <x v="2"/>
    <s v="Smartphone"/>
    <x v="13"/>
    <n v="1"/>
    <n v="18630"/>
    <n v="0.15"/>
    <n v="12300"/>
    <s v="UPI"/>
    <s v="Delivered"/>
    <n v="7"/>
    <s v="New"/>
    <n v="18630"/>
    <n v="2794.5"/>
    <n v="15835.5"/>
    <n v="3535.5"/>
    <n v="0.22326418490101355"/>
    <n v="2026"/>
    <s v="Jun"/>
    <s v="Q2"/>
  </r>
  <r>
    <s v="ORD10438"/>
    <x v="437"/>
    <s v="CUST1027"/>
    <s v="Rohan Singh"/>
    <x v="47"/>
    <x v="1"/>
    <x v="38"/>
    <x v="1"/>
    <s v="Kolkata"/>
    <s v="West Bengal"/>
    <x v="1"/>
    <x v="1"/>
    <s v="Office Chair"/>
    <x v="1"/>
    <n v="1"/>
    <n v="6890"/>
    <n v="0.05"/>
    <n v="4400"/>
    <s v="Credit Card"/>
    <s v="Delivered"/>
    <n v="3"/>
    <s v="Returning"/>
    <n v="6890"/>
    <n v="344.5"/>
    <n v="6545.5"/>
    <n v="2145.5"/>
    <n v="0.32778244595523642"/>
    <n v="2026"/>
    <s v="Jun"/>
    <s v="Q2"/>
  </r>
  <r>
    <s v="ORD10439"/>
    <x v="438"/>
    <s v="CUST1220"/>
    <s v="Aarav Gupta"/>
    <x v="204"/>
    <x v="0"/>
    <x v="18"/>
    <x v="7"/>
    <s v="Mumbai"/>
    <s v="Maharashtra"/>
    <x v="0"/>
    <x v="4"/>
    <s v="Makeup Kit"/>
    <x v="28"/>
    <n v="2"/>
    <n v="2180"/>
    <n v="0.1"/>
    <n v="1160"/>
    <s v="Debit Card"/>
    <s v="Delivered"/>
    <n v="10"/>
    <s v="Returning"/>
    <n v="4360"/>
    <n v="436"/>
    <n v="3924"/>
    <n v="2764"/>
    <n v="0.70438328236493375"/>
    <n v="2026"/>
    <s v="Jun"/>
    <s v="Q2"/>
  </r>
  <r>
    <s v="ORD10440"/>
    <x v="439"/>
    <s v="CUST1386"/>
    <s v="Priya Reddy"/>
    <x v="64"/>
    <x v="0"/>
    <x v="26"/>
    <x v="12"/>
    <s v="Delhi"/>
    <s v="Delhi"/>
    <x v="3"/>
    <x v="4"/>
    <s v="Shampoo"/>
    <x v="8"/>
    <n v="2"/>
    <n v="510"/>
    <n v="0"/>
    <n v="220"/>
    <s v="UPI"/>
    <s v="Returned"/>
    <n v="3"/>
    <s v="New"/>
    <n v="1020"/>
    <n v="0"/>
    <n v="1020"/>
    <n v="800"/>
    <n v="0.78431372549019607"/>
    <n v="2026"/>
    <s v="Jun"/>
    <s v="Q2"/>
  </r>
  <r>
    <s v="ORD10441"/>
    <x v="440"/>
    <s v="CUST1423"/>
    <s v="Vivaan Reddy"/>
    <x v="131"/>
    <x v="0"/>
    <x v="4"/>
    <x v="0"/>
    <s v="Pune"/>
    <s v="Maharashtra"/>
    <x v="0"/>
    <x v="2"/>
    <s v="Smartphone"/>
    <x v="13"/>
    <n v="2"/>
    <n v="17850"/>
    <n v="0.15"/>
    <n v="12150"/>
    <s v="UPI"/>
    <s v="Delivered"/>
    <n v="7"/>
    <s v="New"/>
    <n v="35700"/>
    <n v="5355"/>
    <n v="30345"/>
    <n v="18195"/>
    <n v="0.59960454770143357"/>
    <n v="2026"/>
    <s v="Jun"/>
    <s v="Q2"/>
  </r>
  <r>
    <s v="ORD10442"/>
    <x v="441"/>
    <s v="CUST1186"/>
    <s v="Priya Naidu"/>
    <x v="25"/>
    <x v="1"/>
    <x v="38"/>
    <x v="14"/>
    <s v="Ahmedabad"/>
    <s v="Gujarat"/>
    <x v="0"/>
    <x v="5"/>
    <s v="Mixer Grinder"/>
    <x v="22"/>
    <n v="2"/>
    <n v="4150"/>
    <n v="0.05"/>
    <n v="2820"/>
    <s v="Wallet"/>
    <s v="Delivered"/>
    <n v="3"/>
    <s v="Returning"/>
    <n v="8300"/>
    <n v="415"/>
    <n v="7885"/>
    <n v="5065"/>
    <n v="0.64235890932149653"/>
    <n v="2026"/>
    <s v="Jun"/>
    <s v="Q2"/>
  </r>
  <r>
    <s v="ORD10443"/>
    <x v="442"/>
    <s v="CUST1091"/>
    <s v="Ananya Joshi"/>
    <x v="205"/>
    <x v="1"/>
    <x v="8"/>
    <x v="1"/>
    <s v="Kolkata"/>
    <s v="West Bengal"/>
    <x v="1"/>
    <x v="0"/>
    <s v="Handbag"/>
    <x v="12"/>
    <n v="1"/>
    <n v="3020"/>
    <n v="0.1"/>
    <n v="1640"/>
    <s v="Debit Card"/>
    <s v="Delivered"/>
    <n v="2"/>
    <s v="Returning"/>
    <n v="3020"/>
    <n v="302"/>
    <n v="2718"/>
    <n v="1078"/>
    <n v="0.39661515820456217"/>
    <n v="2026"/>
    <s v="Jun"/>
    <s v="Q2"/>
  </r>
  <r>
    <s v="ORD10444"/>
    <x v="443"/>
    <s v="CUST1042"/>
    <s v="Vivaan Nair"/>
    <x v="65"/>
    <x v="1"/>
    <x v="29"/>
    <x v="9"/>
    <s v="Hyderabad"/>
    <s v="Telangana"/>
    <x v="2"/>
    <x v="1"/>
    <s v="Study Table"/>
    <x v="11"/>
    <n v="2"/>
    <n v="8940"/>
    <n v="0"/>
    <n v="5410"/>
    <s v="Cash on Delivery"/>
    <s v="Delivered"/>
    <n v="1"/>
    <s v="Returning"/>
    <n v="17880"/>
    <n v="0"/>
    <n v="17880"/>
    <n v="12470"/>
    <n v="0.69742729306487694"/>
    <n v="2026"/>
    <s v="Jun"/>
    <s v="Q2"/>
  </r>
  <r>
    <s v="ORD10445"/>
    <x v="444"/>
    <s v="CUST1346"/>
    <s v="Priya Patel"/>
    <x v="5"/>
    <x v="0"/>
    <x v="0"/>
    <x v="10"/>
    <s v="Jaipur"/>
    <s v="Rajasthan"/>
    <x v="3"/>
    <x v="2"/>
    <s v="Headphones"/>
    <x v="5"/>
    <n v="4"/>
    <n v="2460"/>
    <n v="0.15"/>
    <n v="1500"/>
    <s v="Net Banking"/>
    <s v="Cancelled"/>
    <n v="0"/>
    <s v="New"/>
    <n v="9840"/>
    <n v="1476"/>
    <n v="8364"/>
    <n v="6864"/>
    <n v="0.82065997130559543"/>
    <n v="2026"/>
    <s v="Jul"/>
    <s v="Q3"/>
  </r>
  <r>
    <s v="ORD10446"/>
    <x v="445"/>
    <s v="CUST1231"/>
    <s v="Priya Naidu"/>
    <x v="25"/>
    <x v="1"/>
    <x v="1"/>
    <x v="0"/>
    <s v="Pune"/>
    <s v="Maharashtra"/>
    <x v="0"/>
    <x v="5"/>
    <s v="Mixer Grinder"/>
    <x v="22"/>
    <n v="4"/>
    <n v="3990"/>
    <n v="0.1"/>
    <n v="2670"/>
    <s v="Wallet"/>
    <s v="Delivered"/>
    <n v="3"/>
    <s v="Returning"/>
    <n v="15960"/>
    <n v="1596"/>
    <n v="14364"/>
    <n v="11694"/>
    <n v="0.81411862990810357"/>
    <n v="2026"/>
    <s v="Jul"/>
    <s v="Q3"/>
  </r>
  <r>
    <s v="ORD10447"/>
    <x v="446"/>
    <s v="CUST1220"/>
    <s v="Ananya Bhat"/>
    <x v="206"/>
    <x v="1"/>
    <x v="22"/>
    <x v="14"/>
    <s v="Ahmedabad"/>
    <s v="Gujarat"/>
    <x v="0"/>
    <x v="0"/>
    <s v="Sneakers"/>
    <x v="0"/>
    <n v="1"/>
    <n v="3560"/>
    <n v="0.05"/>
    <n v="2200"/>
    <s v="Net Banking"/>
    <s v="Delivered"/>
    <n v="5"/>
    <s v="Returning"/>
    <n v="3560"/>
    <n v="178"/>
    <n v="3382"/>
    <n v="1182"/>
    <n v="0.34949733885274986"/>
    <n v="2026"/>
    <s v="Jul"/>
    <s v="Q3"/>
  </r>
  <r>
    <s v="ORD10448"/>
    <x v="447"/>
    <s v="CUST1386"/>
    <s v="Meera Gupta"/>
    <x v="89"/>
    <x v="1"/>
    <x v="12"/>
    <x v="10"/>
    <s v="Jaipur"/>
    <s v="Rajasthan"/>
    <x v="3"/>
    <x v="5"/>
    <s v="Mixer Grinder"/>
    <x v="22"/>
    <n v="1"/>
    <n v="4450"/>
    <n v="0.15"/>
    <n v="2610"/>
    <s v="Wallet"/>
    <s v="Delivered"/>
    <n v="1"/>
    <s v="New"/>
    <n v="4450"/>
    <n v="667.5"/>
    <n v="3782.5"/>
    <n v="1172.5"/>
    <n v="0.30998017184401849"/>
    <n v="2026"/>
    <s v="Jul"/>
    <s v="Q3"/>
  </r>
  <r>
    <s v="ORD10449"/>
    <x v="448"/>
    <s v="CUST1185"/>
    <s v="Kavya Iyer"/>
    <x v="128"/>
    <x v="0"/>
    <x v="42"/>
    <x v="6"/>
    <s v="Guwahati"/>
    <s v="Assam"/>
    <x v="1"/>
    <x v="2"/>
    <s v="Smartphone"/>
    <x v="13"/>
    <n v="1"/>
    <n v="18140"/>
    <n v="0.1"/>
    <n v="11990"/>
    <s v="Credit Card"/>
    <s v="Returned"/>
    <n v="6"/>
    <s v="Returning"/>
    <n v="18140"/>
    <n v="1814"/>
    <n v="16326"/>
    <n v="4336"/>
    <n v="0.26558863163052798"/>
    <n v="2026"/>
    <s v="Jul"/>
    <s v="Q3"/>
  </r>
  <r>
    <s v="ORD10450"/>
    <x v="449"/>
    <s v="CUST1480"/>
    <s v="Aarav Patel"/>
    <x v="170"/>
    <x v="1"/>
    <x v="33"/>
    <x v="14"/>
    <s v="Ahmedabad"/>
    <s v="Gujarat"/>
    <x v="0"/>
    <x v="4"/>
    <s v="Perfume"/>
    <x v="29"/>
    <n v="2"/>
    <n v="1760"/>
    <n v="0.15"/>
    <n v="880"/>
    <s v="Debit Card"/>
    <s v="Delivered"/>
    <n v="5"/>
    <s v="New"/>
    <n v="3520"/>
    <n v="528"/>
    <n v="2992"/>
    <n v="2112"/>
    <n v="0.70588235294117652"/>
    <n v="2026"/>
    <s v="Jul"/>
    <s v="Q3"/>
  </r>
  <r>
    <s v="ORD10451"/>
    <x v="450"/>
    <s v="CUST1466"/>
    <s v="Aarav Das"/>
    <x v="207"/>
    <x v="0"/>
    <x v="9"/>
    <x v="2"/>
    <s v="Kochi"/>
    <s v="Kerala"/>
    <x v="2"/>
    <x v="2"/>
    <s v="Headphones"/>
    <x v="5"/>
    <n v="1"/>
    <n v="2580"/>
    <n v="0.15"/>
    <n v="1440"/>
    <s v="Credit Card"/>
    <s v="Delivered"/>
    <n v="7"/>
    <s v="New"/>
    <n v="2580"/>
    <n v="387"/>
    <n v="2193"/>
    <n v="753"/>
    <n v="0.34336525307797539"/>
    <n v="2026"/>
    <s v="Jul"/>
    <s v="Q3"/>
  </r>
  <r>
    <s v="ORD10452"/>
    <x v="451"/>
    <s v="CUST1491"/>
    <s v="Rahul Reddy"/>
    <x v="208"/>
    <x v="0"/>
    <x v="42"/>
    <x v="5"/>
    <s v="Bhubaneswar"/>
    <s v="Odisha"/>
    <x v="1"/>
    <x v="5"/>
    <s v="Microwave"/>
    <x v="27"/>
    <n v="3"/>
    <n v="11690"/>
    <n v="0"/>
    <n v="8240"/>
    <s v="Debit Card"/>
    <s v="Cancelled"/>
    <n v="0"/>
    <s v="New"/>
    <n v="35070"/>
    <n v="0"/>
    <n v="35070"/>
    <n v="26830"/>
    <n v="0.76504134587966921"/>
    <n v="2026"/>
    <s v="Jul"/>
    <s v="Q3"/>
  </r>
  <r>
    <s v="ORD10453"/>
    <x v="452"/>
    <s v="CUST1219"/>
    <s v="Diya Bhat"/>
    <x v="164"/>
    <x v="0"/>
    <x v="41"/>
    <x v="11"/>
    <s v="Chennai"/>
    <s v="Tamil Nadu"/>
    <x v="2"/>
    <x v="0"/>
    <s v="T-Shirt"/>
    <x v="2"/>
    <n v="1"/>
    <n v="960"/>
    <n v="0.05"/>
    <n v="440"/>
    <s v="Credit Card"/>
    <s v="Delivered"/>
    <n v="1"/>
    <s v="Returning"/>
    <n v="960"/>
    <n v="48"/>
    <n v="912"/>
    <n v="472"/>
    <n v="0.51754385964912286"/>
    <n v="2026"/>
    <s v="Jul"/>
    <s v="Q3"/>
  </r>
  <r>
    <s v="ORD10454"/>
    <x v="453"/>
    <s v="CUST1227"/>
    <s v="Rahul Reddy"/>
    <x v="208"/>
    <x v="0"/>
    <x v="8"/>
    <x v="9"/>
    <s v="Hyderabad"/>
    <s v="Telangana"/>
    <x v="2"/>
    <x v="0"/>
    <s v="T-Shirt"/>
    <x v="2"/>
    <n v="1"/>
    <n v="870"/>
    <n v="0.05"/>
    <n v="450"/>
    <s v="UPI"/>
    <s v="Delivered"/>
    <n v="1"/>
    <s v="Returning"/>
    <n v="870"/>
    <n v="43.5"/>
    <n v="826.5"/>
    <n v="376.5"/>
    <n v="0.45553539019963701"/>
    <n v="2026"/>
    <s v="Jul"/>
    <s v="Q3"/>
  </r>
  <r>
    <s v="ORD10455"/>
    <x v="454"/>
    <s v="CUST1317"/>
    <s v="Vikram Joshi"/>
    <x v="73"/>
    <x v="1"/>
    <x v="23"/>
    <x v="3"/>
    <s v="Bengaluru"/>
    <s v="Karnataka"/>
    <x v="2"/>
    <x v="4"/>
    <s v="Hair Dryer"/>
    <x v="14"/>
    <n v="1"/>
    <n v="1870"/>
    <n v="0"/>
    <n v="1040"/>
    <s v="UPI"/>
    <s v="Returned"/>
    <n v="3"/>
    <s v="New"/>
    <n v="1870"/>
    <n v="0"/>
    <n v="1870"/>
    <n v="830"/>
    <n v="0.44385026737967914"/>
    <n v="2026"/>
    <s v="Jul"/>
    <s v="Q3"/>
  </r>
  <r>
    <s v="ORD10456"/>
    <x v="455"/>
    <s v="CUST1031"/>
    <s v="Ananya Mehta"/>
    <x v="125"/>
    <x v="0"/>
    <x v="38"/>
    <x v="3"/>
    <s v="Bengaluru"/>
    <s v="Karnataka"/>
    <x v="2"/>
    <x v="0"/>
    <s v="Jacket"/>
    <x v="25"/>
    <n v="1"/>
    <n v="4000"/>
    <n v="0.25"/>
    <n v="2720"/>
    <s v="Credit Card"/>
    <s v="Cancelled"/>
    <n v="0"/>
    <s v="Returning"/>
    <n v="4000"/>
    <n v="1000"/>
    <n v="3000"/>
    <n v="280"/>
    <n v="9.3333333333333338E-2"/>
    <n v="2026"/>
    <s v="Jul"/>
    <s v="Q3"/>
  </r>
  <r>
    <s v="ORD10457"/>
    <x v="456"/>
    <s v="CUST1282"/>
    <s v="Meera Naidu"/>
    <x v="38"/>
    <x v="1"/>
    <x v="37"/>
    <x v="11"/>
    <s v="Chennai"/>
    <s v="Tamil Nadu"/>
    <x v="2"/>
    <x v="4"/>
    <s v="Shampoo"/>
    <x v="8"/>
    <n v="1"/>
    <n v="470"/>
    <n v="0.1"/>
    <n v="240"/>
    <s v="Net Banking"/>
    <s v="Delivered"/>
    <n v="5"/>
    <s v="Returning"/>
    <n v="470"/>
    <n v="47"/>
    <n v="423"/>
    <n v="183"/>
    <n v="0.43262411347517732"/>
    <n v="2026"/>
    <s v="Jul"/>
    <s v="Q3"/>
  </r>
  <r>
    <s v="ORD10458"/>
    <x v="457"/>
    <s v="CUST1396"/>
    <s v="Ishita Iyer"/>
    <x v="69"/>
    <x v="0"/>
    <x v="27"/>
    <x v="6"/>
    <s v="Guwahati"/>
    <s v="Assam"/>
    <x v="1"/>
    <x v="5"/>
    <s v="Electric Kettle"/>
    <x v="18"/>
    <n v="1"/>
    <n v="1660"/>
    <n v="0"/>
    <n v="940"/>
    <s v="Net Banking"/>
    <s v="Delivered"/>
    <n v="5"/>
    <s v="New"/>
    <n v="1660"/>
    <n v="0"/>
    <n v="1660"/>
    <n v="720"/>
    <n v="0.43373493975903615"/>
    <n v="2026"/>
    <s v="Jul"/>
    <s v="Q3"/>
  </r>
  <r>
    <s v="ORD10459"/>
    <x v="458"/>
    <s v="CUST1194"/>
    <s v="Karan Nair"/>
    <x v="129"/>
    <x v="0"/>
    <x v="27"/>
    <x v="8"/>
    <s v="Mysuru"/>
    <s v="Karnataka"/>
    <x v="2"/>
    <x v="2"/>
    <s v="Laptop"/>
    <x v="15"/>
    <n v="1"/>
    <n v="54150"/>
    <n v="0.3"/>
    <n v="40630"/>
    <s v="Debit Card"/>
    <s v="Delivered"/>
    <n v="5"/>
    <s v="Returning"/>
    <n v="54150"/>
    <n v="16245"/>
    <n v="37905"/>
    <n v="-2725"/>
    <n v="-7.1890251945653613E-2"/>
    <n v="2026"/>
    <s v="Jul"/>
    <s v="Q3"/>
  </r>
  <r>
    <s v="ORD10460"/>
    <x v="459"/>
    <s v="CUST1075"/>
    <s v="Rohan Singh"/>
    <x v="47"/>
    <x v="0"/>
    <x v="28"/>
    <x v="6"/>
    <s v="Guwahati"/>
    <s v="Assam"/>
    <x v="1"/>
    <x v="2"/>
    <s v="Tablet"/>
    <x v="4"/>
    <n v="1"/>
    <n v="21300"/>
    <n v="0.05"/>
    <n v="15300"/>
    <s v="UPI"/>
    <s v="Delivered"/>
    <n v="3"/>
    <s v="Returning"/>
    <n v="21300"/>
    <n v="1065"/>
    <n v="20235"/>
    <n v="4935"/>
    <n v="0.24388435878428466"/>
    <n v="2026"/>
    <s v="Jul"/>
    <s v="Q3"/>
  </r>
  <r>
    <s v="ORD10461"/>
    <x v="460"/>
    <s v="CUST1419"/>
    <s v="Aarav Bhat"/>
    <x v="56"/>
    <x v="1"/>
    <x v="13"/>
    <x v="14"/>
    <s v="Ahmedabad"/>
    <s v="Gujarat"/>
    <x v="0"/>
    <x v="0"/>
    <s v="Jeans"/>
    <x v="19"/>
    <n v="3"/>
    <n v="2200"/>
    <n v="0.1"/>
    <n v="1210"/>
    <s v="UPI"/>
    <s v="Delivered"/>
    <n v="3"/>
    <s v="New"/>
    <n v="6600"/>
    <n v="660"/>
    <n v="5940"/>
    <n v="4730"/>
    <n v="0.79629629629629628"/>
    <n v="2026"/>
    <s v="Jul"/>
    <s v="Q3"/>
  </r>
  <r>
    <s v="ORD10462"/>
    <x v="461"/>
    <s v="CUST1413"/>
    <s v="Ishita Gupta"/>
    <x v="135"/>
    <x v="1"/>
    <x v="14"/>
    <x v="5"/>
    <s v="Bhubaneswar"/>
    <s v="Odisha"/>
    <x v="1"/>
    <x v="2"/>
    <s v="Smartphone"/>
    <x v="13"/>
    <n v="1"/>
    <n v="17600"/>
    <n v="0"/>
    <n v="12200"/>
    <s v="UPI"/>
    <s v="Delivered"/>
    <n v="2"/>
    <s v="New"/>
    <n v="17600"/>
    <n v="0"/>
    <n v="17600"/>
    <n v="5400"/>
    <n v="0.30681818181818182"/>
    <n v="2026"/>
    <s v="Jul"/>
    <s v="Q3"/>
  </r>
  <r>
    <s v="ORD10463"/>
    <x v="462"/>
    <s v="CUST1463"/>
    <s v="Ishita Patel"/>
    <x v="209"/>
    <x v="1"/>
    <x v="16"/>
    <x v="8"/>
    <s v="Mysuru"/>
    <s v="Karnataka"/>
    <x v="2"/>
    <x v="5"/>
    <s v="Mixer Grinder"/>
    <x v="22"/>
    <n v="4"/>
    <n v="4270"/>
    <n v="0"/>
    <n v="2810"/>
    <s v="Credit Card"/>
    <s v="Delivered"/>
    <n v="5"/>
    <s v="New"/>
    <n v="17080"/>
    <n v="0"/>
    <n v="17080"/>
    <n v="14270"/>
    <n v="0.83548009367681497"/>
    <n v="2026"/>
    <s v="Jul"/>
    <s v="Q3"/>
  </r>
  <r>
    <s v="ORD10464"/>
    <x v="463"/>
    <s v="CUST1284"/>
    <s v="Rohan Patel"/>
    <x v="39"/>
    <x v="1"/>
    <x v="14"/>
    <x v="14"/>
    <s v="Ahmedabad"/>
    <s v="Gujarat"/>
    <x v="0"/>
    <x v="4"/>
    <s v="Hair Dryer"/>
    <x v="14"/>
    <n v="2"/>
    <n v="1730"/>
    <n v="0.25"/>
    <n v="960"/>
    <s v="UPI"/>
    <s v="Delivered"/>
    <n v="4"/>
    <s v="Returning"/>
    <n v="3460"/>
    <n v="865"/>
    <n v="2595"/>
    <n v="1635"/>
    <n v="0.63005780346820806"/>
    <n v="2026"/>
    <s v="Jul"/>
    <s v="Q3"/>
  </r>
  <r>
    <s v="ORD10465"/>
    <x v="464"/>
    <s v="CUST1441"/>
    <s v="Priya Naidu"/>
    <x v="25"/>
    <x v="1"/>
    <x v="31"/>
    <x v="4"/>
    <s v="Chandigarh"/>
    <s v="Chandigarh"/>
    <x v="3"/>
    <x v="5"/>
    <s v="Vacuum Cleaner"/>
    <x v="9"/>
    <n v="1"/>
    <n v="8060"/>
    <n v="0.25"/>
    <n v="5360"/>
    <s v="Credit Card"/>
    <s v="Delivered"/>
    <n v="3"/>
    <s v="New"/>
    <n v="8060"/>
    <n v="2015"/>
    <n v="6045"/>
    <n v="685"/>
    <n v="0.11331679073614558"/>
    <n v="2026"/>
    <s v="Jul"/>
    <s v="Q3"/>
  </r>
  <r>
    <s v="ORD10466"/>
    <x v="465"/>
    <s v="CUST1323"/>
    <s v="Ananya Bhat"/>
    <x v="206"/>
    <x v="1"/>
    <x v="42"/>
    <x v="9"/>
    <s v="Hyderabad"/>
    <s v="Telangana"/>
    <x v="2"/>
    <x v="4"/>
    <s v="Shampoo"/>
    <x v="8"/>
    <n v="1"/>
    <n v="490"/>
    <n v="0.15"/>
    <n v="220"/>
    <s v="UPI"/>
    <s v="Delivered"/>
    <n v="3"/>
    <s v="New"/>
    <n v="490"/>
    <n v="73.5"/>
    <n v="416.5"/>
    <n v="196.5"/>
    <n v="0.4717887154861945"/>
    <n v="2026"/>
    <s v="Jul"/>
    <s v="Q3"/>
  </r>
  <r>
    <s v="ORD10467"/>
    <x v="466"/>
    <s v="CUST1210"/>
    <s v="Meera Shah"/>
    <x v="100"/>
    <x v="1"/>
    <x v="11"/>
    <x v="11"/>
    <s v="Chennai"/>
    <s v="Tamil Nadu"/>
    <x v="2"/>
    <x v="2"/>
    <s v="Smartphone"/>
    <x v="13"/>
    <n v="2"/>
    <n v="17060"/>
    <n v="0.05"/>
    <n v="11900"/>
    <s v="Credit Card"/>
    <s v="Delivered"/>
    <n v="4"/>
    <s v="Returning"/>
    <n v="34120"/>
    <n v="1706"/>
    <n v="32414"/>
    <n v="20514"/>
    <n v="0.63287468377861422"/>
    <n v="2026"/>
    <s v="Jul"/>
    <s v="Q3"/>
  </r>
  <r>
    <s v="ORD10468"/>
    <x v="467"/>
    <s v="CUST1123"/>
    <s v="Vivaan Nair"/>
    <x v="65"/>
    <x v="1"/>
    <x v="35"/>
    <x v="9"/>
    <s v="Hyderabad"/>
    <s v="Telangana"/>
    <x v="2"/>
    <x v="5"/>
    <s v="Electric Kettle"/>
    <x v="18"/>
    <n v="1"/>
    <n v="1790"/>
    <n v="0.2"/>
    <n v="910"/>
    <s v="Net Banking"/>
    <s v="Delivered"/>
    <n v="6"/>
    <s v="Returning"/>
    <n v="1790"/>
    <n v="358"/>
    <n v="1432"/>
    <n v="522"/>
    <n v="0.36452513966480449"/>
    <n v="2026"/>
    <s v="Jul"/>
    <s v="Q3"/>
  </r>
  <r>
    <s v="ORD10469"/>
    <x v="468"/>
    <s v="CUST1222"/>
    <s v="Ishita Kumar"/>
    <x v="90"/>
    <x v="0"/>
    <x v="17"/>
    <x v="3"/>
    <s v="Bengaluru"/>
    <s v="Karnataka"/>
    <x v="2"/>
    <x v="5"/>
    <s v="Vacuum Cleaner"/>
    <x v="9"/>
    <n v="2"/>
    <n v="8170"/>
    <n v="0.1"/>
    <n v="5790"/>
    <s v="UPI"/>
    <s v="Returned"/>
    <n v="4"/>
    <s v="Returning"/>
    <n v="16340"/>
    <n v="1634"/>
    <n v="14706"/>
    <n v="8916"/>
    <n v="0.60628314973480213"/>
    <n v="2026"/>
    <s v="Jul"/>
    <s v="Q3"/>
  </r>
  <r>
    <s v="ORD10470"/>
    <x v="469"/>
    <s v="CUST1257"/>
    <s v="Kavya Rao"/>
    <x v="6"/>
    <x v="1"/>
    <x v="31"/>
    <x v="2"/>
    <s v="Kochi"/>
    <s v="Kerala"/>
    <x v="2"/>
    <x v="2"/>
    <s v="Smartphone"/>
    <x v="13"/>
    <n v="1"/>
    <n v="17430"/>
    <n v="0.15"/>
    <n v="13080"/>
    <s v="Cash on Delivery"/>
    <s v="Pending"/>
    <n v="4"/>
    <s v="Returning"/>
    <n v="17430"/>
    <n v="2614.5"/>
    <n v="14815.5"/>
    <n v="1735.5"/>
    <n v="0.11714083223650906"/>
    <n v="2026"/>
    <s v="Jul"/>
    <s v="Q3"/>
  </r>
  <r>
    <s v="ORD10471"/>
    <x v="470"/>
    <s v="CUST1252"/>
    <s v="Meera Shah"/>
    <x v="100"/>
    <x v="0"/>
    <x v="41"/>
    <x v="5"/>
    <s v="Bhubaneswar"/>
    <s v="Odisha"/>
    <x v="1"/>
    <x v="2"/>
    <s v="Headphones"/>
    <x v="5"/>
    <n v="2"/>
    <n v="2370"/>
    <n v="0.1"/>
    <n v="1500"/>
    <s v="UPI"/>
    <s v="Delivered"/>
    <n v="4"/>
    <s v="Returning"/>
    <n v="4740"/>
    <n v="474"/>
    <n v="4266"/>
    <n v="2766"/>
    <n v="0.64838255977496484"/>
    <n v="2026"/>
    <s v="Jul"/>
    <s v="Q3"/>
  </r>
  <r>
    <s v="ORD10472"/>
    <x v="471"/>
    <s v="CUST1161"/>
    <s v="Meera Shah"/>
    <x v="100"/>
    <x v="0"/>
    <x v="39"/>
    <x v="1"/>
    <s v="Kolkata"/>
    <s v="West Bengal"/>
    <x v="1"/>
    <x v="2"/>
    <s v="Smartwatch"/>
    <x v="3"/>
    <n v="1"/>
    <n v="7070"/>
    <n v="0.05"/>
    <n v="4310"/>
    <s v="Debit Card"/>
    <s v="Delivered"/>
    <n v="3"/>
    <s v="Returning"/>
    <n v="7070"/>
    <n v="353.5"/>
    <n v="6716.5"/>
    <n v="2406.5"/>
    <n v="0.35829673192883199"/>
    <n v="2026"/>
    <s v="Jul"/>
    <s v="Q3"/>
  </r>
  <r>
    <s v="ORD10473"/>
    <x v="472"/>
    <s v="CUST1313"/>
    <s v="Vikram Gupta"/>
    <x v="177"/>
    <x v="1"/>
    <x v="33"/>
    <x v="3"/>
    <s v="Bengaluru"/>
    <s v="Karnataka"/>
    <x v="2"/>
    <x v="1"/>
    <s v="Bookshelf"/>
    <x v="6"/>
    <n v="2"/>
    <n v="4640"/>
    <n v="0"/>
    <n v="3270"/>
    <s v="Credit Card"/>
    <s v="Delivered"/>
    <n v="2"/>
    <s v="New"/>
    <n v="9280"/>
    <n v="0"/>
    <n v="9280"/>
    <n v="6010"/>
    <n v="0.64762931034482762"/>
    <n v="2026"/>
    <s v="Jul"/>
    <s v="Q3"/>
  </r>
  <r>
    <s v="ORD10474"/>
    <x v="473"/>
    <s v="CUST1385"/>
    <s v="Nisha Joshi"/>
    <x v="13"/>
    <x v="1"/>
    <x v="32"/>
    <x v="4"/>
    <s v="Chandigarh"/>
    <s v="Chandigarh"/>
    <x v="3"/>
    <x v="2"/>
    <s v="Tablet"/>
    <x v="4"/>
    <n v="2"/>
    <n v="22480"/>
    <n v="0.2"/>
    <n v="16000"/>
    <s v="Net Banking"/>
    <s v="Delivered"/>
    <n v="4"/>
    <s v="New"/>
    <n v="44960"/>
    <n v="8992"/>
    <n v="35968"/>
    <n v="19968"/>
    <n v="0.55516014234875444"/>
    <n v="2026"/>
    <s v="Jul"/>
    <s v="Q3"/>
  </r>
  <r>
    <s v="ORD10475"/>
    <x v="474"/>
    <s v="CUST1093"/>
    <s v="Vivaan Verma"/>
    <x v="210"/>
    <x v="1"/>
    <x v="2"/>
    <x v="13"/>
    <s v="Lucknow"/>
    <s v="Uttar Pradesh"/>
    <x v="3"/>
    <x v="0"/>
    <s v="T-Shirt"/>
    <x v="2"/>
    <n v="2"/>
    <n v="890"/>
    <n v="0.25"/>
    <n v="470"/>
    <s v="Credit Card"/>
    <s v="Delivered"/>
    <n v="6"/>
    <s v="Returning"/>
    <n v="1780"/>
    <n v="445"/>
    <n v="1335"/>
    <n v="865"/>
    <n v="0.64794007490636707"/>
    <n v="2026"/>
    <s v="Jul"/>
    <s v="Q3"/>
  </r>
  <r>
    <s v="ORD10476"/>
    <x v="475"/>
    <s v="CUST1145"/>
    <s v="Meera Singh"/>
    <x v="163"/>
    <x v="0"/>
    <x v="14"/>
    <x v="4"/>
    <s v="Chandigarh"/>
    <s v="Chandigarh"/>
    <x v="3"/>
    <x v="1"/>
    <s v="Office Chair"/>
    <x v="1"/>
    <n v="3"/>
    <n v="6670"/>
    <n v="0.05"/>
    <n v="4380"/>
    <s v="Net Banking"/>
    <s v="Delivered"/>
    <n v="1"/>
    <s v="Returning"/>
    <n v="20010"/>
    <n v="1000.5"/>
    <n v="19009.5"/>
    <n v="14629.5"/>
    <n v="0.76958888976564355"/>
    <n v="2026"/>
    <s v="Aug"/>
    <s v="Q3"/>
  </r>
  <r>
    <s v="ORD10477"/>
    <x v="476"/>
    <s v="CUST1109"/>
    <s v="Rahul Shah"/>
    <x v="211"/>
    <x v="0"/>
    <x v="28"/>
    <x v="7"/>
    <s v="Mumbai"/>
    <s v="Maharashtra"/>
    <x v="0"/>
    <x v="0"/>
    <s v="Jacket"/>
    <x v="25"/>
    <n v="2"/>
    <n v="4300"/>
    <n v="0.2"/>
    <n v="2660"/>
    <s v="Credit Card"/>
    <s v="Pending"/>
    <n v="3"/>
    <s v="Returning"/>
    <n v="8600"/>
    <n v="1720"/>
    <n v="6880"/>
    <n v="4220"/>
    <n v="0.61337209302325579"/>
    <n v="2026"/>
    <s v="Aug"/>
    <s v="Q3"/>
  </r>
  <r>
    <s v="ORD10478"/>
    <x v="477"/>
    <s v="CUST1498"/>
    <s v="Vivaan Kumar"/>
    <x v="43"/>
    <x v="0"/>
    <x v="7"/>
    <x v="3"/>
    <s v="Bengaluru"/>
    <s v="Karnataka"/>
    <x v="2"/>
    <x v="4"/>
    <s v="Perfume"/>
    <x v="29"/>
    <n v="2"/>
    <n v="1820"/>
    <n v="0.2"/>
    <n v="890"/>
    <s v="Net Banking"/>
    <s v="Delivered"/>
    <n v="4"/>
    <s v="New"/>
    <n v="3640"/>
    <n v="728"/>
    <n v="2912"/>
    <n v="2022"/>
    <n v="0.69436813186813184"/>
    <n v="2026"/>
    <s v="Aug"/>
    <s v="Q3"/>
  </r>
  <r>
    <s v="ORD10479"/>
    <x v="478"/>
    <s v="CUST1477"/>
    <s v="Ananya Rao"/>
    <x v="189"/>
    <x v="0"/>
    <x v="39"/>
    <x v="9"/>
    <s v="Hyderabad"/>
    <s v="Telangana"/>
    <x v="2"/>
    <x v="0"/>
    <s v="Handbag"/>
    <x v="12"/>
    <n v="1"/>
    <n v="2910"/>
    <n v="0.05"/>
    <n v="1550"/>
    <s v="UPI"/>
    <s v="Delivered"/>
    <n v="3"/>
    <s v="New"/>
    <n v="2910"/>
    <n v="145.5"/>
    <n v="2764.5"/>
    <n v="1214.5"/>
    <n v="0.43931994935793089"/>
    <n v="2026"/>
    <s v="Aug"/>
    <s v="Q3"/>
  </r>
  <r>
    <s v="ORD10480"/>
    <x v="479"/>
    <s v="CUST1096"/>
    <s v="Ishita Das"/>
    <x v="182"/>
    <x v="0"/>
    <x v="29"/>
    <x v="7"/>
    <s v="Mumbai"/>
    <s v="Maharashtra"/>
    <x v="0"/>
    <x v="3"/>
    <s v="Yoga Mat"/>
    <x v="20"/>
    <n v="1"/>
    <n v="880"/>
    <n v="0.1"/>
    <n v="380"/>
    <s v="Cash on Delivery"/>
    <s v="Delivered"/>
    <n v="5"/>
    <s v="Returning"/>
    <n v="880"/>
    <n v="88"/>
    <n v="792"/>
    <n v="412"/>
    <n v="0.52020202020202022"/>
    <n v="2026"/>
    <s v="Aug"/>
    <s v="Q3"/>
  </r>
  <r>
    <s v="ORD10481"/>
    <x v="480"/>
    <s v="CUST1415"/>
    <s v="Rohan Patel"/>
    <x v="39"/>
    <x v="0"/>
    <x v="8"/>
    <x v="2"/>
    <s v="Kochi"/>
    <s v="Kerala"/>
    <x v="2"/>
    <x v="5"/>
    <s v="Electric Kettle"/>
    <x v="18"/>
    <n v="2"/>
    <n v="1770"/>
    <n v="0.25"/>
    <n v="990"/>
    <s v="Debit Card"/>
    <s v="Delivered"/>
    <n v="2"/>
    <s v="New"/>
    <n v="3540"/>
    <n v="885"/>
    <n v="2655"/>
    <n v="1665"/>
    <n v="0.6271186440677966"/>
    <n v="2026"/>
    <s v="Aug"/>
    <s v="Q3"/>
  </r>
  <r>
    <s v="ORD10482"/>
    <x v="481"/>
    <s v="CUST1039"/>
    <s v="Aarav Mehta"/>
    <x v="201"/>
    <x v="0"/>
    <x v="31"/>
    <x v="3"/>
    <s v="Bengaluru"/>
    <s v="Karnataka"/>
    <x v="2"/>
    <x v="2"/>
    <s v="Smartwatch"/>
    <x v="3"/>
    <n v="3"/>
    <n v="7560"/>
    <n v="0.1"/>
    <n v="4420"/>
    <s v="Net Banking"/>
    <s v="Delivered"/>
    <n v="4"/>
    <s v="Returning"/>
    <n v="22680"/>
    <n v="2268"/>
    <n v="20412"/>
    <n v="15992"/>
    <n v="0.78346070938663537"/>
    <n v="2026"/>
    <s v="Aug"/>
    <s v="Q3"/>
  </r>
  <r>
    <s v="ORD10483"/>
    <x v="482"/>
    <s v="CUST1418"/>
    <s v="Rahul Joshi"/>
    <x v="108"/>
    <x v="0"/>
    <x v="32"/>
    <x v="3"/>
    <s v="Bengaluru"/>
    <s v="Karnataka"/>
    <x v="2"/>
    <x v="3"/>
    <s v="Yoga Mat"/>
    <x v="20"/>
    <n v="3"/>
    <n v="840"/>
    <n v="0.1"/>
    <n v="380"/>
    <s v="Net Banking"/>
    <s v="Delivered"/>
    <n v="4"/>
    <s v="New"/>
    <n v="2520"/>
    <n v="252"/>
    <n v="2268"/>
    <n v="1888"/>
    <n v="0.83245149911816574"/>
    <n v="2026"/>
    <s v="Aug"/>
    <s v="Q3"/>
  </r>
  <r>
    <s v="ORD10484"/>
    <x v="483"/>
    <s v="CUST1358"/>
    <s v="Aarav Mehta"/>
    <x v="201"/>
    <x v="0"/>
    <x v="41"/>
    <x v="11"/>
    <s v="Chennai"/>
    <s v="Tamil Nadu"/>
    <x v="2"/>
    <x v="0"/>
    <s v="Jacket"/>
    <x v="25"/>
    <n v="1"/>
    <n v="4260"/>
    <n v="0.1"/>
    <n v="2630"/>
    <s v="UPI"/>
    <s v="Delivered"/>
    <n v="3"/>
    <s v="New"/>
    <n v="4260"/>
    <n v="426"/>
    <n v="3834"/>
    <n v="1204"/>
    <n v="0.31403234220135628"/>
    <n v="2026"/>
    <s v="Aug"/>
    <s v="Q3"/>
  </r>
  <r>
    <s v="ORD10485"/>
    <x v="484"/>
    <s v="CUST1177"/>
    <s v="Diya Iyer"/>
    <x v="91"/>
    <x v="1"/>
    <x v="2"/>
    <x v="5"/>
    <s v="Bhubaneswar"/>
    <s v="Odisha"/>
    <x v="1"/>
    <x v="2"/>
    <s v="Smartphone"/>
    <x v="13"/>
    <n v="4"/>
    <n v="16940"/>
    <n v="0.1"/>
    <n v="11910"/>
    <s v="UPI"/>
    <s v="Delivered"/>
    <n v="2"/>
    <s v="Returning"/>
    <n v="67760"/>
    <n v="6776"/>
    <n v="60984"/>
    <n v="49074"/>
    <n v="0.80470287288469111"/>
    <n v="2026"/>
    <s v="Aug"/>
    <s v="Q3"/>
  </r>
  <r>
    <s v="ORD10486"/>
    <x v="485"/>
    <s v="CUST1455"/>
    <s v="Sneha Naidu"/>
    <x v="50"/>
    <x v="1"/>
    <x v="8"/>
    <x v="9"/>
    <s v="Hyderabad"/>
    <s v="Telangana"/>
    <x v="2"/>
    <x v="5"/>
    <s v="Vacuum Cleaner"/>
    <x v="9"/>
    <n v="2"/>
    <n v="8200"/>
    <n v="0.05"/>
    <n v="5840"/>
    <s v="UPI"/>
    <s v="Returned"/>
    <n v="1"/>
    <s v="New"/>
    <n v="16400"/>
    <n v="820"/>
    <n v="15580"/>
    <n v="9740"/>
    <n v="0.62516046213093712"/>
    <n v="2026"/>
    <s v="Aug"/>
    <s v="Q3"/>
  </r>
  <r>
    <s v="ORD10487"/>
    <x v="486"/>
    <s v="CUST1190"/>
    <s v="Sneha Singh"/>
    <x v="16"/>
    <x v="0"/>
    <x v="6"/>
    <x v="10"/>
    <s v="Jaipur"/>
    <s v="Rajasthan"/>
    <x v="3"/>
    <x v="2"/>
    <s v="Smartwatch"/>
    <x v="3"/>
    <n v="1"/>
    <n v="7330"/>
    <n v="0.05"/>
    <n v="4300"/>
    <s v="Wallet"/>
    <s v="Delivered"/>
    <n v="5"/>
    <s v="Returning"/>
    <n v="7330"/>
    <n v="366.5"/>
    <n v="6963.5"/>
    <n v="2663.5"/>
    <n v="0.38249443526962018"/>
    <n v="2026"/>
    <s v="Aug"/>
    <s v="Q3"/>
  </r>
  <r>
    <s v="ORD10488"/>
    <x v="487"/>
    <s v="CUST1392"/>
    <s v="Rohan Verma"/>
    <x v="212"/>
    <x v="0"/>
    <x v="25"/>
    <x v="14"/>
    <s v="Ahmedabad"/>
    <s v="Gujarat"/>
    <x v="0"/>
    <x v="1"/>
    <s v="Study Table"/>
    <x v="11"/>
    <n v="1"/>
    <n v="8160"/>
    <n v="0.15"/>
    <n v="5820"/>
    <s v="Credit Card"/>
    <s v="Delivered"/>
    <n v="2"/>
    <s v="New"/>
    <n v="8160"/>
    <n v="1224"/>
    <n v="6936"/>
    <n v="1116"/>
    <n v="0.16089965397923875"/>
    <n v="2026"/>
    <s v="Aug"/>
    <s v="Q3"/>
  </r>
  <r>
    <s v="ORD10489"/>
    <x v="488"/>
    <s v="CUST1313"/>
    <s v="Kavya Naidu"/>
    <x v="28"/>
    <x v="1"/>
    <x v="2"/>
    <x v="10"/>
    <s v="Jaipur"/>
    <s v="Rajasthan"/>
    <x v="3"/>
    <x v="2"/>
    <s v="Smartphone"/>
    <x v="13"/>
    <n v="2"/>
    <n v="16980"/>
    <n v="0.1"/>
    <n v="12290"/>
    <s v="Credit Card"/>
    <s v="Delivered"/>
    <n v="1"/>
    <s v="New"/>
    <n v="33960"/>
    <n v="3396"/>
    <n v="30564"/>
    <n v="18274"/>
    <n v="0.59789294594948306"/>
    <n v="2026"/>
    <s v="Aug"/>
    <s v="Q3"/>
  </r>
  <r>
    <s v="ORD10490"/>
    <x v="489"/>
    <s v="CUST1489"/>
    <s v="Karan Nair"/>
    <x v="129"/>
    <x v="1"/>
    <x v="17"/>
    <x v="11"/>
    <s v="Chennai"/>
    <s v="Tamil Nadu"/>
    <x v="2"/>
    <x v="3"/>
    <s v="Dumbbells"/>
    <x v="7"/>
    <n v="2"/>
    <n v="2540"/>
    <n v="0.1"/>
    <n v="1530"/>
    <s v="UPI"/>
    <s v="Delivered"/>
    <n v="2"/>
    <s v="New"/>
    <n v="5080"/>
    <n v="508"/>
    <n v="4572"/>
    <n v="3042"/>
    <n v="0.66535433070866146"/>
    <n v="2026"/>
    <s v="Aug"/>
    <s v="Q3"/>
  </r>
  <r>
    <s v="ORD10491"/>
    <x v="490"/>
    <s v="CUST1485"/>
    <s v="Vivaan Naidu"/>
    <x v="144"/>
    <x v="0"/>
    <x v="23"/>
    <x v="11"/>
    <s v="Chennai"/>
    <s v="Tamil Nadu"/>
    <x v="2"/>
    <x v="0"/>
    <s v="Jacket"/>
    <x v="25"/>
    <n v="2"/>
    <n v="4520"/>
    <n v="0.2"/>
    <n v="2490"/>
    <s v="Credit Card"/>
    <s v="Cancelled"/>
    <n v="0"/>
    <s v="New"/>
    <n v="9040"/>
    <n v="1808"/>
    <n v="7232"/>
    <n v="4742"/>
    <n v="0.65569690265486724"/>
    <n v="2026"/>
    <s v="Aug"/>
    <s v="Q3"/>
  </r>
  <r>
    <s v="ORD10492"/>
    <x v="491"/>
    <s v="CUST1353"/>
    <s v="Kavya Reddy"/>
    <x v="203"/>
    <x v="0"/>
    <x v="35"/>
    <x v="8"/>
    <s v="Mysuru"/>
    <s v="Karnataka"/>
    <x v="2"/>
    <x v="1"/>
    <s v="Office Chair"/>
    <x v="1"/>
    <n v="2"/>
    <n v="6030"/>
    <n v="0.05"/>
    <n v="4320"/>
    <s v="Credit Card"/>
    <s v="Delivered"/>
    <n v="3"/>
    <s v="New"/>
    <n v="12060"/>
    <n v="603"/>
    <n v="11457"/>
    <n v="7137"/>
    <n v="0.62293794186959939"/>
    <n v="2026"/>
    <s v="Aug"/>
    <s v="Q3"/>
  </r>
  <r>
    <s v="ORD10493"/>
    <x v="492"/>
    <s v="CUST1369"/>
    <s v="Priya Gupta"/>
    <x v="102"/>
    <x v="1"/>
    <x v="3"/>
    <x v="4"/>
    <s v="Chandigarh"/>
    <s v="Chandigarh"/>
    <x v="3"/>
    <x v="2"/>
    <s v="Tablet"/>
    <x v="4"/>
    <n v="4"/>
    <n v="21810"/>
    <n v="0.1"/>
    <n v="16190"/>
    <s v="UPI"/>
    <s v="Delivered"/>
    <n v="3"/>
    <s v="New"/>
    <n v="87240"/>
    <n v="8724"/>
    <n v="78516"/>
    <n v="62326"/>
    <n v="0.79379998981099398"/>
    <n v="2026"/>
    <s v="Aug"/>
    <s v="Q3"/>
  </r>
  <r>
    <s v="ORD10494"/>
    <x v="493"/>
    <s v="CUST1363"/>
    <s v="Nisha Gupta"/>
    <x v="138"/>
    <x v="0"/>
    <x v="8"/>
    <x v="13"/>
    <s v="Lucknow"/>
    <s v="Uttar Pradesh"/>
    <x v="3"/>
    <x v="2"/>
    <s v="Headphones"/>
    <x v="5"/>
    <n v="3"/>
    <n v="2400"/>
    <n v="0"/>
    <n v="1440"/>
    <s v="Cash on Delivery"/>
    <s v="Delivered"/>
    <n v="3"/>
    <s v="New"/>
    <n v="7200"/>
    <n v="0"/>
    <n v="7200"/>
    <n v="5760"/>
    <n v="0.8"/>
    <n v="2026"/>
    <s v="Aug"/>
    <s v="Q3"/>
  </r>
  <r>
    <s v="ORD10495"/>
    <x v="494"/>
    <s v="CUST1216"/>
    <s v="Ananya Das"/>
    <x v="54"/>
    <x v="1"/>
    <x v="19"/>
    <x v="12"/>
    <s v="Delhi"/>
    <s v="Delhi"/>
    <x v="3"/>
    <x v="5"/>
    <s v="Vacuum Cleaner"/>
    <x v="9"/>
    <n v="1"/>
    <n v="7920"/>
    <n v="0.05"/>
    <n v="5740"/>
    <s v="Credit Card"/>
    <s v="Delivered"/>
    <n v="4"/>
    <s v="Returning"/>
    <n v="7920"/>
    <n v="396"/>
    <n v="7524"/>
    <n v="1784"/>
    <n v="0.23710792131844763"/>
    <n v="2026"/>
    <s v="Aug"/>
    <s v="Q3"/>
  </r>
  <r>
    <s v="ORD10496"/>
    <x v="495"/>
    <s v="CUST1146"/>
    <s v="Priya Das"/>
    <x v="141"/>
    <x v="1"/>
    <x v="33"/>
    <x v="6"/>
    <s v="Guwahati"/>
    <s v="Assam"/>
    <x v="1"/>
    <x v="0"/>
    <s v="Jeans"/>
    <x v="19"/>
    <n v="1"/>
    <n v="2260"/>
    <n v="0.05"/>
    <n v="1210"/>
    <s v="Debit Card"/>
    <s v="Delivered"/>
    <n v="3"/>
    <s v="Returning"/>
    <n v="2260"/>
    <n v="113"/>
    <n v="2147"/>
    <n v="937"/>
    <n v="0.43642291569632047"/>
    <n v="2026"/>
    <s v="Aug"/>
    <s v="Q3"/>
  </r>
  <r>
    <s v="ORD10497"/>
    <x v="496"/>
    <s v="CUST1116"/>
    <s v="Vikram Sharma"/>
    <x v="12"/>
    <x v="1"/>
    <x v="2"/>
    <x v="6"/>
    <s v="Guwahati"/>
    <s v="Assam"/>
    <x v="1"/>
    <x v="5"/>
    <s v="Vacuum Cleaner"/>
    <x v="9"/>
    <n v="1"/>
    <n v="8400"/>
    <n v="0.1"/>
    <n v="5610"/>
    <s v="UPI"/>
    <s v="Delivered"/>
    <n v="5"/>
    <s v="Returning"/>
    <n v="8400"/>
    <n v="840"/>
    <n v="7560"/>
    <n v="1950"/>
    <n v="0.25793650793650796"/>
    <n v="2026"/>
    <s v="Aug"/>
    <s v="Q3"/>
  </r>
  <r>
    <s v="ORD10498"/>
    <x v="497"/>
    <s v="CUST1290"/>
    <s v="Vikram Mehta"/>
    <x v="94"/>
    <x v="0"/>
    <x v="0"/>
    <x v="11"/>
    <s v="Chennai"/>
    <s v="Tamil Nadu"/>
    <x v="2"/>
    <x v="5"/>
    <s v="Microwave"/>
    <x v="27"/>
    <n v="3"/>
    <n v="11680"/>
    <n v="0.15"/>
    <n v="7910"/>
    <s v="UPI"/>
    <s v="Delivered"/>
    <n v="5"/>
    <s v="Returning"/>
    <n v="35040"/>
    <n v="5256"/>
    <n v="29784"/>
    <n v="21874"/>
    <n v="0.73442116572656457"/>
    <n v="2026"/>
    <s v="Aug"/>
    <s v="Q3"/>
  </r>
  <r>
    <s v="ORD10499"/>
    <x v="498"/>
    <s v="CUST1203"/>
    <s v="Diya Mehta"/>
    <x v="161"/>
    <x v="1"/>
    <x v="15"/>
    <x v="14"/>
    <s v="Ahmedabad"/>
    <s v="Gujarat"/>
    <x v="0"/>
    <x v="0"/>
    <s v="T-Shirt"/>
    <x v="2"/>
    <n v="1"/>
    <n v="870"/>
    <n v="0.2"/>
    <n v="460"/>
    <s v="UPI"/>
    <s v="Delivered"/>
    <n v="4"/>
    <s v="Returning"/>
    <n v="870"/>
    <n v="174"/>
    <n v="696"/>
    <n v="236"/>
    <n v="0.33908045977011492"/>
    <n v="2026"/>
    <s v="Aug"/>
    <s v="Q3"/>
  </r>
  <r>
    <s v="ORD10500"/>
    <x v="499"/>
    <s v="CUST1295"/>
    <s v="Vivaan Sharma"/>
    <x v="40"/>
    <x v="0"/>
    <x v="40"/>
    <x v="11"/>
    <s v="Chennai"/>
    <s v="Tamil Nadu"/>
    <x v="2"/>
    <x v="5"/>
    <s v="Air Fryer"/>
    <x v="26"/>
    <n v="1"/>
    <n v="6680"/>
    <n v="0.2"/>
    <n v="4230"/>
    <s v="Cash on Delivery"/>
    <s v="Delivered"/>
    <n v="3"/>
    <s v="Returning"/>
    <n v="6680"/>
    <n v="1336"/>
    <n v="5344"/>
    <n v="1114"/>
    <n v="0.20845808383233533"/>
    <n v="2026"/>
    <s v="Aug"/>
    <s v="Q3"/>
  </r>
  <r>
    <s v="ORD10501"/>
    <x v="500"/>
    <s v="CUST1106"/>
    <s v="Vivaan Mehta"/>
    <x v="95"/>
    <x v="0"/>
    <x v="23"/>
    <x v="0"/>
    <s v="Pune"/>
    <s v="Maharashtra"/>
    <x v="0"/>
    <x v="1"/>
    <s v="Office Chair"/>
    <x v="1"/>
    <n v="1"/>
    <n v="6870"/>
    <n v="0.2"/>
    <n v="4100"/>
    <s v="UPI"/>
    <s v="Delivered"/>
    <n v="3"/>
    <s v="Returning"/>
    <n v="6870"/>
    <n v="1374"/>
    <n v="5496"/>
    <n v="1396"/>
    <n v="0.25400291120815138"/>
    <n v="2026"/>
    <s v="Aug"/>
    <s v="Q3"/>
  </r>
  <r>
    <s v="ORD10502"/>
    <x v="501"/>
    <s v="CUST1150"/>
    <s v="Sneha Sharma"/>
    <x v="49"/>
    <x v="1"/>
    <x v="23"/>
    <x v="10"/>
    <s v="Jaipur"/>
    <s v="Rajasthan"/>
    <x v="3"/>
    <x v="2"/>
    <s v="Tablet"/>
    <x v="4"/>
    <n v="2"/>
    <n v="23360"/>
    <n v="0.2"/>
    <n v="15880"/>
    <s v="UPI"/>
    <s v="Delivered"/>
    <n v="5"/>
    <s v="Returning"/>
    <n v="46720"/>
    <n v="9344"/>
    <n v="37376"/>
    <n v="21496"/>
    <n v="0.57512842465753422"/>
    <n v="2026"/>
    <s v="Aug"/>
    <s v="Q3"/>
  </r>
  <r>
    <s v="ORD10503"/>
    <x v="502"/>
    <s v="CUST1445"/>
    <s v="Diya Reddy"/>
    <x v="79"/>
    <x v="0"/>
    <x v="42"/>
    <x v="4"/>
    <s v="Chandigarh"/>
    <s v="Chandigarh"/>
    <x v="3"/>
    <x v="2"/>
    <s v="Smartphone"/>
    <x v="13"/>
    <n v="1"/>
    <n v="17010"/>
    <n v="0.15"/>
    <n v="12760"/>
    <s v="UPI"/>
    <s v="Returned"/>
    <n v="3"/>
    <s v="New"/>
    <n v="17010"/>
    <n v="2551.5"/>
    <n v="14458.5"/>
    <n v="1698.5"/>
    <n v="0.11747415015388872"/>
    <n v="2026"/>
    <s v="Aug"/>
    <s v="Q3"/>
  </r>
  <r>
    <s v="ORD10504"/>
    <x v="503"/>
    <s v="CUST1033"/>
    <s v="Karan Iyer"/>
    <x v="20"/>
    <x v="0"/>
    <x v="19"/>
    <x v="10"/>
    <s v="Jaipur"/>
    <s v="Rajasthan"/>
    <x v="3"/>
    <x v="5"/>
    <s v="Air Fryer"/>
    <x v="26"/>
    <n v="5"/>
    <n v="6690"/>
    <n v="0"/>
    <n v="4410"/>
    <s v="Credit Card"/>
    <s v="Delivered"/>
    <n v="4"/>
    <s v="Returning"/>
    <n v="33450"/>
    <n v="0"/>
    <n v="33450"/>
    <n v="29040"/>
    <n v="0.86816143497757847"/>
    <n v="2026"/>
    <s v="Aug"/>
    <s v="Q3"/>
  </r>
  <r>
    <s v="ORD10505"/>
    <x v="504"/>
    <s v="CUST1215"/>
    <s v="Kavya Kumar"/>
    <x v="96"/>
    <x v="1"/>
    <x v="11"/>
    <x v="13"/>
    <s v="Lucknow"/>
    <s v="Uttar Pradesh"/>
    <x v="3"/>
    <x v="5"/>
    <s v="Air Fryer"/>
    <x v="26"/>
    <n v="5"/>
    <n v="6280"/>
    <n v="0.05"/>
    <n v="4060"/>
    <s v="UPI"/>
    <s v="Delivered"/>
    <n v="5"/>
    <s v="Returning"/>
    <n v="31400"/>
    <n v="1570"/>
    <n v="29830"/>
    <n v="25770"/>
    <n v="0.86389540730807912"/>
    <n v="2026"/>
    <s v="Aug"/>
    <s v="Q3"/>
  </r>
  <r>
    <s v="ORD10506"/>
    <x v="505"/>
    <s v="CUST1442"/>
    <s v="Karan Patel"/>
    <x v="173"/>
    <x v="1"/>
    <x v="6"/>
    <x v="14"/>
    <s v="Ahmedabad"/>
    <s v="Gujarat"/>
    <x v="0"/>
    <x v="1"/>
    <s v="Bedside Table"/>
    <x v="24"/>
    <n v="3"/>
    <n v="4600"/>
    <n v="0.05"/>
    <n v="2880"/>
    <s v="UPI"/>
    <s v="Delivered"/>
    <n v="3"/>
    <s v="New"/>
    <n v="13800"/>
    <n v="690"/>
    <n v="13110"/>
    <n v="10230"/>
    <n v="0.78032036613272315"/>
    <n v="2026"/>
    <s v="Aug"/>
    <s v="Q3"/>
  </r>
  <r>
    <s v="ORD10507"/>
    <x v="506"/>
    <s v="CUST1106"/>
    <s v="Aarav Singh"/>
    <x v="36"/>
    <x v="1"/>
    <x v="0"/>
    <x v="3"/>
    <s v="Bengaluru"/>
    <s v="Karnataka"/>
    <x v="2"/>
    <x v="0"/>
    <s v="Jacket"/>
    <x v="25"/>
    <n v="2"/>
    <n v="4450"/>
    <n v="0.25"/>
    <n v="2680"/>
    <s v="Net Banking"/>
    <s v="Delivered"/>
    <n v="5"/>
    <s v="Returning"/>
    <n v="8900"/>
    <n v="2225"/>
    <n v="6675"/>
    <n v="3995"/>
    <n v="0.59850187265917598"/>
    <n v="2026"/>
    <s v="Sep"/>
    <s v="Q3"/>
  </r>
  <r>
    <s v="ORD10508"/>
    <x v="507"/>
    <s v="CUST1333"/>
    <s v="Ananya Das"/>
    <x v="54"/>
    <x v="1"/>
    <x v="14"/>
    <x v="6"/>
    <s v="Guwahati"/>
    <s v="Assam"/>
    <x v="1"/>
    <x v="3"/>
    <s v="Dumbbells"/>
    <x v="7"/>
    <n v="1"/>
    <n v="2510"/>
    <n v="0"/>
    <n v="1440"/>
    <s v="UPI"/>
    <s v="Delivered"/>
    <n v="3"/>
    <s v="New"/>
    <n v="2510"/>
    <n v="0"/>
    <n v="2510"/>
    <n v="1070"/>
    <n v="0.42629482071713148"/>
    <n v="2026"/>
    <s v="Sep"/>
    <s v="Q3"/>
  </r>
  <r>
    <s v="ORD10509"/>
    <x v="508"/>
    <s v="CUST1495"/>
    <s v="Diya Patel"/>
    <x v="63"/>
    <x v="0"/>
    <x v="15"/>
    <x v="13"/>
    <s v="Lucknow"/>
    <s v="Uttar Pradesh"/>
    <x v="3"/>
    <x v="2"/>
    <s v="Smartphone"/>
    <x v="13"/>
    <n v="2"/>
    <n v="18890"/>
    <n v="0.1"/>
    <n v="11940"/>
    <s v="Credit Card"/>
    <s v="Cancelled"/>
    <n v="0"/>
    <s v="New"/>
    <n v="37780"/>
    <n v="3778"/>
    <n v="34002"/>
    <n v="22062"/>
    <n v="0.6488441856361391"/>
    <n v="2026"/>
    <s v="Sep"/>
    <s v="Q3"/>
  </r>
  <r>
    <s v="ORD10510"/>
    <x v="509"/>
    <s v="CUST1460"/>
    <s v="Kavya Singh"/>
    <x v="150"/>
    <x v="0"/>
    <x v="32"/>
    <x v="7"/>
    <s v="Mumbai"/>
    <s v="Maharashtra"/>
    <x v="0"/>
    <x v="2"/>
    <s v="Laptop"/>
    <x v="15"/>
    <n v="1"/>
    <n v="55150"/>
    <n v="0"/>
    <n v="43940"/>
    <s v="UPI"/>
    <s v="Returned"/>
    <n v="3"/>
    <s v="New"/>
    <n v="55150"/>
    <n v="0"/>
    <n v="55150"/>
    <n v="11210"/>
    <n v="0.20326382592928377"/>
    <n v="2026"/>
    <s v="Sep"/>
    <s v="Q3"/>
  </r>
  <r>
    <s v="ORD10511"/>
    <x v="510"/>
    <s v="CUST1330"/>
    <s v="Arjun Verma"/>
    <x v="7"/>
    <x v="1"/>
    <x v="26"/>
    <x v="13"/>
    <s v="Lucknow"/>
    <s v="Uttar Pradesh"/>
    <x v="3"/>
    <x v="4"/>
    <s v="Shampoo"/>
    <x v="8"/>
    <n v="4"/>
    <n v="530"/>
    <n v="0.05"/>
    <n v="220"/>
    <s v="UPI"/>
    <s v="Cancelled"/>
    <n v="0"/>
    <s v="New"/>
    <n v="2120"/>
    <n v="106"/>
    <n v="2014"/>
    <n v="1794"/>
    <n v="0.89076464746772588"/>
    <n v="2026"/>
    <s v="Sep"/>
    <s v="Q3"/>
  </r>
  <r>
    <s v="ORD10512"/>
    <x v="511"/>
    <s v="CUST1247"/>
    <s v="Ananya Reddy"/>
    <x v="195"/>
    <x v="0"/>
    <x v="3"/>
    <x v="11"/>
    <s v="Chennai"/>
    <s v="Tamil Nadu"/>
    <x v="2"/>
    <x v="2"/>
    <s v="Smartphone"/>
    <x v="13"/>
    <n v="2"/>
    <n v="18300"/>
    <n v="0"/>
    <n v="12510"/>
    <s v="Cash on Delivery"/>
    <s v="Pending"/>
    <n v="4"/>
    <s v="Returning"/>
    <n v="36600"/>
    <n v="0"/>
    <n v="36600"/>
    <n v="24090"/>
    <n v="0.65819672131147544"/>
    <n v="2026"/>
    <s v="Sep"/>
    <s v="Q3"/>
  </r>
  <r>
    <s v="ORD10513"/>
    <x v="512"/>
    <s v="CUST1278"/>
    <s v="Ishita Nair"/>
    <x v="194"/>
    <x v="0"/>
    <x v="38"/>
    <x v="10"/>
    <s v="Jaipur"/>
    <s v="Rajasthan"/>
    <x v="3"/>
    <x v="2"/>
    <s v="Tablet"/>
    <x v="4"/>
    <n v="1"/>
    <n v="21320"/>
    <n v="0"/>
    <n v="15130"/>
    <s v="Credit Card"/>
    <s v="Delivered"/>
    <n v="3"/>
    <s v="Returning"/>
    <n v="21320"/>
    <n v="0"/>
    <n v="21320"/>
    <n v="6190"/>
    <n v="0.29033771106941841"/>
    <n v="2026"/>
    <s v="Sep"/>
    <s v="Q3"/>
  </r>
  <r>
    <s v="ORD10514"/>
    <x v="513"/>
    <s v="CUST1456"/>
    <s v="Aarav Bhat"/>
    <x v="56"/>
    <x v="1"/>
    <x v="26"/>
    <x v="7"/>
    <s v="Mumbai"/>
    <s v="Maharashtra"/>
    <x v="0"/>
    <x v="5"/>
    <s v="Vacuum Cleaner"/>
    <x v="9"/>
    <n v="1"/>
    <n v="7830"/>
    <n v="0"/>
    <n v="5620"/>
    <s v="Net Banking"/>
    <s v="Delivered"/>
    <n v="7"/>
    <s v="New"/>
    <n v="7830"/>
    <n v="0"/>
    <n v="7830"/>
    <n v="2210"/>
    <n v="0.28224776500638571"/>
    <n v="2026"/>
    <s v="Sep"/>
    <s v="Q3"/>
  </r>
  <r>
    <s v="ORD10515"/>
    <x v="514"/>
    <s v="CUST1045"/>
    <s v="Meera Verma"/>
    <x v="77"/>
    <x v="1"/>
    <x v="25"/>
    <x v="1"/>
    <s v="Kolkata"/>
    <s v="West Bengal"/>
    <x v="1"/>
    <x v="0"/>
    <s v="Handbag"/>
    <x v="12"/>
    <n v="4"/>
    <n v="2750"/>
    <n v="0.1"/>
    <n v="1660"/>
    <s v="Cash on Delivery"/>
    <s v="Delivered"/>
    <n v="3"/>
    <s v="Returning"/>
    <n v="11000"/>
    <n v="1100"/>
    <n v="9900"/>
    <n v="8240"/>
    <n v="0.83232323232323235"/>
    <n v="2026"/>
    <s v="Sep"/>
    <s v="Q3"/>
  </r>
  <r>
    <s v="ORD10516"/>
    <x v="515"/>
    <s v="CUST1281"/>
    <s v="Aditya Singh"/>
    <x v="115"/>
    <x v="1"/>
    <x v="14"/>
    <x v="14"/>
    <s v="Ahmedabad"/>
    <s v="Gujarat"/>
    <x v="0"/>
    <x v="4"/>
    <s v="Shampoo"/>
    <x v="8"/>
    <n v="3"/>
    <n v="490"/>
    <n v="0.05"/>
    <n v="240"/>
    <s v="Credit Card"/>
    <s v="Cancelled"/>
    <n v="0"/>
    <s v="Returning"/>
    <n v="1470"/>
    <n v="73.5"/>
    <n v="1396.5"/>
    <n v="1156.5"/>
    <n v="0.8281417830290011"/>
    <n v="2026"/>
    <s v="Sep"/>
    <s v="Q3"/>
  </r>
  <r>
    <s v="ORD10517"/>
    <x v="516"/>
    <s v="CUST1276"/>
    <s v="Ananya Kumar"/>
    <x v="126"/>
    <x v="1"/>
    <x v="25"/>
    <x v="11"/>
    <s v="Chennai"/>
    <s v="Tamil Nadu"/>
    <x v="2"/>
    <x v="1"/>
    <s v="Bookshelf"/>
    <x v="6"/>
    <n v="2"/>
    <n v="4680"/>
    <n v="0.2"/>
    <n v="3320"/>
    <s v="UPI"/>
    <s v="Returned"/>
    <n v="6"/>
    <s v="Returning"/>
    <n v="9360"/>
    <n v="1872"/>
    <n v="7488"/>
    <n v="4168"/>
    <n v="0.55662393162393164"/>
    <n v="2026"/>
    <s v="Sep"/>
    <s v="Q3"/>
  </r>
  <r>
    <s v="ORD10518"/>
    <x v="517"/>
    <s v="CUST1381"/>
    <s v="Sneha Das"/>
    <x v="196"/>
    <x v="0"/>
    <x v="15"/>
    <x v="12"/>
    <s v="Delhi"/>
    <s v="Delhi"/>
    <x v="3"/>
    <x v="1"/>
    <s v="Bedside Table"/>
    <x v="24"/>
    <n v="2"/>
    <n v="4250"/>
    <n v="0"/>
    <n v="2880"/>
    <s v="UPI"/>
    <s v="Delivered"/>
    <n v="3"/>
    <s v="New"/>
    <n v="8500"/>
    <n v="0"/>
    <n v="8500"/>
    <n v="5620"/>
    <n v="0.66117647058823525"/>
    <n v="2026"/>
    <s v="Sep"/>
    <s v="Q3"/>
  </r>
  <r>
    <s v="ORD10519"/>
    <x v="518"/>
    <s v="CUST1470"/>
    <s v="Aditya Verma"/>
    <x v="30"/>
    <x v="0"/>
    <x v="3"/>
    <x v="1"/>
    <s v="Kolkata"/>
    <s v="West Bengal"/>
    <x v="1"/>
    <x v="2"/>
    <s v="Smartphone"/>
    <x v="13"/>
    <n v="3"/>
    <n v="16950"/>
    <n v="0.05"/>
    <n v="12980"/>
    <s v="UPI"/>
    <s v="Delivered"/>
    <n v="3"/>
    <s v="New"/>
    <n v="50850"/>
    <n v="2542.5"/>
    <n v="48307.5"/>
    <n v="35327.5"/>
    <n v="0.73130466283703355"/>
    <n v="2026"/>
    <s v="Sep"/>
    <s v="Q3"/>
  </r>
  <r>
    <s v="ORD10520"/>
    <x v="519"/>
    <s v="CUST1244"/>
    <s v="Kavya Shah"/>
    <x v="213"/>
    <x v="0"/>
    <x v="39"/>
    <x v="5"/>
    <s v="Bhubaneswar"/>
    <s v="Odisha"/>
    <x v="1"/>
    <x v="0"/>
    <s v="Handbag"/>
    <x v="12"/>
    <n v="1"/>
    <n v="2740"/>
    <n v="0.1"/>
    <n v="1570"/>
    <s v="Wallet"/>
    <s v="Cancelled"/>
    <n v="0"/>
    <s v="Returning"/>
    <n v="2740"/>
    <n v="274"/>
    <n v="2466"/>
    <n v="896"/>
    <n v="0.36334144363341442"/>
    <n v="2026"/>
    <s v="Sep"/>
    <s v="Q3"/>
  </r>
  <r>
    <s v="ORD10521"/>
    <x v="520"/>
    <s v="CUST1279"/>
    <s v="Aditya Patel"/>
    <x v="214"/>
    <x v="1"/>
    <x v="6"/>
    <x v="0"/>
    <s v="Pune"/>
    <s v="Maharashtra"/>
    <x v="0"/>
    <x v="2"/>
    <s v="Laptop"/>
    <x v="15"/>
    <n v="2"/>
    <n v="51130"/>
    <n v="0.1"/>
    <n v="42200"/>
    <s v="Credit Card"/>
    <s v="Delivered"/>
    <n v="5"/>
    <s v="Returning"/>
    <n v="102260"/>
    <n v="10226"/>
    <n v="92034"/>
    <n v="49834"/>
    <n v="0.54147380315970184"/>
    <n v="2026"/>
    <s v="Sep"/>
    <s v="Q3"/>
  </r>
  <r>
    <s v="ORD10522"/>
    <x v="521"/>
    <s v="CUST1313"/>
    <s v="Rahul Shah"/>
    <x v="211"/>
    <x v="1"/>
    <x v="13"/>
    <x v="14"/>
    <s v="Ahmedabad"/>
    <s v="Gujarat"/>
    <x v="0"/>
    <x v="1"/>
    <s v="Office Chair"/>
    <x v="1"/>
    <n v="3"/>
    <n v="6300"/>
    <n v="0.1"/>
    <n v="4190"/>
    <s v="UPI"/>
    <s v="Delivered"/>
    <n v="7"/>
    <s v="New"/>
    <n v="18900"/>
    <n v="1890"/>
    <n v="17010"/>
    <n v="12820"/>
    <n v="0.75367430922986478"/>
    <n v="2026"/>
    <s v="Sep"/>
    <s v="Q3"/>
  </r>
  <r>
    <s v="ORD10523"/>
    <x v="522"/>
    <s v="CUST1102"/>
    <s v="Meera Singh"/>
    <x v="163"/>
    <x v="0"/>
    <x v="12"/>
    <x v="8"/>
    <s v="Mysuru"/>
    <s v="Karnataka"/>
    <x v="2"/>
    <x v="3"/>
    <s v="Cricket Bat"/>
    <x v="23"/>
    <n v="3"/>
    <n v="3070"/>
    <n v="0.15"/>
    <n v="1880"/>
    <s v="Credit Card"/>
    <s v="Delivered"/>
    <n v="3"/>
    <s v="Returning"/>
    <n v="9210"/>
    <n v="1381.5"/>
    <n v="7828.5"/>
    <n v="5948.5"/>
    <n v="0.75985182346554259"/>
    <n v="2026"/>
    <s v="Sep"/>
    <s v="Q3"/>
  </r>
  <r>
    <s v="ORD10524"/>
    <x v="523"/>
    <s v="CUST1483"/>
    <s v="Rahul Kumar"/>
    <x v="44"/>
    <x v="1"/>
    <x v="32"/>
    <x v="11"/>
    <s v="Chennai"/>
    <s v="Tamil Nadu"/>
    <x v="2"/>
    <x v="2"/>
    <s v="Smartphone"/>
    <x v="13"/>
    <n v="3"/>
    <n v="17370"/>
    <n v="0.05"/>
    <n v="12510"/>
    <s v="Net Banking"/>
    <s v="Delivered"/>
    <n v="1"/>
    <s v="New"/>
    <n v="52110"/>
    <n v="2605.5"/>
    <n v="49504.5"/>
    <n v="36994.5"/>
    <n v="0.74729570039087356"/>
    <n v="2026"/>
    <s v="Sep"/>
    <s v="Q3"/>
  </r>
  <r>
    <s v="ORD10525"/>
    <x v="524"/>
    <s v="CUST1209"/>
    <s v="Ishita Mehta"/>
    <x v="113"/>
    <x v="0"/>
    <x v="33"/>
    <x v="1"/>
    <s v="Kolkata"/>
    <s v="West Bengal"/>
    <x v="1"/>
    <x v="0"/>
    <s v="Handbag"/>
    <x v="12"/>
    <n v="1"/>
    <n v="2900"/>
    <n v="0.15"/>
    <n v="1520"/>
    <s v="UPI"/>
    <s v="Delivered"/>
    <n v="2"/>
    <s v="Returning"/>
    <n v="2900"/>
    <n v="435"/>
    <n v="2465"/>
    <n v="945"/>
    <n v="0.38336713995943206"/>
    <n v="2026"/>
    <s v="Sep"/>
    <s v="Q3"/>
  </r>
  <r>
    <s v="ORD10526"/>
    <x v="525"/>
    <s v="CUST1364"/>
    <s v="Kavya Sharma"/>
    <x v="106"/>
    <x v="0"/>
    <x v="32"/>
    <x v="4"/>
    <s v="Chandigarh"/>
    <s v="Chandigarh"/>
    <x v="3"/>
    <x v="2"/>
    <s v="Smartwatch"/>
    <x v="3"/>
    <n v="1"/>
    <n v="7100"/>
    <n v="0.1"/>
    <n v="4280"/>
    <s v="Net Banking"/>
    <s v="Delivered"/>
    <n v="4"/>
    <s v="New"/>
    <n v="7100"/>
    <n v="710"/>
    <n v="6390"/>
    <n v="2110"/>
    <n v="0.33020344287949921"/>
    <n v="2026"/>
    <s v="Sep"/>
    <s v="Q3"/>
  </r>
  <r>
    <s v="ORD10527"/>
    <x v="526"/>
    <s v="CUST1177"/>
    <s v="Meera Das"/>
    <x v="116"/>
    <x v="1"/>
    <x v="37"/>
    <x v="2"/>
    <s v="Kochi"/>
    <s v="Kerala"/>
    <x v="2"/>
    <x v="0"/>
    <s v="Sneakers"/>
    <x v="0"/>
    <n v="2"/>
    <n v="3370"/>
    <n v="0.1"/>
    <n v="2180"/>
    <s v="Credit Card"/>
    <s v="Delivered"/>
    <n v="3"/>
    <s v="Returning"/>
    <n v="6740"/>
    <n v="674"/>
    <n v="6066"/>
    <n v="3886"/>
    <n v="0.64061984833498187"/>
    <n v="2026"/>
    <s v="Sep"/>
    <s v="Q3"/>
  </r>
  <r>
    <s v="ORD10528"/>
    <x v="527"/>
    <s v="CUST1400"/>
    <s v="Sneha Sharma"/>
    <x v="49"/>
    <x v="1"/>
    <x v="39"/>
    <x v="5"/>
    <s v="Bhubaneswar"/>
    <s v="Odisha"/>
    <x v="1"/>
    <x v="0"/>
    <s v="Sneakers"/>
    <x v="0"/>
    <n v="1"/>
    <n v="3360"/>
    <n v="0.25"/>
    <n v="2100"/>
    <s v="UPI"/>
    <s v="Delivered"/>
    <n v="8"/>
    <s v="New"/>
    <n v="3360"/>
    <n v="840"/>
    <n v="2520"/>
    <n v="420"/>
    <n v="0.16666666666666666"/>
    <n v="2026"/>
    <s v="Sep"/>
    <s v="Q3"/>
  </r>
  <r>
    <s v="ORD10529"/>
    <x v="528"/>
    <s v="CUST1362"/>
    <s v="Rahul Naidu"/>
    <x v="215"/>
    <x v="1"/>
    <x v="29"/>
    <x v="3"/>
    <s v="Bengaluru"/>
    <s v="Karnataka"/>
    <x v="2"/>
    <x v="0"/>
    <s v="Jeans"/>
    <x v="19"/>
    <n v="1"/>
    <n v="2110"/>
    <n v="0.1"/>
    <n v="1200"/>
    <s v="UPI"/>
    <s v="Delivered"/>
    <n v="4"/>
    <s v="New"/>
    <n v="2110"/>
    <n v="211"/>
    <n v="1899"/>
    <n v="699"/>
    <n v="0.36808846761453395"/>
    <n v="2026"/>
    <s v="Sep"/>
    <s v="Q3"/>
  </r>
  <r>
    <s v="ORD10530"/>
    <x v="529"/>
    <s v="CUST1187"/>
    <s v="Priya Singh"/>
    <x v="0"/>
    <x v="1"/>
    <x v="7"/>
    <x v="4"/>
    <s v="Chandigarh"/>
    <s v="Chandigarh"/>
    <x v="3"/>
    <x v="0"/>
    <s v="Jacket"/>
    <x v="25"/>
    <n v="2"/>
    <n v="3890"/>
    <n v="0.05"/>
    <n v="2550"/>
    <s v="Net Banking"/>
    <s v="Delivered"/>
    <n v="3"/>
    <s v="Returning"/>
    <n v="7780"/>
    <n v="389"/>
    <n v="7391"/>
    <n v="4841"/>
    <n v="0.65498579353267483"/>
    <n v="2026"/>
    <s v="Sep"/>
    <s v="Q3"/>
  </r>
  <r>
    <s v="ORD10531"/>
    <x v="530"/>
    <s v="CUST1104"/>
    <s v="Priya Kumar"/>
    <x v="127"/>
    <x v="0"/>
    <x v="35"/>
    <x v="7"/>
    <s v="Mumbai"/>
    <s v="Maharashtra"/>
    <x v="0"/>
    <x v="2"/>
    <s v="Laptop"/>
    <x v="15"/>
    <n v="2"/>
    <n v="55250"/>
    <n v="0.25"/>
    <n v="42940"/>
    <s v="UPI"/>
    <s v="Delivered"/>
    <n v="4"/>
    <s v="Returning"/>
    <n v="110500"/>
    <n v="27625"/>
    <n v="82875"/>
    <n v="39935"/>
    <n v="0.48187028657616893"/>
    <n v="2026"/>
    <s v="Sep"/>
    <s v="Q3"/>
  </r>
  <r>
    <s v="ORD10532"/>
    <x v="531"/>
    <s v="CUST1056"/>
    <s v="Ishita Patel"/>
    <x v="209"/>
    <x v="1"/>
    <x v="23"/>
    <x v="12"/>
    <s v="Delhi"/>
    <s v="Delhi"/>
    <x v="3"/>
    <x v="4"/>
    <s v="Hair Dryer"/>
    <x v="14"/>
    <n v="1"/>
    <n v="1810"/>
    <n v="0.2"/>
    <n v="990"/>
    <s v="Credit Card"/>
    <s v="Delivered"/>
    <n v="3"/>
    <s v="Returning"/>
    <n v="1810"/>
    <n v="362"/>
    <n v="1448"/>
    <n v="458"/>
    <n v="0.31629834254143646"/>
    <n v="2026"/>
    <s v="Sep"/>
    <s v="Q3"/>
  </r>
  <r>
    <s v="ORD10533"/>
    <x v="532"/>
    <s v="CUST1498"/>
    <s v="Vivaan Bhat"/>
    <x v="35"/>
    <x v="1"/>
    <x v="9"/>
    <x v="14"/>
    <s v="Ahmedabad"/>
    <s v="Gujarat"/>
    <x v="0"/>
    <x v="4"/>
    <s v="Perfume"/>
    <x v="29"/>
    <n v="4"/>
    <n v="1710"/>
    <n v="0.3"/>
    <n v="920"/>
    <s v="Cash on Delivery"/>
    <s v="Delivered"/>
    <n v="3"/>
    <s v="New"/>
    <n v="6840"/>
    <n v="2052"/>
    <n v="4788"/>
    <n v="3868"/>
    <n v="0.8078529657477026"/>
    <n v="2026"/>
    <s v="Sep"/>
    <s v="Q3"/>
  </r>
  <r>
    <s v="ORD10534"/>
    <x v="533"/>
    <s v="CUST1180"/>
    <s v="Meera Gupta"/>
    <x v="89"/>
    <x v="0"/>
    <x v="6"/>
    <x v="14"/>
    <s v="Ahmedabad"/>
    <s v="Gujarat"/>
    <x v="0"/>
    <x v="5"/>
    <s v="Microwave"/>
    <x v="27"/>
    <n v="1"/>
    <n v="11630"/>
    <n v="0.15"/>
    <n v="7990"/>
    <s v="UPI"/>
    <s v="Returned"/>
    <n v="4"/>
    <s v="Returning"/>
    <n v="11630"/>
    <n v="1744.5"/>
    <n v="9885.5"/>
    <n v="1895.5"/>
    <n v="0.19174548581255374"/>
    <n v="2026"/>
    <s v="Sep"/>
    <s v="Q3"/>
  </r>
  <r>
    <s v="ORD10535"/>
    <x v="534"/>
    <s v="CUST1382"/>
    <s v="Sneha Verma"/>
    <x v="132"/>
    <x v="1"/>
    <x v="27"/>
    <x v="11"/>
    <s v="Chennai"/>
    <s v="Tamil Nadu"/>
    <x v="2"/>
    <x v="4"/>
    <s v="Perfume"/>
    <x v="29"/>
    <n v="3"/>
    <n v="1800"/>
    <n v="0.1"/>
    <n v="910"/>
    <s v="Debit Card"/>
    <s v="Delivered"/>
    <n v="5"/>
    <s v="New"/>
    <n v="5400"/>
    <n v="540"/>
    <n v="4860"/>
    <n v="3950"/>
    <n v="0.81275720164609055"/>
    <n v="2026"/>
    <s v="Sep"/>
    <s v="Q3"/>
  </r>
  <r>
    <s v="ORD10536"/>
    <x v="535"/>
    <s v="CUST1344"/>
    <s v="Sneha Kumar"/>
    <x v="110"/>
    <x v="0"/>
    <x v="21"/>
    <x v="2"/>
    <s v="Kochi"/>
    <s v="Kerala"/>
    <x v="2"/>
    <x v="4"/>
    <s v="Shampoo"/>
    <x v="8"/>
    <n v="1"/>
    <n v="540"/>
    <n v="0.15"/>
    <n v="230"/>
    <s v="Credit Card"/>
    <s v="Delivered"/>
    <n v="8"/>
    <s v="New"/>
    <n v="540"/>
    <n v="81"/>
    <n v="459"/>
    <n v="229"/>
    <n v="0.4989106753812636"/>
    <n v="2026"/>
    <s v="Sep"/>
    <s v="Q3"/>
  </r>
  <r>
    <s v="ORD10537"/>
    <x v="536"/>
    <s v="CUST1123"/>
    <s v="Ananya Singh"/>
    <x v="197"/>
    <x v="1"/>
    <x v="36"/>
    <x v="9"/>
    <s v="Hyderabad"/>
    <s v="Telangana"/>
    <x v="2"/>
    <x v="0"/>
    <s v="Jeans"/>
    <x v="19"/>
    <n v="1"/>
    <n v="2110"/>
    <n v="0.25"/>
    <n v="1150"/>
    <s v="Cash on Delivery"/>
    <s v="Delivered"/>
    <n v="5"/>
    <s v="Returning"/>
    <n v="2110"/>
    <n v="527.5"/>
    <n v="1582.5"/>
    <n v="432.5"/>
    <n v="0.27330173775671407"/>
    <n v="2026"/>
    <s v="Oct"/>
    <s v="Q4"/>
  </r>
  <r>
    <s v="ORD10538"/>
    <x v="537"/>
    <s v="CUST1196"/>
    <s v="Ananya Rao"/>
    <x v="189"/>
    <x v="0"/>
    <x v="37"/>
    <x v="7"/>
    <s v="Mumbai"/>
    <s v="Maharashtra"/>
    <x v="0"/>
    <x v="3"/>
    <s v="Football"/>
    <x v="10"/>
    <n v="3"/>
    <n v="1120"/>
    <n v="0.25"/>
    <n v="590"/>
    <s v="Credit Card"/>
    <s v="Delivered"/>
    <n v="5"/>
    <s v="Returning"/>
    <n v="3360"/>
    <n v="840"/>
    <n v="2520"/>
    <n v="1930"/>
    <n v="0.76587301587301593"/>
    <n v="2026"/>
    <s v="Oct"/>
    <s v="Q4"/>
  </r>
  <r>
    <s v="ORD10539"/>
    <x v="538"/>
    <s v="CUST1482"/>
    <s v="Diya Gupta"/>
    <x v="81"/>
    <x v="1"/>
    <x v="31"/>
    <x v="7"/>
    <s v="Mumbai"/>
    <s v="Maharashtra"/>
    <x v="0"/>
    <x v="2"/>
    <s v="Smartwatch"/>
    <x v="3"/>
    <n v="1"/>
    <n v="6560"/>
    <n v="0"/>
    <n v="4280"/>
    <s v="Credit Card"/>
    <s v="Pending"/>
    <n v="3"/>
    <s v="New"/>
    <n v="6560"/>
    <n v="0"/>
    <n v="6560"/>
    <n v="2280"/>
    <n v="0.34756097560975607"/>
    <n v="2026"/>
    <s v="Oct"/>
    <s v="Q4"/>
  </r>
  <r>
    <s v="ORD10540"/>
    <x v="539"/>
    <s v="CUST1365"/>
    <s v="Aditya Gupta"/>
    <x v="112"/>
    <x v="1"/>
    <x v="17"/>
    <x v="10"/>
    <s v="Jaipur"/>
    <s v="Rajasthan"/>
    <x v="3"/>
    <x v="0"/>
    <s v="Jeans"/>
    <x v="19"/>
    <n v="4"/>
    <n v="2170"/>
    <n v="0"/>
    <n v="1190"/>
    <s v="UPI"/>
    <s v="Delivered"/>
    <n v="3"/>
    <s v="New"/>
    <n v="8680"/>
    <n v="0"/>
    <n v="8680"/>
    <n v="7490"/>
    <n v="0.86290322580645162"/>
    <n v="2026"/>
    <s v="Oct"/>
    <s v="Q4"/>
  </r>
  <r>
    <s v="ORD10541"/>
    <x v="540"/>
    <s v="CUST1249"/>
    <s v="Aarav Joshi"/>
    <x v="62"/>
    <x v="0"/>
    <x v="11"/>
    <x v="6"/>
    <s v="Guwahati"/>
    <s v="Assam"/>
    <x v="1"/>
    <x v="3"/>
    <s v="Tennis Racket"/>
    <x v="17"/>
    <n v="2"/>
    <n v="4340"/>
    <n v="0"/>
    <n v="2850"/>
    <s v="Net Banking"/>
    <s v="Delivered"/>
    <n v="5"/>
    <s v="Returning"/>
    <n v="8680"/>
    <n v="0"/>
    <n v="8680"/>
    <n v="5830"/>
    <n v="0.67165898617511521"/>
    <n v="2026"/>
    <s v="Oct"/>
    <s v="Q4"/>
  </r>
  <r>
    <s v="ORD10542"/>
    <x v="541"/>
    <s v="CUST1249"/>
    <s v="Vikram Naidu"/>
    <x v="187"/>
    <x v="1"/>
    <x v="1"/>
    <x v="13"/>
    <s v="Lucknow"/>
    <s v="Uttar Pradesh"/>
    <x v="3"/>
    <x v="1"/>
    <s v="Office Chair"/>
    <x v="1"/>
    <n v="1"/>
    <n v="6030"/>
    <n v="0.15"/>
    <n v="4180"/>
    <s v="UPI"/>
    <s v="Delivered"/>
    <n v="4"/>
    <s v="Returning"/>
    <n v="6030"/>
    <n v="904.5"/>
    <n v="5125.5"/>
    <n v="945.5"/>
    <n v="0.18446980782362696"/>
    <n v="2026"/>
    <s v="Oct"/>
    <s v="Q4"/>
  </r>
  <r>
    <s v="ORD10543"/>
    <x v="542"/>
    <s v="CUST1214"/>
    <s v="Aarav Sharma"/>
    <x v="55"/>
    <x v="1"/>
    <x v="7"/>
    <x v="8"/>
    <s v="Mysuru"/>
    <s v="Karnataka"/>
    <x v="2"/>
    <x v="0"/>
    <s v="T-Shirt"/>
    <x v="2"/>
    <n v="1"/>
    <n v="970"/>
    <n v="0.15"/>
    <n v="430"/>
    <s v="Credit Card"/>
    <s v="Returned"/>
    <n v="3"/>
    <s v="Returning"/>
    <n v="970"/>
    <n v="145.5"/>
    <n v="824.5"/>
    <n v="394.5"/>
    <n v="0.47847180109157067"/>
    <n v="2026"/>
    <s v="Oct"/>
    <s v="Q4"/>
  </r>
  <r>
    <s v="ORD10544"/>
    <x v="543"/>
    <s v="CUST1397"/>
    <s v="Vikram Bhat"/>
    <x v="18"/>
    <x v="0"/>
    <x v="26"/>
    <x v="10"/>
    <s v="Jaipur"/>
    <s v="Rajasthan"/>
    <x v="3"/>
    <x v="2"/>
    <s v="Headphones"/>
    <x v="5"/>
    <n v="3"/>
    <n v="2510"/>
    <n v="0.2"/>
    <n v="1550"/>
    <s v="Net Banking"/>
    <s v="Cancelled"/>
    <n v="0"/>
    <s v="New"/>
    <n v="7530"/>
    <n v="1506"/>
    <n v="6024"/>
    <n v="4474"/>
    <n v="0.74269588313413015"/>
    <n v="2026"/>
    <s v="Oct"/>
    <s v="Q4"/>
  </r>
  <r>
    <s v="ORD10545"/>
    <x v="544"/>
    <s v="CUST1069"/>
    <s v="Aarav Sharma"/>
    <x v="55"/>
    <x v="0"/>
    <x v="16"/>
    <x v="10"/>
    <s v="Jaipur"/>
    <s v="Rajasthan"/>
    <x v="3"/>
    <x v="4"/>
    <s v="Perfume"/>
    <x v="29"/>
    <n v="5"/>
    <n v="1700"/>
    <n v="0.1"/>
    <n v="890"/>
    <s v="Debit Card"/>
    <s v="Delivered"/>
    <n v="3"/>
    <s v="Returning"/>
    <n v="8500"/>
    <n v="850"/>
    <n v="7650"/>
    <n v="6760"/>
    <n v="0.88366013071895422"/>
    <n v="2026"/>
    <s v="Oct"/>
    <s v="Q4"/>
  </r>
  <r>
    <s v="ORD10546"/>
    <x v="545"/>
    <s v="CUST1061"/>
    <s v="Rahul Bhat"/>
    <x v="172"/>
    <x v="1"/>
    <x v="42"/>
    <x v="8"/>
    <s v="Mysuru"/>
    <s v="Karnataka"/>
    <x v="2"/>
    <x v="5"/>
    <s v="Mixer Grinder"/>
    <x v="22"/>
    <n v="2"/>
    <n v="4130"/>
    <n v="0"/>
    <n v="2680"/>
    <s v="Cash on Delivery"/>
    <s v="Delivered"/>
    <n v="1"/>
    <s v="Returning"/>
    <n v="8260"/>
    <n v="0"/>
    <n v="8260"/>
    <n v="5580"/>
    <n v="0.67554479418886193"/>
    <n v="2026"/>
    <s v="Oct"/>
    <s v="Q4"/>
  </r>
  <r>
    <s v="ORD10547"/>
    <x v="546"/>
    <s v="CUST1192"/>
    <s v="Kavya Naidu"/>
    <x v="28"/>
    <x v="0"/>
    <x v="16"/>
    <x v="14"/>
    <s v="Ahmedabad"/>
    <s v="Gujarat"/>
    <x v="0"/>
    <x v="3"/>
    <s v="Tennis Racket"/>
    <x v="17"/>
    <n v="2"/>
    <n v="4490"/>
    <n v="0.15"/>
    <n v="2680"/>
    <s v="UPI"/>
    <s v="Delivered"/>
    <n v="5"/>
    <s v="Returning"/>
    <n v="8980"/>
    <n v="1347"/>
    <n v="7633"/>
    <n v="4953"/>
    <n v="0.64889296475828639"/>
    <n v="2026"/>
    <s v="Oct"/>
    <s v="Q4"/>
  </r>
  <r>
    <s v="ORD10548"/>
    <x v="547"/>
    <s v="CUST1012"/>
    <s v="Rahul Rao"/>
    <x v="216"/>
    <x v="1"/>
    <x v="12"/>
    <x v="13"/>
    <s v="Lucknow"/>
    <s v="Uttar Pradesh"/>
    <x v="3"/>
    <x v="3"/>
    <s v="Dumbbells"/>
    <x v="7"/>
    <n v="1"/>
    <n v="2700"/>
    <n v="0.15"/>
    <n v="1560"/>
    <s v="UPI"/>
    <s v="Pending"/>
    <n v="2"/>
    <s v="Returning"/>
    <n v="2700"/>
    <n v="405"/>
    <n v="2295"/>
    <n v="735"/>
    <n v="0.3202614379084967"/>
    <n v="2026"/>
    <s v="Oct"/>
    <s v="Q4"/>
  </r>
  <r>
    <s v="ORD10549"/>
    <x v="548"/>
    <s v="CUST1438"/>
    <s v="Aarav Verma"/>
    <x v="70"/>
    <x v="1"/>
    <x v="25"/>
    <x v="5"/>
    <s v="Bhubaneswar"/>
    <s v="Odisha"/>
    <x v="1"/>
    <x v="2"/>
    <s v="Tablet"/>
    <x v="4"/>
    <n v="2"/>
    <n v="23550"/>
    <n v="0.05"/>
    <n v="14790"/>
    <s v="Credit Card"/>
    <s v="Delivered"/>
    <n v="2"/>
    <s v="New"/>
    <n v="47100"/>
    <n v="2355"/>
    <n v="44745"/>
    <n v="29955"/>
    <n v="0.66946027489104931"/>
    <n v="2026"/>
    <s v="Oct"/>
    <s v="Q4"/>
  </r>
  <r>
    <s v="ORD10550"/>
    <x v="549"/>
    <s v="CUST1122"/>
    <s v="Priya Iyer"/>
    <x v="217"/>
    <x v="0"/>
    <x v="14"/>
    <x v="3"/>
    <s v="Bengaluru"/>
    <s v="Karnataka"/>
    <x v="2"/>
    <x v="4"/>
    <s v="Shampoo"/>
    <x v="8"/>
    <n v="3"/>
    <n v="500"/>
    <n v="0.1"/>
    <n v="230"/>
    <s v="Debit Card"/>
    <s v="Delivered"/>
    <n v="6"/>
    <s v="Returning"/>
    <n v="1500"/>
    <n v="150"/>
    <n v="1350"/>
    <n v="1120"/>
    <n v="0.82962962962962961"/>
    <n v="2026"/>
    <s v="Oct"/>
    <s v="Q4"/>
  </r>
  <r>
    <s v="ORD10551"/>
    <x v="550"/>
    <s v="CUST1106"/>
    <s v="Ishita Naidu"/>
    <x v="218"/>
    <x v="1"/>
    <x v="38"/>
    <x v="1"/>
    <s v="Kolkata"/>
    <s v="West Bengal"/>
    <x v="1"/>
    <x v="2"/>
    <s v="Headphones"/>
    <x v="5"/>
    <n v="1"/>
    <n v="2400"/>
    <n v="0.15"/>
    <n v="1530"/>
    <s v="Credit Card"/>
    <s v="Delivered"/>
    <n v="6"/>
    <s v="Returning"/>
    <n v="2400"/>
    <n v="360"/>
    <n v="2040"/>
    <n v="510"/>
    <n v="0.25"/>
    <n v="2026"/>
    <s v="Oct"/>
    <s v="Q4"/>
  </r>
  <r>
    <s v="ORD10552"/>
    <x v="551"/>
    <s v="CUST1242"/>
    <s v="Ananya Patel"/>
    <x v="29"/>
    <x v="1"/>
    <x v="39"/>
    <x v="13"/>
    <s v="Lucknow"/>
    <s v="Uttar Pradesh"/>
    <x v="3"/>
    <x v="1"/>
    <s v="Bedside Table"/>
    <x v="24"/>
    <n v="1"/>
    <n v="4560"/>
    <n v="0.1"/>
    <n v="2970"/>
    <s v="Cash on Delivery"/>
    <s v="Delivered"/>
    <n v="1"/>
    <s v="Returning"/>
    <n v="4560"/>
    <n v="456"/>
    <n v="4104"/>
    <n v="1134"/>
    <n v="0.27631578947368424"/>
    <n v="2026"/>
    <s v="Oct"/>
    <s v="Q4"/>
  </r>
  <r>
    <s v="ORD10553"/>
    <x v="552"/>
    <s v="CUST1305"/>
    <s v="Aarav Singh"/>
    <x v="36"/>
    <x v="0"/>
    <x v="8"/>
    <x v="0"/>
    <s v="Pune"/>
    <s v="Maharashtra"/>
    <x v="0"/>
    <x v="0"/>
    <s v="Handbag"/>
    <x v="12"/>
    <n v="2"/>
    <n v="2810"/>
    <n v="0.1"/>
    <n v="1570"/>
    <s v="UPI"/>
    <s v="Delivered"/>
    <n v="3"/>
    <s v="New"/>
    <n v="5620"/>
    <n v="562"/>
    <n v="5058"/>
    <n v="3488"/>
    <n v="0.68960063266113092"/>
    <n v="2026"/>
    <s v="Oct"/>
    <s v="Q4"/>
  </r>
  <r>
    <s v="ORD10554"/>
    <x v="553"/>
    <s v="CUST1460"/>
    <s v="Aarav Mehta"/>
    <x v="201"/>
    <x v="1"/>
    <x v="24"/>
    <x v="13"/>
    <s v="Lucknow"/>
    <s v="Uttar Pradesh"/>
    <x v="3"/>
    <x v="1"/>
    <s v="Bedside Table"/>
    <x v="24"/>
    <n v="1"/>
    <n v="4220"/>
    <n v="0.15"/>
    <n v="2880"/>
    <s v="UPI"/>
    <s v="Delivered"/>
    <n v="2"/>
    <s v="New"/>
    <n v="4220"/>
    <n v="633"/>
    <n v="3587"/>
    <n v="707"/>
    <n v="0.19710064120434903"/>
    <n v="2026"/>
    <s v="Oct"/>
    <s v="Q4"/>
  </r>
  <r>
    <s v="ORD10555"/>
    <x v="554"/>
    <s v="CUST1079"/>
    <s v="Sneha Verma"/>
    <x v="132"/>
    <x v="1"/>
    <x v="38"/>
    <x v="14"/>
    <s v="Ahmedabad"/>
    <s v="Gujarat"/>
    <x v="0"/>
    <x v="4"/>
    <s v="Face Cream"/>
    <x v="21"/>
    <n v="2"/>
    <n v="620"/>
    <n v="0.05"/>
    <n v="290"/>
    <s v="Net Banking"/>
    <s v="Delivered"/>
    <n v="2"/>
    <s v="Returning"/>
    <n v="1240"/>
    <n v="62"/>
    <n v="1178"/>
    <n v="888"/>
    <n v="0.75382003395585739"/>
    <n v="2026"/>
    <s v="Oct"/>
    <s v="Q4"/>
  </r>
  <r>
    <s v="ORD10556"/>
    <x v="555"/>
    <s v="CUST1100"/>
    <s v="Diya Reddy"/>
    <x v="79"/>
    <x v="0"/>
    <x v="30"/>
    <x v="3"/>
    <s v="Bengaluru"/>
    <s v="Karnataka"/>
    <x v="2"/>
    <x v="2"/>
    <s v="Headphones"/>
    <x v="5"/>
    <n v="4"/>
    <n v="2610"/>
    <n v="0.2"/>
    <n v="1540"/>
    <s v="UPI"/>
    <s v="Returned"/>
    <n v="2"/>
    <s v="Returning"/>
    <n v="10440"/>
    <n v="2088"/>
    <n v="8352"/>
    <n v="6812"/>
    <n v="0.81561302681992343"/>
    <n v="2026"/>
    <s v="Oct"/>
    <s v="Q4"/>
  </r>
  <r>
    <s v="ORD10557"/>
    <x v="556"/>
    <s v="CUST1041"/>
    <s v="Aarav Verma"/>
    <x v="70"/>
    <x v="0"/>
    <x v="25"/>
    <x v="10"/>
    <s v="Jaipur"/>
    <s v="Rajasthan"/>
    <x v="3"/>
    <x v="2"/>
    <s v="Smartwatch"/>
    <x v="3"/>
    <n v="5"/>
    <n v="7520"/>
    <n v="0.05"/>
    <n v="4720"/>
    <s v="Net Banking"/>
    <s v="Delivered"/>
    <n v="1"/>
    <s v="Returning"/>
    <n v="37600"/>
    <n v="1880"/>
    <n v="35720"/>
    <n v="31000"/>
    <n v="0.8678611422172452"/>
    <n v="2026"/>
    <s v="Oct"/>
    <s v="Q4"/>
  </r>
  <r>
    <s v="ORD10558"/>
    <x v="557"/>
    <s v="CUST1144"/>
    <s v="Ananya Naidu"/>
    <x v="219"/>
    <x v="0"/>
    <x v="8"/>
    <x v="0"/>
    <s v="Pune"/>
    <s v="Maharashtra"/>
    <x v="0"/>
    <x v="5"/>
    <s v="Mixer Grinder"/>
    <x v="22"/>
    <n v="1"/>
    <n v="4090"/>
    <n v="0.05"/>
    <n v="2570"/>
    <s v="Debit Card"/>
    <s v="Delivered"/>
    <n v="6"/>
    <s v="Returning"/>
    <n v="4090"/>
    <n v="204.5"/>
    <n v="3885.5"/>
    <n v="1315.5"/>
    <n v="0.3385664650624115"/>
    <n v="2026"/>
    <s v="Oct"/>
    <s v="Q4"/>
  </r>
  <r>
    <s v="ORD10559"/>
    <x v="558"/>
    <s v="CUST1074"/>
    <s v="Sneha Rao"/>
    <x v="27"/>
    <x v="1"/>
    <x v="41"/>
    <x v="3"/>
    <s v="Bengaluru"/>
    <s v="Karnataka"/>
    <x v="2"/>
    <x v="1"/>
    <s v="Bedside Table"/>
    <x v="24"/>
    <n v="1"/>
    <n v="4630"/>
    <n v="0.1"/>
    <n v="3030"/>
    <s v="Debit Card"/>
    <s v="Delivered"/>
    <n v="2"/>
    <s v="Returning"/>
    <n v="4630"/>
    <n v="463"/>
    <n v="4167"/>
    <n v="1137"/>
    <n v="0.27285817134629231"/>
    <n v="2026"/>
    <s v="Oct"/>
    <s v="Q4"/>
  </r>
  <r>
    <s v="ORD10560"/>
    <x v="559"/>
    <s v="CUST1493"/>
    <s v="Diya Sharma"/>
    <x v="220"/>
    <x v="0"/>
    <x v="24"/>
    <x v="14"/>
    <s v="Ahmedabad"/>
    <s v="Gujarat"/>
    <x v="0"/>
    <x v="0"/>
    <s v="Jeans"/>
    <x v="19"/>
    <n v="3"/>
    <n v="2100"/>
    <n v="0.15"/>
    <n v="1210"/>
    <s v="Net Banking"/>
    <s v="Delivered"/>
    <n v="2"/>
    <s v="New"/>
    <n v="6300"/>
    <n v="945"/>
    <n v="5355"/>
    <n v="4145"/>
    <n v="0.77404295051353877"/>
    <n v="2026"/>
    <s v="Oct"/>
    <s v="Q4"/>
  </r>
  <r>
    <s v="ORD10561"/>
    <x v="560"/>
    <s v="CUST1122"/>
    <s v="Ananya Das"/>
    <x v="54"/>
    <x v="1"/>
    <x v="9"/>
    <x v="3"/>
    <s v="Bengaluru"/>
    <s v="Karnataka"/>
    <x v="2"/>
    <x v="3"/>
    <s v="Tennis Racket"/>
    <x v="17"/>
    <n v="1"/>
    <n v="4500"/>
    <n v="0.25"/>
    <n v="2880"/>
    <s v="Credit Card"/>
    <s v="Delivered"/>
    <n v="4"/>
    <s v="Returning"/>
    <n v="4500"/>
    <n v="1125"/>
    <n v="3375"/>
    <n v="495"/>
    <n v="0.14666666666666667"/>
    <n v="2026"/>
    <s v="Oct"/>
    <s v="Q4"/>
  </r>
  <r>
    <s v="ORD10562"/>
    <x v="561"/>
    <s v="CUST1218"/>
    <s v="Nisha Bhat"/>
    <x v="24"/>
    <x v="0"/>
    <x v="5"/>
    <x v="8"/>
    <s v="Mysuru"/>
    <s v="Karnataka"/>
    <x v="2"/>
    <x v="1"/>
    <s v="Bookshelf"/>
    <x v="6"/>
    <n v="2"/>
    <n v="4820"/>
    <n v="0.2"/>
    <n v="3180"/>
    <s v="UPI"/>
    <s v="Delivered"/>
    <n v="5"/>
    <s v="Returning"/>
    <n v="9640"/>
    <n v="1928"/>
    <n v="7712"/>
    <n v="4532"/>
    <n v="0.58765560165975106"/>
    <n v="2026"/>
    <s v="Oct"/>
    <s v="Q4"/>
  </r>
  <r>
    <s v="ORD10563"/>
    <x v="562"/>
    <s v="CUST1417"/>
    <s v="Arjun Shah"/>
    <x v="185"/>
    <x v="0"/>
    <x v="23"/>
    <x v="11"/>
    <s v="Chennai"/>
    <s v="Tamil Nadu"/>
    <x v="2"/>
    <x v="5"/>
    <s v="Microwave"/>
    <x v="27"/>
    <n v="1"/>
    <n v="11410"/>
    <n v="0"/>
    <n v="8270"/>
    <s v="Wallet"/>
    <s v="Delivered"/>
    <n v="1"/>
    <s v="New"/>
    <n v="11410"/>
    <n v="0"/>
    <n v="11410"/>
    <n v="3140"/>
    <n v="0.27519719544259419"/>
    <n v="2026"/>
    <s v="Oct"/>
    <s v="Q4"/>
  </r>
  <r>
    <s v="ORD10564"/>
    <x v="563"/>
    <s v="CUST1486"/>
    <s v="Aditya Singh"/>
    <x v="115"/>
    <x v="0"/>
    <x v="4"/>
    <x v="9"/>
    <s v="Hyderabad"/>
    <s v="Telangana"/>
    <x v="2"/>
    <x v="0"/>
    <s v="Jacket"/>
    <x v="25"/>
    <n v="3"/>
    <n v="4220"/>
    <n v="0.05"/>
    <n v="2650"/>
    <s v="Credit Card"/>
    <s v="Delivered"/>
    <n v="4"/>
    <s v="New"/>
    <n v="12660"/>
    <n v="633"/>
    <n v="12027"/>
    <n v="9377"/>
    <n v="0.77966242620769932"/>
    <n v="2026"/>
    <s v="Oct"/>
    <s v="Q4"/>
  </r>
  <r>
    <s v="ORD10565"/>
    <x v="564"/>
    <s v="CUST1110"/>
    <s v="Nisha Bhat"/>
    <x v="24"/>
    <x v="1"/>
    <x v="13"/>
    <x v="6"/>
    <s v="Guwahati"/>
    <s v="Assam"/>
    <x v="1"/>
    <x v="0"/>
    <s v="Jacket"/>
    <x v="25"/>
    <n v="1"/>
    <n v="4420"/>
    <n v="0.05"/>
    <n v="2660"/>
    <s v="UPI"/>
    <s v="Cancelled"/>
    <n v="0"/>
    <s v="Returning"/>
    <n v="4420"/>
    <n v="221"/>
    <n v="4199"/>
    <n v="1539"/>
    <n v="0.36651583710407237"/>
    <n v="2026"/>
    <s v="Oct"/>
    <s v="Q4"/>
  </r>
  <r>
    <s v="ORD10566"/>
    <x v="565"/>
    <s v="CUST1010"/>
    <s v="Vivaan Verma"/>
    <x v="210"/>
    <x v="1"/>
    <x v="30"/>
    <x v="13"/>
    <s v="Lucknow"/>
    <s v="Uttar Pradesh"/>
    <x v="3"/>
    <x v="3"/>
    <s v="Yoga Mat"/>
    <x v="20"/>
    <n v="4"/>
    <n v="930"/>
    <n v="0.15"/>
    <n v="400"/>
    <s v="UPI"/>
    <s v="Delivered"/>
    <n v="4"/>
    <s v="Returning"/>
    <n v="3720"/>
    <n v="558"/>
    <n v="3162"/>
    <n v="2762"/>
    <n v="0.87349778621125873"/>
    <n v="2026"/>
    <s v="Oct"/>
    <s v="Q4"/>
  </r>
  <r>
    <s v="ORD10567"/>
    <x v="566"/>
    <s v="CUST1208"/>
    <s v="Vikram Reddy"/>
    <x v="221"/>
    <x v="0"/>
    <x v="16"/>
    <x v="4"/>
    <s v="Chandigarh"/>
    <s v="Chandigarh"/>
    <x v="3"/>
    <x v="2"/>
    <s v="Tablet"/>
    <x v="4"/>
    <n v="2"/>
    <n v="23390"/>
    <n v="0"/>
    <n v="16260"/>
    <s v="UPI"/>
    <s v="Delivered"/>
    <n v="10"/>
    <s v="Returning"/>
    <n v="46780"/>
    <n v="0"/>
    <n v="46780"/>
    <n v="30520"/>
    <n v="0.652415562206071"/>
    <n v="2026"/>
    <s v="Oct"/>
    <s v="Q4"/>
  </r>
  <r>
    <s v="ORD10568"/>
    <x v="567"/>
    <s v="CUST1183"/>
    <s v="Rahul Gupta"/>
    <x v="140"/>
    <x v="1"/>
    <x v="36"/>
    <x v="3"/>
    <s v="Bengaluru"/>
    <s v="Karnataka"/>
    <x v="2"/>
    <x v="3"/>
    <s v="Dumbbells"/>
    <x v="7"/>
    <n v="2"/>
    <n v="2380"/>
    <n v="0.15"/>
    <n v="1480"/>
    <s v="UPI"/>
    <s v="Delivered"/>
    <n v="2"/>
    <s v="Returning"/>
    <n v="4760"/>
    <n v="714"/>
    <n v="4046"/>
    <n v="2566"/>
    <n v="0.63420662382600101"/>
    <n v="2026"/>
    <s v="Nov"/>
    <s v="Q4"/>
  </r>
  <r>
    <s v="ORD10569"/>
    <x v="568"/>
    <s v="CUST1160"/>
    <s v="Ananya Patel"/>
    <x v="29"/>
    <x v="1"/>
    <x v="17"/>
    <x v="4"/>
    <s v="Chandigarh"/>
    <s v="Chandigarh"/>
    <x v="3"/>
    <x v="4"/>
    <s v="Shampoo"/>
    <x v="8"/>
    <n v="2"/>
    <n v="530"/>
    <n v="0.1"/>
    <n v="220"/>
    <s v="Debit Card"/>
    <s v="Delivered"/>
    <n v="4"/>
    <s v="Returning"/>
    <n v="1060"/>
    <n v="106"/>
    <n v="954"/>
    <n v="734"/>
    <n v="0.76939203354297692"/>
    <n v="2026"/>
    <s v="Nov"/>
    <s v="Q4"/>
  </r>
  <r>
    <s v="ORD10570"/>
    <x v="569"/>
    <s v="CUST1393"/>
    <s v="Ananya Verma"/>
    <x v="41"/>
    <x v="0"/>
    <x v="23"/>
    <x v="13"/>
    <s v="Lucknow"/>
    <s v="Uttar Pradesh"/>
    <x v="3"/>
    <x v="0"/>
    <s v="Jeans"/>
    <x v="19"/>
    <n v="2"/>
    <n v="2340"/>
    <n v="0.2"/>
    <n v="1250"/>
    <s v="Net Banking"/>
    <s v="Delivered"/>
    <n v="2"/>
    <s v="New"/>
    <n v="4680"/>
    <n v="936"/>
    <n v="3744"/>
    <n v="2494"/>
    <n v="0.6661324786324786"/>
    <n v="2026"/>
    <s v="Nov"/>
    <s v="Q4"/>
  </r>
  <r>
    <s v="ORD10571"/>
    <x v="570"/>
    <s v="CUST1138"/>
    <s v="Ishita Verma"/>
    <x v="174"/>
    <x v="1"/>
    <x v="41"/>
    <x v="0"/>
    <s v="Pune"/>
    <s v="Maharashtra"/>
    <x v="0"/>
    <x v="2"/>
    <s v="Tablet"/>
    <x v="4"/>
    <n v="3"/>
    <n v="22490"/>
    <n v="0"/>
    <n v="15470"/>
    <s v="Debit Card"/>
    <s v="Delivered"/>
    <n v="1"/>
    <s v="Returning"/>
    <n v="67470"/>
    <n v="0"/>
    <n v="67470"/>
    <n v="52000"/>
    <n v="0.77071290944123316"/>
    <n v="2026"/>
    <s v="Nov"/>
    <s v="Q4"/>
  </r>
  <r>
    <s v="ORD10572"/>
    <x v="571"/>
    <s v="CUST1342"/>
    <s v="Ananya Reddy"/>
    <x v="195"/>
    <x v="0"/>
    <x v="16"/>
    <x v="3"/>
    <s v="Bengaluru"/>
    <s v="Karnataka"/>
    <x v="2"/>
    <x v="2"/>
    <s v="Tablet"/>
    <x v="4"/>
    <n v="2"/>
    <n v="21920"/>
    <n v="0.15"/>
    <n v="14780"/>
    <s v="Debit Card"/>
    <s v="Delivered"/>
    <n v="3"/>
    <s v="New"/>
    <n v="43840"/>
    <n v="6576"/>
    <n v="37264"/>
    <n v="22484"/>
    <n v="0.60337054529841139"/>
    <n v="2026"/>
    <s v="Nov"/>
    <s v="Q4"/>
  </r>
  <r>
    <s v="ORD10573"/>
    <x v="572"/>
    <s v="CUST1262"/>
    <s v="Sneha Sharma"/>
    <x v="49"/>
    <x v="0"/>
    <x v="22"/>
    <x v="12"/>
    <s v="Delhi"/>
    <s v="Delhi"/>
    <x v="3"/>
    <x v="5"/>
    <s v="Microwave"/>
    <x v="27"/>
    <n v="3"/>
    <n v="12120"/>
    <n v="0.2"/>
    <n v="8220"/>
    <s v="Credit Card"/>
    <s v="Delivered"/>
    <n v="5"/>
    <s v="Returning"/>
    <n v="36360"/>
    <n v="7272"/>
    <n v="29088"/>
    <n v="20868"/>
    <n v="0.71740924092409242"/>
    <n v="2026"/>
    <s v="Nov"/>
    <s v="Q4"/>
  </r>
  <r>
    <s v="ORD10574"/>
    <x v="573"/>
    <s v="CUST1261"/>
    <s v="Priya Nair"/>
    <x v="222"/>
    <x v="1"/>
    <x v="40"/>
    <x v="9"/>
    <s v="Hyderabad"/>
    <s v="Telangana"/>
    <x v="2"/>
    <x v="0"/>
    <s v="Sneakers"/>
    <x v="0"/>
    <n v="2"/>
    <n v="3630"/>
    <n v="0.1"/>
    <n v="2050"/>
    <s v="UPI"/>
    <s v="Delivered"/>
    <n v="5"/>
    <s v="Returning"/>
    <n v="7260"/>
    <n v="726"/>
    <n v="6534"/>
    <n v="4484"/>
    <n v="0.68625650443832265"/>
    <n v="2026"/>
    <s v="Nov"/>
    <s v="Q4"/>
  </r>
  <r>
    <s v="ORD10575"/>
    <x v="574"/>
    <s v="CUST1330"/>
    <s v="Kavya Iyer"/>
    <x v="128"/>
    <x v="1"/>
    <x v="40"/>
    <x v="11"/>
    <s v="Chennai"/>
    <s v="Tamil Nadu"/>
    <x v="2"/>
    <x v="0"/>
    <s v="Jeans"/>
    <x v="19"/>
    <n v="2"/>
    <n v="2170"/>
    <n v="0.15"/>
    <n v="1180"/>
    <s v="UPI"/>
    <s v="Pending"/>
    <n v="5"/>
    <s v="New"/>
    <n v="4340"/>
    <n v="651"/>
    <n v="3689"/>
    <n v="2509"/>
    <n v="0.68013011656275413"/>
    <n v="2026"/>
    <s v="Nov"/>
    <s v="Q4"/>
  </r>
  <r>
    <s v="ORD10576"/>
    <x v="575"/>
    <s v="CUST1087"/>
    <s v="Rahul Das"/>
    <x v="223"/>
    <x v="1"/>
    <x v="21"/>
    <x v="6"/>
    <s v="Guwahati"/>
    <s v="Assam"/>
    <x v="1"/>
    <x v="2"/>
    <s v="Headphones"/>
    <x v="5"/>
    <n v="1"/>
    <n v="2340"/>
    <n v="0.05"/>
    <n v="1490"/>
    <s v="UPI"/>
    <s v="Delivered"/>
    <n v="1"/>
    <s v="Returning"/>
    <n v="2340"/>
    <n v="117"/>
    <n v="2223"/>
    <n v="733"/>
    <n v="0.32973459289248763"/>
    <n v="2026"/>
    <s v="Nov"/>
    <s v="Q4"/>
  </r>
  <r>
    <s v="ORD10577"/>
    <x v="576"/>
    <s v="CUST1027"/>
    <s v="Priya Iyer"/>
    <x v="217"/>
    <x v="1"/>
    <x v="15"/>
    <x v="9"/>
    <s v="Hyderabad"/>
    <s v="Telangana"/>
    <x v="2"/>
    <x v="0"/>
    <s v="Sneakers"/>
    <x v="0"/>
    <n v="1"/>
    <n v="3280"/>
    <n v="0.1"/>
    <n v="2190"/>
    <s v="UPI"/>
    <s v="Delivered"/>
    <n v="4"/>
    <s v="Returning"/>
    <n v="3280"/>
    <n v="328"/>
    <n v="2952"/>
    <n v="762"/>
    <n v="0.258130081300813"/>
    <n v="2026"/>
    <s v="Nov"/>
    <s v="Q4"/>
  </r>
  <r>
    <s v="ORD10578"/>
    <x v="577"/>
    <s v="CUST1107"/>
    <s v="Diya Naidu"/>
    <x v="147"/>
    <x v="1"/>
    <x v="25"/>
    <x v="14"/>
    <s v="Ahmedabad"/>
    <s v="Gujarat"/>
    <x v="0"/>
    <x v="1"/>
    <s v="Study Table"/>
    <x v="11"/>
    <n v="1"/>
    <n v="8680"/>
    <n v="0.25"/>
    <n v="5440"/>
    <s v="Debit Card"/>
    <s v="Delivered"/>
    <n v="4"/>
    <s v="Returning"/>
    <n v="8680"/>
    <n v="2170"/>
    <n v="6510"/>
    <n v="1070"/>
    <n v="0.16436251920122888"/>
    <n v="2026"/>
    <s v="Nov"/>
    <s v="Q4"/>
  </r>
  <r>
    <s v="ORD10579"/>
    <x v="578"/>
    <s v="CUST1056"/>
    <s v="Sneha Shah"/>
    <x v="151"/>
    <x v="1"/>
    <x v="29"/>
    <x v="8"/>
    <s v="Mysuru"/>
    <s v="Karnataka"/>
    <x v="2"/>
    <x v="0"/>
    <s v="Jeans"/>
    <x v="19"/>
    <n v="1"/>
    <n v="2030"/>
    <n v="0.25"/>
    <n v="1160"/>
    <s v="Credit Card"/>
    <s v="Delivered"/>
    <n v="6"/>
    <s v="Returning"/>
    <n v="2030"/>
    <n v="507.5"/>
    <n v="1522.5"/>
    <n v="362.5"/>
    <n v="0.23809523809523808"/>
    <n v="2026"/>
    <s v="Nov"/>
    <s v="Q4"/>
  </r>
  <r>
    <s v="ORD10580"/>
    <x v="579"/>
    <s v="CUST1170"/>
    <s v="Kavya Gupta"/>
    <x v="193"/>
    <x v="1"/>
    <x v="24"/>
    <x v="7"/>
    <s v="Mumbai"/>
    <s v="Maharashtra"/>
    <x v="0"/>
    <x v="0"/>
    <s v="Handbag"/>
    <x v="12"/>
    <n v="1"/>
    <n v="2900"/>
    <n v="0.15"/>
    <n v="1620"/>
    <s v="UPI"/>
    <s v="Delivered"/>
    <n v="2"/>
    <s v="Returning"/>
    <n v="2900"/>
    <n v="435"/>
    <n v="2465"/>
    <n v="845"/>
    <n v="0.34279918864097364"/>
    <n v="2026"/>
    <s v="Nov"/>
    <s v="Q4"/>
  </r>
  <r>
    <s v="ORD10581"/>
    <x v="580"/>
    <s v="CUST1087"/>
    <s v="Priya Mehta"/>
    <x v="46"/>
    <x v="0"/>
    <x v="16"/>
    <x v="1"/>
    <s v="Kolkata"/>
    <s v="West Bengal"/>
    <x v="1"/>
    <x v="1"/>
    <s v="Study Table"/>
    <x v="11"/>
    <n v="1"/>
    <n v="8840"/>
    <n v="0.15"/>
    <n v="5740"/>
    <s v="Credit Card"/>
    <s v="Cancelled"/>
    <n v="0"/>
    <s v="Returning"/>
    <n v="8840"/>
    <n v="1326"/>
    <n v="7514"/>
    <n v="1774"/>
    <n v="0.2360926270960873"/>
    <n v="2026"/>
    <s v="Nov"/>
    <s v="Q4"/>
  </r>
  <r>
    <s v="ORD10582"/>
    <x v="581"/>
    <s v="CUST1281"/>
    <s v="Karan Nair"/>
    <x v="129"/>
    <x v="1"/>
    <x v="2"/>
    <x v="5"/>
    <s v="Bhubaneswar"/>
    <s v="Odisha"/>
    <x v="1"/>
    <x v="1"/>
    <s v="Bedside Table"/>
    <x v="24"/>
    <n v="1"/>
    <n v="4560"/>
    <n v="0.1"/>
    <n v="2820"/>
    <s v="Credit Card"/>
    <s v="Delivered"/>
    <n v="5"/>
    <s v="Returning"/>
    <n v="4560"/>
    <n v="456"/>
    <n v="4104"/>
    <n v="1284"/>
    <n v="0.3128654970760234"/>
    <n v="2026"/>
    <s v="Nov"/>
    <s v="Q4"/>
  </r>
  <r>
    <s v="ORD10583"/>
    <x v="582"/>
    <s v="CUST1454"/>
    <s v="Aarav Reddy"/>
    <x v="31"/>
    <x v="1"/>
    <x v="13"/>
    <x v="6"/>
    <s v="Guwahati"/>
    <s v="Assam"/>
    <x v="1"/>
    <x v="2"/>
    <s v="Smartphone"/>
    <x v="13"/>
    <n v="2"/>
    <n v="17480"/>
    <n v="0.1"/>
    <n v="13110"/>
    <s v="UPI"/>
    <s v="Delivered"/>
    <n v="6"/>
    <s v="New"/>
    <n v="34960"/>
    <n v="3496"/>
    <n v="31464"/>
    <n v="18354"/>
    <n v="0.58333333333333337"/>
    <n v="2026"/>
    <s v="Nov"/>
    <s v="Q4"/>
  </r>
  <r>
    <s v="ORD10584"/>
    <x v="583"/>
    <s v="CUST1231"/>
    <s v="Rahul Singh"/>
    <x v="167"/>
    <x v="1"/>
    <x v="13"/>
    <x v="10"/>
    <s v="Jaipur"/>
    <s v="Rajasthan"/>
    <x v="3"/>
    <x v="2"/>
    <s v="Tablet"/>
    <x v="4"/>
    <n v="2"/>
    <n v="22440"/>
    <n v="0.15"/>
    <n v="14830"/>
    <s v="Debit Card"/>
    <s v="Cancelled"/>
    <n v="0"/>
    <s v="Returning"/>
    <n v="44880"/>
    <n v="6732"/>
    <n v="38148"/>
    <n v="23318"/>
    <n v="0.61125091747929117"/>
    <n v="2026"/>
    <s v="Nov"/>
    <s v="Q4"/>
  </r>
  <r>
    <s v="ORD10585"/>
    <x v="584"/>
    <s v="CUST1362"/>
    <s v="Rohan Gupta"/>
    <x v="42"/>
    <x v="0"/>
    <x v="8"/>
    <x v="9"/>
    <s v="Hyderabad"/>
    <s v="Telangana"/>
    <x v="2"/>
    <x v="2"/>
    <s v="Smartwatch"/>
    <x v="3"/>
    <n v="2"/>
    <n v="6550"/>
    <n v="0.05"/>
    <n v="4460"/>
    <s v="UPI"/>
    <s v="Returned"/>
    <n v="2"/>
    <s v="New"/>
    <n v="13100"/>
    <n v="655"/>
    <n v="12445"/>
    <n v="7985"/>
    <n v="0.64162314182402569"/>
    <n v="2026"/>
    <s v="Nov"/>
    <s v="Q4"/>
  </r>
  <r>
    <s v="ORD10586"/>
    <x v="585"/>
    <s v="CUST1387"/>
    <s v="Arjun Nair"/>
    <x v="26"/>
    <x v="0"/>
    <x v="34"/>
    <x v="5"/>
    <s v="Bhubaneswar"/>
    <s v="Odisha"/>
    <x v="1"/>
    <x v="5"/>
    <s v="Electric Kettle"/>
    <x v="18"/>
    <n v="2"/>
    <n v="1680"/>
    <n v="0.1"/>
    <n v="980"/>
    <s v="Debit Card"/>
    <s v="Returned"/>
    <n v="3"/>
    <s v="New"/>
    <n v="3360"/>
    <n v="336"/>
    <n v="3024"/>
    <n v="2044"/>
    <n v="0.67592592592592593"/>
    <n v="2026"/>
    <s v="Nov"/>
    <s v="Q4"/>
  </r>
  <r>
    <s v="ORD10587"/>
    <x v="586"/>
    <s v="CUST1301"/>
    <s v="Sneha Iyer"/>
    <x v="2"/>
    <x v="1"/>
    <x v="12"/>
    <x v="0"/>
    <s v="Pune"/>
    <s v="Maharashtra"/>
    <x v="0"/>
    <x v="5"/>
    <s v="Electric Kettle"/>
    <x v="18"/>
    <n v="2"/>
    <n v="1780"/>
    <n v="0.1"/>
    <n v="920"/>
    <s v="UPI"/>
    <s v="Delivered"/>
    <n v="1"/>
    <s v="New"/>
    <n v="3560"/>
    <n v="356"/>
    <n v="3204"/>
    <n v="2284"/>
    <n v="0.71285892634207237"/>
    <n v="2026"/>
    <s v="Nov"/>
    <s v="Q4"/>
  </r>
  <r>
    <s v="ORD10588"/>
    <x v="587"/>
    <s v="CUST1234"/>
    <s v="Vivaan Bhat"/>
    <x v="35"/>
    <x v="0"/>
    <x v="10"/>
    <x v="4"/>
    <s v="Chandigarh"/>
    <s v="Chandigarh"/>
    <x v="3"/>
    <x v="3"/>
    <s v="Football"/>
    <x v="10"/>
    <n v="2"/>
    <n v="1290"/>
    <n v="0.05"/>
    <n v="610"/>
    <s v="Cash on Delivery"/>
    <s v="Delivered"/>
    <n v="3"/>
    <s v="Returning"/>
    <n v="2580"/>
    <n v="129"/>
    <n v="2451"/>
    <n v="1841"/>
    <n v="0.75112199102407184"/>
    <n v="2026"/>
    <s v="Nov"/>
    <s v="Q4"/>
  </r>
  <r>
    <s v="ORD10589"/>
    <x v="588"/>
    <s v="CUST1221"/>
    <s v="Kavya Bhat"/>
    <x v="224"/>
    <x v="1"/>
    <x v="30"/>
    <x v="10"/>
    <s v="Jaipur"/>
    <s v="Rajasthan"/>
    <x v="3"/>
    <x v="2"/>
    <s v="Laptop"/>
    <x v="15"/>
    <n v="2"/>
    <n v="55440"/>
    <n v="0.2"/>
    <n v="40340"/>
    <s v="Cash on Delivery"/>
    <s v="Delivered"/>
    <n v="3"/>
    <s v="Returning"/>
    <n v="110880"/>
    <n v="22176"/>
    <n v="88704"/>
    <n v="48364"/>
    <n v="0.54522907647907648"/>
    <n v="2026"/>
    <s v="Nov"/>
    <s v="Q4"/>
  </r>
  <r>
    <s v="ORD10590"/>
    <x v="589"/>
    <s v="CUST1368"/>
    <s v="Karan Rao"/>
    <x v="136"/>
    <x v="0"/>
    <x v="7"/>
    <x v="0"/>
    <s v="Pune"/>
    <s v="Maharashtra"/>
    <x v="0"/>
    <x v="2"/>
    <s v="Tablet"/>
    <x v="4"/>
    <n v="2"/>
    <n v="23230"/>
    <n v="0.15"/>
    <n v="15490"/>
    <s v="UPI"/>
    <s v="Returned"/>
    <n v="4"/>
    <s v="New"/>
    <n v="46460"/>
    <n v="6969"/>
    <n v="39491"/>
    <n v="24001"/>
    <n v="0.60775872983717805"/>
    <n v="2026"/>
    <s v="Nov"/>
    <s v="Q4"/>
  </r>
  <r>
    <s v="ORD10591"/>
    <x v="590"/>
    <s v="CUST1339"/>
    <s v="Ananya Verma"/>
    <x v="41"/>
    <x v="0"/>
    <x v="16"/>
    <x v="9"/>
    <s v="Hyderabad"/>
    <s v="Telangana"/>
    <x v="2"/>
    <x v="1"/>
    <s v="Office Chair"/>
    <x v="1"/>
    <n v="3"/>
    <n v="6070"/>
    <n v="0.2"/>
    <n v="4270"/>
    <s v="Cash on Delivery"/>
    <s v="Delivered"/>
    <n v="4"/>
    <s v="New"/>
    <n v="18210"/>
    <n v="3642"/>
    <n v="14568"/>
    <n v="10298"/>
    <n v="0.70689181768259202"/>
    <n v="2026"/>
    <s v="Nov"/>
    <s v="Q4"/>
  </r>
  <r>
    <s v="ORD10592"/>
    <x v="591"/>
    <s v="CUST1096"/>
    <s v="Aarav Kumar"/>
    <x v="19"/>
    <x v="1"/>
    <x v="28"/>
    <x v="1"/>
    <s v="Kolkata"/>
    <s v="West Bengal"/>
    <x v="1"/>
    <x v="1"/>
    <s v="Office Chair"/>
    <x v="1"/>
    <n v="2"/>
    <n v="6990"/>
    <n v="0"/>
    <n v="4120"/>
    <s v="Credit Card"/>
    <s v="Delivered"/>
    <n v="2"/>
    <s v="Returning"/>
    <n v="13980"/>
    <n v="0"/>
    <n v="13980"/>
    <n v="9860"/>
    <n v="0.70529327610872672"/>
    <n v="2026"/>
    <s v="Nov"/>
    <s v="Q4"/>
  </r>
  <r>
    <s v="ORD10593"/>
    <x v="592"/>
    <s v="CUST1168"/>
    <s v="Aarav Sharma"/>
    <x v="55"/>
    <x v="0"/>
    <x v="18"/>
    <x v="0"/>
    <s v="Pune"/>
    <s v="Maharashtra"/>
    <x v="0"/>
    <x v="0"/>
    <s v="Jeans"/>
    <x v="19"/>
    <n v="1"/>
    <n v="2200"/>
    <n v="0.1"/>
    <n v="1180"/>
    <s v="Credit Card"/>
    <s v="Delivered"/>
    <n v="4"/>
    <s v="Returning"/>
    <n v="2200"/>
    <n v="220"/>
    <n v="1980"/>
    <n v="800"/>
    <n v="0.40404040404040403"/>
    <n v="2026"/>
    <s v="Nov"/>
    <s v="Q4"/>
  </r>
  <r>
    <s v="ORD10594"/>
    <x v="593"/>
    <s v="CUST1425"/>
    <s v="Priya Rao"/>
    <x v="158"/>
    <x v="1"/>
    <x v="32"/>
    <x v="4"/>
    <s v="Chandigarh"/>
    <s v="Chandigarh"/>
    <x v="3"/>
    <x v="4"/>
    <s v="Shampoo"/>
    <x v="8"/>
    <n v="1"/>
    <n v="540"/>
    <n v="0"/>
    <n v="230"/>
    <s v="UPI"/>
    <s v="Returned"/>
    <n v="4"/>
    <s v="New"/>
    <n v="540"/>
    <n v="0"/>
    <n v="540"/>
    <n v="310"/>
    <n v="0.57407407407407407"/>
    <n v="2026"/>
    <s v="Nov"/>
    <s v="Q4"/>
  </r>
  <r>
    <s v="ORD10595"/>
    <x v="594"/>
    <s v="CUST1095"/>
    <s v="Kavya Reddy"/>
    <x v="203"/>
    <x v="1"/>
    <x v="2"/>
    <x v="11"/>
    <s v="Chennai"/>
    <s v="Tamil Nadu"/>
    <x v="2"/>
    <x v="1"/>
    <s v="Sofa"/>
    <x v="16"/>
    <n v="5"/>
    <n v="29780"/>
    <n v="0"/>
    <n v="19530"/>
    <s v="Debit Card"/>
    <s v="Delivered"/>
    <n v="7"/>
    <s v="Returning"/>
    <n v="148900"/>
    <n v="0"/>
    <n v="148900"/>
    <n v="129370"/>
    <n v="0.86883814640698454"/>
    <n v="2026"/>
    <s v="Nov"/>
    <s v="Q4"/>
  </r>
  <r>
    <s v="ORD10596"/>
    <x v="595"/>
    <s v="CUST1475"/>
    <s v="Nisha Kumar"/>
    <x v="186"/>
    <x v="1"/>
    <x v="40"/>
    <x v="13"/>
    <s v="Lucknow"/>
    <s v="Uttar Pradesh"/>
    <x v="3"/>
    <x v="2"/>
    <s v="Tablet"/>
    <x v="4"/>
    <n v="1"/>
    <n v="21690"/>
    <n v="0"/>
    <n v="15140"/>
    <s v="Cash on Delivery"/>
    <s v="Delivered"/>
    <n v="5"/>
    <s v="New"/>
    <n v="21690"/>
    <n v="0"/>
    <n v="21690"/>
    <n v="6550"/>
    <n v="0.3019824804057169"/>
    <n v="2026"/>
    <s v="Nov"/>
    <s v="Q4"/>
  </r>
  <r>
    <s v="ORD10597"/>
    <x v="596"/>
    <s v="CUST1008"/>
    <s v="Nisha Reddy"/>
    <x v="22"/>
    <x v="1"/>
    <x v="15"/>
    <x v="6"/>
    <s v="Guwahati"/>
    <s v="Assam"/>
    <x v="1"/>
    <x v="5"/>
    <s v="Microwave"/>
    <x v="27"/>
    <n v="3"/>
    <n v="12650"/>
    <n v="0.15"/>
    <n v="7980"/>
    <s v="UPI"/>
    <s v="Delivered"/>
    <n v="2"/>
    <s v="Returning"/>
    <n v="37950"/>
    <n v="5692.5"/>
    <n v="32257.5"/>
    <n v="24277.5"/>
    <n v="0.75261567077423852"/>
    <n v="2026"/>
    <s v="Nov"/>
    <s v="Q4"/>
  </r>
  <r>
    <s v="ORD10598"/>
    <x v="597"/>
    <s v="CUST1387"/>
    <s v="Arjun Sharma"/>
    <x v="225"/>
    <x v="1"/>
    <x v="42"/>
    <x v="10"/>
    <s v="Jaipur"/>
    <s v="Rajasthan"/>
    <x v="3"/>
    <x v="4"/>
    <s v="Perfume"/>
    <x v="29"/>
    <n v="1"/>
    <n v="1940"/>
    <n v="0"/>
    <n v="890"/>
    <s v="UPI"/>
    <s v="Returned"/>
    <n v="2"/>
    <s v="New"/>
    <n v="1940"/>
    <n v="0"/>
    <n v="1940"/>
    <n v="1050"/>
    <n v="0.54123711340206182"/>
    <n v="2026"/>
    <s v="Dec"/>
    <s v="Q4"/>
  </r>
  <r>
    <s v="ORD10599"/>
    <x v="598"/>
    <s v="CUST1078"/>
    <s v="Aditya Shah"/>
    <x v="10"/>
    <x v="0"/>
    <x v="19"/>
    <x v="4"/>
    <s v="Chandigarh"/>
    <s v="Chandigarh"/>
    <x v="3"/>
    <x v="4"/>
    <s v="Perfume"/>
    <x v="29"/>
    <n v="3"/>
    <n v="1730"/>
    <n v="0.15"/>
    <n v="870"/>
    <s v="UPI"/>
    <s v="Delivered"/>
    <n v="4"/>
    <s v="Returning"/>
    <n v="5190"/>
    <n v="778.5"/>
    <n v="4411.5"/>
    <n v="3541.5"/>
    <n v="0.80278816729003744"/>
    <n v="2026"/>
    <s v="Dec"/>
    <s v="Q4"/>
  </r>
  <r>
    <s v="ORD10600"/>
    <x v="599"/>
    <s v="CUST1308"/>
    <s v="Priya Rao"/>
    <x v="158"/>
    <x v="1"/>
    <x v="42"/>
    <x v="1"/>
    <s v="Kolkata"/>
    <s v="West Bengal"/>
    <x v="1"/>
    <x v="5"/>
    <s v="Electric Kettle"/>
    <x v="18"/>
    <n v="1"/>
    <n v="1840"/>
    <n v="0.05"/>
    <n v="910"/>
    <s v="Cash on Delivery"/>
    <s v="Delivered"/>
    <n v="3"/>
    <s v="New"/>
    <n v="1840"/>
    <n v="92"/>
    <n v="1748"/>
    <n v="838"/>
    <n v="0.4794050343249428"/>
    <n v="2026"/>
    <s v="Dec"/>
    <s v="Q4"/>
  </r>
  <r>
    <s v="ORD10601"/>
    <x v="600"/>
    <s v="CUST1411"/>
    <s v="Priya Naidu"/>
    <x v="25"/>
    <x v="0"/>
    <x v="9"/>
    <x v="6"/>
    <s v="Guwahati"/>
    <s v="Assam"/>
    <x v="1"/>
    <x v="2"/>
    <s v="Smartphone"/>
    <x v="13"/>
    <n v="1"/>
    <n v="18600"/>
    <n v="0"/>
    <n v="12960"/>
    <s v="UPI"/>
    <s v="Delivered"/>
    <n v="2"/>
    <s v="New"/>
    <n v="18600"/>
    <n v="0"/>
    <n v="18600"/>
    <n v="5640"/>
    <n v="0.3032258064516129"/>
    <n v="2026"/>
    <s v="Dec"/>
    <s v="Q4"/>
  </r>
  <r>
    <s v="ORD10602"/>
    <x v="601"/>
    <s v="CUST1319"/>
    <s v="Ishita Rao"/>
    <x v="137"/>
    <x v="0"/>
    <x v="16"/>
    <x v="9"/>
    <s v="Hyderabad"/>
    <s v="Telangana"/>
    <x v="2"/>
    <x v="1"/>
    <s v="Sofa"/>
    <x v="16"/>
    <n v="2"/>
    <n v="27230"/>
    <n v="0.2"/>
    <n v="19730"/>
    <s v="Credit Card"/>
    <s v="Delivered"/>
    <n v="7"/>
    <s v="New"/>
    <n v="54460"/>
    <n v="10892"/>
    <n v="43568"/>
    <n v="23838"/>
    <n v="0.5471446933529196"/>
    <n v="2026"/>
    <s v="Dec"/>
    <s v="Q4"/>
  </r>
  <r>
    <s v="ORD10603"/>
    <x v="602"/>
    <s v="CUST1066"/>
    <s v="Ananya Rao"/>
    <x v="189"/>
    <x v="1"/>
    <x v="34"/>
    <x v="11"/>
    <s v="Chennai"/>
    <s v="Tamil Nadu"/>
    <x v="2"/>
    <x v="0"/>
    <s v="T-Shirt"/>
    <x v="2"/>
    <n v="1"/>
    <n v="930"/>
    <n v="0"/>
    <n v="440"/>
    <s v="UPI"/>
    <s v="Delivered"/>
    <n v="5"/>
    <s v="Returning"/>
    <n v="930"/>
    <n v="0"/>
    <n v="930"/>
    <n v="490"/>
    <n v="0.5268817204301075"/>
    <n v="2026"/>
    <s v="Dec"/>
    <s v="Q4"/>
  </r>
  <r>
    <s v="ORD10604"/>
    <x v="603"/>
    <s v="CUST1093"/>
    <s v="Diya Joshi"/>
    <x v="118"/>
    <x v="1"/>
    <x v="33"/>
    <x v="8"/>
    <s v="Mysuru"/>
    <s v="Karnataka"/>
    <x v="2"/>
    <x v="2"/>
    <s v="Smartwatch"/>
    <x v="3"/>
    <n v="2"/>
    <n v="7500"/>
    <n v="0.15"/>
    <n v="4300"/>
    <s v="Net Banking"/>
    <s v="Returned"/>
    <n v="3"/>
    <s v="Returning"/>
    <n v="15000"/>
    <n v="2250"/>
    <n v="12750"/>
    <n v="8450"/>
    <n v="0.66274509803921566"/>
    <n v="2026"/>
    <s v="Dec"/>
    <s v="Q4"/>
  </r>
  <r>
    <s v="ORD10605"/>
    <x v="604"/>
    <s v="CUST1262"/>
    <s v="Aditya Nair"/>
    <x v="117"/>
    <x v="1"/>
    <x v="40"/>
    <x v="11"/>
    <s v="Chennai"/>
    <s v="Tamil Nadu"/>
    <x v="2"/>
    <x v="1"/>
    <s v="Sofa"/>
    <x v="16"/>
    <n v="2"/>
    <n v="28380"/>
    <n v="0.2"/>
    <n v="21500"/>
    <s v="Credit Card"/>
    <s v="Delivered"/>
    <n v="5"/>
    <s v="Returning"/>
    <n v="56760"/>
    <n v="11352"/>
    <n v="45408"/>
    <n v="23908"/>
    <n v="0.52651515151515149"/>
    <n v="2026"/>
    <s v="Dec"/>
    <s v="Q4"/>
  </r>
  <r>
    <s v="ORD10606"/>
    <x v="605"/>
    <s v="CUST1394"/>
    <s v="Vivaan Rao"/>
    <x v="200"/>
    <x v="1"/>
    <x v="22"/>
    <x v="12"/>
    <s v="Delhi"/>
    <s v="Delhi"/>
    <x v="3"/>
    <x v="5"/>
    <s v="Air Fryer"/>
    <x v="26"/>
    <n v="1"/>
    <n v="6990"/>
    <n v="0.15"/>
    <n v="4160"/>
    <s v="UPI"/>
    <s v="Delivered"/>
    <n v="2"/>
    <s v="New"/>
    <n v="6990"/>
    <n v="1048.5"/>
    <n v="5941.5"/>
    <n v="1781.5"/>
    <n v="0.2998401077169065"/>
    <n v="2026"/>
    <s v="Dec"/>
    <s v="Q4"/>
  </r>
  <r>
    <s v="ORD10607"/>
    <x v="606"/>
    <s v="CUST1112"/>
    <s v="Kavya Singh"/>
    <x v="150"/>
    <x v="0"/>
    <x v="25"/>
    <x v="0"/>
    <s v="Pune"/>
    <s v="Maharashtra"/>
    <x v="0"/>
    <x v="4"/>
    <s v="Face Cream"/>
    <x v="21"/>
    <n v="1"/>
    <n v="610"/>
    <n v="0.05"/>
    <n v="310"/>
    <s v="UPI"/>
    <s v="Delivered"/>
    <n v="4"/>
    <s v="Returning"/>
    <n v="610"/>
    <n v="30.5"/>
    <n v="579.5"/>
    <n v="269.5"/>
    <n v="0.46505608283002586"/>
    <n v="2026"/>
    <s v="Dec"/>
    <s v="Q4"/>
  </r>
  <r>
    <s v="ORD10608"/>
    <x v="607"/>
    <s v="CUST1005"/>
    <s v="Diya Gupta"/>
    <x v="81"/>
    <x v="0"/>
    <x v="1"/>
    <x v="2"/>
    <s v="Kochi"/>
    <s v="Kerala"/>
    <x v="2"/>
    <x v="1"/>
    <s v="Bedside Table"/>
    <x v="24"/>
    <n v="4"/>
    <n v="4530"/>
    <n v="0.05"/>
    <n v="2790"/>
    <s v="Debit Card"/>
    <s v="Delivered"/>
    <n v="3"/>
    <s v="Returning"/>
    <n v="18120"/>
    <n v="906"/>
    <n v="17214"/>
    <n v="14424"/>
    <n v="0.83792262112234228"/>
    <n v="2026"/>
    <s v="Dec"/>
    <s v="Q4"/>
  </r>
  <r>
    <s v="ORD10609"/>
    <x v="608"/>
    <s v="CUST1389"/>
    <s v="Ishita Singh"/>
    <x v="72"/>
    <x v="1"/>
    <x v="11"/>
    <x v="13"/>
    <s v="Lucknow"/>
    <s v="Uttar Pradesh"/>
    <x v="3"/>
    <x v="0"/>
    <s v="Handbag"/>
    <x v="12"/>
    <n v="1"/>
    <n v="2980"/>
    <n v="0"/>
    <n v="1630"/>
    <s v="Credit Card"/>
    <s v="Returned"/>
    <n v="2"/>
    <s v="New"/>
    <n v="2980"/>
    <n v="0"/>
    <n v="2980"/>
    <n v="1350"/>
    <n v="0.45302013422818793"/>
    <n v="2026"/>
    <s v="Dec"/>
    <s v="Q4"/>
  </r>
  <r>
    <s v="ORD10610"/>
    <x v="609"/>
    <s v="CUST1272"/>
    <s v="Aditya Rao"/>
    <x v="145"/>
    <x v="1"/>
    <x v="11"/>
    <x v="6"/>
    <s v="Guwahati"/>
    <s v="Assam"/>
    <x v="1"/>
    <x v="4"/>
    <s v="Face Cream"/>
    <x v="21"/>
    <n v="1"/>
    <n v="640"/>
    <n v="0"/>
    <n v="310"/>
    <s v="Credit Card"/>
    <s v="Delivered"/>
    <n v="5"/>
    <s v="Returning"/>
    <n v="640"/>
    <n v="0"/>
    <n v="640"/>
    <n v="330"/>
    <n v="0.515625"/>
    <n v="2026"/>
    <s v="Dec"/>
    <s v="Q4"/>
  </r>
  <r>
    <s v="ORD10611"/>
    <x v="610"/>
    <s v="CUST1360"/>
    <s v="Vikram Rao"/>
    <x v="15"/>
    <x v="0"/>
    <x v="10"/>
    <x v="3"/>
    <s v="Bengaluru"/>
    <s v="Karnataka"/>
    <x v="2"/>
    <x v="2"/>
    <s v="Headphones"/>
    <x v="5"/>
    <n v="1"/>
    <n v="2320"/>
    <n v="0.2"/>
    <n v="1470"/>
    <s v="UPI"/>
    <s v="Delivered"/>
    <n v="3"/>
    <s v="New"/>
    <n v="2320"/>
    <n v="464"/>
    <n v="1856"/>
    <n v="386"/>
    <n v="0.20797413793103448"/>
    <n v="2026"/>
    <s v="Dec"/>
    <s v="Q4"/>
  </r>
  <r>
    <s v="ORD10612"/>
    <x v="611"/>
    <s v="CUST1417"/>
    <s v="Nisha Gupta"/>
    <x v="138"/>
    <x v="1"/>
    <x v="35"/>
    <x v="6"/>
    <s v="Guwahati"/>
    <s v="Assam"/>
    <x v="1"/>
    <x v="5"/>
    <s v="Mixer Grinder"/>
    <x v="22"/>
    <n v="2"/>
    <n v="3940"/>
    <n v="0.05"/>
    <n v="2660"/>
    <s v="Cash on Delivery"/>
    <s v="Delivered"/>
    <n v="4"/>
    <s v="New"/>
    <n v="7880"/>
    <n v="394"/>
    <n v="7486"/>
    <n v="4826"/>
    <n v="0.64467005076142136"/>
    <n v="2026"/>
    <s v="Dec"/>
    <s v="Q4"/>
  </r>
  <r>
    <s v="ORD10613"/>
    <x v="612"/>
    <s v="CUST1267"/>
    <s v="Sneha Mehta"/>
    <x v="226"/>
    <x v="1"/>
    <x v="13"/>
    <x v="8"/>
    <s v="Mysuru"/>
    <s v="Karnataka"/>
    <x v="2"/>
    <x v="2"/>
    <s v="Laptop"/>
    <x v="15"/>
    <n v="2"/>
    <n v="52840"/>
    <n v="0"/>
    <n v="40150"/>
    <s v="Credit Card"/>
    <s v="Delivered"/>
    <n v="2"/>
    <s v="Returning"/>
    <n v="105680"/>
    <n v="0"/>
    <n v="105680"/>
    <n v="65530"/>
    <n v="0.62007948523845569"/>
    <n v="2026"/>
    <s v="Dec"/>
    <s v="Q4"/>
  </r>
  <r>
    <s v="ORD10614"/>
    <x v="613"/>
    <s v="CUST1165"/>
    <s v="Ananya Das"/>
    <x v="54"/>
    <x v="0"/>
    <x v="42"/>
    <x v="12"/>
    <s v="Delhi"/>
    <s v="Delhi"/>
    <x v="3"/>
    <x v="0"/>
    <s v="T-Shirt"/>
    <x v="2"/>
    <n v="5"/>
    <n v="930"/>
    <n v="0.25"/>
    <n v="460"/>
    <s v="UPI"/>
    <s v="Delivered"/>
    <n v="3"/>
    <s v="Returning"/>
    <n v="4650"/>
    <n v="1162.5"/>
    <n v="3487.5"/>
    <n v="3027.5"/>
    <n v="0.86810035842293909"/>
    <n v="2026"/>
    <s v="Dec"/>
    <s v="Q4"/>
  </r>
  <r>
    <s v="ORD10615"/>
    <x v="614"/>
    <s v="CUST1227"/>
    <s v="Arjun Gupta"/>
    <x v="109"/>
    <x v="0"/>
    <x v="6"/>
    <x v="7"/>
    <s v="Mumbai"/>
    <s v="Maharashtra"/>
    <x v="0"/>
    <x v="1"/>
    <s v="Sofa"/>
    <x v="16"/>
    <n v="1"/>
    <n v="27780"/>
    <n v="0.2"/>
    <n v="20690"/>
    <s v="UPI"/>
    <s v="Delivered"/>
    <n v="4"/>
    <s v="Returning"/>
    <n v="27780"/>
    <n v="5556"/>
    <n v="22224"/>
    <n v="1534"/>
    <n v="6.9024478041756654E-2"/>
    <n v="2026"/>
    <s v="Dec"/>
    <s v="Q4"/>
  </r>
  <r>
    <s v="ORD10616"/>
    <x v="615"/>
    <s v="CUST1446"/>
    <s v="Vivaan Das"/>
    <x v="17"/>
    <x v="1"/>
    <x v="34"/>
    <x v="8"/>
    <s v="Mysuru"/>
    <s v="Karnataka"/>
    <x v="2"/>
    <x v="4"/>
    <s v="Perfume"/>
    <x v="29"/>
    <n v="1"/>
    <n v="1750"/>
    <n v="0.15"/>
    <n v="870"/>
    <s v="Debit Card"/>
    <s v="Cancelled"/>
    <n v="0"/>
    <s v="New"/>
    <n v="1750"/>
    <n v="262.5"/>
    <n v="1487.5"/>
    <n v="617.5"/>
    <n v="0.41512605042016809"/>
    <n v="2026"/>
    <s v="Dec"/>
    <s v="Q4"/>
  </r>
  <r>
    <s v="ORD10617"/>
    <x v="616"/>
    <s v="CUST1222"/>
    <s v="Meera Das"/>
    <x v="116"/>
    <x v="0"/>
    <x v="13"/>
    <x v="12"/>
    <s v="Delhi"/>
    <s v="Delhi"/>
    <x v="3"/>
    <x v="2"/>
    <s v="Smartphone"/>
    <x v="13"/>
    <n v="5"/>
    <n v="18330"/>
    <n v="0.2"/>
    <n v="11980"/>
    <s v="UPI"/>
    <s v="Delivered"/>
    <n v="1"/>
    <s v="Returning"/>
    <n v="91650"/>
    <n v="18330"/>
    <n v="73320"/>
    <n v="61340"/>
    <n v="0.8366066557555919"/>
    <n v="2026"/>
    <s v="Dec"/>
    <s v="Q4"/>
  </r>
  <r>
    <s v="ORD10618"/>
    <x v="617"/>
    <s v="CUST1211"/>
    <s v="Ananya Verma"/>
    <x v="41"/>
    <x v="0"/>
    <x v="42"/>
    <x v="2"/>
    <s v="Kochi"/>
    <s v="Kerala"/>
    <x v="2"/>
    <x v="0"/>
    <s v="Jacket"/>
    <x v="25"/>
    <n v="1"/>
    <n v="3940"/>
    <n v="0"/>
    <n v="2620"/>
    <s v="Credit Card"/>
    <s v="Delivered"/>
    <n v="3"/>
    <s v="Returning"/>
    <n v="3940"/>
    <n v="0"/>
    <n v="3940"/>
    <n v="1320"/>
    <n v="0.3350253807106599"/>
    <n v="2026"/>
    <s v="Dec"/>
    <s v="Q4"/>
  </r>
  <r>
    <s v="ORD10619"/>
    <x v="618"/>
    <s v="CUST1273"/>
    <s v="Vivaan Kumar"/>
    <x v="43"/>
    <x v="1"/>
    <x v="5"/>
    <x v="10"/>
    <s v="Jaipur"/>
    <s v="Rajasthan"/>
    <x v="3"/>
    <x v="2"/>
    <s v="Headphones"/>
    <x v="5"/>
    <n v="1"/>
    <n v="2540"/>
    <n v="0.2"/>
    <n v="1490"/>
    <s v="UPI"/>
    <s v="Delivered"/>
    <n v="4"/>
    <s v="Returning"/>
    <n v="2540"/>
    <n v="508"/>
    <n v="2032"/>
    <n v="542"/>
    <n v="0.26673228346456695"/>
    <n v="2026"/>
    <s v="Dec"/>
    <s v="Q4"/>
  </r>
  <r>
    <s v="ORD10620"/>
    <x v="619"/>
    <s v="CUST1020"/>
    <s v="Rohan Mehta"/>
    <x v="176"/>
    <x v="1"/>
    <x v="18"/>
    <x v="2"/>
    <s v="Kochi"/>
    <s v="Kerala"/>
    <x v="2"/>
    <x v="5"/>
    <s v="Vacuum Cleaner"/>
    <x v="9"/>
    <n v="3"/>
    <n v="9120"/>
    <n v="0.15"/>
    <n v="5440"/>
    <s v="UPI"/>
    <s v="Delivered"/>
    <n v="4"/>
    <s v="Returning"/>
    <n v="27360"/>
    <n v="4104"/>
    <n v="23256"/>
    <n v="17816"/>
    <n v="0.76608187134502925"/>
    <n v="2026"/>
    <s v="Dec"/>
    <s v="Q4"/>
  </r>
  <r>
    <s v="ORD10621"/>
    <x v="620"/>
    <s v="CUST1047"/>
    <s v="Ishita Das"/>
    <x v="182"/>
    <x v="0"/>
    <x v="1"/>
    <x v="7"/>
    <s v="Mumbai"/>
    <s v="Maharashtra"/>
    <x v="0"/>
    <x v="3"/>
    <s v="Yoga Mat"/>
    <x v="20"/>
    <n v="2"/>
    <n v="900"/>
    <n v="0.05"/>
    <n v="380"/>
    <s v="Debit Card"/>
    <s v="Delivered"/>
    <n v="3"/>
    <s v="Returning"/>
    <n v="1800"/>
    <n v="90"/>
    <n v="1710"/>
    <n v="1330"/>
    <n v="0.77777777777777779"/>
    <n v="2026"/>
    <s v="Dec"/>
    <s v="Q4"/>
  </r>
  <r>
    <s v="ORD10622"/>
    <x v="621"/>
    <s v="CUST1089"/>
    <s v="Rahul Singh"/>
    <x v="167"/>
    <x v="0"/>
    <x v="7"/>
    <x v="11"/>
    <s v="Chennai"/>
    <s v="Tamil Nadu"/>
    <x v="2"/>
    <x v="2"/>
    <s v="Smartphone"/>
    <x v="13"/>
    <n v="2"/>
    <n v="16750"/>
    <n v="0.2"/>
    <n v="12030"/>
    <s v="Net Banking"/>
    <s v="Returned"/>
    <n v="3"/>
    <s v="Returning"/>
    <n v="33500"/>
    <n v="6700"/>
    <n v="26800"/>
    <n v="14770"/>
    <n v="0.55111940298507467"/>
    <n v="2026"/>
    <s v="Dec"/>
    <s v="Q4"/>
  </r>
  <r>
    <s v="ORD10623"/>
    <x v="622"/>
    <s v="CUST1254"/>
    <s v="Rohan Sharma"/>
    <x v="21"/>
    <x v="0"/>
    <x v="38"/>
    <x v="8"/>
    <s v="Mysuru"/>
    <s v="Karnataka"/>
    <x v="2"/>
    <x v="1"/>
    <s v="Sofa"/>
    <x v="16"/>
    <n v="4"/>
    <n v="27940"/>
    <n v="0.1"/>
    <n v="21080"/>
    <s v="Cash on Delivery"/>
    <s v="Delivered"/>
    <n v="2"/>
    <s v="Returning"/>
    <n v="111760"/>
    <n v="11176"/>
    <n v="100584"/>
    <n v="79504"/>
    <n v="0.79042392428219199"/>
    <n v="2026"/>
    <s v="Dec"/>
    <s v="Q4"/>
  </r>
  <r>
    <s v="ORD10624"/>
    <x v="623"/>
    <s v="CUST1218"/>
    <s v="Rohan Verma"/>
    <x v="212"/>
    <x v="0"/>
    <x v="10"/>
    <x v="4"/>
    <s v="Chandigarh"/>
    <s v="Chandigarh"/>
    <x v="3"/>
    <x v="5"/>
    <s v="Air Fryer"/>
    <x v="26"/>
    <n v="2"/>
    <n v="6840"/>
    <n v="0"/>
    <n v="4350"/>
    <s v="Credit Card"/>
    <s v="Delivered"/>
    <n v="3"/>
    <s v="Returning"/>
    <n v="13680"/>
    <n v="0"/>
    <n v="13680"/>
    <n v="9330"/>
    <n v="0.68201754385964908"/>
    <n v="2026"/>
    <s v="Dec"/>
    <s v="Q4"/>
  </r>
  <r>
    <s v="ORD10625"/>
    <x v="624"/>
    <s v="CUST1041"/>
    <s v="Aditya Sharma"/>
    <x v="124"/>
    <x v="1"/>
    <x v="11"/>
    <x v="10"/>
    <s v="Jaipur"/>
    <s v="Rajasthan"/>
    <x v="3"/>
    <x v="5"/>
    <s v="Mixer Grinder"/>
    <x v="22"/>
    <n v="1"/>
    <n v="3870"/>
    <n v="0.15"/>
    <n v="2760"/>
    <s v="Debit Card"/>
    <s v="Pending"/>
    <n v="6"/>
    <s v="Returning"/>
    <n v="3870"/>
    <n v="580.5"/>
    <n v="3289.5"/>
    <n v="529.5"/>
    <n v="0.16096671226630188"/>
    <n v="2026"/>
    <s v="Dec"/>
    <s v="Q4"/>
  </r>
  <r>
    <s v="ORD10626"/>
    <x v="625"/>
    <s v="CUST1214"/>
    <s v="Aditya Rao"/>
    <x v="145"/>
    <x v="1"/>
    <x v="36"/>
    <x v="5"/>
    <s v="Bhubaneswar"/>
    <s v="Odisha"/>
    <x v="1"/>
    <x v="0"/>
    <s v="T-Shirt"/>
    <x v="2"/>
    <n v="2"/>
    <n v="880"/>
    <n v="0.05"/>
    <n v="440"/>
    <s v="Debit Card"/>
    <s v="Delivered"/>
    <n v="4"/>
    <s v="Returning"/>
    <n v="1760"/>
    <n v="88"/>
    <n v="1672"/>
    <n v="1232"/>
    <n v="0.73684210526315785"/>
    <n v="2026"/>
    <s v="Dec"/>
    <s v="Q4"/>
  </r>
  <r>
    <s v="ORD10627"/>
    <x v="626"/>
    <s v="CUST1472"/>
    <s v="Nisha Joshi"/>
    <x v="13"/>
    <x v="0"/>
    <x v="32"/>
    <x v="6"/>
    <s v="Guwahati"/>
    <s v="Assam"/>
    <x v="1"/>
    <x v="0"/>
    <s v="Jacket"/>
    <x v="25"/>
    <n v="2"/>
    <n v="4060"/>
    <n v="0.1"/>
    <n v="2720"/>
    <s v="Cash on Delivery"/>
    <s v="Pending"/>
    <n v="5"/>
    <s v="New"/>
    <n v="8120"/>
    <n v="812"/>
    <n v="7308"/>
    <n v="4588"/>
    <n v="0.6278051450465244"/>
    <n v="2026"/>
    <s v="Dec"/>
    <s v="Q4"/>
  </r>
  <r>
    <s v="ORD10628"/>
    <x v="627"/>
    <s v="CUST1265"/>
    <s v="Karan Mehta"/>
    <x v="139"/>
    <x v="0"/>
    <x v="31"/>
    <x v="13"/>
    <s v="Lucknow"/>
    <s v="Uttar Pradesh"/>
    <x v="3"/>
    <x v="2"/>
    <s v="Tablet"/>
    <x v="4"/>
    <n v="2"/>
    <n v="23520"/>
    <n v="0.1"/>
    <n v="15560"/>
    <s v="Credit Card"/>
    <s v="Delivered"/>
    <n v="1"/>
    <s v="Returning"/>
    <n v="47040"/>
    <n v="4704"/>
    <n v="42336"/>
    <n v="26776"/>
    <n v="0.63246409674981108"/>
    <n v="2026"/>
    <s v="Dec"/>
    <s v="Q4"/>
  </r>
  <r>
    <s v="ORD10629"/>
    <x v="628"/>
    <s v="CUST1018"/>
    <s v="Meera Gupta"/>
    <x v="89"/>
    <x v="1"/>
    <x v="16"/>
    <x v="11"/>
    <s v="Chennai"/>
    <s v="Tamil Nadu"/>
    <x v="2"/>
    <x v="3"/>
    <s v="Yoga Mat"/>
    <x v="20"/>
    <n v="2"/>
    <n v="850"/>
    <n v="0"/>
    <n v="410"/>
    <s v="Debit Card"/>
    <s v="Delivered"/>
    <n v="2"/>
    <s v="Returning"/>
    <n v="1700"/>
    <n v="0"/>
    <n v="1700"/>
    <n v="1290"/>
    <n v="0.75882352941176467"/>
    <n v="2027"/>
    <s v="Jan"/>
    <s v="Q1"/>
  </r>
  <r>
    <s v="ORD10630"/>
    <x v="629"/>
    <s v="CUST1026"/>
    <s v="Sneha Reddy"/>
    <x v="133"/>
    <x v="1"/>
    <x v="20"/>
    <x v="14"/>
    <s v="Ahmedabad"/>
    <s v="Gujarat"/>
    <x v="0"/>
    <x v="2"/>
    <s v="Tablet"/>
    <x v="4"/>
    <n v="1"/>
    <n v="23310"/>
    <n v="0"/>
    <n v="15830"/>
    <s v="UPI"/>
    <s v="Delivered"/>
    <n v="3"/>
    <s v="Returning"/>
    <n v="23310"/>
    <n v="0"/>
    <n v="23310"/>
    <n v="7480"/>
    <n v="0.32089232089232089"/>
    <n v="2027"/>
    <s v="Jan"/>
    <s v="Q1"/>
  </r>
  <r>
    <s v="ORD10631"/>
    <x v="630"/>
    <s v="CUST1206"/>
    <s v="Vivaan Rao"/>
    <x v="200"/>
    <x v="1"/>
    <x v="7"/>
    <x v="11"/>
    <s v="Chennai"/>
    <s v="Tamil Nadu"/>
    <x v="2"/>
    <x v="1"/>
    <s v="Bookshelf"/>
    <x v="6"/>
    <n v="1"/>
    <n v="5120"/>
    <n v="0.1"/>
    <n v="3100"/>
    <s v="Debit Card"/>
    <s v="Delivered"/>
    <n v="6"/>
    <s v="Returning"/>
    <n v="5120"/>
    <n v="512"/>
    <n v="4608"/>
    <n v="1508"/>
    <n v="0.32725694444444442"/>
    <n v="2027"/>
    <s v="Jan"/>
    <s v="Q1"/>
  </r>
  <r>
    <s v="ORD10632"/>
    <x v="631"/>
    <s v="CUST1080"/>
    <s v="Rohan Rao"/>
    <x v="23"/>
    <x v="0"/>
    <x v="15"/>
    <x v="10"/>
    <s v="Jaipur"/>
    <s v="Rajasthan"/>
    <x v="3"/>
    <x v="3"/>
    <s v="Cricket Bat"/>
    <x v="23"/>
    <n v="1"/>
    <n v="3380"/>
    <n v="0.05"/>
    <n v="1950"/>
    <s v="Debit Card"/>
    <s v="Delivered"/>
    <n v="4"/>
    <s v="Returning"/>
    <n v="3380"/>
    <n v="169"/>
    <n v="3211"/>
    <n v="1261"/>
    <n v="0.39271255060728744"/>
    <n v="2027"/>
    <s v="Jan"/>
    <s v="Q1"/>
  </r>
  <r>
    <s v="ORD10633"/>
    <x v="632"/>
    <s v="CUST1478"/>
    <s v="Rahul Verma"/>
    <x v="183"/>
    <x v="1"/>
    <x v="39"/>
    <x v="9"/>
    <s v="Hyderabad"/>
    <s v="Telangana"/>
    <x v="2"/>
    <x v="2"/>
    <s v="Smartphone"/>
    <x v="13"/>
    <n v="1"/>
    <n v="16720"/>
    <n v="0"/>
    <n v="13010"/>
    <s v="Cash on Delivery"/>
    <s v="Delivered"/>
    <n v="4"/>
    <s v="New"/>
    <n v="16720"/>
    <n v="0"/>
    <n v="16720"/>
    <n v="3710"/>
    <n v="0.22188995215311005"/>
    <n v="2027"/>
    <s v="Jan"/>
    <s v="Q1"/>
  </r>
  <r>
    <s v="ORD10634"/>
    <x v="633"/>
    <s v="CUST1029"/>
    <s v="Sneha Shah"/>
    <x v="151"/>
    <x v="1"/>
    <x v="33"/>
    <x v="14"/>
    <s v="Ahmedabad"/>
    <s v="Gujarat"/>
    <x v="0"/>
    <x v="3"/>
    <s v="Dumbbells"/>
    <x v="7"/>
    <n v="1"/>
    <n v="2350"/>
    <n v="0.15"/>
    <n v="1430"/>
    <s v="Net Banking"/>
    <s v="Delivered"/>
    <n v="5"/>
    <s v="Returning"/>
    <n v="2350"/>
    <n v="352.5"/>
    <n v="1997.5"/>
    <n v="567.5"/>
    <n v="0.28410513141426785"/>
    <n v="2027"/>
    <s v="Jan"/>
    <s v="Q1"/>
  </r>
  <r>
    <s v="ORD10635"/>
    <x v="634"/>
    <s v="CUST1245"/>
    <s v="Sneha Sharma"/>
    <x v="49"/>
    <x v="1"/>
    <x v="41"/>
    <x v="11"/>
    <s v="Chennai"/>
    <s v="Tamil Nadu"/>
    <x v="2"/>
    <x v="1"/>
    <s v="Office Chair"/>
    <x v="1"/>
    <n v="1"/>
    <n v="6310"/>
    <n v="0.1"/>
    <n v="4120"/>
    <s v="UPI"/>
    <s v="Pending"/>
    <n v="2"/>
    <s v="Returning"/>
    <n v="6310"/>
    <n v="631"/>
    <n v="5679"/>
    <n v="1559"/>
    <n v="0.27452016200035217"/>
    <n v="2027"/>
    <s v="Jan"/>
    <s v="Q1"/>
  </r>
  <r>
    <s v="ORD10636"/>
    <x v="635"/>
    <s v="CUST1262"/>
    <s v="Meera Singh"/>
    <x v="163"/>
    <x v="0"/>
    <x v="1"/>
    <x v="14"/>
    <s v="Ahmedabad"/>
    <s v="Gujarat"/>
    <x v="0"/>
    <x v="1"/>
    <s v="Bedside Table"/>
    <x v="24"/>
    <n v="3"/>
    <n v="4470"/>
    <n v="0.2"/>
    <n v="2770"/>
    <s v="UPI"/>
    <s v="Delivered"/>
    <n v="3"/>
    <s v="Returning"/>
    <n v="13410"/>
    <n v="2682"/>
    <n v="10728"/>
    <n v="7958"/>
    <n v="0.74179716629381054"/>
    <n v="2027"/>
    <s v="Jan"/>
    <s v="Q1"/>
  </r>
  <r>
    <s v="ORD10637"/>
    <x v="636"/>
    <s v="CUST1404"/>
    <s v="Rohan Nair"/>
    <x v="178"/>
    <x v="1"/>
    <x v="8"/>
    <x v="5"/>
    <s v="Bhubaneswar"/>
    <s v="Odisha"/>
    <x v="1"/>
    <x v="5"/>
    <s v="Microwave"/>
    <x v="27"/>
    <n v="1"/>
    <n v="12070"/>
    <n v="0"/>
    <n v="8150"/>
    <s v="Cash on Delivery"/>
    <s v="Delivered"/>
    <n v="4"/>
    <s v="New"/>
    <n v="12070"/>
    <n v="0"/>
    <n v="12070"/>
    <n v="3920"/>
    <n v="0.3247721623860812"/>
    <n v="2027"/>
    <s v="Jan"/>
    <s v="Q1"/>
  </r>
  <r>
    <s v="ORD10638"/>
    <x v="637"/>
    <s v="CUST1425"/>
    <s v="Arjun Naidu"/>
    <x v="152"/>
    <x v="1"/>
    <x v="14"/>
    <x v="1"/>
    <s v="Kolkata"/>
    <s v="West Bengal"/>
    <x v="1"/>
    <x v="1"/>
    <s v="Bedside Table"/>
    <x v="24"/>
    <n v="2"/>
    <n v="4770"/>
    <n v="0.1"/>
    <n v="2950"/>
    <s v="Cash on Delivery"/>
    <s v="Delivered"/>
    <n v="3"/>
    <s v="New"/>
    <n v="9540"/>
    <n v="954"/>
    <n v="8586"/>
    <n v="5636"/>
    <n v="0.65641742371302114"/>
    <n v="2027"/>
    <s v="Jan"/>
    <s v="Q1"/>
  </r>
  <r>
    <s v="ORD10639"/>
    <x v="638"/>
    <s v="CUST1464"/>
    <s v="Sneha Nair"/>
    <x v="180"/>
    <x v="1"/>
    <x v="8"/>
    <x v="1"/>
    <s v="Kolkata"/>
    <s v="West Bengal"/>
    <x v="1"/>
    <x v="2"/>
    <s v="Tablet"/>
    <x v="4"/>
    <n v="1"/>
    <n v="22520"/>
    <n v="0.1"/>
    <n v="15350"/>
    <s v="Debit Card"/>
    <s v="Delivered"/>
    <n v="4"/>
    <s v="New"/>
    <n v="22520"/>
    <n v="2252"/>
    <n v="20268"/>
    <n v="4918"/>
    <n v="0.24264850996644957"/>
    <n v="2027"/>
    <s v="Jan"/>
    <s v="Q1"/>
  </r>
  <r>
    <s v="ORD10640"/>
    <x v="639"/>
    <s v="CUST1471"/>
    <s v="Arjun Naidu"/>
    <x v="152"/>
    <x v="1"/>
    <x v="33"/>
    <x v="2"/>
    <s v="Kochi"/>
    <s v="Kerala"/>
    <x v="2"/>
    <x v="4"/>
    <s v="Makeup Kit"/>
    <x v="28"/>
    <n v="2"/>
    <n v="2210"/>
    <n v="0.25"/>
    <n v="1250"/>
    <s v="Credit Card"/>
    <s v="Delivered"/>
    <n v="3"/>
    <s v="New"/>
    <n v="4420"/>
    <n v="1105"/>
    <n v="3315"/>
    <n v="2065"/>
    <n v="0.62292609351432882"/>
    <n v="2027"/>
    <s v="Jan"/>
    <s v="Q1"/>
  </r>
  <r>
    <s v="ORD10641"/>
    <x v="640"/>
    <s v="CUST1478"/>
    <s v="Aarav Naidu"/>
    <x v="143"/>
    <x v="1"/>
    <x v="40"/>
    <x v="8"/>
    <s v="Mysuru"/>
    <s v="Karnataka"/>
    <x v="2"/>
    <x v="2"/>
    <s v="Headphones"/>
    <x v="5"/>
    <n v="1"/>
    <n v="2560"/>
    <n v="0.05"/>
    <n v="1460"/>
    <s v="UPI"/>
    <s v="Delivered"/>
    <n v="2"/>
    <s v="New"/>
    <n v="2560"/>
    <n v="128"/>
    <n v="2432"/>
    <n v="972"/>
    <n v="0.39967105263157893"/>
    <n v="2027"/>
    <s v="Jan"/>
    <s v="Q1"/>
  </r>
  <r>
    <s v="ORD10642"/>
    <x v="641"/>
    <s v="CUST1049"/>
    <s v="Rahul Sharma"/>
    <x v="86"/>
    <x v="1"/>
    <x v="41"/>
    <x v="10"/>
    <s v="Jaipur"/>
    <s v="Rajasthan"/>
    <x v="3"/>
    <x v="5"/>
    <s v="Electric Kettle"/>
    <x v="18"/>
    <n v="3"/>
    <n v="1660"/>
    <n v="0.1"/>
    <n v="990"/>
    <s v="Cash on Delivery"/>
    <s v="Delivered"/>
    <n v="4"/>
    <s v="Returning"/>
    <n v="4980"/>
    <n v="498"/>
    <n v="4482"/>
    <n v="3492"/>
    <n v="0.77911646586345384"/>
    <n v="2027"/>
    <s v="Jan"/>
    <s v="Q1"/>
  </r>
  <r>
    <s v="ORD10643"/>
    <x v="642"/>
    <s v="CUST1401"/>
    <s v="Rohan Sharma"/>
    <x v="21"/>
    <x v="0"/>
    <x v="9"/>
    <x v="2"/>
    <s v="Kochi"/>
    <s v="Kerala"/>
    <x v="2"/>
    <x v="4"/>
    <s v="Perfume"/>
    <x v="29"/>
    <n v="3"/>
    <n v="1800"/>
    <n v="0.15"/>
    <n v="860"/>
    <s v="Credit Card"/>
    <s v="Delivered"/>
    <n v="3"/>
    <s v="New"/>
    <n v="5400"/>
    <n v="810"/>
    <n v="4590"/>
    <n v="3730"/>
    <n v="0.81263616557734208"/>
    <n v="2027"/>
    <s v="Jan"/>
    <s v="Q1"/>
  </r>
  <r>
    <s v="ORD10644"/>
    <x v="643"/>
    <s v="CUST1309"/>
    <s v="Vivaan Bhat"/>
    <x v="35"/>
    <x v="0"/>
    <x v="21"/>
    <x v="5"/>
    <s v="Bhubaneswar"/>
    <s v="Odisha"/>
    <x v="1"/>
    <x v="1"/>
    <s v="Sofa"/>
    <x v="16"/>
    <n v="3"/>
    <n v="28050"/>
    <n v="0.15"/>
    <n v="19680"/>
    <s v="Net Banking"/>
    <s v="Delivered"/>
    <n v="8"/>
    <s v="New"/>
    <n v="84150"/>
    <n v="12622.5"/>
    <n v="71527.5"/>
    <n v="51847.5"/>
    <n v="0.72486106742162104"/>
    <n v="2027"/>
    <s v="Jan"/>
    <s v="Q1"/>
  </r>
  <r>
    <s v="ORD10645"/>
    <x v="644"/>
    <s v="CUST1060"/>
    <s v="Diya Joshi"/>
    <x v="118"/>
    <x v="1"/>
    <x v="9"/>
    <x v="0"/>
    <s v="Pune"/>
    <s v="Maharashtra"/>
    <x v="0"/>
    <x v="1"/>
    <s v="Study Table"/>
    <x v="11"/>
    <n v="1"/>
    <n v="7870"/>
    <n v="0.1"/>
    <n v="5480"/>
    <s v="Cash on Delivery"/>
    <s v="Delivered"/>
    <n v="3"/>
    <s v="Returning"/>
    <n v="7870"/>
    <n v="787"/>
    <n v="7083"/>
    <n v="1603"/>
    <n v="0.22631653254270789"/>
    <n v="2027"/>
    <s v="Jan"/>
    <s v="Q1"/>
  </r>
  <r>
    <s v="ORD10646"/>
    <x v="645"/>
    <s v="CUST1111"/>
    <s v="Kavya Patel"/>
    <x v="227"/>
    <x v="1"/>
    <x v="29"/>
    <x v="2"/>
    <s v="Kochi"/>
    <s v="Kerala"/>
    <x v="2"/>
    <x v="0"/>
    <s v="Jeans"/>
    <x v="19"/>
    <n v="2"/>
    <n v="2180"/>
    <n v="0.1"/>
    <n v="1150"/>
    <s v="Cash on Delivery"/>
    <s v="Delivered"/>
    <n v="2"/>
    <s v="Returning"/>
    <n v="4360"/>
    <n v="436"/>
    <n v="3924"/>
    <n v="2774"/>
    <n v="0.70693170234454639"/>
    <n v="2027"/>
    <s v="Jan"/>
    <s v="Q1"/>
  </r>
  <r>
    <s v="ORD10647"/>
    <x v="646"/>
    <s v="CUST1044"/>
    <s v="Karan Rao"/>
    <x v="136"/>
    <x v="1"/>
    <x v="30"/>
    <x v="11"/>
    <s v="Chennai"/>
    <s v="Tamil Nadu"/>
    <x v="2"/>
    <x v="2"/>
    <s v="Laptop"/>
    <x v="15"/>
    <n v="3"/>
    <n v="54420"/>
    <n v="0.1"/>
    <n v="40050"/>
    <s v="Credit Card"/>
    <s v="Delivered"/>
    <n v="4"/>
    <s v="Returning"/>
    <n v="163260"/>
    <n v="16326"/>
    <n v="146934"/>
    <n v="106884"/>
    <n v="0.72742864143084651"/>
    <n v="2027"/>
    <s v="Jan"/>
    <s v="Q1"/>
  </r>
  <r>
    <s v="ORD10648"/>
    <x v="647"/>
    <s v="CUST1271"/>
    <s v="Sneha Verma"/>
    <x v="132"/>
    <x v="1"/>
    <x v="21"/>
    <x v="4"/>
    <s v="Chandigarh"/>
    <s v="Chandigarh"/>
    <x v="3"/>
    <x v="2"/>
    <s v="Smartwatch"/>
    <x v="3"/>
    <n v="2"/>
    <n v="6480"/>
    <n v="0.05"/>
    <n v="4500"/>
    <s v="Debit Card"/>
    <s v="Delivered"/>
    <n v="3"/>
    <s v="Returning"/>
    <n v="12960"/>
    <n v="648"/>
    <n v="12312"/>
    <n v="7812"/>
    <n v="0.63450292397660824"/>
    <n v="2027"/>
    <s v="Jan"/>
    <s v="Q1"/>
  </r>
  <r>
    <s v="ORD10649"/>
    <x v="648"/>
    <s v="CUST1020"/>
    <s v="Diya Gupta"/>
    <x v="81"/>
    <x v="0"/>
    <x v="6"/>
    <x v="3"/>
    <s v="Bengaluru"/>
    <s v="Karnataka"/>
    <x v="2"/>
    <x v="1"/>
    <s v="Sofa"/>
    <x v="16"/>
    <n v="1"/>
    <n v="28670"/>
    <n v="0.05"/>
    <n v="20720"/>
    <s v="Credit Card"/>
    <s v="Delivered"/>
    <n v="5"/>
    <s v="Returning"/>
    <n v="28670"/>
    <n v="1433.5"/>
    <n v="27236.5"/>
    <n v="6516.5"/>
    <n v="0.23925614524626879"/>
    <n v="2027"/>
    <s v="Jan"/>
    <s v="Q1"/>
  </r>
  <r>
    <s v="ORD10650"/>
    <x v="649"/>
    <s v="CUST1156"/>
    <s v="Meera Gupta"/>
    <x v="89"/>
    <x v="0"/>
    <x v="40"/>
    <x v="0"/>
    <s v="Pune"/>
    <s v="Maharashtra"/>
    <x v="0"/>
    <x v="0"/>
    <s v="Jacket"/>
    <x v="25"/>
    <n v="1"/>
    <n v="4170"/>
    <n v="0.05"/>
    <n v="2630"/>
    <s v="Cash on Delivery"/>
    <s v="Delivered"/>
    <n v="5"/>
    <s v="Returning"/>
    <n v="4170"/>
    <n v="208.5"/>
    <n v="3961.5"/>
    <n v="1331.5"/>
    <n v="0.33611005932096427"/>
    <n v="2027"/>
    <s v="Jan"/>
    <s v="Q1"/>
  </r>
  <r>
    <s v="ORD10651"/>
    <x v="650"/>
    <s v="CUST1192"/>
    <s v="Arjun Sharma"/>
    <x v="225"/>
    <x v="1"/>
    <x v="31"/>
    <x v="2"/>
    <s v="Kochi"/>
    <s v="Kerala"/>
    <x v="2"/>
    <x v="5"/>
    <s v="Vacuum Cleaner"/>
    <x v="9"/>
    <n v="2"/>
    <n v="8950"/>
    <n v="0.15"/>
    <n v="5790"/>
    <s v="UPI"/>
    <s v="Delivered"/>
    <n v="2"/>
    <s v="Returning"/>
    <n v="17900"/>
    <n v="2685"/>
    <n v="15215"/>
    <n v="9425"/>
    <n v="0.61945448570489647"/>
    <n v="2027"/>
    <s v="Jan"/>
    <s v="Q1"/>
  </r>
  <r>
    <s v="ORD10652"/>
    <x v="651"/>
    <s v="CUST1345"/>
    <s v="Vikram Bhat"/>
    <x v="18"/>
    <x v="0"/>
    <x v="22"/>
    <x v="6"/>
    <s v="Guwahati"/>
    <s v="Assam"/>
    <x v="1"/>
    <x v="4"/>
    <s v="Makeup Kit"/>
    <x v="28"/>
    <n v="3"/>
    <n v="2240"/>
    <n v="0.15"/>
    <n v="1170"/>
    <s v="Debit Card"/>
    <s v="Delivered"/>
    <n v="2"/>
    <s v="New"/>
    <n v="6720"/>
    <n v="1008"/>
    <n v="5712"/>
    <n v="4542"/>
    <n v="0.79516806722689071"/>
    <n v="2027"/>
    <s v="Jan"/>
    <s v="Q1"/>
  </r>
  <r>
    <s v="ORD10653"/>
    <x v="652"/>
    <s v="CUST1256"/>
    <s v="Nisha Nair"/>
    <x v="1"/>
    <x v="0"/>
    <x v="33"/>
    <x v="0"/>
    <s v="Pune"/>
    <s v="Maharashtra"/>
    <x v="0"/>
    <x v="0"/>
    <s v="T-Shirt"/>
    <x v="2"/>
    <n v="1"/>
    <n v="840"/>
    <n v="0.1"/>
    <n v="450"/>
    <s v="Credit Card"/>
    <s v="Delivered"/>
    <n v="1"/>
    <s v="Returning"/>
    <n v="840"/>
    <n v="84"/>
    <n v="756"/>
    <n v="306"/>
    <n v="0.40476190476190477"/>
    <n v="2027"/>
    <s v="Jan"/>
    <s v="Q1"/>
  </r>
  <r>
    <s v="ORD10654"/>
    <x v="653"/>
    <s v="CUST1460"/>
    <s v="Ananya Gupta"/>
    <x v="61"/>
    <x v="1"/>
    <x v="40"/>
    <x v="2"/>
    <s v="Kochi"/>
    <s v="Kerala"/>
    <x v="2"/>
    <x v="2"/>
    <s v="Headphones"/>
    <x v="5"/>
    <n v="2"/>
    <n v="2380"/>
    <n v="0.05"/>
    <n v="1450"/>
    <s v="Wallet"/>
    <s v="Returned"/>
    <n v="2"/>
    <s v="New"/>
    <n v="4760"/>
    <n v="238"/>
    <n v="4522"/>
    <n v="3072"/>
    <n v="0.67934542237947815"/>
    <n v="2027"/>
    <s v="Jan"/>
    <s v="Q1"/>
  </r>
  <r>
    <s v="ORD10655"/>
    <x v="654"/>
    <s v="CUST1191"/>
    <s v="Ishita Gupta"/>
    <x v="135"/>
    <x v="1"/>
    <x v="32"/>
    <x v="2"/>
    <s v="Kochi"/>
    <s v="Kerala"/>
    <x v="2"/>
    <x v="5"/>
    <s v="Mixer Grinder"/>
    <x v="22"/>
    <n v="1"/>
    <n v="4260"/>
    <n v="0"/>
    <n v="2570"/>
    <s v="UPI"/>
    <s v="Delivered"/>
    <n v="6"/>
    <s v="Returning"/>
    <n v="4260"/>
    <n v="0"/>
    <n v="4260"/>
    <n v="1690"/>
    <n v="0.39671361502347419"/>
    <n v="2027"/>
    <s v="Jan"/>
    <s v="Q1"/>
  </r>
  <r>
    <s v="ORD10656"/>
    <x v="655"/>
    <s v="CUST1487"/>
    <s v="Vikram Rao"/>
    <x v="15"/>
    <x v="1"/>
    <x v="10"/>
    <x v="2"/>
    <s v="Kochi"/>
    <s v="Kerala"/>
    <x v="2"/>
    <x v="1"/>
    <s v="Bedside Table"/>
    <x v="24"/>
    <n v="1"/>
    <n v="4700"/>
    <n v="0.05"/>
    <n v="2800"/>
    <s v="Net Banking"/>
    <s v="Delivered"/>
    <n v="4"/>
    <s v="New"/>
    <n v="4700"/>
    <n v="235"/>
    <n v="4465"/>
    <n v="1665"/>
    <n v="0.37290033594624861"/>
    <n v="2027"/>
    <s v="Jan"/>
    <s v="Q1"/>
  </r>
  <r>
    <s v="ORD10657"/>
    <x v="656"/>
    <s v="CUST1303"/>
    <s v="Aarav Das"/>
    <x v="207"/>
    <x v="1"/>
    <x v="19"/>
    <x v="6"/>
    <s v="Guwahati"/>
    <s v="Assam"/>
    <x v="1"/>
    <x v="2"/>
    <s v="Laptop"/>
    <x v="15"/>
    <n v="4"/>
    <n v="51110"/>
    <n v="0"/>
    <n v="42910"/>
    <s v="Credit Card"/>
    <s v="Delivered"/>
    <n v="2"/>
    <s v="New"/>
    <n v="204440"/>
    <n v="0"/>
    <n v="204440"/>
    <n v="161530"/>
    <n v="0.79010956759929563"/>
    <n v="2027"/>
    <s v="Jan"/>
    <s v="Q1"/>
  </r>
  <r>
    <s v="ORD10658"/>
    <x v="657"/>
    <s v="CUST1210"/>
    <s v="Karan Bhat"/>
    <x v="84"/>
    <x v="1"/>
    <x v="21"/>
    <x v="4"/>
    <s v="Chandigarh"/>
    <s v="Chandigarh"/>
    <x v="3"/>
    <x v="2"/>
    <s v="Smartwatch"/>
    <x v="3"/>
    <n v="1"/>
    <n v="7060"/>
    <n v="0.15"/>
    <n v="4400"/>
    <s v="UPI"/>
    <s v="Delivered"/>
    <n v="2"/>
    <s v="Returning"/>
    <n v="7060"/>
    <n v="1059"/>
    <n v="6001"/>
    <n v="1601"/>
    <n v="0.26678886852191303"/>
    <n v="2027"/>
    <s v="Jan"/>
    <s v="Q1"/>
  </r>
  <r>
    <s v="ORD10659"/>
    <x v="658"/>
    <s v="CUST1301"/>
    <s v="Karan Gupta"/>
    <x v="99"/>
    <x v="1"/>
    <x v="3"/>
    <x v="5"/>
    <s v="Bhubaneswar"/>
    <s v="Odisha"/>
    <x v="1"/>
    <x v="0"/>
    <s v="Jeans"/>
    <x v="19"/>
    <n v="2"/>
    <n v="2230"/>
    <n v="0.05"/>
    <n v="1210"/>
    <s v="Credit Card"/>
    <s v="Delivered"/>
    <n v="10"/>
    <s v="New"/>
    <n v="4460"/>
    <n v="223"/>
    <n v="4237"/>
    <n v="3027"/>
    <n v="0.71442058059948077"/>
    <n v="2027"/>
    <s v="Jan"/>
    <s v="Q1"/>
  </r>
  <r>
    <s v="ORD10660"/>
    <x v="659"/>
    <s v="CUST1104"/>
    <s v="Karan Verma"/>
    <x v="66"/>
    <x v="1"/>
    <x v="39"/>
    <x v="13"/>
    <s v="Lucknow"/>
    <s v="Uttar Pradesh"/>
    <x v="3"/>
    <x v="1"/>
    <s v="Bedside Table"/>
    <x v="24"/>
    <n v="1"/>
    <n v="4330"/>
    <n v="0.05"/>
    <n v="2870"/>
    <s v="Cash on Delivery"/>
    <s v="Delivered"/>
    <n v="7"/>
    <s v="Returning"/>
    <n v="4330"/>
    <n v="216.5"/>
    <n v="4113.5"/>
    <n v="1243.5"/>
    <n v="0.30229731372310686"/>
    <n v="2027"/>
    <s v="Feb"/>
    <s v="Q1"/>
  </r>
  <r>
    <s v="ORD10661"/>
    <x v="660"/>
    <s v="CUST1448"/>
    <s v="Nisha Singh"/>
    <x v="114"/>
    <x v="0"/>
    <x v="32"/>
    <x v="2"/>
    <s v="Kochi"/>
    <s v="Kerala"/>
    <x v="2"/>
    <x v="2"/>
    <s v="Smartwatch"/>
    <x v="3"/>
    <n v="1"/>
    <n v="7070"/>
    <n v="0"/>
    <n v="4310"/>
    <s v="UPI"/>
    <s v="Delivered"/>
    <n v="4"/>
    <s v="New"/>
    <n v="7070"/>
    <n v="0"/>
    <n v="7070"/>
    <n v="2760"/>
    <n v="0.39038189533239037"/>
    <n v="2027"/>
    <s v="Feb"/>
    <s v="Q1"/>
  </r>
  <r>
    <s v="ORD10662"/>
    <x v="661"/>
    <s v="CUST1121"/>
    <s v="Priya Shah"/>
    <x v="228"/>
    <x v="1"/>
    <x v="1"/>
    <x v="1"/>
    <s v="Kolkata"/>
    <s v="West Bengal"/>
    <x v="1"/>
    <x v="2"/>
    <s v="Smartphone"/>
    <x v="13"/>
    <n v="4"/>
    <n v="17830"/>
    <n v="0.3"/>
    <n v="12400"/>
    <s v="Debit Card"/>
    <s v="Delivered"/>
    <n v="3"/>
    <s v="Returning"/>
    <n v="71320"/>
    <n v="21396"/>
    <n v="49924"/>
    <n v="37524"/>
    <n v="0.75162246614854578"/>
    <n v="2027"/>
    <s v="Feb"/>
    <s v="Q1"/>
  </r>
  <r>
    <s v="ORD10663"/>
    <x v="662"/>
    <s v="CUST1374"/>
    <s v="Ishita Naidu"/>
    <x v="218"/>
    <x v="0"/>
    <x v="0"/>
    <x v="6"/>
    <s v="Guwahati"/>
    <s v="Assam"/>
    <x v="1"/>
    <x v="2"/>
    <s v="Smartwatch"/>
    <x v="3"/>
    <n v="2"/>
    <n v="6830"/>
    <n v="0.25"/>
    <n v="4340"/>
    <s v="Debit Card"/>
    <s v="Delivered"/>
    <n v="7"/>
    <s v="New"/>
    <n v="13660"/>
    <n v="3415"/>
    <n v="10245"/>
    <n v="5905"/>
    <n v="0.57637872132747681"/>
    <n v="2027"/>
    <s v="Feb"/>
    <s v="Q1"/>
  </r>
  <r>
    <s v="ORD10664"/>
    <x v="663"/>
    <s v="CUST1203"/>
    <s v="Arjun Iyer"/>
    <x v="184"/>
    <x v="1"/>
    <x v="36"/>
    <x v="6"/>
    <s v="Guwahati"/>
    <s v="Assam"/>
    <x v="1"/>
    <x v="2"/>
    <s v="Smartphone"/>
    <x v="13"/>
    <n v="4"/>
    <n v="19260"/>
    <n v="0.25"/>
    <n v="12560"/>
    <s v="Credit Card"/>
    <s v="Delivered"/>
    <n v="1"/>
    <s v="Returning"/>
    <n v="77040"/>
    <n v="19260"/>
    <n v="57780"/>
    <n v="45220"/>
    <n v="0.78262374524056766"/>
    <n v="2027"/>
    <s v="Feb"/>
    <s v="Q1"/>
  </r>
  <r>
    <s v="ORD10665"/>
    <x v="664"/>
    <s v="CUST1399"/>
    <s v="Arjun Kumar"/>
    <x v="188"/>
    <x v="1"/>
    <x v="32"/>
    <x v="8"/>
    <s v="Mysuru"/>
    <s v="Karnataka"/>
    <x v="2"/>
    <x v="2"/>
    <s v="Smartwatch"/>
    <x v="3"/>
    <n v="1"/>
    <n v="6600"/>
    <n v="0.05"/>
    <n v="4540"/>
    <s v="UPI"/>
    <s v="Cancelled"/>
    <n v="0"/>
    <s v="New"/>
    <n v="6600"/>
    <n v="330"/>
    <n v="6270"/>
    <n v="1730"/>
    <n v="0.27591706539074962"/>
    <n v="2027"/>
    <s v="Feb"/>
    <s v="Q1"/>
  </r>
  <r>
    <s v="ORD10666"/>
    <x v="665"/>
    <s v="CUST1251"/>
    <s v="Ananya Verma"/>
    <x v="41"/>
    <x v="1"/>
    <x v="3"/>
    <x v="5"/>
    <s v="Bhubaneswar"/>
    <s v="Odisha"/>
    <x v="1"/>
    <x v="4"/>
    <s v="Makeup Kit"/>
    <x v="28"/>
    <n v="2"/>
    <n v="2370"/>
    <n v="0.15"/>
    <n v="1230"/>
    <s v="Net Banking"/>
    <s v="Delivered"/>
    <n v="2"/>
    <s v="Returning"/>
    <n v="4740"/>
    <n v="711"/>
    <n v="4029"/>
    <n v="2799"/>
    <n v="0.69471332836932242"/>
    <n v="2027"/>
    <s v="Feb"/>
    <s v="Q1"/>
  </r>
  <r>
    <s v="ORD10667"/>
    <x v="666"/>
    <s v="CUST1337"/>
    <s v="Ishita Mehta"/>
    <x v="113"/>
    <x v="0"/>
    <x v="15"/>
    <x v="9"/>
    <s v="Hyderabad"/>
    <s v="Telangana"/>
    <x v="2"/>
    <x v="2"/>
    <s v="Smartphone"/>
    <x v="13"/>
    <n v="1"/>
    <n v="18330"/>
    <n v="0.2"/>
    <n v="12070"/>
    <s v="Debit Card"/>
    <s v="Delivered"/>
    <n v="2"/>
    <s v="New"/>
    <n v="18330"/>
    <n v="3666"/>
    <n v="14664"/>
    <n v="2594"/>
    <n v="0.17689579923622475"/>
    <n v="2027"/>
    <s v="Feb"/>
    <s v="Q1"/>
  </r>
  <r>
    <s v="ORD10668"/>
    <x v="667"/>
    <s v="CUST1316"/>
    <s v="Rahul Rao"/>
    <x v="216"/>
    <x v="1"/>
    <x v="23"/>
    <x v="8"/>
    <s v="Mysuru"/>
    <s v="Karnataka"/>
    <x v="2"/>
    <x v="2"/>
    <s v="Laptop"/>
    <x v="15"/>
    <n v="2"/>
    <n v="51370"/>
    <n v="0.2"/>
    <n v="41530"/>
    <s v="Credit Card"/>
    <s v="Delivered"/>
    <n v="3"/>
    <s v="New"/>
    <n v="102740"/>
    <n v="20548"/>
    <n v="82192"/>
    <n v="40662"/>
    <n v="0.49471968074751799"/>
    <n v="2027"/>
    <s v="Feb"/>
    <s v="Q1"/>
  </r>
  <r>
    <s v="ORD10669"/>
    <x v="668"/>
    <s v="CUST1430"/>
    <s v="Rahul Singh"/>
    <x v="167"/>
    <x v="1"/>
    <x v="1"/>
    <x v="2"/>
    <s v="Kochi"/>
    <s v="Kerala"/>
    <x v="2"/>
    <x v="3"/>
    <s v="Tennis Racket"/>
    <x v="17"/>
    <n v="2"/>
    <n v="4340"/>
    <n v="0.1"/>
    <n v="2710"/>
    <s v="Cash on Delivery"/>
    <s v="Delivered"/>
    <n v="6"/>
    <s v="New"/>
    <n v="8680"/>
    <n v="868"/>
    <n v="7812"/>
    <n v="5102"/>
    <n v="0.65309779825908854"/>
    <n v="2027"/>
    <s v="Feb"/>
    <s v="Q1"/>
  </r>
  <r>
    <s v="ORD10670"/>
    <x v="669"/>
    <s v="CUST1170"/>
    <s v="Arjun Verma"/>
    <x v="7"/>
    <x v="1"/>
    <x v="38"/>
    <x v="0"/>
    <s v="Pune"/>
    <s v="Maharashtra"/>
    <x v="0"/>
    <x v="5"/>
    <s v="Electric Kettle"/>
    <x v="18"/>
    <n v="2"/>
    <n v="1660"/>
    <n v="0.1"/>
    <n v="970"/>
    <s v="Debit Card"/>
    <s v="Delivered"/>
    <n v="4"/>
    <s v="Returning"/>
    <n v="3320"/>
    <n v="332"/>
    <n v="2988"/>
    <n v="2018"/>
    <n v="0.67536813922356087"/>
    <n v="2027"/>
    <s v="Feb"/>
    <s v="Q1"/>
  </r>
  <r>
    <s v="ORD10671"/>
    <x v="670"/>
    <s v="CUST1433"/>
    <s v="Meera Bhat"/>
    <x v="82"/>
    <x v="0"/>
    <x v="32"/>
    <x v="1"/>
    <s v="Kolkata"/>
    <s v="West Bengal"/>
    <x v="1"/>
    <x v="1"/>
    <s v="Office Chair"/>
    <x v="1"/>
    <n v="2"/>
    <n v="6650"/>
    <n v="0.15"/>
    <n v="4150"/>
    <s v="UPI"/>
    <s v="Delivered"/>
    <n v="5"/>
    <s v="New"/>
    <n v="13300"/>
    <n v="1995"/>
    <n v="11305"/>
    <n v="7155"/>
    <n v="0.63290579389650592"/>
    <n v="2027"/>
    <s v="Feb"/>
    <s v="Q1"/>
  </r>
  <r>
    <s v="ORD10672"/>
    <x v="671"/>
    <s v="CUST1011"/>
    <s v="Vikram Verma"/>
    <x v="149"/>
    <x v="1"/>
    <x v="36"/>
    <x v="5"/>
    <s v="Bhubaneswar"/>
    <s v="Odisha"/>
    <x v="1"/>
    <x v="5"/>
    <s v="Air Fryer"/>
    <x v="26"/>
    <n v="2"/>
    <n v="6460"/>
    <n v="0.15"/>
    <n v="4280"/>
    <s v="Debit Card"/>
    <s v="Delivered"/>
    <n v="2"/>
    <s v="Returning"/>
    <n v="12920"/>
    <n v="1938"/>
    <n v="10982"/>
    <n v="6702"/>
    <n v="0.61027135312329261"/>
    <n v="2027"/>
    <s v="Feb"/>
    <s v="Q1"/>
  </r>
  <r>
    <s v="ORD10673"/>
    <x v="672"/>
    <s v="CUST1273"/>
    <s v="Vikram Shah"/>
    <x v="146"/>
    <x v="0"/>
    <x v="29"/>
    <x v="2"/>
    <s v="Kochi"/>
    <s v="Kerala"/>
    <x v="2"/>
    <x v="2"/>
    <s v="Smartwatch"/>
    <x v="3"/>
    <n v="2"/>
    <n v="6930"/>
    <n v="0.15"/>
    <n v="4430"/>
    <s v="Credit Card"/>
    <s v="Delivered"/>
    <n v="3"/>
    <s v="Returning"/>
    <n v="13860"/>
    <n v="2079"/>
    <n v="11781"/>
    <n v="7351"/>
    <n v="0.62397080044138864"/>
    <n v="2027"/>
    <s v="Feb"/>
    <s v="Q1"/>
  </r>
  <r>
    <s v="ORD10674"/>
    <x v="673"/>
    <s v="CUST1102"/>
    <s v="Aditya Das"/>
    <x v="229"/>
    <x v="1"/>
    <x v="21"/>
    <x v="3"/>
    <s v="Bengaluru"/>
    <s v="Karnataka"/>
    <x v="2"/>
    <x v="3"/>
    <s v="Yoga Mat"/>
    <x v="20"/>
    <n v="3"/>
    <n v="920"/>
    <n v="0.1"/>
    <n v="390"/>
    <s v="Debit Card"/>
    <s v="Delivered"/>
    <n v="2"/>
    <s v="Returning"/>
    <n v="2760"/>
    <n v="276"/>
    <n v="2484"/>
    <n v="2094"/>
    <n v="0.84299516908212557"/>
    <n v="2027"/>
    <s v="Feb"/>
    <s v="Q1"/>
  </r>
  <r>
    <s v="ORD10675"/>
    <x v="674"/>
    <s v="CUST1084"/>
    <s v="Rahul Verma"/>
    <x v="183"/>
    <x v="0"/>
    <x v="41"/>
    <x v="11"/>
    <s v="Chennai"/>
    <s v="Tamil Nadu"/>
    <x v="2"/>
    <x v="5"/>
    <s v="Microwave"/>
    <x v="27"/>
    <n v="1"/>
    <n v="11580"/>
    <n v="0.05"/>
    <n v="8250"/>
    <s v="UPI"/>
    <s v="Delivered"/>
    <n v="3"/>
    <s v="Returning"/>
    <n v="11580"/>
    <n v="579"/>
    <n v="11001"/>
    <n v="2751"/>
    <n v="0.25006817562039813"/>
    <n v="2027"/>
    <s v="Feb"/>
    <s v="Q1"/>
  </r>
  <r>
    <s v="ORD10676"/>
    <x v="675"/>
    <s v="CUST1081"/>
    <s v="Karan Joshi"/>
    <x v="230"/>
    <x v="0"/>
    <x v="16"/>
    <x v="5"/>
    <s v="Bhubaneswar"/>
    <s v="Odisha"/>
    <x v="1"/>
    <x v="1"/>
    <s v="Study Table"/>
    <x v="11"/>
    <n v="1"/>
    <n v="8440"/>
    <n v="0"/>
    <n v="5540"/>
    <s v="Debit Card"/>
    <s v="Cancelled"/>
    <n v="0"/>
    <s v="Returning"/>
    <n v="8440"/>
    <n v="0"/>
    <n v="8440"/>
    <n v="2900"/>
    <n v="0.34360189573459715"/>
    <n v="2027"/>
    <s v="Feb"/>
    <s v="Q1"/>
  </r>
  <r>
    <s v="ORD10677"/>
    <x v="676"/>
    <s v="CUST1304"/>
    <s v="Nisha Iyer"/>
    <x v="9"/>
    <x v="1"/>
    <x v="3"/>
    <x v="14"/>
    <s v="Ahmedabad"/>
    <s v="Gujarat"/>
    <x v="0"/>
    <x v="0"/>
    <s v="Jeans"/>
    <x v="19"/>
    <n v="1"/>
    <n v="2360"/>
    <n v="0.15"/>
    <n v="1180"/>
    <s v="Debit Card"/>
    <s v="Cancelled"/>
    <n v="0"/>
    <s v="New"/>
    <n v="2360"/>
    <n v="354"/>
    <n v="2006"/>
    <n v="826"/>
    <n v="0.41176470588235292"/>
    <n v="2027"/>
    <s v="Feb"/>
    <s v="Q1"/>
  </r>
  <r>
    <s v="ORD10678"/>
    <x v="677"/>
    <s v="CUST1080"/>
    <s v="Karan Naidu"/>
    <x v="168"/>
    <x v="1"/>
    <x v="22"/>
    <x v="7"/>
    <s v="Mumbai"/>
    <s v="Maharashtra"/>
    <x v="0"/>
    <x v="0"/>
    <s v="Sneakers"/>
    <x v="0"/>
    <n v="1"/>
    <n v="3720"/>
    <n v="0.15"/>
    <n v="2080"/>
    <s v="Credit Card"/>
    <s v="Delivered"/>
    <n v="5"/>
    <s v="Returning"/>
    <n v="3720"/>
    <n v="558"/>
    <n v="3162"/>
    <n v="1082"/>
    <n v="0.3421884882985452"/>
    <n v="2027"/>
    <s v="Feb"/>
    <s v="Q1"/>
  </r>
  <r>
    <s v="ORD10679"/>
    <x v="678"/>
    <s v="CUST1268"/>
    <s v="Nisha Mehta"/>
    <x v="103"/>
    <x v="0"/>
    <x v="15"/>
    <x v="0"/>
    <s v="Pune"/>
    <s v="Maharashtra"/>
    <x v="0"/>
    <x v="4"/>
    <s v="Hair Dryer"/>
    <x v="14"/>
    <n v="1"/>
    <n v="1870"/>
    <n v="0.05"/>
    <n v="960"/>
    <s v="Credit Card"/>
    <s v="Pending"/>
    <n v="2"/>
    <s v="Returning"/>
    <n v="1870"/>
    <n v="93.5"/>
    <n v="1776.5"/>
    <n v="816.5"/>
    <n v="0.45961159583450606"/>
    <n v="2027"/>
    <s v="Feb"/>
    <s v="Q1"/>
  </r>
  <r>
    <s v="ORD10680"/>
    <x v="679"/>
    <s v="CUST1152"/>
    <s v="Diya Rao"/>
    <x v="67"/>
    <x v="1"/>
    <x v="35"/>
    <x v="14"/>
    <s v="Ahmedabad"/>
    <s v="Gujarat"/>
    <x v="0"/>
    <x v="5"/>
    <s v="Microwave"/>
    <x v="27"/>
    <n v="3"/>
    <n v="11590"/>
    <n v="0"/>
    <n v="8560"/>
    <s v="Credit Card"/>
    <s v="Delivered"/>
    <n v="5"/>
    <s v="Returning"/>
    <n v="34770"/>
    <n v="0"/>
    <n v="34770"/>
    <n v="26210"/>
    <n v="0.7538107563991947"/>
    <n v="2027"/>
    <s v="Feb"/>
    <s v="Q1"/>
  </r>
  <r>
    <s v="ORD10681"/>
    <x v="680"/>
    <s v="CUST1167"/>
    <s v="Aditya Joshi"/>
    <x v="231"/>
    <x v="1"/>
    <x v="22"/>
    <x v="14"/>
    <s v="Ahmedabad"/>
    <s v="Gujarat"/>
    <x v="0"/>
    <x v="2"/>
    <s v="Smartphone"/>
    <x v="13"/>
    <n v="2"/>
    <n v="17980"/>
    <n v="0.05"/>
    <n v="12760"/>
    <s v="Cash on Delivery"/>
    <s v="Delivered"/>
    <n v="1"/>
    <s v="Returning"/>
    <n v="35960"/>
    <n v="1798"/>
    <n v="34162"/>
    <n v="21402"/>
    <n v="0.62648556876061123"/>
    <n v="2027"/>
    <s v="Feb"/>
    <s v="Q1"/>
  </r>
  <r>
    <s v="ORD10682"/>
    <x v="681"/>
    <s v="CUST1300"/>
    <s v="Rohan Mehta"/>
    <x v="176"/>
    <x v="0"/>
    <x v="22"/>
    <x v="1"/>
    <s v="Kolkata"/>
    <s v="West Bengal"/>
    <x v="1"/>
    <x v="0"/>
    <s v="Jeans"/>
    <x v="19"/>
    <n v="3"/>
    <n v="2360"/>
    <n v="0.2"/>
    <n v="1230"/>
    <s v="Debit Card"/>
    <s v="Delivered"/>
    <n v="7"/>
    <s v="Returning"/>
    <n v="7080"/>
    <n v="1416"/>
    <n v="5664"/>
    <n v="4434"/>
    <n v="0.78283898305084743"/>
    <n v="2027"/>
    <s v="Feb"/>
    <s v="Q1"/>
  </r>
  <r>
    <s v="ORD10683"/>
    <x v="682"/>
    <s v="CUST1068"/>
    <s v="Vikram Gupta"/>
    <x v="177"/>
    <x v="0"/>
    <x v="35"/>
    <x v="5"/>
    <s v="Bhubaneswar"/>
    <s v="Odisha"/>
    <x v="1"/>
    <x v="0"/>
    <s v="Sneakers"/>
    <x v="0"/>
    <n v="2"/>
    <n v="3400"/>
    <n v="0.1"/>
    <n v="2120"/>
    <s v="Credit Card"/>
    <s v="Delivered"/>
    <n v="8"/>
    <s v="Returning"/>
    <n v="6800"/>
    <n v="680"/>
    <n v="6120"/>
    <n v="4000"/>
    <n v="0.65359477124183007"/>
    <n v="2027"/>
    <s v="Feb"/>
    <s v="Q1"/>
  </r>
  <r>
    <s v="ORD10684"/>
    <x v="683"/>
    <s v="CUST1021"/>
    <s v="Meera Singh"/>
    <x v="163"/>
    <x v="1"/>
    <x v="36"/>
    <x v="5"/>
    <s v="Bhubaneswar"/>
    <s v="Odisha"/>
    <x v="1"/>
    <x v="1"/>
    <s v="Bedside Table"/>
    <x v="24"/>
    <n v="3"/>
    <n v="4700"/>
    <n v="0.05"/>
    <n v="2940"/>
    <s v="Cash on Delivery"/>
    <s v="Delivered"/>
    <n v="3"/>
    <s v="Returning"/>
    <n v="14100"/>
    <n v="705"/>
    <n v="13395"/>
    <n v="10455"/>
    <n v="0.78051511758118697"/>
    <n v="2027"/>
    <s v="Feb"/>
    <s v="Q1"/>
  </r>
  <r>
    <s v="ORD10685"/>
    <x v="684"/>
    <s v="CUST1170"/>
    <s v="Arjun Rao"/>
    <x v="101"/>
    <x v="1"/>
    <x v="27"/>
    <x v="8"/>
    <s v="Mysuru"/>
    <s v="Karnataka"/>
    <x v="2"/>
    <x v="3"/>
    <s v="Football"/>
    <x v="10"/>
    <n v="4"/>
    <n v="1170"/>
    <n v="0.05"/>
    <n v="600"/>
    <s v="UPI"/>
    <s v="Delivered"/>
    <n v="3"/>
    <s v="Returning"/>
    <n v="4680"/>
    <n v="234"/>
    <n v="4446"/>
    <n v="3846"/>
    <n v="0.86504723346828605"/>
    <n v="2027"/>
    <s v="Feb"/>
    <s v="Q1"/>
  </r>
  <r>
    <s v="ORD10686"/>
    <x v="685"/>
    <s v="CUST1309"/>
    <s v="Rahul Das"/>
    <x v="223"/>
    <x v="1"/>
    <x v="5"/>
    <x v="4"/>
    <s v="Chandigarh"/>
    <s v="Chandigarh"/>
    <x v="3"/>
    <x v="5"/>
    <s v="Mixer Grinder"/>
    <x v="22"/>
    <n v="1"/>
    <n v="4000"/>
    <n v="0.05"/>
    <n v="2780"/>
    <s v="Debit Card"/>
    <s v="Delivered"/>
    <n v="3"/>
    <s v="New"/>
    <n v="4000"/>
    <n v="200"/>
    <n v="3800"/>
    <n v="1020"/>
    <n v="0.26842105263157895"/>
    <n v="2027"/>
    <s v="Feb"/>
    <s v="Q1"/>
  </r>
  <r>
    <s v="ORD10687"/>
    <x v="686"/>
    <s v="CUST1361"/>
    <s v="Rahul Joshi"/>
    <x v="108"/>
    <x v="0"/>
    <x v="41"/>
    <x v="10"/>
    <s v="Jaipur"/>
    <s v="Rajasthan"/>
    <x v="3"/>
    <x v="4"/>
    <s v="Shampoo"/>
    <x v="8"/>
    <n v="1"/>
    <n v="480"/>
    <n v="0.3"/>
    <n v="240"/>
    <s v="Credit Card"/>
    <s v="Delivered"/>
    <n v="6"/>
    <s v="New"/>
    <n v="480"/>
    <n v="144"/>
    <n v="336"/>
    <n v="96"/>
    <n v="0.2857142857142857"/>
    <n v="2027"/>
    <s v="Feb"/>
    <s v="Q1"/>
  </r>
  <r>
    <s v="ORD10688"/>
    <x v="687"/>
    <s v="CUST1126"/>
    <s v="Rohan Das"/>
    <x v="232"/>
    <x v="0"/>
    <x v="40"/>
    <x v="5"/>
    <s v="Bhubaneswar"/>
    <s v="Odisha"/>
    <x v="1"/>
    <x v="0"/>
    <s v="Jacket"/>
    <x v="25"/>
    <n v="2"/>
    <n v="4180"/>
    <n v="0.25"/>
    <n v="2490"/>
    <s v="Credit Card"/>
    <s v="Delivered"/>
    <n v="5"/>
    <s v="Returning"/>
    <n v="8360"/>
    <n v="2090"/>
    <n v="6270"/>
    <n v="3780"/>
    <n v="0.60287081339712922"/>
    <n v="2027"/>
    <s v="Mar"/>
    <s v="Q1"/>
  </r>
  <r>
    <s v="ORD10689"/>
    <x v="688"/>
    <s v="CUST1438"/>
    <s v="Vikram Kumar"/>
    <x v="233"/>
    <x v="0"/>
    <x v="15"/>
    <x v="9"/>
    <s v="Hyderabad"/>
    <s v="Telangana"/>
    <x v="2"/>
    <x v="0"/>
    <s v="Sneakers"/>
    <x v="0"/>
    <n v="1"/>
    <n v="3520"/>
    <n v="0.25"/>
    <n v="2170"/>
    <s v="UPI"/>
    <s v="Delivered"/>
    <n v="4"/>
    <s v="New"/>
    <n v="3520"/>
    <n v="880"/>
    <n v="2640"/>
    <n v="470"/>
    <n v="0.17803030303030304"/>
    <n v="2027"/>
    <s v="Mar"/>
    <s v="Q1"/>
  </r>
  <r>
    <s v="ORD10690"/>
    <x v="689"/>
    <s v="CUST1205"/>
    <s v="Arjun Joshi"/>
    <x v="51"/>
    <x v="0"/>
    <x v="21"/>
    <x v="13"/>
    <s v="Lucknow"/>
    <s v="Uttar Pradesh"/>
    <x v="3"/>
    <x v="1"/>
    <s v="Sofa"/>
    <x v="16"/>
    <n v="1"/>
    <n v="26300"/>
    <n v="0"/>
    <n v="21030"/>
    <s v="UPI"/>
    <s v="Delivered"/>
    <n v="5"/>
    <s v="Returning"/>
    <n v="26300"/>
    <n v="0"/>
    <n v="26300"/>
    <n v="5270"/>
    <n v="0.20038022813688214"/>
    <n v="2027"/>
    <s v="Mar"/>
    <s v="Q1"/>
  </r>
  <r>
    <s v="ORD10691"/>
    <x v="690"/>
    <s v="CUST1134"/>
    <s v="Ishita Iyer"/>
    <x v="69"/>
    <x v="1"/>
    <x v="7"/>
    <x v="2"/>
    <s v="Kochi"/>
    <s v="Kerala"/>
    <x v="2"/>
    <x v="1"/>
    <s v="Study Table"/>
    <x v="11"/>
    <n v="2"/>
    <n v="8770"/>
    <n v="0.15"/>
    <n v="5600"/>
    <s v="Net Banking"/>
    <s v="Delivered"/>
    <n v="3"/>
    <s v="Returning"/>
    <n v="17540"/>
    <n v="2631"/>
    <n v="14909"/>
    <n v="9309"/>
    <n v="0.62438795358508281"/>
    <n v="2027"/>
    <s v="Mar"/>
    <s v="Q1"/>
  </r>
  <r>
    <s v="ORD10692"/>
    <x v="691"/>
    <s v="CUST1473"/>
    <s v="Aditya Das"/>
    <x v="229"/>
    <x v="1"/>
    <x v="4"/>
    <x v="6"/>
    <s v="Guwahati"/>
    <s v="Assam"/>
    <x v="1"/>
    <x v="5"/>
    <s v="Microwave"/>
    <x v="27"/>
    <n v="3"/>
    <n v="11670"/>
    <n v="0.05"/>
    <n v="7930"/>
    <s v="Cash on Delivery"/>
    <s v="Delivered"/>
    <n v="3"/>
    <s v="New"/>
    <n v="35010"/>
    <n v="1750.5"/>
    <n v="33259.5"/>
    <n v="25329.5"/>
    <n v="0.76157188171800538"/>
    <n v="2027"/>
    <s v="Mar"/>
    <s v="Q1"/>
  </r>
  <r>
    <s v="ORD10693"/>
    <x v="692"/>
    <s v="CUST1443"/>
    <s v="Arjun Kumar"/>
    <x v="188"/>
    <x v="0"/>
    <x v="39"/>
    <x v="3"/>
    <s v="Bengaluru"/>
    <s v="Karnataka"/>
    <x v="2"/>
    <x v="2"/>
    <s v="Headphones"/>
    <x v="5"/>
    <n v="2"/>
    <n v="2680"/>
    <n v="0.05"/>
    <n v="1460"/>
    <s v="Debit Card"/>
    <s v="Delivered"/>
    <n v="2"/>
    <s v="New"/>
    <n v="5360"/>
    <n v="268"/>
    <n v="5092"/>
    <n v="3632"/>
    <n v="0.71327572663000782"/>
    <n v="2027"/>
    <s v="Mar"/>
    <s v="Q1"/>
  </r>
  <r>
    <s v="ORD10694"/>
    <x v="693"/>
    <s v="CUST1105"/>
    <s v="Meera Kumar"/>
    <x v="234"/>
    <x v="0"/>
    <x v="34"/>
    <x v="6"/>
    <s v="Guwahati"/>
    <s v="Assam"/>
    <x v="1"/>
    <x v="3"/>
    <s v="Dumbbells"/>
    <x v="7"/>
    <n v="2"/>
    <n v="2630"/>
    <n v="0.2"/>
    <n v="1570"/>
    <s v="Net Banking"/>
    <s v="Delivered"/>
    <n v="4"/>
    <s v="Returning"/>
    <n v="5260"/>
    <n v="1052"/>
    <n v="4208"/>
    <n v="2638"/>
    <n v="0.62690114068441061"/>
    <n v="2027"/>
    <s v="Mar"/>
    <s v="Q1"/>
  </r>
  <r>
    <s v="ORD10695"/>
    <x v="694"/>
    <s v="CUST1042"/>
    <s v="Meera Singh"/>
    <x v="163"/>
    <x v="0"/>
    <x v="15"/>
    <x v="5"/>
    <s v="Bhubaneswar"/>
    <s v="Odisha"/>
    <x v="1"/>
    <x v="0"/>
    <s v="Jeans"/>
    <x v="19"/>
    <n v="2"/>
    <n v="2360"/>
    <n v="0.2"/>
    <n v="1250"/>
    <s v="Cash on Delivery"/>
    <s v="Cancelled"/>
    <n v="0"/>
    <s v="Returning"/>
    <n v="4720"/>
    <n v="944"/>
    <n v="3776"/>
    <n v="2526"/>
    <n v="0.66896186440677963"/>
    <n v="2027"/>
    <s v="Mar"/>
    <s v="Q1"/>
  </r>
  <r>
    <s v="ORD10696"/>
    <x v="695"/>
    <s v="CUST1417"/>
    <s v="Rohan Joshi"/>
    <x v="235"/>
    <x v="0"/>
    <x v="37"/>
    <x v="14"/>
    <s v="Ahmedabad"/>
    <s v="Gujarat"/>
    <x v="0"/>
    <x v="4"/>
    <s v="Perfume"/>
    <x v="29"/>
    <n v="2"/>
    <n v="1910"/>
    <n v="0.1"/>
    <n v="880"/>
    <s v="Credit Card"/>
    <s v="Delivered"/>
    <n v="4"/>
    <s v="New"/>
    <n v="3820"/>
    <n v="382"/>
    <n v="3438"/>
    <n v="2558"/>
    <n v="0.74403723094822571"/>
    <n v="2027"/>
    <s v="Mar"/>
    <s v="Q1"/>
  </r>
  <r>
    <s v="ORD10697"/>
    <x v="696"/>
    <s v="CUST1408"/>
    <s v="Vivaan Shah"/>
    <x v="156"/>
    <x v="0"/>
    <x v="34"/>
    <x v="14"/>
    <s v="Ahmedabad"/>
    <s v="Gujarat"/>
    <x v="0"/>
    <x v="4"/>
    <s v="Shampoo"/>
    <x v="8"/>
    <n v="1"/>
    <n v="510"/>
    <n v="0.1"/>
    <n v="240"/>
    <s v="Credit Card"/>
    <s v="Delivered"/>
    <n v="8"/>
    <s v="New"/>
    <n v="510"/>
    <n v="51"/>
    <n v="459"/>
    <n v="219"/>
    <n v="0.47712418300653597"/>
    <n v="2027"/>
    <s v="Mar"/>
    <s v="Q1"/>
  </r>
  <r>
    <s v="ORD10698"/>
    <x v="697"/>
    <s v="CUST1263"/>
    <s v="Arjun Iyer"/>
    <x v="184"/>
    <x v="0"/>
    <x v="6"/>
    <x v="6"/>
    <s v="Guwahati"/>
    <s v="Assam"/>
    <x v="1"/>
    <x v="1"/>
    <s v="Office Chair"/>
    <x v="1"/>
    <n v="2"/>
    <n v="6730"/>
    <n v="0.1"/>
    <n v="4080"/>
    <s v="Debit Card"/>
    <s v="Pending"/>
    <n v="3"/>
    <s v="Returning"/>
    <n v="13460"/>
    <n v="1346"/>
    <n v="12114"/>
    <n v="8034"/>
    <n v="0.6631996037642397"/>
    <n v="2027"/>
    <s v="Mar"/>
    <s v="Q1"/>
  </r>
  <r>
    <s v="ORD10699"/>
    <x v="698"/>
    <s v="CUST1427"/>
    <s v="Karan Sharma"/>
    <x v="236"/>
    <x v="0"/>
    <x v="11"/>
    <x v="10"/>
    <s v="Jaipur"/>
    <s v="Rajasthan"/>
    <x v="3"/>
    <x v="5"/>
    <s v="Air Fryer"/>
    <x v="26"/>
    <n v="1"/>
    <n v="6610"/>
    <n v="0.2"/>
    <n v="4130"/>
    <s v="Credit Card"/>
    <s v="Delivered"/>
    <n v="4"/>
    <s v="New"/>
    <n v="6610"/>
    <n v="1322"/>
    <n v="5288"/>
    <n v="1158"/>
    <n v="0.21898638426626324"/>
    <n v="2027"/>
    <s v="Mar"/>
    <s v="Q1"/>
  </r>
  <r>
    <s v="ORD10700"/>
    <x v="699"/>
    <s v="CUST1383"/>
    <s v="Rohan Bhat"/>
    <x v="175"/>
    <x v="1"/>
    <x v="33"/>
    <x v="4"/>
    <s v="Chandigarh"/>
    <s v="Chandigarh"/>
    <x v="3"/>
    <x v="0"/>
    <s v="T-Shirt"/>
    <x v="2"/>
    <n v="2"/>
    <n v="900"/>
    <n v="0.2"/>
    <n v="450"/>
    <s v="UPI"/>
    <s v="Delivered"/>
    <n v="3"/>
    <s v="New"/>
    <n v="1800"/>
    <n v="360"/>
    <n v="1440"/>
    <n v="990"/>
    <n v="0.6875"/>
    <n v="2027"/>
    <s v="Mar"/>
    <s v="Q1"/>
  </r>
  <r>
    <s v="ORD10701"/>
    <x v="700"/>
    <s v="CUST1398"/>
    <s v="Ananya Rao"/>
    <x v="189"/>
    <x v="0"/>
    <x v="14"/>
    <x v="0"/>
    <s v="Pune"/>
    <s v="Maharashtra"/>
    <x v="0"/>
    <x v="2"/>
    <s v="Tablet"/>
    <x v="4"/>
    <n v="3"/>
    <n v="21980"/>
    <n v="0.1"/>
    <n v="15740"/>
    <s v="Net Banking"/>
    <s v="Delivered"/>
    <n v="1"/>
    <s v="New"/>
    <n v="65940"/>
    <n v="6594"/>
    <n v="59346"/>
    <n v="43606"/>
    <n v="0.73477572203686858"/>
    <n v="2027"/>
    <s v="Mar"/>
    <s v="Q1"/>
  </r>
  <r>
    <s v="ORD10702"/>
    <x v="701"/>
    <s v="CUST1155"/>
    <s v="Kavya Joshi"/>
    <x v="68"/>
    <x v="0"/>
    <x v="2"/>
    <x v="12"/>
    <s v="Delhi"/>
    <s v="Delhi"/>
    <x v="3"/>
    <x v="2"/>
    <s v="Headphones"/>
    <x v="5"/>
    <n v="2"/>
    <n v="2440"/>
    <n v="0"/>
    <n v="1510"/>
    <s v="Cash on Delivery"/>
    <s v="Delivered"/>
    <n v="4"/>
    <s v="Returning"/>
    <n v="4880"/>
    <n v="0"/>
    <n v="4880"/>
    <n v="3370"/>
    <n v="0.69057377049180324"/>
    <n v="2027"/>
    <s v="Mar"/>
    <s v="Q1"/>
  </r>
  <r>
    <s v="ORD10703"/>
    <x v="702"/>
    <s v="CUST1249"/>
    <s v="Rahul Mehta"/>
    <x v="93"/>
    <x v="0"/>
    <x v="30"/>
    <x v="14"/>
    <s v="Ahmedabad"/>
    <s v="Gujarat"/>
    <x v="0"/>
    <x v="0"/>
    <s v="Sneakers"/>
    <x v="0"/>
    <n v="2"/>
    <n v="3380"/>
    <n v="0.1"/>
    <n v="2060"/>
    <s v="UPI"/>
    <s v="Delivered"/>
    <n v="2"/>
    <s v="Returning"/>
    <n v="6760"/>
    <n v="676"/>
    <n v="6084"/>
    <n v="4024"/>
    <n v="0.66140696909927676"/>
    <n v="2027"/>
    <s v="Mar"/>
    <s v="Q1"/>
  </r>
  <r>
    <s v="ORD10704"/>
    <x v="703"/>
    <s v="CUST1343"/>
    <s v="Nisha Sharma"/>
    <x v="11"/>
    <x v="1"/>
    <x v="42"/>
    <x v="3"/>
    <s v="Bengaluru"/>
    <s v="Karnataka"/>
    <x v="2"/>
    <x v="2"/>
    <s v="Tablet"/>
    <x v="4"/>
    <n v="4"/>
    <n v="22500"/>
    <n v="0.15"/>
    <n v="14940"/>
    <s v="Net Banking"/>
    <s v="Delivered"/>
    <n v="2"/>
    <s v="New"/>
    <n v="90000"/>
    <n v="13500"/>
    <n v="76500"/>
    <n v="61560"/>
    <n v="0.80470588235294116"/>
    <n v="2027"/>
    <s v="Mar"/>
    <s v="Q1"/>
  </r>
  <r>
    <s v="ORD10705"/>
    <x v="704"/>
    <s v="CUST1383"/>
    <s v="Rahul Singh"/>
    <x v="167"/>
    <x v="0"/>
    <x v="11"/>
    <x v="2"/>
    <s v="Kochi"/>
    <s v="Kerala"/>
    <x v="2"/>
    <x v="3"/>
    <s v="Dumbbells"/>
    <x v="7"/>
    <n v="3"/>
    <n v="2470"/>
    <n v="0.2"/>
    <n v="1550"/>
    <s v="UPI"/>
    <s v="Delivered"/>
    <n v="3"/>
    <s v="New"/>
    <n v="7410"/>
    <n v="1482"/>
    <n v="5928"/>
    <n v="4378"/>
    <n v="0.73852901484480427"/>
    <n v="2027"/>
    <s v="Mar"/>
    <s v="Q1"/>
  </r>
  <r>
    <s v="ORD10706"/>
    <x v="705"/>
    <s v="CUST1429"/>
    <s v="Nisha Joshi"/>
    <x v="13"/>
    <x v="0"/>
    <x v="10"/>
    <x v="8"/>
    <s v="Mysuru"/>
    <s v="Karnataka"/>
    <x v="2"/>
    <x v="4"/>
    <s v="Makeup Kit"/>
    <x v="28"/>
    <n v="1"/>
    <n v="2240"/>
    <n v="0.1"/>
    <n v="1160"/>
    <s v="UPI"/>
    <s v="Delivered"/>
    <n v="6"/>
    <s v="New"/>
    <n v="2240"/>
    <n v="224"/>
    <n v="2016"/>
    <n v="856"/>
    <n v="0.42460317460317459"/>
    <n v="2027"/>
    <s v="Mar"/>
    <s v="Q1"/>
  </r>
  <r>
    <s v="ORD10707"/>
    <x v="706"/>
    <s v="CUST1150"/>
    <s v="Aditya Verma"/>
    <x v="30"/>
    <x v="1"/>
    <x v="35"/>
    <x v="10"/>
    <s v="Jaipur"/>
    <s v="Rajasthan"/>
    <x v="3"/>
    <x v="5"/>
    <s v="Electric Kettle"/>
    <x v="18"/>
    <n v="2"/>
    <n v="1750"/>
    <n v="0.15"/>
    <n v="900"/>
    <s v="Cash on Delivery"/>
    <s v="Delivered"/>
    <n v="5"/>
    <s v="Returning"/>
    <n v="3500"/>
    <n v="525"/>
    <n v="2975"/>
    <n v="2075"/>
    <n v="0.69747899159663862"/>
    <n v="2027"/>
    <s v="Mar"/>
    <s v="Q1"/>
  </r>
  <r>
    <s v="ORD10708"/>
    <x v="707"/>
    <s v="CUST1030"/>
    <s v="Vikram Mehta"/>
    <x v="94"/>
    <x v="0"/>
    <x v="4"/>
    <x v="7"/>
    <s v="Mumbai"/>
    <s v="Maharashtra"/>
    <x v="0"/>
    <x v="4"/>
    <s v="Face Cream"/>
    <x v="21"/>
    <n v="1"/>
    <n v="690"/>
    <n v="0.2"/>
    <n v="310"/>
    <s v="Net Banking"/>
    <s v="Delivered"/>
    <n v="2"/>
    <s v="Returning"/>
    <n v="690"/>
    <n v="138"/>
    <n v="552"/>
    <n v="242"/>
    <n v="0.43840579710144928"/>
    <n v="2027"/>
    <s v="Mar"/>
    <s v="Q1"/>
  </r>
  <r>
    <s v="ORD10709"/>
    <x v="708"/>
    <s v="CUST1451"/>
    <s v="Rohan Sharma"/>
    <x v="21"/>
    <x v="0"/>
    <x v="15"/>
    <x v="9"/>
    <s v="Hyderabad"/>
    <s v="Telangana"/>
    <x v="2"/>
    <x v="2"/>
    <s v="Smartphone"/>
    <x v="13"/>
    <n v="1"/>
    <n v="17810"/>
    <n v="0.1"/>
    <n v="12670"/>
    <s v="UPI"/>
    <s v="Delivered"/>
    <n v="2"/>
    <s v="New"/>
    <n v="17810"/>
    <n v="1781"/>
    <n v="16029"/>
    <n v="3359"/>
    <n v="0.20955767671096137"/>
    <n v="2027"/>
    <s v="Mar"/>
    <s v="Q1"/>
  </r>
  <r>
    <s v="ORD10710"/>
    <x v="709"/>
    <s v="CUST1254"/>
    <s v="Aarav Gupta"/>
    <x v="204"/>
    <x v="1"/>
    <x v="22"/>
    <x v="13"/>
    <s v="Lucknow"/>
    <s v="Uttar Pradesh"/>
    <x v="3"/>
    <x v="3"/>
    <s v="Dumbbells"/>
    <x v="7"/>
    <n v="2"/>
    <n v="2340"/>
    <n v="0.25"/>
    <n v="1570"/>
    <s v="Credit Card"/>
    <s v="Cancelled"/>
    <n v="0"/>
    <s v="Returning"/>
    <n v="4680"/>
    <n v="1170"/>
    <n v="3510"/>
    <n v="1940"/>
    <n v="0.55270655270655267"/>
    <n v="2027"/>
    <s v="Mar"/>
    <s v="Q1"/>
  </r>
  <r>
    <s v="ORD10711"/>
    <x v="710"/>
    <s v="CUST1434"/>
    <s v="Priya Naidu"/>
    <x v="25"/>
    <x v="0"/>
    <x v="36"/>
    <x v="13"/>
    <s v="Lucknow"/>
    <s v="Uttar Pradesh"/>
    <x v="3"/>
    <x v="0"/>
    <s v="T-Shirt"/>
    <x v="2"/>
    <n v="2"/>
    <n v="920"/>
    <n v="0.05"/>
    <n v="450"/>
    <s v="Cash on Delivery"/>
    <s v="Delivered"/>
    <n v="3"/>
    <s v="New"/>
    <n v="1840"/>
    <n v="92"/>
    <n v="1748"/>
    <n v="1298"/>
    <n v="0.74256292906178489"/>
    <n v="2027"/>
    <s v="Mar"/>
    <s v="Q1"/>
  </r>
  <r>
    <s v="ORD10712"/>
    <x v="711"/>
    <s v="CUST1269"/>
    <s v="Nisha Sharma"/>
    <x v="11"/>
    <x v="0"/>
    <x v="7"/>
    <x v="7"/>
    <s v="Mumbai"/>
    <s v="Maharashtra"/>
    <x v="0"/>
    <x v="2"/>
    <s v="Smartwatch"/>
    <x v="3"/>
    <n v="2"/>
    <n v="7540"/>
    <n v="0.05"/>
    <n v="4440"/>
    <s v="Cash on Delivery"/>
    <s v="Pending"/>
    <n v="2"/>
    <s v="Returning"/>
    <n v="15080"/>
    <n v="754"/>
    <n v="14326"/>
    <n v="9886"/>
    <n v="0.69007399134440872"/>
    <n v="2027"/>
    <s v="Mar"/>
    <s v="Q1"/>
  </r>
  <r>
    <s v="ORD10713"/>
    <x v="712"/>
    <s v="CUST1075"/>
    <s v="Diya Das"/>
    <x v="237"/>
    <x v="1"/>
    <x v="33"/>
    <x v="5"/>
    <s v="Bhubaneswar"/>
    <s v="Odisha"/>
    <x v="1"/>
    <x v="5"/>
    <s v="Electric Kettle"/>
    <x v="18"/>
    <n v="1"/>
    <n v="1720"/>
    <n v="0.05"/>
    <n v="980"/>
    <s v="UPI"/>
    <s v="Delivered"/>
    <n v="3"/>
    <s v="Returning"/>
    <n v="1720"/>
    <n v="86"/>
    <n v="1634"/>
    <n v="654"/>
    <n v="0.40024479804161567"/>
    <n v="2027"/>
    <s v="Mar"/>
    <s v="Q1"/>
  </r>
  <r>
    <s v="ORD10714"/>
    <x v="713"/>
    <s v="CUST1086"/>
    <s v="Meera Kumar"/>
    <x v="234"/>
    <x v="0"/>
    <x v="21"/>
    <x v="6"/>
    <s v="Guwahati"/>
    <s v="Assam"/>
    <x v="1"/>
    <x v="4"/>
    <s v="Shampoo"/>
    <x v="8"/>
    <n v="3"/>
    <n v="510"/>
    <n v="0.15"/>
    <n v="240"/>
    <s v="UPI"/>
    <s v="Delivered"/>
    <n v="4"/>
    <s v="Returning"/>
    <n v="1530"/>
    <n v="229.5"/>
    <n v="1300.5"/>
    <n v="1060.5"/>
    <n v="0.81545559400230683"/>
    <n v="2027"/>
    <s v="Mar"/>
    <s v="Q1"/>
  </r>
  <r>
    <s v="ORD10715"/>
    <x v="714"/>
    <s v="CUST1314"/>
    <s v="Priya Bhat"/>
    <x v="58"/>
    <x v="1"/>
    <x v="36"/>
    <x v="4"/>
    <s v="Chandigarh"/>
    <s v="Chandigarh"/>
    <x v="3"/>
    <x v="0"/>
    <s v="Sneakers"/>
    <x v="0"/>
    <n v="1"/>
    <n v="3570"/>
    <n v="0.2"/>
    <n v="2100"/>
    <s v="Cash on Delivery"/>
    <s v="Delivered"/>
    <n v="2"/>
    <s v="New"/>
    <n v="3570"/>
    <n v="714"/>
    <n v="2856"/>
    <n v="756"/>
    <n v="0.26470588235294118"/>
    <n v="2027"/>
    <s v="Mar"/>
    <s v="Q1"/>
  </r>
  <r>
    <s v="ORD10716"/>
    <x v="715"/>
    <s v="CUST1479"/>
    <s v="Ishita Gupta"/>
    <x v="135"/>
    <x v="1"/>
    <x v="38"/>
    <x v="8"/>
    <s v="Mysuru"/>
    <s v="Karnataka"/>
    <x v="2"/>
    <x v="2"/>
    <s v="Laptop"/>
    <x v="15"/>
    <n v="1"/>
    <n v="58990"/>
    <n v="0.1"/>
    <n v="41320"/>
    <s v="UPI"/>
    <s v="Delivered"/>
    <n v="3"/>
    <s v="New"/>
    <n v="58990"/>
    <n v="5899"/>
    <n v="53091"/>
    <n v="11771"/>
    <n v="0.22171366144920984"/>
    <n v="2027"/>
    <s v="Mar"/>
    <s v="Q1"/>
  </r>
  <r>
    <s v="ORD10717"/>
    <x v="716"/>
    <s v="CUST1088"/>
    <s v="Sneha Mehta"/>
    <x v="226"/>
    <x v="1"/>
    <x v="5"/>
    <x v="14"/>
    <s v="Ahmedabad"/>
    <s v="Gujarat"/>
    <x v="0"/>
    <x v="4"/>
    <s v="Perfume"/>
    <x v="29"/>
    <n v="1"/>
    <n v="1870"/>
    <n v="0.1"/>
    <n v="880"/>
    <s v="Credit Card"/>
    <s v="Delivered"/>
    <n v="3"/>
    <s v="Returning"/>
    <n v="1870"/>
    <n v="187"/>
    <n v="1683"/>
    <n v="803"/>
    <n v="0.47712418300653597"/>
    <n v="2027"/>
    <s v="Mar"/>
    <s v="Q1"/>
  </r>
  <r>
    <s v="ORD10718"/>
    <x v="717"/>
    <s v="CUST1107"/>
    <s v="Rohan Mehta"/>
    <x v="176"/>
    <x v="1"/>
    <x v="23"/>
    <x v="14"/>
    <s v="Ahmedabad"/>
    <s v="Gujarat"/>
    <x v="0"/>
    <x v="2"/>
    <s v="Laptop"/>
    <x v="15"/>
    <n v="2"/>
    <n v="53750"/>
    <n v="0.2"/>
    <n v="39990"/>
    <s v="UPI"/>
    <s v="Delivered"/>
    <n v="6"/>
    <s v="Returning"/>
    <n v="107500"/>
    <n v="21500"/>
    <n v="86000"/>
    <n v="46010"/>
    <n v="0.53500000000000003"/>
    <n v="2027"/>
    <s v="Mar"/>
    <s v="Q1"/>
  </r>
  <r>
    <s v="ORD10719"/>
    <x v="718"/>
    <s v="CUST1344"/>
    <s v="Aditya Bhat"/>
    <x v="59"/>
    <x v="1"/>
    <x v="7"/>
    <x v="3"/>
    <s v="Bengaluru"/>
    <s v="Karnataka"/>
    <x v="2"/>
    <x v="5"/>
    <s v="Microwave"/>
    <x v="27"/>
    <n v="2"/>
    <n v="12840"/>
    <n v="0.15"/>
    <n v="7950"/>
    <s v="Credit Card"/>
    <s v="Delivered"/>
    <n v="3"/>
    <s v="New"/>
    <n v="25680"/>
    <n v="3852"/>
    <n v="21828"/>
    <n v="13878"/>
    <n v="0.63578889499725122"/>
    <n v="2027"/>
    <s v="Apr"/>
    <s v="Q2"/>
  </r>
  <r>
    <s v="ORD10720"/>
    <x v="719"/>
    <s v="CUST1485"/>
    <s v="Sneha Das"/>
    <x v="196"/>
    <x v="1"/>
    <x v="3"/>
    <x v="7"/>
    <s v="Mumbai"/>
    <s v="Maharashtra"/>
    <x v="0"/>
    <x v="2"/>
    <s v="Smartwatch"/>
    <x v="3"/>
    <n v="1"/>
    <n v="6620"/>
    <n v="0.15"/>
    <n v="4320"/>
    <s v="Debit Card"/>
    <s v="Delivered"/>
    <n v="2"/>
    <s v="New"/>
    <n v="6620"/>
    <n v="993"/>
    <n v="5627"/>
    <n v="1307"/>
    <n v="0.23227296961080504"/>
    <n v="2027"/>
    <s v="Apr"/>
    <s v="Q2"/>
  </r>
  <r>
    <s v="ORD10721"/>
    <x v="720"/>
    <s v="CUST1422"/>
    <s v="Priya Shah"/>
    <x v="228"/>
    <x v="1"/>
    <x v="19"/>
    <x v="14"/>
    <s v="Ahmedabad"/>
    <s v="Gujarat"/>
    <x v="0"/>
    <x v="2"/>
    <s v="Laptop"/>
    <x v="15"/>
    <n v="1"/>
    <n v="55070"/>
    <n v="0.05"/>
    <n v="41650"/>
    <s v="Net Banking"/>
    <s v="Pending"/>
    <n v="3"/>
    <s v="New"/>
    <n v="55070"/>
    <n v="2753.5"/>
    <n v="52316.5"/>
    <n v="10666.5"/>
    <n v="0.20388405187655903"/>
    <n v="2027"/>
    <s v="Apr"/>
    <s v="Q2"/>
  </r>
  <r>
    <s v="ORD10722"/>
    <x v="721"/>
    <s v="CUST1392"/>
    <s v="Diya Verma"/>
    <x v="87"/>
    <x v="1"/>
    <x v="6"/>
    <x v="2"/>
    <s v="Kochi"/>
    <s v="Kerala"/>
    <x v="2"/>
    <x v="3"/>
    <s v="Football"/>
    <x v="10"/>
    <n v="4"/>
    <n v="1280"/>
    <n v="0.25"/>
    <n v="590"/>
    <s v="Credit Card"/>
    <s v="Returned"/>
    <n v="3"/>
    <s v="New"/>
    <n v="5120"/>
    <n v="1280"/>
    <n v="3840"/>
    <n v="3250"/>
    <n v="0.84635416666666663"/>
    <n v="2027"/>
    <s v="Apr"/>
    <s v="Q2"/>
  </r>
  <r>
    <s v="ORD10723"/>
    <x v="722"/>
    <s v="CUST1206"/>
    <s v="Karan Kumar"/>
    <x v="111"/>
    <x v="1"/>
    <x v="13"/>
    <x v="4"/>
    <s v="Chandigarh"/>
    <s v="Chandigarh"/>
    <x v="3"/>
    <x v="1"/>
    <s v="Bookshelf"/>
    <x v="6"/>
    <n v="2"/>
    <n v="5160"/>
    <n v="0.1"/>
    <n v="3090"/>
    <s v="Credit Card"/>
    <s v="Delivered"/>
    <n v="7"/>
    <s v="Returning"/>
    <n v="10320"/>
    <n v="1032"/>
    <n v="9288"/>
    <n v="6198"/>
    <n v="0.66731266149870805"/>
    <n v="2027"/>
    <s v="Apr"/>
    <s v="Q2"/>
  </r>
  <r>
    <s v="ORD10724"/>
    <x v="723"/>
    <s v="CUST1283"/>
    <s v="Kavya Reddy"/>
    <x v="203"/>
    <x v="1"/>
    <x v="4"/>
    <x v="1"/>
    <s v="Kolkata"/>
    <s v="West Bengal"/>
    <x v="1"/>
    <x v="2"/>
    <s v="Smartphone"/>
    <x v="13"/>
    <n v="4"/>
    <n v="16620"/>
    <n v="0.25"/>
    <n v="12450"/>
    <s v="Credit Card"/>
    <s v="Delivered"/>
    <n v="1"/>
    <s v="Returning"/>
    <n v="66480"/>
    <n v="16620"/>
    <n v="49860"/>
    <n v="37410"/>
    <n v="0.75030084235860406"/>
    <n v="2027"/>
    <s v="Apr"/>
    <s v="Q2"/>
  </r>
  <r>
    <s v="ORD10725"/>
    <x v="724"/>
    <s v="CUST1035"/>
    <s v="Sneha Shah"/>
    <x v="151"/>
    <x v="1"/>
    <x v="3"/>
    <x v="2"/>
    <s v="Kochi"/>
    <s v="Kerala"/>
    <x v="2"/>
    <x v="2"/>
    <s v="Headphones"/>
    <x v="5"/>
    <n v="1"/>
    <n v="2600"/>
    <n v="0.1"/>
    <n v="1550"/>
    <s v="Cash on Delivery"/>
    <s v="Delivered"/>
    <n v="5"/>
    <s v="Returning"/>
    <n v="2600"/>
    <n v="260"/>
    <n v="2340"/>
    <n v="790"/>
    <n v="0.33760683760683763"/>
    <n v="2027"/>
    <s v="Apr"/>
    <s v="Q2"/>
  </r>
  <r>
    <s v="ORD10726"/>
    <x v="725"/>
    <s v="CUST1411"/>
    <s v="Karan Kumar"/>
    <x v="111"/>
    <x v="1"/>
    <x v="8"/>
    <x v="3"/>
    <s v="Bengaluru"/>
    <s v="Karnataka"/>
    <x v="2"/>
    <x v="5"/>
    <s v="Microwave"/>
    <x v="27"/>
    <n v="1"/>
    <n v="11460"/>
    <n v="0.15"/>
    <n v="8140"/>
    <s v="UPI"/>
    <s v="Delivered"/>
    <n v="1"/>
    <s v="New"/>
    <n v="11460"/>
    <n v="1719"/>
    <n v="9741"/>
    <n v="1601"/>
    <n v="0.16435684221332511"/>
    <n v="2027"/>
    <s v="Apr"/>
    <s v="Q2"/>
  </r>
  <r>
    <s v="ORD10727"/>
    <x v="726"/>
    <s v="CUST1036"/>
    <s v="Meera Mehta"/>
    <x v="78"/>
    <x v="0"/>
    <x v="3"/>
    <x v="1"/>
    <s v="Kolkata"/>
    <s v="West Bengal"/>
    <x v="1"/>
    <x v="0"/>
    <s v="T-Shirt"/>
    <x v="2"/>
    <n v="3"/>
    <n v="870"/>
    <n v="0.05"/>
    <n v="440"/>
    <s v="Debit Card"/>
    <s v="Delivered"/>
    <n v="2"/>
    <s v="Returning"/>
    <n v="2610"/>
    <n v="130.5"/>
    <n v="2479.5"/>
    <n v="2039.5"/>
    <n v="0.82254486791691872"/>
    <n v="2027"/>
    <s v="Apr"/>
    <s v="Q2"/>
  </r>
  <r>
    <s v="ORD10728"/>
    <x v="727"/>
    <s v="CUST1003"/>
    <s v="Diya Bhat"/>
    <x v="164"/>
    <x v="1"/>
    <x v="27"/>
    <x v="7"/>
    <s v="Mumbai"/>
    <s v="Maharashtra"/>
    <x v="0"/>
    <x v="1"/>
    <s v="Bookshelf"/>
    <x v="6"/>
    <n v="1"/>
    <n v="4850"/>
    <n v="0.15"/>
    <n v="3040"/>
    <s v="UPI"/>
    <s v="Returned"/>
    <n v="4"/>
    <s v="Returning"/>
    <n v="4850"/>
    <n v="727.5"/>
    <n v="4122.5"/>
    <n v="1082.5"/>
    <n v="0.26258338386901153"/>
    <n v="2027"/>
    <s v="Apr"/>
    <s v="Q2"/>
  </r>
  <r>
    <s v="ORD10729"/>
    <x v="728"/>
    <s v="CUST1191"/>
    <s v="Ananya Nair"/>
    <x v="238"/>
    <x v="0"/>
    <x v="15"/>
    <x v="10"/>
    <s v="Jaipur"/>
    <s v="Rajasthan"/>
    <x v="3"/>
    <x v="3"/>
    <s v="Dumbbells"/>
    <x v="7"/>
    <n v="2"/>
    <n v="2440"/>
    <n v="0.15"/>
    <n v="1510"/>
    <s v="Wallet"/>
    <s v="Delivered"/>
    <n v="1"/>
    <s v="Returning"/>
    <n v="4880"/>
    <n v="732"/>
    <n v="4148"/>
    <n v="2638"/>
    <n v="0.63596914175506269"/>
    <n v="2027"/>
    <s v="Apr"/>
    <s v="Q2"/>
  </r>
  <r>
    <s v="ORD10730"/>
    <x v="729"/>
    <s v="CUST1272"/>
    <s v="Rohan Joshi"/>
    <x v="235"/>
    <x v="0"/>
    <x v="33"/>
    <x v="4"/>
    <s v="Chandigarh"/>
    <s v="Chandigarh"/>
    <x v="3"/>
    <x v="4"/>
    <s v="Perfume"/>
    <x v="29"/>
    <n v="1"/>
    <n v="1890"/>
    <n v="0"/>
    <n v="920"/>
    <s v="UPI"/>
    <s v="Delivered"/>
    <n v="5"/>
    <s v="Returning"/>
    <n v="1890"/>
    <n v="0"/>
    <n v="1890"/>
    <n v="970"/>
    <n v="0.51322751322751325"/>
    <n v="2027"/>
    <s v="Apr"/>
    <s v="Q2"/>
  </r>
  <r>
    <s v="ORD10731"/>
    <x v="730"/>
    <s v="CUST1313"/>
    <s v="Rohan Joshi"/>
    <x v="235"/>
    <x v="0"/>
    <x v="2"/>
    <x v="6"/>
    <s v="Guwahati"/>
    <s v="Assam"/>
    <x v="1"/>
    <x v="0"/>
    <s v="Jacket"/>
    <x v="25"/>
    <n v="1"/>
    <n v="4280"/>
    <n v="0.1"/>
    <n v="2570"/>
    <s v="Debit Card"/>
    <s v="Cancelled"/>
    <n v="0"/>
    <s v="New"/>
    <n v="4280"/>
    <n v="428"/>
    <n v="3852"/>
    <n v="1282"/>
    <n v="0.3328141225337487"/>
    <n v="2027"/>
    <s v="Apr"/>
    <s v="Q2"/>
  </r>
  <r>
    <s v="ORD10732"/>
    <x v="731"/>
    <s v="CUST1420"/>
    <s v="Arjun Sharma"/>
    <x v="225"/>
    <x v="1"/>
    <x v="16"/>
    <x v="3"/>
    <s v="Bengaluru"/>
    <s v="Karnataka"/>
    <x v="2"/>
    <x v="2"/>
    <s v="Smartwatch"/>
    <x v="3"/>
    <n v="2"/>
    <n v="6460"/>
    <n v="0.05"/>
    <n v="4510"/>
    <s v="Debit Card"/>
    <s v="Cancelled"/>
    <n v="0"/>
    <s v="New"/>
    <n v="12920"/>
    <n v="646"/>
    <n v="12274"/>
    <n v="7764"/>
    <n v="0.6325566237575363"/>
    <n v="2027"/>
    <s v="Apr"/>
    <s v="Q2"/>
  </r>
  <r>
    <s v="ORD10733"/>
    <x v="732"/>
    <s v="CUST1483"/>
    <s v="Vikram Bhat"/>
    <x v="18"/>
    <x v="0"/>
    <x v="32"/>
    <x v="14"/>
    <s v="Ahmedabad"/>
    <s v="Gujarat"/>
    <x v="0"/>
    <x v="2"/>
    <s v="Smartphone"/>
    <x v="13"/>
    <n v="2"/>
    <n v="18830"/>
    <n v="0.15"/>
    <n v="12660"/>
    <s v="Wallet"/>
    <s v="Delivered"/>
    <n v="2"/>
    <s v="New"/>
    <n v="37660"/>
    <n v="5649"/>
    <n v="32011"/>
    <n v="19351"/>
    <n v="0.60451094936115712"/>
    <n v="2027"/>
    <s v="Apr"/>
    <s v="Q2"/>
  </r>
  <r>
    <s v="ORD10734"/>
    <x v="733"/>
    <s v="CUST1210"/>
    <s v="Arjun Reddy"/>
    <x v="157"/>
    <x v="0"/>
    <x v="38"/>
    <x v="2"/>
    <s v="Kochi"/>
    <s v="Kerala"/>
    <x v="2"/>
    <x v="4"/>
    <s v="Makeup Kit"/>
    <x v="28"/>
    <n v="1"/>
    <n v="2200"/>
    <n v="0.05"/>
    <n v="1220"/>
    <s v="Cash on Delivery"/>
    <s v="Returned"/>
    <n v="3"/>
    <s v="Returning"/>
    <n v="2200"/>
    <n v="110"/>
    <n v="2090"/>
    <n v="870"/>
    <n v="0.41626794258373206"/>
    <n v="2027"/>
    <s v="Apr"/>
    <s v="Q2"/>
  </r>
  <r>
    <s v="ORD10735"/>
    <x v="734"/>
    <s v="CUST1157"/>
    <s v="Aditya Naidu"/>
    <x v="83"/>
    <x v="1"/>
    <x v="39"/>
    <x v="3"/>
    <s v="Bengaluru"/>
    <s v="Karnataka"/>
    <x v="2"/>
    <x v="4"/>
    <s v="Makeup Kit"/>
    <x v="28"/>
    <n v="1"/>
    <n v="2370"/>
    <n v="0"/>
    <n v="1140"/>
    <s v="Net Banking"/>
    <s v="Delivered"/>
    <n v="5"/>
    <s v="Returning"/>
    <n v="2370"/>
    <n v="0"/>
    <n v="2370"/>
    <n v="1230"/>
    <n v="0.51898734177215189"/>
    <n v="2027"/>
    <s v="Apr"/>
    <s v="Q2"/>
  </r>
  <r>
    <s v="ORD10736"/>
    <x v="735"/>
    <s v="CUST1336"/>
    <s v="Meera Naidu"/>
    <x v="38"/>
    <x v="0"/>
    <x v="38"/>
    <x v="2"/>
    <s v="Kochi"/>
    <s v="Kerala"/>
    <x v="2"/>
    <x v="4"/>
    <s v="Makeup Kit"/>
    <x v="28"/>
    <n v="1"/>
    <n v="2320"/>
    <n v="0.1"/>
    <n v="1210"/>
    <s v="Credit Card"/>
    <s v="Delivered"/>
    <n v="8"/>
    <s v="New"/>
    <n v="2320"/>
    <n v="232"/>
    <n v="2088"/>
    <n v="878"/>
    <n v="0.42049808429118773"/>
    <n v="2027"/>
    <s v="Apr"/>
    <s v="Q2"/>
  </r>
  <r>
    <s v="ORD10737"/>
    <x v="736"/>
    <s v="CUST1046"/>
    <s v="Rohan Iyer"/>
    <x v="33"/>
    <x v="1"/>
    <x v="3"/>
    <x v="8"/>
    <s v="Mysuru"/>
    <s v="Karnataka"/>
    <x v="2"/>
    <x v="0"/>
    <s v="Handbag"/>
    <x v="12"/>
    <n v="1"/>
    <n v="2760"/>
    <n v="0.1"/>
    <n v="1610"/>
    <s v="Debit Card"/>
    <s v="Pending"/>
    <n v="5"/>
    <s v="Returning"/>
    <n v="2760"/>
    <n v="276"/>
    <n v="2484"/>
    <n v="874"/>
    <n v="0.35185185185185186"/>
    <n v="2027"/>
    <s v="Apr"/>
    <s v="Q2"/>
  </r>
  <r>
    <s v="ORD10738"/>
    <x v="737"/>
    <s v="CUST1142"/>
    <s v="Kavya Sharma"/>
    <x v="106"/>
    <x v="1"/>
    <x v="15"/>
    <x v="14"/>
    <s v="Ahmedabad"/>
    <s v="Gujarat"/>
    <x v="0"/>
    <x v="5"/>
    <s v="Air Fryer"/>
    <x v="26"/>
    <n v="2"/>
    <n v="6250"/>
    <n v="0.05"/>
    <n v="4240"/>
    <s v="UPI"/>
    <s v="Delivered"/>
    <n v="3"/>
    <s v="Returning"/>
    <n v="12500"/>
    <n v="625"/>
    <n v="11875"/>
    <n v="7635"/>
    <n v="0.6429473684210526"/>
    <n v="2027"/>
    <s v="Apr"/>
    <s v="Q2"/>
  </r>
  <r>
    <s v="ORD10739"/>
    <x v="738"/>
    <s v="CUST1194"/>
    <s v="Vivaan Bhat"/>
    <x v="35"/>
    <x v="0"/>
    <x v="26"/>
    <x v="6"/>
    <s v="Guwahati"/>
    <s v="Assam"/>
    <x v="1"/>
    <x v="3"/>
    <s v="Yoga Mat"/>
    <x v="20"/>
    <n v="2"/>
    <n v="960"/>
    <n v="0.2"/>
    <n v="390"/>
    <s v="UPI"/>
    <s v="Delivered"/>
    <n v="2"/>
    <s v="Returning"/>
    <n v="1920"/>
    <n v="384"/>
    <n v="1536"/>
    <n v="1146"/>
    <n v="0.74609375"/>
    <n v="2027"/>
    <s v="Apr"/>
    <s v="Q2"/>
  </r>
  <r>
    <s v="ORD10740"/>
    <x v="739"/>
    <s v="CUST1284"/>
    <s v="Arjun Bhat"/>
    <x v="52"/>
    <x v="0"/>
    <x v="15"/>
    <x v="12"/>
    <s v="Delhi"/>
    <s v="Delhi"/>
    <x v="3"/>
    <x v="0"/>
    <s v="T-Shirt"/>
    <x v="2"/>
    <n v="3"/>
    <n v="830"/>
    <n v="0"/>
    <n v="440"/>
    <s v="UPI"/>
    <s v="Delivered"/>
    <n v="6"/>
    <s v="Returning"/>
    <n v="2490"/>
    <n v="0"/>
    <n v="2490"/>
    <n v="2050"/>
    <n v="0.82329317269076308"/>
    <n v="2027"/>
    <s v="Apr"/>
    <s v="Q2"/>
  </r>
  <r>
    <s v="ORD10741"/>
    <x v="740"/>
    <s v="CUST1310"/>
    <s v="Aarav Iyer"/>
    <x v="37"/>
    <x v="0"/>
    <x v="29"/>
    <x v="14"/>
    <s v="Ahmedabad"/>
    <s v="Gujarat"/>
    <x v="0"/>
    <x v="2"/>
    <s v="Headphones"/>
    <x v="5"/>
    <n v="2"/>
    <n v="2360"/>
    <n v="0.05"/>
    <n v="1570"/>
    <s v="Credit Card"/>
    <s v="Cancelled"/>
    <n v="0"/>
    <s v="New"/>
    <n v="4720"/>
    <n v="236"/>
    <n v="4484"/>
    <n v="2914"/>
    <n v="0.6498661909009813"/>
    <n v="2027"/>
    <s v="Apr"/>
    <s v="Q2"/>
  </r>
  <r>
    <s v="ORD10742"/>
    <x v="741"/>
    <s v="CUST1469"/>
    <s v="Diya Shah"/>
    <x v="53"/>
    <x v="0"/>
    <x v="7"/>
    <x v="9"/>
    <s v="Hyderabad"/>
    <s v="Telangana"/>
    <x v="2"/>
    <x v="0"/>
    <s v="T-Shirt"/>
    <x v="2"/>
    <n v="5"/>
    <n v="950"/>
    <n v="0.2"/>
    <n v="460"/>
    <s v="UPI"/>
    <s v="Delivered"/>
    <n v="1"/>
    <s v="New"/>
    <n v="4750"/>
    <n v="950"/>
    <n v="3800"/>
    <n v="3340"/>
    <n v="0.87894736842105259"/>
    <n v="2027"/>
    <s v="Apr"/>
    <s v="Q2"/>
  </r>
  <r>
    <s v="ORD10743"/>
    <x v="742"/>
    <s v="CUST1463"/>
    <s v="Vivaan Patel"/>
    <x v="57"/>
    <x v="0"/>
    <x v="39"/>
    <x v="0"/>
    <s v="Pune"/>
    <s v="Maharashtra"/>
    <x v="0"/>
    <x v="5"/>
    <s v="Mixer Grinder"/>
    <x v="22"/>
    <n v="1"/>
    <n v="3920"/>
    <n v="0.2"/>
    <n v="2590"/>
    <s v="UPI"/>
    <s v="Delivered"/>
    <n v="2"/>
    <s v="New"/>
    <n v="3920"/>
    <n v="784"/>
    <n v="3136"/>
    <n v="546"/>
    <n v="0.17410714285714285"/>
    <n v="2027"/>
    <s v="Apr"/>
    <s v="Q2"/>
  </r>
  <r>
    <s v="ORD10744"/>
    <x v="743"/>
    <s v="CUST1284"/>
    <s v="Aarav Joshi"/>
    <x v="62"/>
    <x v="0"/>
    <x v="32"/>
    <x v="12"/>
    <s v="Delhi"/>
    <s v="Delhi"/>
    <x v="3"/>
    <x v="0"/>
    <s v="T-Shirt"/>
    <x v="2"/>
    <n v="1"/>
    <n v="850"/>
    <n v="0.05"/>
    <n v="460"/>
    <s v="Cash on Delivery"/>
    <s v="Delivered"/>
    <n v="2"/>
    <s v="Returning"/>
    <n v="850"/>
    <n v="42.5"/>
    <n v="807.5"/>
    <n v="347.5"/>
    <n v="0.43034055727554177"/>
    <n v="2027"/>
    <s v="Apr"/>
    <s v="Q2"/>
  </r>
  <r>
    <s v="ORD10745"/>
    <x v="744"/>
    <s v="CUST1338"/>
    <s v="Ananya Singh"/>
    <x v="197"/>
    <x v="1"/>
    <x v="22"/>
    <x v="14"/>
    <s v="Ahmedabad"/>
    <s v="Gujarat"/>
    <x v="0"/>
    <x v="0"/>
    <s v="Jacket"/>
    <x v="25"/>
    <n v="3"/>
    <n v="4270"/>
    <n v="0.05"/>
    <n v="2550"/>
    <s v="Credit Card"/>
    <s v="Delivered"/>
    <n v="5"/>
    <s v="New"/>
    <n v="12810"/>
    <n v="640.5"/>
    <n v="12169.5"/>
    <n v="9619.5"/>
    <n v="0.79045975594724516"/>
    <n v="2027"/>
    <s v="Apr"/>
    <s v="Q2"/>
  </r>
  <r>
    <s v="ORD10746"/>
    <x v="745"/>
    <s v="CUST1231"/>
    <s v="Nisha Bhat"/>
    <x v="24"/>
    <x v="0"/>
    <x v="41"/>
    <x v="9"/>
    <s v="Hyderabad"/>
    <s v="Telangana"/>
    <x v="2"/>
    <x v="1"/>
    <s v="Bookshelf"/>
    <x v="6"/>
    <n v="1"/>
    <n v="5080"/>
    <n v="0.05"/>
    <n v="3330"/>
    <s v="Net Banking"/>
    <s v="Delivered"/>
    <n v="3"/>
    <s v="Returning"/>
    <n v="5080"/>
    <n v="254"/>
    <n v="4826"/>
    <n v="1496"/>
    <n v="0.30998756734355576"/>
    <n v="2027"/>
    <s v="Apr"/>
    <s v="Q2"/>
  </r>
  <r>
    <s v="ORD10747"/>
    <x v="746"/>
    <s v="CUST1047"/>
    <s v="Rohan Bhat"/>
    <x v="175"/>
    <x v="0"/>
    <x v="19"/>
    <x v="5"/>
    <s v="Bhubaneswar"/>
    <s v="Odisha"/>
    <x v="1"/>
    <x v="3"/>
    <s v="Dumbbells"/>
    <x v="7"/>
    <n v="4"/>
    <n v="2630"/>
    <n v="0"/>
    <n v="1530"/>
    <s v="Credit Card"/>
    <s v="Delivered"/>
    <n v="4"/>
    <s v="Returning"/>
    <n v="10520"/>
    <n v="0"/>
    <n v="10520"/>
    <n v="8990"/>
    <n v="0.8545627376425855"/>
    <n v="2027"/>
    <s v="Apr"/>
    <s v="Q2"/>
  </r>
  <r>
    <s v="ORD10748"/>
    <x v="747"/>
    <s v="CUST1370"/>
    <s v="Rahul Iyer"/>
    <x v="181"/>
    <x v="0"/>
    <x v="21"/>
    <x v="6"/>
    <s v="Guwahati"/>
    <s v="Assam"/>
    <x v="1"/>
    <x v="1"/>
    <s v="Office Chair"/>
    <x v="1"/>
    <n v="1"/>
    <n v="6040"/>
    <n v="0.15"/>
    <n v="4290"/>
    <s v="Debit Card"/>
    <s v="Delivered"/>
    <n v="1"/>
    <s v="New"/>
    <n v="6040"/>
    <n v="906"/>
    <n v="5134"/>
    <n v="844"/>
    <n v="0.16439423451499804"/>
    <n v="2027"/>
    <s v="Apr"/>
    <s v="Q2"/>
  </r>
  <r>
    <s v="ORD10749"/>
    <x v="748"/>
    <s v="CUST1120"/>
    <s v="Nisha Nair"/>
    <x v="1"/>
    <x v="1"/>
    <x v="0"/>
    <x v="5"/>
    <s v="Bhubaneswar"/>
    <s v="Odisha"/>
    <x v="1"/>
    <x v="2"/>
    <s v="Laptop"/>
    <x v="15"/>
    <n v="3"/>
    <n v="58840"/>
    <n v="0.1"/>
    <n v="39950"/>
    <s v="UPI"/>
    <s v="Delivered"/>
    <n v="3"/>
    <s v="Returning"/>
    <n v="176520"/>
    <n v="17652"/>
    <n v="158868"/>
    <n v="118918"/>
    <n v="0.74853337361834982"/>
    <n v="2027"/>
    <s v="May"/>
    <s v="Q2"/>
  </r>
  <r>
    <s v="ORD10750"/>
    <x v="749"/>
    <s v="CUST1406"/>
    <s v="Kavya Das"/>
    <x v="121"/>
    <x v="1"/>
    <x v="7"/>
    <x v="8"/>
    <s v="Mysuru"/>
    <s v="Karnataka"/>
    <x v="2"/>
    <x v="5"/>
    <s v="Mixer Grinder"/>
    <x v="22"/>
    <n v="4"/>
    <n v="4000"/>
    <n v="0.05"/>
    <n v="2770"/>
    <s v="Net Banking"/>
    <s v="Delivered"/>
    <n v="10"/>
    <s v="New"/>
    <n v="16000"/>
    <n v="800"/>
    <n v="15200"/>
    <n v="12430"/>
    <n v="0.81776315789473686"/>
    <n v="2027"/>
    <s v="May"/>
    <s v="Q2"/>
  </r>
  <r>
    <s v="ORD10751"/>
    <x v="750"/>
    <s v="CUST1067"/>
    <s v="Vivaan Das"/>
    <x v="17"/>
    <x v="0"/>
    <x v="28"/>
    <x v="13"/>
    <s v="Lucknow"/>
    <s v="Uttar Pradesh"/>
    <x v="3"/>
    <x v="2"/>
    <s v="Tablet"/>
    <x v="4"/>
    <n v="1"/>
    <n v="22910"/>
    <n v="0.3"/>
    <n v="15980"/>
    <s v="Credit Card"/>
    <s v="Cancelled"/>
    <n v="0"/>
    <s v="Returning"/>
    <n v="22910"/>
    <n v="6873"/>
    <n v="16037"/>
    <n v="57"/>
    <n v="3.5542807258215378E-3"/>
    <n v="2027"/>
    <s v="May"/>
    <s v="Q2"/>
  </r>
  <r>
    <s v="ORD10752"/>
    <x v="751"/>
    <s v="CUST1164"/>
    <s v="Aditya Naidu"/>
    <x v="83"/>
    <x v="1"/>
    <x v="41"/>
    <x v="9"/>
    <s v="Hyderabad"/>
    <s v="Telangana"/>
    <x v="2"/>
    <x v="1"/>
    <s v="Office Chair"/>
    <x v="1"/>
    <n v="2"/>
    <n v="6110"/>
    <n v="0.1"/>
    <n v="4290"/>
    <s v="Credit Card"/>
    <s v="Delivered"/>
    <n v="6"/>
    <s v="Returning"/>
    <n v="12220"/>
    <n v="1222"/>
    <n v="10998"/>
    <n v="6708"/>
    <n v="0.60992907801418439"/>
    <n v="2027"/>
    <s v="May"/>
    <s v="Q2"/>
  </r>
  <r>
    <s v="ORD10753"/>
    <x v="752"/>
    <s v="CUST1066"/>
    <s v="Meera Iyer"/>
    <x v="134"/>
    <x v="0"/>
    <x v="27"/>
    <x v="12"/>
    <s v="Delhi"/>
    <s v="Delhi"/>
    <x v="3"/>
    <x v="0"/>
    <s v="Jacket"/>
    <x v="25"/>
    <n v="5"/>
    <n v="4050"/>
    <n v="0.05"/>
    <n v="2580"/>
    <s v="UPI"/>
    <s v="Pending"/>
    <n v="4"/>
    <s v="Returning"/>
    <n v="20250"/>
    <n v="1012.5"/>
    <n v="19237.5"/>
    <n v="16657.5"/>
    <n v="0.86588693957115015"/>
    <n v="2027"/>
    <s v="May"/>
    <s v="Q2"/>
  </r>
  <r>
    <s v="ORD10754"/>
    <x v="753"/>
    <s v="CUST1316"/>
    <s v="Meera Das"/>
    <x v="116"/>
    <x v="1"/>
    <x v="3"/>
    <x v="7"/>
    <s v="Mumbai"/>
    <s v="Maharashtra"/>
    <x v="0"/>
    <x v="0"/>
    <s v="Jeans"/>
    <x v="19"/>
    <n v="1"/>
    <n v="2290"/>
    <n v="0.05"/>
    <n v="1170"/>
    <s v="UPI"/>
    <s v="Delivered"/>
    <n v="6"/>
    <s v="New"/>
    <n v="2290"/>
    <n v="114.5"/>
    <n v="2175.5"/>
    <n v="1005.5"/>
    <n v="0.46219259940243623"/>
    <n v="2027"/>
    <s v="May"/>
    <s v="Q2"/>
  </r>
  <r>
    <s v="ORD10755"/>
    <x v="754"/>
    <s v="CUST1097"/>
    <s v="Sneha Reddy"/>
    <x v="133"/>
    <x v="1"/>
    <x v="20"/>
    <x v="3"/>
    <s v="Bengaluru"/>
    <s v="Karnataka"/>
    <x v="2"/>
    <x v="0"/>
    <s v="T-Shirt"/>
    <x v="2"/>
    <n v="2"/>
    <n v="890"/>
    <n v="0.05"/>
    <n v="450"/>
    <s v="Credit Card"/>
    <s v="Delivered"/>
    <n v="4"/>
    <s v="Returning"/>
    <n v="1780"/>
    <n v="89"/>
    <n v="1691"/>
    <n v="1241"/>
    <n v="0.73388527498521583"/>
    <n v="2027"/>
    <s v="May"/>
    <s v="Q2"/>
  </r>
  <r>
    <s v="ORD10756"/>
    <x v="755"/>
    <s v="CUST1081"/>
    <s v="Meera Verma"/>
    <x v="77"/>
    <x v="1"/>
    <x v="6"/>
    <x v="13"/>
    <s v="Lucknow"/>
    <s v="Uttar Pradesh"/>
    <x v="3"/>
    <x v="0"/>
    <s v="T-Shirt"/>
    <x v="2"/>
    <n v="1"/>
    <n v="840"/>
    <n v="0.15"/>
    <n v="430"/>
    <s v="Cash on Delivery"/>
    <s v="Delivered"/>
    <n v="2"/>
    <s v="Returning"/>
    <n v="840"/>
    <n v="126"/>
    <n v="714"/>
    <n v="284"/>
    <n v="0.39775910364145656"/>
    <n v="2027"/>
    <s v="May"/>
    <s v="Q2"/>
  </r>
  <r>
    <s v="ORD10757"/>
    <x v="756"/>
    <s v="CUST1383"/>
    <s v="Vikram Naidu"/>
    <x v="187"/>
    <x v="1"/>
    <x v="22"/>
    <x v="5"/>
    <s v="Bhubaneswar"/>
    <s v="Odisha"/>
    <x v="1"/>
    <x v="2"/>
    <s v="Smartphone"/>
    <x v="13"/>
    <n v="2"/>
    <n v="19420"/>
    <n v="0.05"/>
    <n v="12650"/>
    <s v="Credit Card"/>
    <s v="Delivered"/>
    <n v="1"/>
    <s v="New"/>
    <n v="38840"/>
    <n v="1942"/>
    <n v="36898"/>
    <n v="24248"/>
    <n v="0.65716298986394928"/>
    <n v="2027"/>
    <s v="May"/>
    <s v="Q2"/>
  </r>
  <r>
    <s v="ORD10758"/>
    <x v="757"/>
    <s v="CUST1046"/>
    <s v="Meera Singh"/>
    <x v="163"/>
    <x v="0"/>
    <x v="9"/>
    <x v="1"/>
    <s v="Kolkata"/>
    <s v="West Bengal"/>
    <x v="1"/>
    <x v="0"/>
    <s v="Handbag"/>
    <x v="12"/>
    <n v="1"/>
    <n v="2860"/>
    <n v="0.15"/>
    <n v="1650"/>
    <s v="Credit Card"/>
    <s v="Returned"/>
    <n v="3"/>
    <s v="Returning"/>
    <n v="2860"/>
    <n v="429"/>
    <n v="2431"/>
    <n v="781"/>
    <n v="0.32126696832579188"/>
    <n v="2027"/>
    <s v="May"/>
    <s v="Q2"/>
  </r>
  <r>
    <s v="ORD10759"/>
    <x v="758"/>
    <s v="CUST1295"/>
    <s v="Meera Sharma"/>
    <x v="48"/>
    <x v="1"/>
    <x v="5"/>
    <x v="14"/>
    <s v="Ahmedabad"/>
    <s v="Gujarat"/>
    <x v="0"/>
    <x v="0"/>
    <s v="Jacket"/>
    <x v="25"/>
    <n v="1"/>
    <n v="4160"/>
    <n v="0"/>
    <n v="2590"/>
    <s v="Cash on Delivery"/>
    <s v="Returned"/>
    <n v="3"/>
    <s v="Returning"/>
    <n v="4160"/>
    <n v="0"/>
    <n v="4160"/>
    <n v="1570"/>
    <n v="0.37740384615384615"/>
    <n v="2027"/>
    <s v="May"/>
    <s v="Q2"/>
  </r>
  <r>
    <s v="ORD10760"/>
    <x v="759"/>
    <s v="CUST1248"/>
    <s v="Vikram Gupta"/>
    <x v="177"/>
    <x v="1"/>
    <x v="16"/>
    <x v="8"/>
    <s v="Mysuru"/>
    <s v="Karnataka"/>
    <x v="2"/>
    <x v="0"/>
    <s v="Jeans"/>
    <x v="19"/>
    <n v="2"/>
    <n v="2070"/>
    <n v="0.1"/>
    <n v="1170"/>
    <s v="UPI"/>
    <s v="Delivered"/>
    <n v="5"/>
    <s v="Returning"/>
    <n v="4140"/>
    <n v="414"/>
    <n v="3726"/>
    <n v="2556"/>
    <n v="0.68599033816425126"/>
    <n v="2027"/>
    <s v="May"/>
    <s v="Q2"/>
  </r>
  <r>
    <s v="ORD10761"/>
    <x v="760"/>
    <s v="CUST1075"/>
    <s v="Nisha Singh"/>
    <x v="114"/>
    <x v="0"/>
    <x v="23"/>
    <x v="12"/>
    <s v="Delhi"/>
    <s v="Delhi"/>
    <x v="3"/>
    <x v="1"/>
    <s v="Sofa"/>
    <x v="16"/>
    <n v="1"/>
    <n v="26190"/>
    <n v="0"/>
    <n v="20340"/>
    <s v="UPI"/>
    <s v="Delivered"/>
    <n v="4"/>
    <s v="Returning"/>
    <n v="26190"/>
    <n v="0"/>
    <n v="26190"/>
    <n v="5850"/>
    <n v="0.22336769759450173"/>
    <n v="2027"/>
    <s v="May"/>
    <s v="Q2"/>
  </r>
  <r>
    <s v="ORD10762"/>
    <x v="761"/>
    <s v="CUST1500"/>
    <s v="Vikram Verma"/>
    <x v="149"/>
    <x v="0"/>
    <x v="0"/>
    <x v="13"/>
    <s v="Lucknow"/>
    <s v="Uttar Pradesh"/>
    <x v="3"/>
    <x v="2"/>
    <s v="Headphones"/>
    <x v="5"/>
    <n v="2"/>
    <n v="2540"/>
    <n v="0.05"/>
    <n v="1550"/>
    <s v="Credit Card"/>
    <s v="Pending"/>
    <n v="5"/>
    <s v="New"/>
    <n v="5080"/>
    <n v="254"/>
    <n v="4826"/>
    <n v="3276"/>
    <n v="0.67882304185661002"/>
    <n v="2027"/>
    <s v="May"/>
    <s v="Q2"/>
  </r>
  <r>
    <s v="ORD10763"/>
    <x v="762"/>
    <s v="CUST1239"/>
    <s v="Rohan Iyer"/>
    <x v="33"/>
    <x v="0"/>
    <x v="4"/>
    <x v="3"/>
    <s v="Bengaluru"/>
    <s v="Karnataka"/>
    <x v="2"/>
    <x v="1"/>
    <s v="Study Table"/>
    <x v="11"/>
    <n v="4"/>
    <n v="9150"/>
    <n v="0.15"/>
    <n v="5600"/>
    <s v="unknown"/>
    <s v="Delivered"/>
    <n v="3"/>
    <s v="Returning"/>
    <n v="36600"/>
    <n v="5490"/>
    <n v="31110"/>
    <n v="25510"/>
    <n v="0.81999357119897143"/>
    <n v="2027"/>
    <s v="May"/>
    <s v="Q2"/>
  </r>
  <r>
    <s v="ORD10764"/>
    <x v="763"/>
    <s v="CUST1131"/>
    <s v="Rahul Mehta"/>
    <x v="93"/>
    <x v="0"/>
    <x v="37"/>
    <x v="7"/>
    <s v="Mumbai"/>
    <s v="Maharashtra"/>
    <x v="0"/>
    <x v="0"/>
    <s v="T-Shirt"/>
    <x v="2"/>
    <n v="2"/>
    <n v="940"/>
    <n v="0.05"/>
    <n v="440"/>
    <s v="Credit Card"/>
    <s v="Delivered"/>
    <n v="6"/>
    <s v="Returning"/>
    <n v="1880"/>
    <n v="94"/>
    <n v="1786"/>
    <n v="1346"/>
    <n v="0.75363941769316911"/>
    <n v="2027"/>
    <s v="May"/>
    <s v="Q2"/>
  </r>
  <r>
    <s v="ORD10765"/>
    <x v="764"/>
    <s v="CUST1227"/>
    <s v="Diya Singh"/>
    <x v="239"/>
    <x v="0"/>
    <x v="21"/>
    <x v="1"/>
    <s v="Kolkata"/>
    <s v="West Bengal"/>
    <x v="1"/>
    <x v="1"/>
    <s v="Office Chair"/>
    <x v="1"/>
    <n v="1"/>
    <n v="6360"/>
    <n v="0.05"/>
    <n v="4200"/>
    <s v="Credit Card"/>
    <s v="Delivered"/>
    <n v="3"/>
    <s v="Returning"/>
    <n v="6360"/>
    <n v="318"/>
    <n v="6042"/>
    <n v="1842"/>
    <n v="0.30486593843098314"/>
    <n v="2027"/>
    <s v="May"/>
    <s v="Q2"/>
  </r>
  <r>
    <s v="ORD10766"/>
    <x v="765"/>
    <s v="CUST1468"/>
    <s v="Sneha Rao"/>
    <x v="27"/>
    <x v="1"/>
    <x v="12"/>
    <x v="8"/>
    <s v="Mysuru"/>
    <s v="Karnataka"/>
    <x v="2"/>
    <x v="4"/>
    <s v="Face Cream"/>
    <x v="21"/>
    <n v="4"/>
    <n v="680"/>
    <n v="0.25"/>
    <n v="300"/>
    <s v="UPI"/>
    <s v="Returned"/>
    <n v="2"/>
    <s v="New"/>
    <n v="2720"/>
    <n v="680"/>
    <n v="2040"/>
    <n v="1740"/>
    <n v="0.8529411764705882"/>
    <n v="2027"/>
    <s v="May"/>
    <s v="Q2"/>
  </r>
  <r>
    <s v="ORD10767"/>
    <x v="766"/>
    <s v="CUST1356"/>
    <s v="Ananya Joshi"/>
    <x v="205"/>
    <x v="1"/>
    <x v="16"/>
    <x v="13"/>
    <s v="Lucknow"/>
    <s v="Uttar Pradesh"/>
    <x v="3"/>
    <x v="5"/>
    <s v="Electric Kettle"/>
    <x v="18"/>
    <n v="4"/>
    <n v="1920"/>
    <n v="0"/>
    <n v="940"/>
    <s v="Cash on Delivery"/>
    <s v="Delivered"/>
    <n v="5"/>
    <s v="New"/>
    <n v="7680"/>
    <n v="0"/>
    <n v="7680"/>
    <n v="6740"/>
    <n v="0.87760416666666663"/>
    <n v="2027"/>
    <s v="May"/>
    <s v="Q2"/>
  </r>
  <r>
    <s v="ORD10768"/>
    <x v="767"/>
    <s v="CUST1133"/>
    <s v="Rohan Gupta"/>
    <x v="42"/>
    <x v="1"/>
    <x v="7"/>
    <x v="11"/>
    <s v="Chennai"/>
    <s v="Tamil Nadu"/>
    <x v="2"/>
    <x v="2"/>
    <s v="Tablet"/>
    <x v="4"/>
    <n v="1"/>
    <n v="21760"/>
    <n v="0.1"/>
    <n v="15310"/>
    <s v="Net Banking"/>
    <s v="Returned"/>
    <n v="2"/>
    <s v="Returning"/>
    <n v="21760"/>
    <n v="2176"/>
    <n v="19584"/>
    <n v="4274"/>
    <n v="0.21823937908496732"/>
    <n v="2027"/>
    <s v="May"/>
    <s v="Q2"/>
  </r>
  <r>
    <s v="ORD10769"/>
    <x v="768"/>
    <s v="CUST1328"/>
    <s v="Rahul Rao"/>
    <x v="216"/>
    <x v="1"/>
    <x v="32"/>
    <x v="5"/>
    <s v="Bhubaneswar"/>
    <s v="Odisha"/>
    <x v="1"/>
    <x v="2"/>
    <s v="Headphones"/>
    <x v="5"/>
    <n v="2"/>
    <n v="2650"/>
    <n v="0.1"/>
    <n v="1480"/>
    <s v="Cash on Delivery"/>
    <s v="Delivered"/>
    <n v="4"/>
    <s v="New"/>
    <n v="5300"/>
    <n v="530"/>
    <n v="4770"/>
    <n v="3290"/>
    <n v="0.689727463312369"/>
    <n v="2027"/>
    <s v="May"/>
    <s v="Q2"/>
  </r>
  <r>
    <s v="ORD10770"/>
    <x v="769"/>
    <s v="CUST1406"/>
    <s v="Rohan Bhat"/>
    <x v="175"/>
    <x v="0"/>
    <x v="25"/>
    <x v="14"/>
    <s v="Ahmedabad"/>
    <s v="Gujarat"/>
    <x v="0"/>
    <x v="2"/>
    <s v="Laptop"/>
    <x v="15"/>
    <n v="1"/>
    <n v="56970"/>
    <n v="0.2"/>
    <n v="40890"/>
    <s v="Net Banking"/>
    <s v="Delivered"/>
    <n v="8"/>
    <s v="New"/>
    <n v="56970"/>
    <n v="11394"/>
    <n v="45576"/>
    <n v="4686"/>
    <n v="0.10281727224855187"/>
    <n v="2027"/>
    <s v="May"/>
    <s v="Q2"/>
  </r>
  <r>
    <s v="ORD10771"/>
    <x v="770"/>
    <s v="CUST1497"/>
    <s v="Diya Das"/>
    <x v="237"/>
    <x v="1"/>
    <x v="31"/>
    <x v="13"/>
    <s v="Lucknow"/>
    <s v="Uttar Pradesh"/>
    <x v="3"/>
    <x v="1"/>
    <s v="Sofa"/>
    <x v="16"/>
    <n v="1"/>
    <n v="29300"/>
    <n v="0.1"/>
    <n v="21120"/>
    <s v="UPI"/>
    <s v="Delivered"/>
    <n v="5"/>
    <s v="New"/>
    <n v="29300"/>
    <n v="2930"/>
    <n v="26370"/>
    <n v="5250"/>
    <n v="0.19908987485779295"/>
    <n v="2027"/>
    <s v="May"/>
    <s v="Q2"/>
  </r>
  <r>
    <s v="ORD10772"/>
    <x v="771"/>
    <s v="CUST1359"/>
    <s v="Kavya Shah"/>
    <x v="213"/>
    <x v="0"/>
    <x v="6"/>
    <x v="11"/>
    <s v="Chennai"/>
    <s v="Tamil Nadu"/>
    <x v="2"/>
    <x v="5"/>
    <s v="Vacuum Cleaner"/>
    <x v="9"/>
    <n v="2"/>
    <n v="7940"/>
    <n v="0.15"/>
    <n v="5410"/>
    <s v="Cash on Delivery"/>
    <s v="Delivered"/>
    <n v="3"/>
    <s v="New"/>
    <n v="15880"/>
    <n v="2382"/>
    <n v="13498"/>
    <n v="8088"/>
    <n v="0.59919988146392056"/>
    <n v="2027"/>
    <s v="May"/>
    <s v="Q2"/>
  </r>
  <r>
    <s v="ORD10773"/>
    <x v="772"/>
    <s v="CUST1343"/>
    <s v="Arjun Joshi"/>
    <x v="51"/>
    <x v="1"/>
    <x v="32"/>
    <x v="10"/>
    <s v="Jaipur"/>
    <s v="Rajasthan"/>
    <x v="3"/>
    <x v="2"/>
    <s v="Laptop"/>
    <x v="15"/>
    <n v="3"/>
    <n v="59180"/>
    <n v="0.2"/>
    <n v="40850"/>
    <s v="UPI"/>
    <s v="Delivered"/>
    <n v="4"/>
    <s v="New"/>
    <n v="177540"/>
    <n v="35508"/>
    <n v="142032"/>
    <n v="101182"/>
    <n v="0.71238875746310693"/>
    <n v="2027"/>
    <s v="May"/>
    <s v="Q2"/>
  </r>
  <r>
    <s v="ORD10774"/>
    <x v="773"/>
    <s v="CUST1055"/>
    <s v="Aarav Shah"/>
    <x v="240"/>
    <x v="0"/>
    <x v="11"/>
    <x v="4"/>
    <s v="Chandigarh"/>
    <s v="Chandigarh"/>
    <x v="3"/>
    <x v="1"/>
    <s v="Bedside Table"/>
    <x v="24"/>
    <n v="3"/>
    <n v="4410"/>
    <n v="0"/>
    <n v="2940"/>
    <s v="Net Banking"/>
    <s v="Returned"/>
    <n v="7"/>
    <s v="Returning"/>
    <n v="13230"/>
    <n v="0"/>
    <n v="13230"/>
    <n v="10290"/>
    <n v="0.77777777777777779"/>
    <n v="2027"/>
    <s v="May"/>
    <s v="Q2"/>
  </r>
  <r>
    <s v="ORD10775"/>
    <x v="774"/>
    <s v="CUST1161"/>
    <s v="Arjun Das"/>
    <x v="123"/>
    <x v="1"/>
    <x v="14"/>
    <x v="5"/>
    <s v="Bhubaneswar"/>
    <s v="Odisha"/>
    <x v="1"/>
    <x v="1"/>
    <s v="Sofa"/>
    <x v="16"/>
    <n v="1"/>
    <n v="30110"/>
    <n v="0.1"/>
    <n v="19850"/>
    <s v="UPI"/>
    <s v="Delivered"/>
    <n v="4"/>
    <s v="Returning"/>
    <n v="30110"/>
    <n v="3011"/>
    <n v="27099"/>
    <n v="7249"/>
    <n v="0.26750064578028709"/>
    <n v="2027"/>
    <s v="May"/>
    <s v="Q2"/>
  </r>
  <r>
    <s v="ORD10776"/>
    <x v="775"/>
    <s v="CUST1157"/>
    <s v="Ananya Singh"/>
    <x v="197"/>
    <x v="0"/>
    <x v="22"/>
    <x v="3"/>
    <s v="Bengaluru"/>
    <s v="Karnataka"/>
    <x v="2"/>
    <x v="5"/>
    <s v="Air Fryer"/>
    <x v="26"/>
    <n v="1"/>
    <n v="6880"/>
    <n v="0.2"/>
    <n v="4070"/>
    <s v="UPI"/>
    <s v="Pending"/>
    <n v="6"/>
    <s v="Returning"/>
    <n v="6880"/>
    <n v="1376"/>
    <n v="5504"/>
    <n v="1434"/>
    <n v="0.26053779069767441"/>
    <n v="2027"/>
    <s v="May"/>
    <s v="Q2"/>
  </r>
  <r>
    <s v="ORD10777"/>
    <x v="776"/>
    <s v="CUST1231"/>
    <s v="Ishita Naidu"/>
    <x v="218"/>
    <x v="0"/>
    <x v="37"/>
    <x v="4"/>
    <s v="Chandigarh"/>
    <s v="Chandigarh"/>
    <x v="3"/>
    <x v="2"/>
    <s v="Laptop"/>
    <x v="15"/>
    <n v="1"/>
    <n v="54120"/>
    <n v="0.1"/>
    <n v="42530"/>
    <s v="UPI"/>
    <s v="Pending"/>
    <n v="4"/>
    <s v="Returning"/>
    <n v="54120"/>
    <n v="5412"/>
    <n v="48708"/>
    <n v="6178"/>
    <n v="0.12683748049601709"/>
    <n v="2027"/>
    <s v="May"/>
    <s v="Q2"/>
  </r>
  <r>
    <s v="ORD10778"/>
    <x v="777"/>
    <s v="CUST1418"/>
    <s v="Meera Kumar"/>
    <x v="234"/>
    <x v="0"/>
    <x v="1"/>
    <x v="13"/>
    <s v="Lucknow"/>
    <s v="Uttar Pradesh"/>
    <x v="3"/>
    <x v="0"/>
    <s v="Jeans"/>
    <x v="19"/>
    <n v="3"/>
    <n v="2300"/>
    <n v="0.05"/>
    <n v="1170"/>
    <s v="Net Banking"/>
    <s v="Returned"/>
    <n v="4"/>
    <s v="New"/>
    <n v="6900"/>
    <n v="345"/>
    <n v="6555"/>
    <n v="5385"/>
    <n v="0.82151029748283755"/>
    <n v="2027"/>
    <s v="May"/>
    <s v="Q2"/>
  </r>
  <r>
    <s v="ORD10779"/>
    <x v="778"/>
    <s v="CUST1023"/>
    <s v="Ishita Verma"/>
    <x v="174"/>
    <x v="0"/>
    <x v="19"/>
    <x v="0"/>
    <s v="Pune"/>
    <s v="Maharashtra"/>
    <x v="0"/>
    <x v="0"/>
    <s v="Jacket"/>
    <x v="25"/>
    <n v="3"/>
    <n v="4000"/>
    <n v="0.05"/>
    <n v="2560"/>
    <s v="Cash on Delivery"/>
    <s v="Returned"/>
    <n v="3"/>
    <s v="Returning"/>
    <n v="12000"/>
    <n v="600"/>
    <n v="11400"/>
    <n v="8840"/>
    <n v="0.77543859649122804"/>
    <n v="2027"/>
    <s v="May"/>
    <s v="Q2"/>
  </r>
  <r>
    <s v="ORD10780"/>
    <x v="779"/>
    <s v="CUST1228"/>
    <s v="Ishita Rao"/>
    <x v="137"/>
    <x v="0"/>
    <x v="3"/>
    <x v="13"/>
    <s v="Lucknow"/>
    <s v="Uttar Pradesh"/>
    <x v="3"/>
    <x v="3"/>
    <s v="Yoga Mat"/>
    <x v="20"/>
    <n v="2"/>
    <n v="890"/>
    <n v="0.05"/>
    <n v="410"/>
    <s v="Cash on Delivery"/>
    <s v="Returned"/>
    <n v="8"/>
    <s v="Returning"/>
    <n v="1780"/>
    <n v="89"/>
    <n v="1691"/>
    <n v="1281"/>
    <n v="0.75753991720875224"/>
    <n v="2027"/>
    <s v="Jun"/>
    <s v="Q2"/>
  </r>
  <r>
    <s v="ORD10781"/>
    <x v="780"/>
    <s v="CUST1350"/>
    <s v="Sneha Nair"/>
    <x v="180"/>
    <x v="1"/>
    <x v="12"/>
    <x v="6"/>
    <s v="Guwahati"/>
    <s v="Assam"/>
    <x v="1"/>
    <x v="3"/>
    <s v="Football"/>
    <x v="10"/>
    <n v="2"/>
    <n v="1160"/>
    <n v="0.2"/>
    <n v="590"/>
    <s v="UPI"/>
    <s v="Delivered"/>
    <n v="2"/>
    <s v="New"/>
    <n v="2320"/>
    <n v="464"/>
    <n v="1856"/>
    <n v="1266"/>
    <n v="0.68211206896551724"/>
    <n v="2027"/>
    <s v="Jun"/>
    <s v="Q2"/>
  </r>
  <r>
    <s v="ORD10782"/>
    <x v="781"/>
    <s v="CUST1425"/>
    <s v="Kavya Reddy"/>
    <x v="203"/>
    <x v="1"/>
    <x v="27"/>
    <x v="5"/>
    <s v="Bhubaneswar"/>
    <s v="Odisha"/>
    <x v="1"/>
    <x v="2"/>
    <s v="Headphones"/>
    <x v="5"/>
    <n v="1"/>
    <n v="2470"/>
    <n v="0.1"/>
    <n v="1540"/>
    <s v="Credit Card"/>
    <s v="Delivered"/>
    <n v="6"/>
    <s v="New"/>
    <n v="2470"/>
    <n v="247"/>
    <n v="2223"/>
    <n v="683"/>
    <n v="0.30724246513720199"/>
    <n v="2027"/>
    <s v="Jun"/>
    <s v="Q2"/>
  </r>
  <r>
    <s v="ORD10783"/>
    <x v="782"/>
    <s v="CUST1339"/>
    <s v="Diya Mehta"/>
    <x v="161"/>
    <x v="1"/>
    <x v="9"/>
    <x v="3"/>
    <s v="Bengaluru"/>
    <s v="Karnataka"/>
    <x v="2"/>
    <x v="1"/>
    <s v="Bookshelf"/>
    <x v="6"/>
    <n v="2"/>
    <n v="4880"/>
    <n v="0.05"/>
    <n v="3260"/>
    <s v="Cash on Delivery"/>
    <s v="Delivered"/>
    <n v="1"/>
    <s v="New"/>
    <n v="9760"/>
    <n v="488"/>
    <n v="9272"/>
    <n v="6012"/>
    <n v="0.64840379637618639"/>
    <n v="2027"/>
    <s v="Jun"/>
    <s v="Q2"/>
  </r>
  <r>
    <s v="ORD10784"/>
    <x v="783"/>
    <s v="CUST1392"/>
    <s v="Kavya Sharma"/>
    <x v="106"/>
    <x v="0"/>
    <x v="9"/>
    <x v="8"/>
    <s v="Mysuru"/>
    <s v="Karnataka"/>
    <x v="2"/>
    <x v="2"/>
    <s v="Smartwatch"/>
    <x v="3"/>
    <n v="3"/>
    <n v="7110"/>
    <n v="0.15"/>
    <n v="4410"/>
    <s v="Credit Card"/>
    <s v="Delivered"/>
    <n v="3"/>
    <s v="New"/>
    <n v="21330"/>
    <n v="3199.5"/>
    <n v="18130.5"/>
    <n v="13720.5"/>
    <n v="0.75676346487962276"/>
    <n v="2027"/>
    <s v="Jun"/>
    <s v="Q2"/>
  </r>
  <r>
    <s v="ORD10785"/>
    <x v="784"/>
    <s v="CUST1059"/>
    <s v="Ananya Naidu"/>
    <x v="219"/>
    <x v="1"/>
    <x v="12"/>
    <x v="0"/>
    <s v="Pune"/>
    <s v="Maharashtra"/>
    <x v="0"/>
    <x v="2"/>
    <s v="Smartphone"/>
    <x v="13"/>
    <n v="2"/>
    <n v="17860"/>
    <n v="0.1"/>
    <n v="12770"/>
    <s v="UPI"/>
    <s v="Delivered"/>
    <n v="4"/>
    <s v="Returning"/>
    <n v="35720"/>
    <n v="3572"/>
    <n v="32148"/>
    <n v="19378"/>
    <n v="0.60277466716436479"/>
    <n v="2027"/>
    <s v="Jun"/>
    <s v="Q2"/>
  </r>
  <r>
    <s v="ORD10786"/>
    <x v="785"/>
    <s v="CUST1429"/>
    <s v="Aditya Reddy"/>
    <x v="32"/>
    <x v="0"/>
    <x v="16"/>
    <x v="2"/>
    <s v="Kochi"/>
    <s v="Kerala"/>
    <x v="2"/>
    <x v="0"/>
    <s v="Jacket"/>
    <x v="25"/>
    <n v="3"/>
    <n v="4010"/>
    <n v="0.25"/>
    <n v="2630"/>
    <s v="Wallet"/>
    <s v="Delivered"/>
    <n v="2"/>
    <s v="New"/>
    <n v="12030"/>
    <n v="3007.5"/>
    <n v="9022.5"/>
    <n v="6392.5"/>
    <n v="0.70850651149903021"/>
    <n v="2027"/>
    <s v="Jun"/>
    <s v="Q2"/>
  </r>
  <r>
    <s v="ORD10787"/>
    <x v="786"/>
    <s v="CUST1466"/>
    <s v="Karan Singh"/>
    <x v="74"/>
    <x v="1"/>
    <x v="7"/>
    <x v="2"/>
    <s v="Kochi"/>
    <s v="Kerala"/>
    <x v="2"/>
    <x v="5"/>
    <s v="Microwave"/>
    <x v="27"/>
    <n v="2"/>
    <n v="12680"/>
    <n v="0.1"/>
    <n v="8040"/>
    <s v="Cash on Delivery"/>
    <s v="Delivered"/>
    <n v="1"/>
    <s v="New"/>
    <n v="25360"/>
    <n v="2536"/>
    <n v="22824"/>
    <n v="14784"/>
    <n v="0.64773922187171395"/>
    <n v="2027"/>
    <s v="Jun"/>
    <s v="Q2"/>
  </r>
  <r>
    <s v="ORD10788"/>
    <x v="787"/>
    <s v="CUST1441"/>
    <s v="Arjun Reddy"/>
    <x v="157"/>
    <x v="0"/>
    <x v="8"/>
    <x v="13"/>
    <s v="Lucknow"/>
    <s v="Uttar Pradesh"/>
    <x v="3"/>
    <x v="2"/>
    <s v="Smartphone"/>
    <x v="13"/>
    <n v="3"/>
    <n v="19170"/>
    <n v="0.1"/>
    <n v="13070"/>
    <s v="Net Banking"/>
    <s v="Delivered"/>
    <n v="2"/>
    <s v="New"/>
    <n v="57510"/>
    <n v="5751"/>
    <n v="51759"/>
    <n v="38689"/>
    <n v="0.74748352943449448"/>
    <n v="2027"/>
    <s v="Jun"/>
    <s v="Q2"/>
  </r>
  <r>
    <s v="ORD10789"/>
    <x v="788"/>
    <s v="CUST1366"/>
    <s v="Rahul Verma"/>
    <x v="183"/>
    <x v="0"/>
    <x v="7"/>
    <x v="13"/>
    <s v="Lucknow"/>
    <s v="Uttar Pradesh"/>
    <x v="3"/>
    <x v="4"/>
    <s v="Makeup Kit"/>
    <x v="28"/>
    <n v="1"/>
    <n v="2270"/>
    <n v="0"/>
    <n v="1210"/>
    <s v="Credit Card"/>
    <s v="Delivered"/>
    <n v="2"/>
    <s v="New"/>
    <n v="2270"/>
    <n v="0"/>
    <n v="2270"/>
    <n v="1060"/>
    <n v="0.46696035242290751"/>
    <n v="2027"/>
    <s v="Jun"/>
    <s v="Q2"/>
  </r>
  <r>
    <s v="ORD10790"/>
    <x v="789"/>
    <s v="CUST1294"/>
    <s v="Rahul Kumar"/>
    <x v="44"/>
    <x v="0"/>
    <x v="33"/>
    <x v="6"/>
    <s v="Guwahati"/>
    <s v="Assam"/>
    <x v="1"/>
    <x v="1"/>
    <s v="Study Table"/>
    <x v="11"/>
    <n v="1"/>
    <n v="8450"/>
    <n v="0.05"/>
    <n v="5450"/>
    <s v="UPI"/>
    <s v="Delivered"/>
    <n v="4"/>
    <s v="Returning"/>
    <n v="8450"/>
    <n v="422.5"/>
    <n v="8027.5"/>
    <n v="2577.5"/>
    <n v="0.32108377452507009"/>
    <n v="2027"/>
    <s v="Jun"/>
    <s v="Q2"/>
  </r>
  <r>
    <s v="ORD10791"/>
    <x v="790"/>
    <s v="CUST1048"/>
    <s v="Rohan Reddy"/>
    <x v="130"/>
    <x v="1"/>
    <x v="2"/>
    <x v="14"/>
    <s v="Ahmedabad"/>
    <s v="Gujarat"/>
    <x v="0"/>
    <x v="0"/>
    <s v="Jeans"/>
    <x v="19"/>
    <n v="2"/>
    <n v="2190"/>
    <n v="0.05"/>
    <n v="1180"/>
    <s v="UPI"/>
    <s v="Returned"/>
    <n v="3"/>
    <s v="Returning"/>
    <n v="4380"/>
    <n v="219"/>
    <n v="4161"/>
    <n v="2981"/>
    <n v="0.71641432347993272"/>
    <n v="2027"/>
    <s v="Jun"/>
    <s v="Q2"/>
  </r>
  <r>
    <s v="ORD10792"/>
    <x v="791"/>
    <s v="CUST1179"/>
    <s v="Nisha Patel"/>
    <x v="241"/>
    <x v="0"/>
    <x v="33"/>
    <x v="7"/>
    <s v="Mumbai"/>
    <s v="Maharashtra"/>
    <x v="0"/>
    <x v="2"/>
    <s v="Smartwatch"/>
    <x v="3"/>
    <n v="1"/>
    <n v="7200"/>
    <n v="0"/>
    <n v="4530"/>
    <s v="UPI"/>
    <s v="Cancelled"/>
    <n v="0"/>
    <s v="Returning"/>
    <n v="7200"/>
    <n v="0"/>
    <n v="7200"/>
    <n v="2670"/>
    <n v="0.37083333333333335"/>
    <n v="2027"/>
    <s v="Jun"/>
    <s v="Q2"/>
  </r>
  <r>
    <s v="ORD10793"/>
    <x v="792"/>
    <s v="CUST1463"/>
    <s v="Vivaan Nair"/>
    <x v="65"/>
    <x v="1"/>
    <x v="36"/>
    <x v="5"/>
    <s v="Bhubaneswar"/>
    <s v="Odisha"/>
    <x v="1"/>
    <x v="2"/>
    <s v="Tablet"/>
    <x v="4"/>
    <n v="4"/>
    <n v="21140"/>
    <n v="0.25"/>
    <n v="15650"/>
    <s v="Cash on Delivery"/>
    <s v="Delivered"/>
    <n v="2"/>
    <s v="New"/>
    <n v="84560"/>
    <n v="21140"/>
    <n v="63420"/>
    <n v="47770"/>
    <n v="0.75323241879533265"/>
    <n v="2027"/>
    <s v="Jun"/>
    <s v="Q2"/>
  </r>
  <r>
    <s v="ORD10794"/>
    <x v="793"/>
    <s v="CUST1320"/>
    <s v="Nisha Singh"/>
    <x v="114"/>
    <x v="1"/>
    <x v="3"/>
    <x v="0"/>
    <s v="Pune"/>
    <s v="Maharashtra"/>
    <x v="0"/>
    <x v="2"/>
    <s v="Smartwatch"/>
    <x v="3"/>
    <n v="4"/>
    <n v="7170"/>
    <n v="0.2"/>
    <n v="4510"/>
    <s v="UPI"/>
    <s v="Delivered"/>
    <n v="4"/>
    <s v="New"/>
    <n v="28680"/>
    <n v="5736"/>
    <n v="22944"/>
    <n v="18434"/>
    <n v="0.80343444909344486"/>
    <n v="2027"/>
    <s v="Jun"/>
    <s v="Q2"/>
  </r>
  <r>
    <s v="ORD10795"/>
    <x v="794"/>
    <s v="CUST1101"/>
    <s v="Aditya Nair"/>
    <x v="117"/>
    <x v="0"/>
    <x v="14"/>
    <x v="10"/>
    <s v="Jaipur"/>
    <s v="Rajasthan"/>
    <x v="3"/>
    <x v="0"/>
    <s v="Sneakers"/>
    <x v="0"/>
    <n v="2"/>
    <n v="3650"/>
    <n v="0.05"/>
    <n v="2080"/>
    <s v="Credit Card"/>
    <s v="Delivered"/>
    <n v="4"/>
    <s v="Returning"/>
    <n v="7300"/>
    <n v="365"/>
    <n v="6935"/>
    <n v="4855"/>
    <n v="0.70007209805335258"/>
    <n v="2027"/>
    <s v="Jun"/>
    <s v="Q2"/>
  </r>
  <r>
    <s v="ORD10796"/>
    <x v="795"/>
    <s v="CUST1332"/>
    <s v="Kavya Das"/>
    <x v="121"/>
    <x v="0"/>
    <x v="18"/>
    <x v="13"/>
    <s v="Lucknow"/>
    <s v="Uttar Pradesh"/>
    <x v="3"/>
    <x v="3"/>
    <s v="Yoga Mat"/>
    <x v="20"/>
    <n v="1"/>
    <n v="960"/>
    <n v="0.1"/>
    <n v="400"/>
    <s v="UPI"/>
    <s v="Delivered"/>
    <n v="3"/>
    <s v="New"/>
    <n v="960"/>
    <n v="96"/>
    <n v="864"/>
    <n v="464"/>
    <n v="0.53703703703703709"/>
    <n v="2027"/>
    <s v="Jun"/>
    <s v="Q2"/>
  </r>
  <r>
    <s v="ORD10797"/>
    <x v="796"/>
    <s v="CUST1218"/>
    <s v="Karan Joshi"/>
    <x v="230"/>
    <x v="0"/>
    <x v="34"/>
    <x v="2"/>
    <s v="Kochi"/>
    <s v="Kerala"/>
    <x v="2"/>
    <x v="0"/>
    <s v="Handbag"/>
    <x v="12"/>
    <n v="1"/>
    <n v="2870"/>
    <n v="0.05"/>
    <n v="1530"/>
    <s v="Credit Card"/>
    <s v="Delivered"/>
    <n v="2"/>
    <s v="Returning"/>
    <n v="2870"/>
    <n v="143.5"/>
    <n v="2726.5"/>
    <n v="1196.5"/>
    <n v="0.43884100495140288"/>
    <n v="2027"/>
    <s v="Jun"/>
    <s v="Q2"/>
  </r>
  <r>
    <s v="ORD10798"/>
    <x v="797"/>
    <s v="CUST1084"/>
    <s v="Kavya Iyer"/>
    <x v="128"/>
    <x v="0"/>
    <x v="14"/>
    <x v="9"/>
    <s v="Hyderabad"/>
    <s v="Telangana"/>
    <x v="2"/>
    <x v="4"/>
    <s v="Makeup Kit"/>
    <x v="28"/>
    <n v="1"/>
    <n v="2120"/>
    <n v="0.1"/>
    <n v="1250"/>
    <s v="UPI"/>
    <s v="Delivered"/>
    <n v="3"/>
    <s v="Returning"/>
    <n v="2120"/>
    <n v="212"/>
    <n v="1908"/>
    <n v="658"/>
    <n v="0.3448637316561845"/>
    <n v="2027"/>
    <s v="Jun"/>
    <s v="Q2"/>
  </r>
  <r>
    <s v="ORD10799"/>
    <x v="798"/>
    <s v="CUST1098"/>
    <s v="Ananya Kumar"/>
    <x v="126"/>
    <x v="1"/>
    <x v="24"/>
    <x v="14"/>
    <s v="Ahmedabad"/>
    <s v="Gujarat"/>
    <x v="0"/>
    <x v="2"/>
    <s v="Smartwatch"/>
    <x v="3"/>
    <n v="1"/>
    <n v="7510"/>
    <n v="0.05"/>
    <n v="4670"/>
    <s v="Cash on Delivery"/>
    <s v="Pending"/>
    <n v="3"/>
    <s v="Returning"/>
    <n v="7510"/>
    <n v="375.5"/>
    <n v="7134.5"/>
    <n v="2464.5"/>
    <n v="0.34543415796481886"/>
    <n v="2027"/>
    <s v="Jun"/>
    <s v="Q2"/>
  </r>
  <r>
    <s v="ORD10800"/>
    <x v="799"/>
    <s v="CUST1366"/>
    <s v="Ananya Das"/>
    <x v="54"/>
    <x v="1"/>
    <x v="40"/>
    <x v="3"/>
    <s v="Bengaluru"/>
    <s v="Karnataka"/>
    <x v="2"/>
    <x v="2"/>
    <s v="Tablet"/>
    <x v="4"/>
    <n v="3"/>
    <n v="21390"/>
    <n v="0.15"/>
    <n v="14870"/>
    <s v="Debit Card"/>
    <s v="Delivered"/>
    <n v="5"/>
    <s v="New"/>
    <n v="64170"/>
    <n v="9625.5"/>
    <n v="54544.5"/>
    <n v="39674.5"/>
    <n v="0.72737856245817634"/>
    <n v="2027"/>
    <s v="Jun"/>
    <s v="Q2"/>
  </r>
  <r>
    <s v="ORD10801"/>
    <x v="800"/>
    <s v="CUST1178"/>
    <s v="Priya Joshi"/>
    <x v="122"/>
    <x v="1"/>
    <x v="3"/>
    <x v="5"/>
    <s v="Bhubaneswar"/>
    <s v="Odisha"/>
    <x v="1"/>
    <x v="3"/>
    <s v="Tennis Racket"/>
    <x v="17"/>
    <n v="1"/>
    <n v="4310"/>
    <n v="0.15"/>
    <n v="2720"/>
    <s v="Credit Card"/>
    <s v="Returned"/>
    <n v="4"/>
    <s v="Returning"/>
    <n v="4310"/>
    <n v="646.5"/>
    <n v="3663.5"/>
    <n v="943.5"/>
    <n v="0.25754060324825984"/>
    <n v="2027"/>
    <s v="Jun"/>
    <s v="Q2"/>
  </r>
  <r>
    <s v="ORD10802"/>
    <x v="801"/>
    <s v="CUST1445"/>
    <s v="Sneha Shah"/>
    <x v="151"/>
    <x v="1"/>
    <x v="13"/>
    <x v="11"/>
    <s v="Chennai"/>
    <s v="Tamil Nadu"/>
    <x v="2"/>
    <x v="0"/>
    <s v="Handbag"/>
    <x v="12"/>
    <n v="2"/>
    <n v="2640"/>
    <n v="0.2"/>
    <n v="1660"/>
    <s v="Credit Card"/>
    <s v="Delivered"/>
    <n v="2"/>
    <s v="New"/>
    <n v="5280"/>
    <n v="1056"/>
    <n v="4224"/>
    <n v="2564"/>
    <n v="0.6070075757575758"/>
    <n v="2027"/>
    <s v="Jun"/>
    <s v="Q2"/>
  </r>
  <r>
    <s v="ORD10803"/>
    <x v="802"/>
    <s v="CUST1165"/>
    <s v="Arjun Verma"/>
    <x v="7"/>
    <x v="0"/>
    <x v="13"/>
    <x v="12"/>
    <s v="Delhi"/>
    <s v="Delhi"/>
    <x v="3"/>
    <x v="4"/>
    <s v="Hair Dryer"/>
    <x v="14"/>
    <n v="2"/>
    <n v="1660"/>
    <n v="0.2"/>
    <n v="970"/>
    <s v="Credit Card"/>
    <s v="Delivered"/>
    <n v="5"/>
    <s v="Returning"/>
    <n v="3320"/>
    <n v="664"/>
    <n v="2656"/>
    <n v="1686"/>
    <n v="0.63478915662650603"/>
    <n v="2027"/>
    <s v="Jun"/>
    <s v="Q2"/>
  </r>
  <r>
    <s v="ORD10804"/>
    <x v="803"/>
    <s v="CUST1458"/>
    <s v="Aarav Sharma"/>
    <x v="55"/>
    <x v="1"/>
    <x v="34"/>
    <x v="5"/>
    <s v="Bhubaneswar"/>
    <s v="Odisha"/>
    <x v="1"/>
    <x v="2"/>
    <s v="Tablet"/>
    <x v="4"/>
    <n v="3"/>
    <n v="21430"/>
    <n v="0.15"/>
    <n v="14800"/>
    <s v="Credit Card"/>
    <s v="Delivered"/>
    <n v="2"/>
    <s v="New"/>
    <n v="64290"/>
    <n v="9643.5"/>
    <n v="54646.5"/>
    <n v="39846.5"/>
    <n v="0.72916838223856972"/>
    <n v="2027"/>
    <s v="Jun"/>
    <s v="Q2"/>
  </r>
  <r>
    <s v="ORD10805"/>
    <x v="804"/>
    <s v="CUST1455"/>
    <s v="Priya Das"/>
    <x v="141"/>
    <x v="1"/>
    <x v="10"/>
    <x v="12"/>
    <s v="Delhi"/>
    <s v="Delhi"/>
    <x v="3"/>
    <x v="2"/>
    <s v="Smartphone"/>
    <x v="13"/>
    <n v="2"/>
    <n v="18780"/>
    <n v="0"/>
    <n v="12990"/>
    <s v="UPI"/>
    <s v="Delivered"/>
    <n v="5"/>
    <s v="New"/>
    <n v="37560"/>
    <n v="0"/>
    <n v="37560"/>
    <n v="24570"/>
    <n v="0.65415335463258784"/>
    <n v="2027"/>
    <s v="Jun"/>
    <s v="Q2"/>
  </r>
  <r>
    <s v="ORD10806"/>
    <x v="805"/>
    <s v="CUST1333"/>
    <s v="Nisha Singh"/>
    <x v="114"/>
    <x v="1"/>
    <x v="41"/>
    <x v="1"/>
    <s v="Kolkata"/>
    <s v="West Bengal"/>
    <x v="1"/>
    <x v="3"/>
    <s v="Yoga Mat"/>
    <x v="20"/>
    <n v="1"/>
    <n v="920"/>
    <n v="0.15"/>
    <n v="390"/>
    <s v="Net Banking"/>
    <s v="Returned"/>
    <n v="3"/>
    <s v="New"/>
    <n v="920"/>
    <n v="138"/>
    <n v="782"/>
    <n v="392"/>
    <n v="0.50127877237851659"/>
    <n v="2027"/>
    <s v="Jun"/>
    <s v="Q2"/>
  </r>
  <r>
    <s v="ORD10807"/>
    <x v="806"/>
    <s v="CUST1061"/>
    <s v="Karan Rao"/>
    <x v="136"/>
    <x v="0"/>
    <x v="16"/>
    <x v="2"/>
    <s v="Kochi"/>
    <s v="Kerala"/>
    <x v="2"/>
    <x v="2"/>
    <s v="Laptop"/>
    <x v="15"/>
    <n v="1"/>
    <n v="53670"/>
    <n v="0.15"/>
    <n v="40310"/>
    <s v="Credit Card"/>
    <s v="Returned"/>
    <n v="1"/>
    <s v="Returning"/>
    <n v="53670"/>
    <n v="8050.5"/>
    <n v="45619.5"/>
    <n v="5309.5"/>
    <n v="0.11638663290917262"/>
    <n v="2027"/>
    <s v="Jun"/>
    <s v="Q2"/>
  </r>
  <r>
    <s v="ORD10808"/>
    <x v="807"/>
    <s v="CUST1495"/>
    <s v="Sneha Singh"/>
    <x v="16"/>
    <x v="1"/>
    <x v="8"/>
    <x v="9"/>
    <s v="Hyderabad"/>
    <s v="Telangana"/>
    <x v="2"/>
    <x v="1"/>
    <s v="Bookshelf"/>
    <x v="6"/>
    <n v="2"/>
    <n v="5120"/>
    <n v="0.15"/>
    <n v="3080"/>
    <s v="Net Banking"/>
    <s v="Delivered"/>
    <n v="4"/>
    <s v="New"/>
    <n v="10240"/>
    <n v="1536"/>
    <n v="8704"/>
    <n v="5624"/>
    <n v="0.64613970588235292"/>
    <n v="2027"/>
    <s v="Jun"/>
    <s v="Q2"/>
  </r>
  <r>
    <s v="ORD10809"/>
    <x v="808"/>
    <s v="CUST1223"/>
    <s v="Aditya Shah"/>
    <x v="10"/>
    <x v="1"/>
    <x v="42"/>
    <x v="12"/>
    <s v="Delhi"/>
    <s v="Delhi"/>
    <x v="3"/>
    <x v="0"/>
    <s v="T-Shirt"/>
    <x v="2"/>
    <n v="1"/>
    <n v="840"/>
    <n v="0.2"/>
    <n v="460"/>
    <s v="Credit Card"/>
    <s v="Delivered"/>
    <n v="2"/>
    <s v="Returning"/>
    <n v="840"/>
    <n v="168"/>
    <n v="672"/>
    <n v="212"/>
    <n v="0.31547619047619047"/>
    <n v="2027"/>
    <s v="Jun"/>
    <s v="Q2"/>
  </r>
  <r>
    <s v="ORD10810"/>
    <x v="809"/>
    <s v="CUST1117"/>
    <s v="Diya Sharma"/>
    <x v="220"/>
    <x v="1"/>
    <x v="6"/>
    <x v="9"/>
    <s v="Hyderabad"/>
    <s v="Telangana"/>
    <x v="2"/>
    <x v="3"/>
    <s v="Football"/>
    <x v="10"/>
    <n v="2"/>
    <n v="1290"/>
    <n v="0.1"/>
    <n v="620"/>
    <s v="Debit Card"/>
    <s v="Delivered"/>
    <n v="6"/>
    <s v="Returning"/>
    <n v="2580"/>
    <n v="258"/>
    <n v="2322"/>
    <n v="1702"/>
    <n v="0.73298880275624456"/>
    <n v="2027"/>
    <s v="Jul"/>
    <s v="Q3"/>
  </r>
  <r>
    <s v="ORD10811"/>
    <x v="810"/>
    <s v="CUST1352"/>
    <s v="Nisha Kumar"/>
    <x v="186"/>
    <x v="1"/>
    <x v="32"/>
    <x v="7"/>
    <s v="Mumbai"/>
    <s v="Maharashtra"/>
    <x v="0"/>
    <x v="5"/>
    <s v="Air Fryer"/>
    <x v="26"/>
    <n v="2"/>
    <n v="7000"/>
    <n v="0.15"/>
    <n v="4200"/>
    <s v="Net Banking"/>
    <s v="Delivered"/>
    <n v="3"/>
    <s v="New"/>
    <n v="14000"/>
    <n v="2100"/>
    <n v="11900"/>
    <n v="7700"/>
    <n v="0.6470588235294118"/>
    <n v="2027"/>
    <s v="Jul"/>
    <s v="Q3"/>
  </r>
  <r>
    <s v="ORD10812"/>
    <x v="811"/>
    <s v="CUST1374"/>
    <s v="Diya Patel"/>
    <x v="63"/>
    <x v="0"/>
    <x v="1"/>
    <x v="8"/>
    <s v="Mysuru"/>
    <s v="Karnataka"/>
    <x v="2"/>
    <x v="0"/>
    <s v="Jacket"/>
    <x v="25"/>
    <n v="1"/>
    <n v="4200"/>
    <n v="0"/>
    <n v="2720"/>
    <s v="UPI"/>
    <s v="Delivered"/>
    <n v="4"/>
    <s v="New"/>
    <n v="4200"/>
    <n v="0"/>
    <n v="4200"/>
    <n v="1480"/>
    <n v="0.35238095238095241"/>
    <n v="2027"/>
    <s v="Jul"/>
    <s v="Q3"/>
  </r>
  <r>
    <s v="ORD10813"/>
    <x v="812"/>
    <s v="CUST1306"/>
    <s v="Arjun Iyer"/>
    <x v="184"/>
    <x v="0"/>
    <x v="34"/>
    <x v="0"/>
    <s v="Pune"/>
    <s v="Maharashtra"/>
    <x v="0"/>
    <x v="1"/>
    <s v="Study Table"/>
    <x v="11"/>
    <n v="3"/>
    <n v="8160"/>
    <n v="0.2"/>
    <n v="5550"/>
    <s v="Wallet"/>
    <s v="Delivered"/>
    <n v="3"/>
    <s v="New"/>
    <n v="24480"/>
    <n v="4896"/>
    <n v="19584"/>
    <n v="14034"/>
    <n v="0.7166053921568627"/>
    <n v="2027"/>
    <s v="Jul"/>
    <s v="Q3"/>
  </r>
  <r>
    <s v="ORD10814"/>
    <x v="813"/>
    <s v="CUST1464"/>
    <s v="Diya Bhat"/>
    <x v="164"/>
    <x v="0"/>
    <x v="21"/>
    <x v="14"/>
    <s v="Ahmedabad"/>
    <s v="Gujarat"/>
    <x v="0"/>
    <x v="1"/>
    <s v="Study Table"/>
    <x v="11"/>
    <n v="3"/>
    <n v="8170"/>
    <n v="0.05"/>
    <n v="5710"/>
    <s v="Net Banking"/>
    <s v="Delivered"/>
    <n v="4"/>
    <s v="New"/>
    <n v="24510"/>
    <n v="1225.5"/>
    <n v="23284.5"/>
    <n v="17574.5"/>
    <n v="0.75477248813588438"/>
    <n v="2027"/>
    <s v="Jul"/>
    <s v="Q3"/>
  </r>
  <r>
    <s v="ORD10815"/>
    <x v="814"/>
    <s v="CUST1241"/>
    <s v="Sneha Shah"/>
    <x v="151"/>
    <x v="1"/>
    <x v="2"/>
    <x v="10"/>
    <s v="Jaipur"/>
    <s v="Rajasthan"/>
    <x v="3"/>
    <x v="5"/>
    <s v="Mixer Grinder"/>
    <x v="22"/>
    <n v="2"/>
    <n v="4400"/>
    <n v="0.1"/>
    <n v="2650"/>
    <s v="UPI"/>
    <s v="Delivered"/>
    <n v="7"/>
    <s v="Returning"/>
    <n v="8800"/>
    <n v="880"/>
    <n v="7920"/>
    <n v="5270"/>
    <n v="0.66540404040404044"/>
    <n v="2027"/>
    <s v="Jul"/>
    <s v="Q3"/>
  </r>
  <r>
    <s v="ORD10816"/>
    <x v="815"/>
    <s v="CUST1331"/>
    <s v="Priya Bhat"/>
    <x v="58"/>
    <x v="0"/>
    <x v="11"/>
    <x v="6"/>
    <s v="Guwahati"/>
    <s v="Assam"/>
    <x v="1"/>
    <x v="2"/>
    <s v="Headphones"/>
    <x v="5"/>
    <n v="1"/>
    <n v="2340"/>
    <n v="0.1"/>
    <n v="1520"/>
    <s v="UPI"/>
    <s v="Delivered"/>
    <n v="4"/>
    <s v="New"/>
    <n v="2340"/>
    <n v="234"/>
    <n v="2106"/>
    <n v="586"/>
    <n v="0.27825261158594494"/>
    <n v="2027"/>
    <s v="Jul"/>
    <s v="Q3"/>
  </r>
  <r>
    <s v="ORD10817"/>
    <x v="816"/>
    <s v="CUST1031"/>
    <s v="Diya Kumar"/>
    <x v="120"/>
    <x v="0"/>
    <x v="19"/>
    <x v="0"/>
    <s v="Pune"/>
    <s v="Maharashtra"/>
    <x v="0"/>
    <x v="1"/>
    <s v="Bookshelf"/>
    <x v="6"/>
    <n v="3"/>
    <n v="5290"/>
    <n v="0.1"/>
    <n v="3110"/>
    <s v="Cash on Delivery"/>
    <s v="Delivered"/>
    <n v="2"/>
    <s v="Returning"/>
    <n v="15870"/>
    <n v="1587"/>
    <n v="14283"/>
    <n v="11173"/>
    <n v="0.78225862913953648"/>
    <n v="2027"/>
    <s v="Jul"/>
    <s v="Q3"/>
  </r>
  <r>
    <s v="ORD10818"/>
    <x v="817"/>
    <s v="CUST1240"/>
    <s v="Kavya Mehta"/>
    <x v="166"/>
    <x v="1"/>
    <x v="38"/>
    <x v="2"/>
    <s v="Kochi"/>
    <s v="Kerala"/>
    <x v="2"/>
    <x v="4"/>
    <s v="Shampoo"/>
    <x v="8"/>
    <n v="4"/>
    <n v="530"/>
    <n v="0.25"/>
    <n v="240"/>
    <s v="Credit Card"/>
    <s v="Cancelled"/>
    <n v="0"/>
    <s v="Returning"/>
    <n v="2120"/>
    <n v="530"/>
    <n v="1590"/>
    <n v="1350"/>
    <n v="0.84905660377358494"/>
    <n v="2027"/>
    <s v="Jul"/>
    <s v="Q3"/>
  </r>
  <r>
    <s v="ORD10819"/>
    <x v="818"/>
    <s v="CUST1348"/>
    <s v="Meera Joshi"/>
    <x v="88"/>
    <x v="0"/>
    <x v="42"/>
    <x v="4"/>
    <s v="Chandigarh"/>
    <s v="Chandigarh"/>
    <x v="3"/>
    <x v="2"/>
    <s v="Headphones"/>
    <x v="5"/>
    <n v="3"/>
    <n v="2460"/>
    <n v="0.15"/>
    <n v="1510"/>
    <s v="Net Banking"/>
    <s v="Delivered"/>
    <n v="4"/>
    <s v="New"/>
    <n v="7380"/>
    <n v="1107"/>
    <n v="6273"/>
    <n v="4763"/>
    <n v="0.7592858281523992"/>
    <n v="2027"/>
    <s v="Jul"/>
    <s v="Q3"/>
  </r>
  <r>
    <s v="ORD10820"/>
    <x v="819"/>
    <s v="CUST1450"/>
    <s v="Priya Shah"/>
    <x v="228"/>
    <x v="0"/>
    <x v="29"/>
    <x v="12"/>
    <s v="Delhi"/>
    <s v="Delhi"/>
    <x v="3"/>
    <x v="3"/>
    <s v="Tennis Racket"/>
    <x v="17"/>
    <n v="1"/>
    <n v="4420"/>
    <n v="0.25"/>
    <n v="2730"/>
    <s v="Debit Card"/>
    <s v="Delivered"/>
    <n v="3"/>
    <s v="New"/>
    <n v="4420"/>
    <n v="1105"/>
    <n v="3315"/>
    <n v="585"/>
    <n v="0.17647058823529413"/>
    <n v="2027"/>
    <s v="Jul"/>
    <s v="Q3"/>
  </r>
  <r>
    <s v="ORD10821"/>
    <x v="820"/>
    <s v="CUST1420"/>
    <s v="Vikram Nair"/>
    <x v="80"/>
    <x v="0"/>
    <x v="10"/>
    <x v="5"/>
    <s v="Bhubaneswar"/>
    <s v="Odisha"/>
    <x v="1"/>
    <x v="0"/>
    <s v="Jacket"/>
    <x v="25"/>
    <n v="1"/>
    <n v="4070"/>
    <n v="0.05"/>
    <n v="2480"/>
    <s v="UPI"/>
    <s v="Returned"/>
    <n v="4"/>
    <s v="New"/>
    <n v="4070"/>
    <n v="203.5"/>
    <n v="3866.5"/>
    <n v="1386.5"/>
    <n v="0.35859304280356913"/>
    <n v="2027"/>
    <s v="Jul"/>
    <s v="Q3"/>
  </r>
  <r>
    <s v="ORD10822"/>
    <x v="821"/>
    <s v="CUST1347"/>
    <s v="Ishita Rao"/>
    <x v="137"/>
    <x v="1"/>
    <x v="12"/>
    <x v="0"/>
    <s v="Pune"/>
    <s v="Maharashtra"/>
    <x v="0"/>
    <x v="1"/>
    <s v="Bookshelf"/>
    <x v="6"/>
    <n v="2"/>
    <n v="4810"/>
    <n v="0.1"/>
    <n v="3210"/>
    <s v="UPI"/>
    <s v="Delivered"/>
    <n v="3"/>
    <s v="New"/>
    <n v="9620"/>
    <n v="962"/>
    <n v="8658"/>
    <n v="5448"/>
    <n v="0.62924462924462921"/>
    <n v="2027"/>
    <s v="Jul"/>
    <s v="Q3"/>
  </r>
  <r>
    <s v="ORD10823"/>
    <x v="822"/>
    <s v="CUST1010"/>
    <s v="Sneha Naidu"/>
    <x v="50"/>
    <x v="0"/>
    <x v="40"/>
    <x v="8"/>
    <s v="Mysuru"/>
    <s v="Karnataka"/>
    <x v="2"/>
    <x v="1"/>
    <s v="Sofa"/>
    <x v="16"/>
    <n v="1"/>
    <n v="29690"/>
    <n v="0.1"/>
    <n v="20430"/>
    <s v="Net Banking"/>
    <s v="Delivered"/>
    <n v="2"/>
    <s v="Returning"/>
    <n v="29690"/>
    <n v="2969"/>
    <n v="26721"/>
    <n v="6291"/>
    <n v="0.23543280565847086"/>
    <n v="2027"/>
    <s v="Jul"/>
    <s v="Q3"/>
  </r>
  <r>
    <s v="ORD10824"/>
    <x v="823"/>
    <s v="CUST1266"/>
    <s v="Karan Reddy"/>
    <x v="104"/>
    <x v="0"/>
    <x v="4"/>
    <x v="6"/>
    <s v="Guwahati"/>
    <s v="Assam"/>
    <x v="1"/>
    <x v="4"/>
    <s v="Face Cream"/>
    <x v="21"/>
    <n v="2"/>
    <n v="650"/>
    <n v="0.1"/>
    <n v="290"/>
    <s v="Credit Card"/>
    <s v="Returned"/>
    <n v="1"/>
    <s v="Returning"/>
    <n v="1300"/>
    <n v="130"/>
    <n v="1170"/>
    <n v="880"/>
    <n v="0.75213675213675213"/>
    <n v="2027"/>
    <s v="Jul"/>
    <s v="Q3"/>
  </r>
  <r>
    <s v="ORD10825"/>
    <x v="824"/>
    <s v="CUST1065"/>
    <s v="Priya Singh"/>
    <x v="0"/>
    <x v="1"/>
    <x v="8"/>
    <x v="7"/>
    <s v="Mumbai"/>
    <s v="Maharashtra"/>
    <x v="0"/>
    <x v="2"/>
    <s v="Smartwatch"/>
    <x v="3"/>
    <n v="4"/>
    <n v="7310"/>
    <n v="0.1"/>
    <n v="4590"/>
    <s v="Net Banking"/>
    <s v="Delivered"/>
    <n v="3"/>
    <s v="Returning"/>
    <n v="29240"/>
    <n v="2924"/>
    <n v="26316"/>
    <n v="21726"/>
    <n v="0.82558139534883723"/>
    <n v="2027"/>
    <s v="Jul"/>
    <s v="Q3"/>
  </r>
  <r>
    <s v="ORD10826"/>
    <x v="825"/>
    <s v="CUST1377"/>
    <s v="Vikram Sharma"/>
    <x v="12"/>
    <x v="1"/>
    <x v="6"/>
    <x v="14"/>
    <s v="Ahmedabad"/>
    <s v="Gujarat"/>
    <x v="0"/>
    <x v="5"/>
    <s v="Microwave"/>
    <x v="27"/>
    <n v="1"/>
    <n v="12300"/>
    <n v="0.2"/>
    <n v="8600"/>
    <s v="Credit Card"/>
    <s v="Delivered"/>
    <n v="7"/>
    <s v="New"/>
    <n v="12300"/>
    <n v="2460"/>
    <n v="9840"/>
    <n v="1240"/>
    <n v="0.12601626016260162"/>
    <n v="2027"/>
    <s v="Jul"/>
    <s v="Q3"/>
  </r>
  <r>
    <s v="ORD10827"/>
    <x v="826"/>
    <s v="CUST1034"/>
    <s v="Vivaan Das"/>
    <x v="17"/>
    <x v="0"/>
    <x v="34"/>
    <x v="4"/>
    <s v="Chandigarh"/>
    <s v="Chandigarh"/>
    <x v="3"/>
    <x v="5"/>
    <s v="Microwave"/>
    <x v="27"/>
    <n v="2"/>
    <n v="11470"/>
    <n v="0"/>
    <n v="8040"/>
    <s v="UPI"/>
    <s v="Delivered"/>
    <n v="3"/>
    <s v="Returning"/>
    <n v="22940"/>
    <n v="0"/>
    <n v="22940"/>
    <n v="14900"/>
    <n v="0.64952048823016562"/>
    <n v="2027"/>
    <s v="Jul"/>
    <s v="Q3"/>
  </r>
  <r>
    <s v="ORD10828"/>
    <x v="827"/>
    <s v="CUST1083"/>
    <s v="Vikram Reddy"/>
    <x v="221"/>
    <x v="1"/>
    <x v="6"/>
    <x v="11"/>
    <s v="Chennai"/>
    <s v="Tamil Nadu"/>
    <x v="2"/>
    <x v="2"/>
    <s v="Headphones"/>
    <x v="5"/>
    <n v="1"/>
    <n v="2350"/>
    <n v="0.2"/>
    <n v="1570"/>
    <s v="Credit Card"/>
    <s v="Delivered"/>
    <n v="4"/>
    <s v="Returning"/>
    <n v="2350"/>
    <n v="470"/>
    <n v="1880"/>
    <n v="310"/>
    <n v="0.16489361702127658"/>
    <n v="2027"/>
    <s v="Jul"/>
    <s v="Q3"/>
  </r>
  <r>
    <s v="ORD10829"/>
    <x v="828"/>
    <s v="CUST1373"/>
    <s v="Aditya Naidu"/>
    <x v="83"/>
    <x v="0"/>
    <x v="14"/>
    <x v="0"/>
    <s v="Pune"/>
    <s v="Maharashtra"/>
    <x v="0"/>
    <x v="4"/>
    <s v="Hair Dryer"/>
    <x v="14"/>
    <n v="3"/>
    <n v="1870"/>
    <n v="0.1"/>
    <n v="970"/>
    <s v="Credit Card"/>
    <s v="Cancelled"/>
    <n v="0"/>
    <s v="New"/>
    <n v="5610"/>
    <n v="561"/>
    <n v="5049"/>
    <n v="4079"/>
    <n v="0.80788274905921964"/>
    <n v="2027"/>
    <s v="Jul"/>
    <s v="Q3"/>
  </r>
  <r>
    <s v="ORD10830"/>
    <x v="829"/>
    <s v="CUST1190"/>
    <s v="Aditya Singh"/>
    <x v="115"/>
    <x v="0"/>
    <x v="39"/>
    <x v="11"/>
    <s v="Chennai"/>
    <s v="Tamil Nadu"/>
    <x v="2"/>
    <x v="2"/>
    <s v="Smartphone"/>
    <x v="13"/>
    <n v="4"/>
    <n v="17480"/>
    <n v="0.1"/>
    <n v="12670"/>
    <s v="UPI"/>
    <s v="Returned"/>
    <n v="4"/>
    <s v="Returning"/>
    <n v="69920"/>
    <n v="6992"/>
    <n v="62928"/>
    <n v="50258"/>
    <n v="0.7986587846427663"/>
    <n v="2027"/>
    <s v="Jul"/>
    <s v="Q3"/>
  </r>
  <r>
    <s v="ORD10831"/>
    <x v="830"/>
    <s v="CUST1484"/>
    <s v="Priya Das"/>
    <x v="141"/>
    <x v="1"/>
    <x v="15"/>
    <x v="14"/>
    <s v="Ahmedabad"/>
    <s v="Gujarat"/>
    <x v="0"/>
    <x v="3"/>
    <s v="Dumbbells"/>
    <x v="7"/>
    <n v="2"/>
    <n v="2600"/>
    <n v="0.05"/>
    <n v="1480"/>
    <s v="Debit Card"/>
    <s v="Delivered"/>
    <n v="5"/>
    <s v="New"/>
    <n v="5200"/>
    <n v="260"/>
    <n v="4940"/>
    <n v="3460"/>
    <n v="0.70040485829959509"/>
    <n v="2027"/>
    <s v="Jul"/>
    <s v="Q3"/>
  </r>
  <r>
    <s v="ORD10832"/>
    <x v="831"/>
    <s v="CUST1449"/>
    <s v="Diya Gupta"/>
    <x v="81"/>
    <x v="1"/>
    <x v="16"/>
    <x v="7"/>
    <s v="Mumbai"/>
    <s v="Maharashtra"/>
    <x v="0"/>
    <x v="5"/>
    <s v="Electric Kettle"/>
    <x v="18"/>
    <n v="1"/>
    <n v="1850"/>
    <n v="0.1"/>
    <n v="920"/>
    <s v="Credit Card"/>
    <s v="Returned"/>
    <n v="4"/>
    <s v="New"/>
    <n v="1850"/>
    <n v="185"/>
    <n v="1665"/>
    <n v="745"/>
    <n v="0.44744744744744747"/>
    <n v="2027"/>
    <s v="Jul"/>
    <s v="Q3"/>
  </r>
  <r>
    <s v="ORD10833"/>
    <x v="832"/>
    <s v="CUST1087"/>
    <s v="Nisha Bhat"/>
    <x v="24"/>
    <x v="0"/>
    <x v="32"/>
    <x v="5"/>
    <s v="Bhubaneswar"/>
    <s v="Odisha"/>
    <x v="1"/>
    <x v="2"/>
    <s v="Smartphone"/>
    <x v="13"/>
    <n v="2"/>
    <n v="17560"/>
    <n v="0.2"/>
    <n v="12940"/>
    <s v="UPI"/>
    <s v="Delivered"/>
    <n v="3"/>
    <s v="Returning"/>
    <n v="35120"/>
    <n v="7024"/>
    <n v="28096"/>
    <n v="15156"/>
    <n v="0.53943621867881553"/>
    <n v="2027"/>
    <s v="Jul"/>
    <s v="Q3"/>
  </r>
  <r>
    <s v="ORD10834"/>
    <x v="833"/>
    <s v="CUST1275"/>
    <s v="Meera Bhat"/>
    <x v="82"/>
    <x v="1"/>
    <x v="25"/>
    <x v="6"/>
    <s v="Guwahati"/>
    <s v="Assam"/>
    <x v="1"/>
    <x v="2"/>
    <s v="Tablet"/>
    <x v="4"/>
    <n v="4"/>
    <n v="20490"/>
    <n v="0.1"/>
    <n v="16120"/>
    <s v="UPI"/>
    <s v="Delivered"/>
    <n v="3"/>
    <s v="Returning"/>
    <n v="81960"/>
    <n v="8196"/>
    <n v="73764"/>
    <n v="57644"/>
    <n v="0.78146521338322217"/>
    <n v="2027"/>
    <s v="Jul"/>
    <s v="Q3"/>
  </r>
  <r>
    <s v="ORD10835"/>
    <x v="834"/>
    <s v="CUST1112"/>
    <s v="Arjun Singh"/>
    <x v="148"/>
    <x v="1"/>
    <x v="16"/>
    <x v="14"/>
    <s v="Ahmedabad"/>
    <s v="Gujarat"/>
    <x v="0"/>
    <x v="2"/>
    <s v="Smartwatch"/>
    <x v="3"/>
    <n v="2"/>
    <n v="7490"/>
    <n v="0.1"/>
    <n v="4550"/>
    <s v="Wallet"/>
    <s v="Delivered"/>
    <n v="1"/>
    <s v="Returning"/>
    <n v="14980"/>
    <n v="1498"/>
    <n v="13482"/>
    <n v="8932"/>
    <n v="0.66251298026998962"/>
    <n v="2027"/>
    <s v="Jul"/>
    <s v="Q3"/>
  </r>
  <r>
    <s v="ORD10836"/>
    <x v="835"/>
    <s v="CUST1457"/>
    <s v="Aarav Mehta"/>
    <x v="201"/>
    <x v="0"/>
    <x v="9"/>
    <x v="14"/>
    <s v="Ahmedabad"/>
    <s v="Gujarat"/>
    <x v="0"/>
    <x v="1"/>
    <s v="Bookshelf"/>
    <x v="6"/>
    <n v="1"/>
    <n v="5130"/>
    <n v="0.05"/>
    <n v="3240"/>
    <s v="Debit Card"/>
    <s v="Delivered"/>
    <n v="2"/>
    <s v="New"/>
    <n v="5130"/>
    <n v="256.5"/>
    <n v="4873.5"/>
    <n v="1633.5"/>
    <n v="0.33518005540166207"/>
    <n v="2027"/>
    <s v="Jul"/>
    <s v="Q3"/>
  </r>
  <r>
    <s v="ORD10837"/>
    <x v="836"/>
    <s v="CUST1392"/>
    <s v="Ananya Verma"/>
    <x v="41"/>
    <x v="1"/>
    <x v="20"/>
    <x v="2"/>
    <s v="Kochi"/>
    <s v="Kerala"/>
    <x v="2"/>
    <x v="1"/>
    <s v="Study Table"/>
    <x v="11"/>
    <n v="1"/>
    <n v="8520"/>
    <n v="0.15"/>
    <n v="5780"/>
    <s v="Cash on Delivery"/>
    <s v="Pending"/>
    <n v="1"/>
    <s v="New"/>
    <n v="8520"/>
    <n v="1278"/>
    <n v="7242"/>
    <n v="1462"/>
    <n v="0.20187793427230047"/>
    <n v="2027"/>
    <s v="Jul"/>
    <s v="Q3"/>
  </r>
  <r>
    <s v="ORD10838"/>
    <x v="837"/>
    <s v="CUST1440"/>
    <s v="Aditya Sharma"/>
    <x v="124"/>
    <x v="1"/>
    <x v="39"/>
    <x v="7"/>
    <s v="Mumbai"/>
    <s v="Maharashtra"/>
    <x v="0"/>
    <x v="2"/>
    <s v="Smartwatch"/>
    <x v="3"/>
    <n v="1"/>
    <n v="6750"/>
    <n v="0.2"/>
    <n v="4410"/>
    <s v="UPI"/>
    <s v="Delivered"/>
    <n v="3"/>
    <s v="New"/>
    <n v="6750"/>
    <n v="1350"/>
    <n v="5400"/>
    <n v="990"/>
    <n v="0.18333333333333332"/>
    <n v="2027"/>
    <s v="Jul"/>
    <s v="Q3"/>
  </r>
  <r>
    <s v="ORD10839"/>
    <x v="838"/>
    <s v="CUST1223"/>
    <s v="Aditya Naidu"/>
    <x v="83"/>
    <x v="1"/>
    <x v="9"/>
    <x v="0"/>
    <s v="Pune"/>
    <s v="Maharashtra"/>
    <x v="0"/>
    <x v="3"/>
    <s v="Football"/>
    <x v="10"/>
    <n v="2"/>
    <n v="1290"/>
    <n v="0.05"/>
    <n v="600"/>
    <s v="Cash on Delivery"/>
    <s v="Delivered"/>
    <n v="2"/>
    <s v="Returning"/>
    <n v="2580"/>
    <n v="129"/>
    <n v="2451"/>
    <n v="1851"/>
    <n v="0.75520195838433291"/>
    <n v="2027"/>
    <s v="Jul"/>
    <s v="Q3"/>
  </r>
  <r>
    <s v="ORD10840"/>
    <x v="839"/>
    <s v="CUST1195"/>
    <s v="Ishita Shah"/>
    <x v="160"/>
    <x v="1"/>
    <x v="25"/>
    <x v="7"/>
    <s v="Mumbai"/>
    <s v="Maharashtra"/>
    <x v="0"/>
    <x v="0"/>
    <s v="Sneakers"/>
    <x v="0"/>
    <n v="1"/>
    <n v="3500"/>
    <n v="0.1"/>
    <n v="2070"/>
    <s v="Debit Card"/>
    <s v="Delivered"/>
    <n v="3"/>
    <s v="Returning"/>
    <n v="3500"/>
    <n v="350"/>
    <n v="3150"/>
    <n v="1080"/>
    <n v="0.34285714285714286"/>
    <n v="2027"/>
    <s v="Jul"/>
    <s v="Q3"/>
  </r>
  <r>
    <s v="ORD10841"/>
    <x v="840"/>
    <s v="CUST1405"/>
    <s v="Aditya Iyer"/>
    <x v="242"/>
    <x v="1"/>
    <x v="26"/>
    <x v="3"/>
    <s v="Bengaluru"/>
    <s v="Karnataka"/>
    <x v="2"/>
    <x v="3"/>
    <s v="Cricket Bat"/>
    <x v="23"/>
    <n v="4"/>
    <n v="3410"/>
    <n v="0.05"/>
    <n v="1990"/>
    <s v="UPI"/>
    <s v="Delivered"/>
    <n v="6"/>
    <s v="New"/>
    <n v="13640"/>
    <n v="682"/>
    <n v="12958"/>
    <n v="10968"/>
    <n v="0.8464269177342183"/>
    <n v="2027"/>
    <s v="Aug"/>
    <s v="Q3"/>
  </r>
  <r>
    <s v="ORD10842"/>
    <x v="841"/>
    <s v="CUST1030"/>
    <s v="Karan Joshi"/>
    <x v="230"/>
    <x v="1"/>
    <x v="32"/>
    <x v="6"/>
    <s v="Guwahati"/>
    <s v="Assam"/>
    <x v="1"/>
    <x v="0"/>
    <s v="Jacket"/>
    <x v="25"/>
    <n v="2"/>
    <n v="4000"/>
    <n v="0.25"/>
    <n v="2540"/>
    <s v="UPI"/>
    <s v="Delivered"/>
    <n v="4"/>
    <s v="Returning"/>
    <n v="8000"/>
    <n v="2000"/>
    <n v="6000"/>
    <n v="3460"/>
    <n v="0.57666666666666666"/>
    <n v="2027"/>
    <s v="Aug"/>
    <s v="Q3"/>
  </r>
  <r>
    <s v="ORD10843"/>
    <x v="842"/>
    <s v="CUST1247"/>
    <s v="Arjun Gupta"/>
    <x v="109"/>
    <x v="1"/>
    <x v="19"/>
    <x v="6"/>
    <s v="Guwahati"/>
    <s v="Assam"/>
    <x v="1"/>
    <x v="2"/>
    <s v="Laptop"/>
    <x v="15"/>
    <n v="1"/>
    <n v="52760"/>
    <n v="0.25"/>
    <n v="39930"/>
    <s v="Net Banking"/>
    <s v="Delivered"/>
    <n v="7"/>
    <s v="Returning"/>
    <n v="52760"/>
    <n v="13190"/>
    <n v="39570"/>
    <n v="-360"/>
    <n v="-9.0978013646702046E-3"/>
    <n v="2027"/>
    <s v="Aug"/>
    <s v="Q3"/>
  </r>
  <r>
    <s v="ORD10844"/>
    <x v="843"/>
    <s v="CUST1207"/>
    <s v="Arjun Patel"/>
    <x v="98"/>
    <x v="1"/>
    <x v="0"/>
    <x v="8"/>
    <s v="Mysuru"/>
    <s v="Karnataka"/>
    <x v="2"/>
    <x v="0"/>
    <s v="Sneakers"/>
    <x v="0"/>
    <n v="3"/>
    <n v="3360"/>
    <n v="0.05"/>
    <n v="2170"/>
    <s v="Credit Card"/>
    <s v="Delivered"/>
    <n v="3"/>
    <s v="Returning"/>
    <n v="10080"/>
    <n v="504"/>
    <n v="9576"/>
    <n v="7406"/>
    <n v="0.77339181286549707"/>
    <n v="2027"/>
    <s v="Aug"/>
    <s v="Q3"/>
  </r>
  <r>
    <s v="ORD10845"/>
    <x v="844"/>
    <s v="CUST1032"/>
    <s v="Vivaan Reddy"/>
    <x v="131"/>
    <x v="0"/>
    <x v="3"/>
    <x v="11"/>
    <s v="Chennai"/>
    <s v="Tamil Nadu"/>
    <x v="2"/>
    <x v="1"/>
    <s v="Office Chair"/>
    <x v="1"/>
    <n v="1"/>
    <n v="6720"/>
    <n v="0"/>
    <n v="4040"/>
    <s v="Credit Card"/>
    <s v="Delivered"/>
    <n v="7"/>
    <s v="Returning"/>
    <n v="6720"/>
    <n v="0"/>
    <n v="6720"/>
    <n v="2680"/>
    <n v="0.39880952380952384"/>
    <n v="2027"/>
    <s v="Aug"/>
    <s v="Q3"/>
  </r>
  <r>
    <s v="ORD10846"/>
    <x v="845"/>
    <s v="CUST1361"/>
    <s v="Aarav Shah"/>
    <x v="240"/>
    <x v="0"/>
    <x v="6"/>
    <x v="6"/>
    <s v="Guwahati"/>
    <s v="Assam"/>
    <x v="1"/>
    <x v="1"/>
    <s v="Office Chair"/>
    <x v="1"/>
    <n v="3"/>
    <n v="6880"/>
    <n v="0"/>
    <n v="4280"/>
    <s v="UPI"/>
    <s v="Delivered"/>
    <n v="4"/>
    <s v="New"/>
    <n v="20640"/>
    <n v="0"/>
    <n v="20640"/>
    <n v="16360"/>
    <n v="0.79263565891472865"/>
    <n v="2027"/>
    <s v="Aug"/>
    <s v="Q3"/>
  </r>
  <r>
    <s v="ORD10847"/>
    <x v="846"/>
    <s v="CUST1259"/>
    <s v="Vikram Mehta"/>
    <x v="94"/>
    <x v="1"/>
    <x v="26"/>
    <x v="9"/>
    <s v="Hyderabad"/>
    <s v="Telangana"/>
    <x v="2"/>
    <x v="2"/>
    <s v="Tablet"/>
    <x v="4"/>
    <n v="4"/>
    <n v="21440"/>
    <n v="0.1"/>
    <n v="15440"/>
    <s v="UPI"/>
    <s v="Delivered"/>
    <n v="5"/>
    <s v="Returning"/>
    <n v="85760"/>
    <n v="8576"/>
    <n v="77184"/>
    <n v="61744"/>
    <n v="0.79995854063018246"/>
    <n v="2027"/>
    <s v="Aug"/>
    <s v="Q3"/>
  </r>
  <r>
    <s v="ORD10848"/>
    <x v="847"/>
    <s v="CUST1266"/>
    <s v="Ishita Iyer"/>
    <x v="69"/>
    <x v="1"/>
    <x v="8"/>
    <x v="13"/>
    <s v="Lucknow"/>
    <s v="Uttar Pradesh"/>
    <x v="3"/>
    <x v="1"/>
    <s v="Office Chair"/>
    <x v="1"/>
    <n v="1"/>
    <n v="6440"/>
    <n v="0.2"/>
    <n v="4240"/>
    <s v="Cash on Delivery"/>
    <s v="Delivered"/>
    <n v="8"/>
    <s v="Returning"/>
    <n v="6440"/>
    <n v="1288"/>
    <n v="5152"/>
    <n v="912"/>
    <n v="0.17701863354037267"/>
    <n v="2027"/>
    <s v="Aug"/>
    <s v="Q3"/>
  </r>
  <r>
    <s v="ORD10849"/>
    <x v="848"/>
    <s v="CUST1179"/>
    <s v="Aarav Das"/>
    <x v="207"/>
    <x v="1"/>
    <x v="4"/>
    <x v="6"/>
    <s v="Guwahati"/>
    <s v="Assam"/>
    <x v="1"/>
    <x v="5"/>
    <s v="Air Fryer"/>
    <x v="26"/>
    <n v="3"/>
    <n v="6430"/>
    <n v="0.15"/>
    <n v="4150"/>
    <s v="UPI"/>
    <s v="Delivered"/>
    <n v="3"/>
    <s v="Returning"/>
    <n v="19290"/>
    <n v="2893.5"/>
    <n v="16396.5"/>
    <n v="12246.5"/>
    <n v="0.74689720367151524"/>
    <n v="2027"/>
    <s v="Aug"/>
    <s v="Q3"/>
  </r>
  <r>
    <s v="ORD10850"/>
    <x v="849"/>
    <s v="CUST1117"/>
    <s v="Vivaan Gupta"/>
    <x v="243"/>
    <x v="1"/>
    <x v="39"/>
    <x v="7"/>
    <s v="Mumbai"/>
    <s v="Maharashtra"/>
    <x v="0"/>
    <x v="2"/>
    <s v="Tablet"/>
    <x v="4"/>
    <n v="2"/>
    <n v="23470"/>
    <n v="0.1"/>
    <n v="15880"/>
    <s v="Credit Card"/>
    <s v="Delivered"/>
    <n v="2"/>
    <s v="Returning"/>
    <n v="46940"/>
    <n v="4694"/>
    <n v="42246"/>
    <n v="26366"/>
    <n v="0.62410642427685459"/>
    <n v="2027"/>
    <s v="Aug"/>
    <s v="Q3"/>
  </r>
  <r>
    <s v="ORD10851"/>
    <x v="850"/>
    <s v="CUST1394"/>
    <s v="Arjun Rao"/>
    <x v="101"/>
    <x v="0"/>
    <x v="16"/>
    <x v="14"/>
    <s v="Ahmedabad"/>
    <s v="Gujarat"/>
    <x v="0"/>
    <x v="1"/>
    <s v="Office Chair"/>
    <x v="1"/>
    <n v="3"/>
    <n v="7010"/>
    <n v="0.1"/>
    <n v="3990"/>
    <s v="UPI"/>
    <s v="Delivered"/>
    <n v="4"/>
    <s v="New"/>
    <n v="21030"/>
    <n v="2103"/>
    <n v="18927"/>
    <n v="14937"/>
    <n v="0.78919004596608022"/>
    <n v="2027"/>
    <s v="Aug"/>
    <s v="Q3"/>
  </r>
  <r>
    <s v="ORD10852"/>
    <x v="851"/>
    <s v="CUST1023"/>
    <s v="Ananya Rao"/>
    <x v="189"/>
    <x v="0"/>
    <x v="40"/>
    <x v="0"/>
    <s v="Pune"/>
    <s v="Maharashtra"/>
    <x v="0"/>
    <x v="1"/>
    <s v="Bedside Table"/>
    <x v="24"/>
    <n v="3"/>
    <n v="4840"/>
    <n v="0.1"/>
    <n v="3000"/>
    <s v="UPI"/>
    <s v="Returned"/>
    <n v="4"/>
    <s v="Returning"/>
    <n v="14520"/>
    <n v="1452"/>
    <n v="13068"/>
    <n v="10068"/>
    <n v="0.77043158861340677"/>
    <n v="2027"/>
    <s v="Aug"/>
    <s v="Q3"/>
  </r>
  <r>
    <s v="ORD10853"/>
    <x v="852"/>
    <s v="CUST1254"/>
    <s v="Aarav Shah"/>
    <x v="240"/>
    <x v="0"/>
    <x v="35"/>
    <x v="5"/>
    <s v="Bhubaneswar"/>
    <s v="Odisha"/>
    <x v="1"/>
    <x v="5"/>
    <s v="Mixer Grinder"/>
    <x v="22"/>
    <n v="2"/>
    <n v="3920"/>
    <n v="0.15"/>
    <n v="2720"/>
    <s v="Debit Card"/>
    <s v="Delivered"/>
    <n v="3"/>
    <s v="Returning"/>
    <n v="7840"/>
    <n v="1176"/>
    <n v="6664"/>
    <n v="3944"/>
    <n v="0.59183673469387754"/>
    <n v="2027"/>
    <s v="Aug"/>
    <s v="Q3"/>
  </r>
  <r>
    <s v="ORD10854"/>
    <x v="853"/>
    <s v="CUST1010"/>
    <s v="Aarav Gupta"/>
    <x v="204"/>
    <x v="1"/>
    <x v="10"/>
    <x v="8"/>
    <s v="Mysuru"/>
    <s v="Karnataka"/>
    <x v="2"/>
    <x v="2"/>
    <s v="Smartphone"/>
    <x v="13"/>
    <n v="2"/>
    <n v="18530"/>
    <n v="0.1"/>
    <n v="12440"/>
    <s v="Credit Card"/>
    <s v="Delivered"/>
    <n v="2"/>
    <s v="Returning"/>
    <n v="37060"/>
    <n v="3706"/>
    <n v="33354"/>
    <n v="20914"/>
    <n v="0.62703124063080895"/>
    <n v="2027"/>
    <s v="Aug"/>
    <s v="Q3"/>
  </r>
  <r>
    <s v="ORD10855"/>
    <x v="854"/>
    <s v="CUST1217"/>
    <s v="Vivaan Verma"/>
    <x v="210"/>
    <x v="0"/>
    <x v="41"/>
    <x v="11"/>
    <s v="Chennai"/>
    <s v="Tamil Nadu"/>
    <x v="2"/>
    <x v="3"/>
    <s v="Yoga Mat"/>
    <x v="20"/>
    <n v="1"/>
    <n v="870"/>
    <n v="0.25"/>
    <n v="410"/>
    <s v="Debit Card"/>
    <s v="Delivered"/>
    <n v="3"/>
    <s v="Returning"/>
    <n v="870"/>
    <n v="217.5"/>
    <n v="652.5"/>
    <n v="242.5"/>
    <n v="0.37164750957854409"/>
    <n v="2027"/>
    <s v="Aug"/>
    <s v="Q3"/>
  </r>
  <r>
    <s v="ORD10856"/>
    <x v="855"/>
    <s v="CUST1477"/>
    <s v="Ananya Bhat"/>
    <x v="206"/>
    <x v="1"/>
    <x v="4"/>
    <x v="0"/>
    <s v="Pune"/>
    <s v="Maharashtra"/>
    <x v="0"/>
    <x v="0"/>
    <s v="Jacket"/>
    <x v="25"/>
    <n v="5"/>
    <n v="3930"/>
    <n v="0.1"/>
    <n v="2550"/>
    <s v="Net Banking"/>
    <s v="Returned"/>
    <n v="2"/>
    <s v="New"/>
    <n v="19650"/>
    <n v="1965"/>
    <n v="17685"/>
    <n v="15135"/>
    <n v="0.85581000848176425"/>
    <n v="2027"/>
    <s v="Aug"/>
    <s v="Q3"/>
  </r>
  <r>
    <s v="ORD10857"/>
    <x v="856"/>
    <s v="CUST1192"/>
    <s v="Sneha Sharma"/>
    <x v="49"/>
    <x v="1"/>
    <x v="36"/>
    <x v="3"/>
    <s v="Bengaluru"/>
    <s v="Karnataka"/>
    <x v="2"/>
    <x v="4"/>
    <s v="Hair Dryer"/>
    <x v="14"/>
    <n v="2"/>
    <n v="1720"/>
    <n v="0.2"/>
    <n v="960"/>
    <s v="UPI"/>
    <s v="Pending"/>
    <n v="3"/>
    <s v="Returning"/>
    <n v="3440"/>
    <n v="688"/>
    <n v="2752"/>
    <n v="1792"/>
    <n v="0.65116279069767447"/>
    <n v="2027"/>
    <s v="Aug"/>
    <s v="Q3"/>
  </r>
  <r>
    <s v="ORD10858"/>
    <x v="857"/>
    <s v="CUST1248"/>
    <s v="Sneha Das"/>
    <x v="196"/>
    <x v="0"/>
    <x v="26"/>
    <x v="1"/>
    <s v="Kolkata"/>
    <s v="West Bengal"/>
    <x v="1"/>
    <x v="5"/>
    <s v="Vacuum Cleaner"/>
    <x v="9"/>
    <n v="1"/>
    <n v="8580"/>
    <n v="0.1"/>
    <n v="5410"/>
    <s v="Credit Card"/>
    <s v="Delivered"/>
    <n v="3"/>
    <s v="Returning"/>
    <n v="8580"/>
    <n v="858"/>
    <n v="7722"/>
    <n v="2312"/>
    <n v="0.29940429940429941"/>
    <n v="2027"/>
    <s v="Aug"/>
    <s v="Q3"/>
  </r>
  <r>
    <s v="ORD10859"/>
    <x v="858"/>
    <s v="CUST1340"/>
    <s v="Priya Naidu"/>
    <x v="25"/>
    <x v="0"/>
    <x v="4"/>
    <x v="10"/>
    <s v="Jaipur"/>
    <s v="Rajasthan"/>
    <x v="3"/>
    <x v="1"/>
    <s v="Bookshelf"/>
    <x v="6"/>
    <n v="2"/>
    <n v="5040"/>
    <n v="0"/>
    <n v="3170"/>
    <s v="UPI"/>
    <s v="Pending"/>
    <n v="3"/>
    <s v="New"/>
    <n v="10080"/>
    <n v="0"/>
    <n v="10080"/>
    <n v="6910"/>
    <n v="0.68551587301587302"/>
    <n v="2027"/>
    <s v="Aug"/>
    <s v="Q3"/>
  </r>
  <r>
    <s v="ORD10860"/>
    <x v="859"/>
    <s v="CUST1372"/>
    <s v="Aditya Rao"/>
    <x v="145"/>
    <x v="1"/>
    <x v="1"/>
    <x v="12"/>
    <s v="Delhi"/>
    <s v="Delhi"/>
    <x v="3"/>
    <x v="5"/>
    <s v="Mixer Grinder"/>
    <x v="22"/>
    <n v="2"/>
    <n v="4200"/>
    <n v="0.15"/>
    <n v="2570"/>
    <s v="Net Banking"/>
    <s v="Delivered"/>
    <n v="3"/>
    <s v="New"/>
    <n v="8400"/>
    <n v="1260"/>
    <n v="7140"/>
    <n v="4570"/>
    <n v="0.64005602240896353"/>
    <n v="2027"/>
    <s v="Aug"/>
    <s v="Q3"/>
  </r>
  <r>
    <s v="ORD10861"/>
    <x v="860"/>
    <s v="CUST1380"/>
    <s v="Nisha Sharma"/>
    <x v="11"/>
    <x v="0"/>
    <x v="17"/>
    <x v="0"/>
    <s v="Pune"/>
    <s v="Maharashtra"/>
    <x v="0"/>
    <x v="3"/>
    <s v="Football"/>
    <x v="10"/>
    <n v="2"/>
    <n v="1110"/>
    <n v="0.05"/>
    <n v="570"/>
    <s v="Debit Card"/>
    <s v="Delivered"/>
    <n v="2"/>
    <s v="New"/>
    <n v="2220"/>
    <n v="111"/>
    <n v="2109"/>
    <n v="1539"/>
    <n v="0.72972972972972971"/>
    <n v="2027"/>
    <s v="Aug"/>
    <s v="Q3"/>
  </r>
  <r>
    <s v="ORD10862"/>
    <x v="861"/>
    <s v="CUST1015"/>
    <s v="Arjun Rao"/>
    <x v="101"/>
    <x v="1"/>
    <x v="35"/>
    <x v="11"/>
    <s v="Chennai"/>
    <s v="Tamil Nadu"/>
    <x v="2"/>
    <x v="2"/>
    <s v="Tablet"/>
    <x v="4"/>
    <n v="1"/>
    <n v="21620"/>
    <n v="0.2"/>
    <n v="16130"/>
    <s v="Credit Card"/>
    <s v="Delivered"/>
    <n v="4"/>
    <s v="Returning"/>
    <n v="21620"/>
    <n v="4324"/>
    <n v="17296"/>
    <n v="1166"/>
    <n v="6.741443108233118E-2"/>
    <n v="2027"/>
    <s v="Aug"/>
    <s v="Q3"/>
  </r>
  <r>
    <s v="ORD10863"/>
    <x v="862"/>
    <s v="CUST1281"/>
    <s v="Ananya Naidu"/>
    <x v="219"/>
    <x v="0"/>
    <x v="8"/>
    <x v="3"/>
    <s v="Bengaluru"/>
    <s v="Karnataka"/>
    <x v="2"/>
    <x v="1"/>
    <s v="Office Chair"/>
    <x v="1"/>
    <n v="2"/>
    <n v="6960"/>
    <n v="0.1"/>
    <n v="4390"/>
    <s v="UPI"/>
    <s v="Delivered"/>
    <n v="5"/>
    <s v="Returning"/>
    <n v="13920"/>
    <n v="1392"/>
    <n v="12528"/>
    <n v="8138"/>
    <n v="0.6495849297573435"/>
    <n v="2027"/>
    <s v="Aug"/>
    <s v="Q3"/>
  </r>
  <r>
    <s v="ORD10864"/>
    <x v="863"/>
    <s v="CUST1055"/>
    <s v="Meera Naidu"/>
    <x v="38"/>
    <x v="1"/>
    <x v="42"/>
    <x v="14"/>
    <s v="Ahmedabad"/>
    <s v="Gujarat"/>
    <x v="0"/>
    <x v="1"/>
    <s v="Bedside Table"/>
    <x v="24"/>
    <n v="1"/>
    <n v="4320"/>
    <n v="0.2"/>
    <n v="2880"/>
    <s v="Cash on Delivery"/>
    <s v="Delivered"/>
    <n v="1"/>
    <s v="Returning"/>
    <n v="4320"/>
    <n v="864"/>
    <n v="3456"/>
    <n v="576"/>
    <n v="0.16666666666666666"/>
    <n v="2027"/>
    <s v="Aug"/>
    <s v="Q3"/>
  </r>
  <r>
    <s v="ORD10865"/>
    <x v="864"/>
    <s v="CUST1439"/>
    <s v="Kavya Das"/>
    <x v="121"/>
    <x v="0"/>
    <x v="36"/>
    <x v="0"/>
    <s v="Pune"/>
    <s v="Maharashtra"/>
    <x v="0"/>
    <x v="4"/>
    <s v="Shampoo"/>
    <x v="8"/>
    <n v="1"/>
    <n v="520"/>
    <n v="0"/>
    <n v="230"/>
    <s v="Net Banking"/>
    <s v="Delivered"/>
    <n v="5"/>
    <s v="New"/>
    <n v="520"/>
    <n v="0"/>
    <n v="520"/>
    <n v="290"/>
    <n v="0.55769230769230771"/>
    <n v="2027"/>
    <s v="Aug"/>
    <s v="Q3"/>
  </r>
  <r>
    <s v="ORD10866"/>
    <x v="865"/>
    <s v="CUST1442"/>
    <s v="Nisha Kumar"/>
    <x v="186"/>
    <x v="0"/>
    <x v="36"/>
    <x v="2"/>
    <s v="Kochi"/>
    <s v="Kerala"/>
    <x v="2"/>
    <x v="0"/>
    <s v="Jacket"/>
    <x v="25"/>
    <n v="1"/>
    <n v="4440"/>
    <n v="0.1"/>
    <n v="2610"/>
    <s v="Wallet"/>
    <s v="Delivered"/>
    <n v="3"/>
    <s v="New"/>
    <n v="4440"/>
    <n v="444"/>
    <n v="3996"/>
    <n v="1386"/>
    <n v="0.34684684684684686"/>
    <n v="2027"/>
    <s v="Aug"/>
    <s v="Q3"/>
  </r>
  <r>
    <s v="ORD10867"/>
    <x v="866"/>
    <s v="CUST1116"/>
    <s v="Aditya Shah"/>
    <x v="10"/>
    <x v="1"/>
    <x v="38"/>
    <x v="3"/>
    <s v="Bengaluru"/>
    <s v="Karnataka"/>
    <x v="2"/>
    <x v="4"/>
    <s v="Hair Dryer"/>
    <x v="14"/>
    <n v="1"/>
    <n v="1900"/>
    <n v="0.25"/>
    <n v="1030"/>
    <s v="Credit Card"/>
    <s v="Delivered"/>
    <n v="3"/>
    <s v="Returning"/>
    <n v="1900"/>
    <n v="475"/>
    <n v="1425"/>
    <n v="395"/>
    <n v="0.27719298245614032"/>
    <n v="2027"/>
    <s v="Aug"/>
    <s v="Q3"/>
  </r>
  <r>
    <s v="ORD10868"/>
    <x v="867"/>
    <s v="CUST1287"/>
    <s v="Aarav Naidu"/>
    <x v="143"/>
    <x v="1"/>
    <x v="10"/>
    <x v="4"/>
    <s v="Chandigarh"/>
    <s v="Chandigarh"/>
    <x v="3"/>
    <x v="2"/>
    <s v="Tablet"/>
    <x v="4"/>
    <n v="3"/>
    <n v="21520"/>
    <n v="0.05"/>
    <n v="16160"/>
    <s v="Credit Card"/>
    <s v="Delivered"/>
    <n v="4"/>
    <s v="Returning"/>
    <n v="64560"/>
    <n v="3228"/>
    <n v="61332"/>
    <n v="45172"/>
    <n v="0.73651601121763521"/>
    <n v="2027"/>
    <s v="Aug"/>
    <s v="Q3"/>
  </r>
  <r>
    <s v="ORD10869"/>
    <x v="868"/>
    <s v="CUST1040"/>
    <s v="Rahul Sharma"/>
    <x v="86"/>
    <x v="1"/>
    <x v="5"/>
    <x v="6"/>
    <s v="Guwahati"/>
    <s v="Assam"/>
    <x v="1"/>
    <x v="0"/>
    <s v="Handbag"/>
    <x v="12"/>
    <n v="2"/>
    <n v="2700"/>
    <n v="0.1"/>
    <n v="1590"/>
    <s v="Debit Card"/>
    <s v="Delivered"/>
    <n v="1"/>
    <s v="Returning"/>
    <n v="5400"/>
    <n v="540"/>
    <n v="4860"/>
    <n v="3270"/>
    <n v="0.6728395061728395"/>
    <n v="2027"/>
    <s v="Aug"/>
    <s v="Q3"/>
  </r>
  <r>
    <s v="ORD10870"/>
    <x v="869"/>
    <s v="CUST1331"/>
    <s v="Diya Kumar"/>
    <x v="120"/>
    <x v="1"/>
    <x v="8"/>
    <x v="10"/>
    <s v="Jaipur"/>
    <s v="Rajasthan"/>
    <x v="3"/>
    <x v="0"/>
    <s v="Handbag"/>
    <x v="12"/>
    <n v="3"/>
    <n v="2630"/>
    <n v="0.2"/>
    <n v="1600"/>
    <s v="Net Banking"/>
    <s v="Returned"/>
    <n v="1"/>
    <s v="New"/>
    <n v="7890"/>
    <n v="1578"/>
    <n v="6312"/>
    <n v="4712"/>
    <n v="0.74651457541191379"/>
    <n v="2027"/>
    <s v="Aug"/>
    <s v="Q3"/>
  </r>
  <r>
    <s v="ORD10871"/>
    <x v="870"/>
    <s v="CUST1359"/>
    <s v="Kavya Verma"/>
    <x v="97"/>
    <x v="0"/>
    <x v="35"/>
    <x v="9"/>
    <s v="Hyderabad"/>
    <s v="Telangana"/>
    <x v="2"/>
    <x v="0"/>
    <s v="T-Shirt"/>
    <x v="2"/>
    <n v="3"/>
    <n v="890"/>
    <n v="0"/>
    <n v="440"/>
    <s v="Credit Card"/>
    <s v="Delivered"/>
    <n v="3"/>
    <s v="New"/>
    <n v="2670"/>
    <n v="0"/>
    <n v="2670"/>
    <n v="2230"/>
    <n v="0.83520599250936334"/>
    <n v="2027"/>
    <s v="Aug"/>
    <s v="Q3"/>
  </r>
  <r>
    <s v="ORD10872"/>
    <x v="871"/>
    <s v="CUST1425"/>
    <s v="Karan Joshi"/>
    <x v="230"/>
    <x v="1"/>
    <x v="26"/>
    <x v="9"/>
    <s v="Hyderabad"/>
    <s v="Telangana"/>
    <x v="2"/>
    <x v="4"/>
    <s v="Face Cream"/>
    <x v="21"/>
    <n v="2"/>
    <n v="600"/>
    <n v="0.05"/>
    <n v="290"/>
    <s v="UPI"/>
    <s v="Cancelled"/>
    <n v="0"/>
    <s v="New"/>
    <n v="1200"/>
    <n v="60"/>
    <n v="1140"/>
    <n v="850"/>
    <n v="0.74561403508771928"/>
    <n v="2027"/>
    <s v="Sep"/>
    <s v="Q3"/>
  </r>
  <r>
    <s v="ORD10873"/>
    <x v="872"/>
    <s v="CUST1246"/>
    <s v="Kavya Mehta"/>
    <x v="166"/>
    <x v="0"/>
    <x v="41"/>
    <x v="14"/>
    <s v="Ahmedabad"/>
    <s v="Gujarat"/>
    <x v="0"/>
    <x v="2"/>
    <s v="Laptop"/>
    <x v="15"/>
    <n v="3"/>
    <n v="52350"/>
    <n v="0.15"/>
    <n v="41090"/>
    <s v="Cash on Delivery"/>
    <s v="Delivered"/>
    <n v="5"/>
    <s v="Returning"/>
    <n v="157050"/>
    <n v="23557.5"/>
    <n v="133492.5"/>
    <n v="92402.5"/>
    <n v="0.6921924452684608"/>
    <n v="2027"/>
    <s v="Sep"/>
    <s v="Q3"/>
  </r>
  <r>
    <s v="ORD10874"/>
    <x v="873"/>
    <s v="CUST1103"/>
    <s v="Rahul Das"/>
    <x v="223"/>
    <x v="0"/>
    <x v="27"/>
    <x v="2"/>
    <s v="Kochi"/>
    <s v="Kerala"/>
    <x v="2"/>
    <x v="5"/>
    <s v="Air Fryer"/>
    <x v="26"/>
    <n v="3"/>
    <n v="6030"/>
    <n v="0.05"/>
    <n v="4040"/>
    <s v="UPI"/>
    <s v="Pending"/>
    <n v="4"/>
    <s v="Returning"/>
    <n v="18090"/>
    <n v="904.5"/>
    <n v="17185.5"/>
    <n v="13145.5"/>
    <n v="0.76491809956067613"/>
    <n v="2027"/>
    <s v="Sep"/>
    <s v="Q3"/>
  </r>
  <r>
    <s v="ORD10875"/>
    <x v="874"/>
    <s v="CUST1455"/>
    <s v="Karan Patel"/>
    <x v="173"/>
    <x v="1"/>
    <x v="6"/>
    <x v="5"/>
    <s v="Bhubaneswar"/>
    <s v="Odisha"/>
    <x v="1"/>
    <x v="0"/>
    <s v="Jacket"/>
    <x v="25"/>
    <n v="2"/>
    <n v="3910"/>
    <n v="0.05"/>
    <n v="2520"/>
    <s v="UPI"/>
    <s v="Delivered"/>
    <n v="4"/>
    <s v="New"/>
    <n v="7820"/>
    <n v="391"/>
    <n v="7429"/>
    <n v="4909"/>
    <n v="0.66078880064611656"/>
    <n v="2027"/>
    <s v="Sep"/>
    <s v="Q3"/>
  </r>
  <r>
    <s v="ORD10876"/>
    <x v="875"/>
    <s v="CUST1377"/>
    <s v="Aarav Gupta"/>
    <x v="204"/>
    <x v="0"/>
    <x v="17"/>
    <x v="2"/>
    <s v="Kochi"/>
    <s v="Kerala"/>
    <x v="2"/>
    <x v="1"/>
    <s v="Study Table"/>
    <x v="11"/>
    <n v="3"/>
    <n v="8850"/>
    <n v="0"/>
    <n v="5330"/>
    <s v="Wallet"/>
    <s v="Delivered"/>
    <n v="5"/>
    <s v="New"/>
    <n v="26550"/>
    <n v="0"/>
    <n v="26550"/>
    <n v="21220"/>
    <n v="0.79924670433145006"/>
    <n v="2027"/>
    <s v="Sep"/>
    <s v="Q3"/>
  </r>
  <r>
    <s v="ORD10877"/>
    <x v="876"/>
    <s v="CUST1106"/>
    <s v="Aarav Singh"/>
    <x v="36"/>
    <x v="1"/>
    <x v="23"/>
    <x v="11"/>
    <s v="Chennai"/>
    <s v="Tamil Nadu"/>
    <x v="2"/>
    <x v="1"/>
    <s v="Bedside Table"/>
    <x v="24"/>
    <n v="2"/>
    <n v="4460"/>
    <n v="0.15"/>
    <n v="2940"/>
    <s v="Debit Card"/>
    <s v="Delivered"/>
    <n v="3"/>
    <s v="Returning"/>
    <n v="8920"/>
    <n v="1338"/>
    <n v="7582"/>
    <n v="4642"/>
    <n v="0.61223951463993664"/>
    <n v="2027"/>
    <s v="Sep"/>
    <s v="Q3"/>
  </r>
  <r>
    <s v="ORD10878"/>
    <x v="877"/>
    <s v="CUST1168"/>
    <s v="Vivaan Nair"/>
    <x v="65"/>
    <x v="1"/>
    <x v="23"/>
    <x v="0"/>
    <s v="Pune"/>
    <s v="Maharashtra"/>
    <x v="0"/>
    <x v="2"/>
    <s v="Smartwatch"/>
    <x v="3"/>
    <n v="1"/>
    <n v="6920"/>
    <n v="0.15"/>
    <n v="4540"/>
    <s v="Net Banking"/>
    <s v="Returned"/>
    <n v="3"/>
    <s v="Returning"/>
    <n v="6920"/>
    <n v="1038"/>
    <n v="5882"/>
    <n v="1342"/>
    <n v="0.22815368922135329"/>
    <n v="2027"/>
    <s v="Sep"/>
    <s v="Q3"/>
  </r>
  <r>
    <s v="ORD10879"/>
    <x v="878"/>
    <s v="CUST1134"/>
    <s v="Meera Das"/>
    <x v="116"/>
    <x v="1"/>
    <x v="4"/>
    <x v="7"/>
    <s v="Mumbai"/>
    <s v="Maharashtra"/>
    <x v="0"/>
    <x v="5"/>
    <s v="Electric Kettle"/>
    <x v="18"/>
    <n v="1"/>
    <n v="1780"/>
    <n v="0.15"/>
    <n v="930"/>
    <s v="UPI"/>
    <s v="Delivered"/>
    <n v="1"/>
    <s v="Returning"/>
    <n v="1780"/>
    <n v="267"/>
    <n v="1513"/>
    <n v="583"/>
    <n v="0.38532716457369465"/>
    <n v="2027"/>
    <s v="Sep"/>
    <s v="Q3"/>
  </r>
  <r>
    <s v="ORD10880"/>
    <x v="879"/>
    <s v="CUST1336"/>
    <s v="Rohan Iyer"/>
    <x v="33"/>
    <x v="1"/>
    <x v="21"/>
    <x v="14"/>
    <s v="Ahmedabad"/>
    <s v="Gujarat"/>
    <x v="0"/>
    <x v="5"/>
    <s v="Microwave"/>
    <x v="27"/>
    <n v="1"/>
    <n v="11350"/>
    <n v="0.1"/>
    <n v="7970"/>
    <s v="Credit Card"/>
    <s v="Pending"/>
    <n v="4"/>
    <s v="New"/>
    <n v="11350"/>
    <n v="1135"/>
    <n v="10215"/>
    <n v="2245"/>
    <n v="0.21977484092021538"/>
    <n v="2027"/>
    <s v="Sep"/>
    <s v="Q3"/>
  </r>
  <r>
    <s v="ORD10881"/>
    <x v="880"/>
    <s v="CUST1441"/>
    <s v="Vivaan Das"/>
    <x v="17"/>
    <x v="0"/>
    <x v="42"/>
    <x v="4"/>
    <s v="Chandigarh"/>
    <s v="Chandigarh"/>
    <x v="3"/>
    <x v="4"/>
    <s v="Makeup Kit"/>
    <x v="28"/>
    <n v="1"/>
    <n v="2320"/>
    <n v="0.15"/>
    <n v="1230"/>
    <s v="Debit Card"/>
    <s v="Delivered"/>
    <n v="5"/>
    <s v="New"/>
    <n v="2320"/>
    <n v="348"/>
    <n v="1972"/>
    <n v="742"/>
    <n v="0.37626774847870181"/>
    <n v="2027"/>
    <s v="Sep"/>
    <s v="Q3"/>
  </r>
  <r>
    <s v="ORD10882"/>
    <x v="881"/>
    <s v="CUST1106"/>
    <s v="Priya Bhat"/>
    <x v="58"/>
    <x v="0"/>
    <x v="34"/>
    <x v="3"/>
    <s v="Bengaluru"/>
    <s v="Karnataka"/>
    <x v="2"/>
    <x v="1"/>
    <s v="Bedside Table"/>
    <x v="24"/>
    <n v="5"/>
    <n v="4220"/>
    <n v="0.15"/>
    <n v="2770"/>
    <s v="UPI"/>
    <s v="Delivered"/>
    <n v="8"/>
    <s v="Returning"/>
    <n v="21100"/>
    <n v="3165"/>
    <n v="17935"/>
    <n v="15165"/>
    <n v="0.84555338723166995"/>
    <n v="2027"/>
    <s v="Sep"/>
    <s v="Q3"/>
  </r>
  <r>
    <s v="ORD10883"/>
    <x v="882"/>
    <s v="CUST1255"/>
    <s v="Diya Iyer"/>
    <x v="91"/>
    <x v="0"/>
    <x v="22"/>
    <x v="1"/>
    <s v="Kolkata"/>
    <s v="West Bengal"/>
    <x v="1"/>
    <x v="0"/>
    <s v="Handbag"/>
    <x v="12"/>
    <n v="3"/>
    <n v="2830"/>
    <n v="0"/>
    <n v="1590"/>
    <s v="Debit Card"/>
    <s v="Cancelled"/>
    <n v="0"/>
    <s v="Returning"/>
    <n v="8490"/>
    <n v="0"/>
    <n v="8490"/>
    <n v="6900"/>
    <n v="0.8127208480565371"/>
    <n v="2027"/>
    <s v="Sep"/>
    <s v="Q3"/>
  </r>
  <r>
    <s v="ORD10884"/>
    <x v="883"/>
    <s v="CUST1303"/>
    <s v="Sneha Nair"/>
    <x v="180"/>
    <x v="0"/>
    <x v="23"/>
    <x v="7"/>
    <s v="Mumbai"/>
    <s v="Maharashtra"/>
    <x v="0"/>
    <x v="2"/>
    <s v="Laptop"/>
    <x v="15"/>
    <n v="3"/>
    <n v="54660"/>
    <n v="0.3"/>
    <n v="43420"/>
    <s v="Cash on Delivery"/>
    <s v="Returned"/>
    <n v="4"/>
    <s v="New"/>
    <n v="163980"/>
    <n v="49194"/>
    <n v="114786"/>
    <n v="71366"/>
    <n v="0.62173087310299169"/>
    <n v="2027"/>
    <s v="Sep"/>
    <s v="Q3"/>
  </r>
  <r>
    <s v="ORD10885"/>
    <x v="884"/>
    <s v="CUST1018"/>
    <s v="Nisha Verma"/>
    <x v="34"/>
    <x v="1"/>
    <x v="35"/>
    <x v="3"/>
    <s v="Bengaluru"/>
    <s v="Karnataka"/>
    <x v="2"/>
    <x v="5"/>
    <s v="Mixer Grinder"/>
    <x v="22"/>
    <n v="5"/>
    <n v="3910"/>
    <n v="0.2"/>
    <n v="2780"/>
    <s v="Credit Card"/>
    <s v="Pending"/>
    <n v="3"/>
    <s v="Returning"/>
    <n v="19550"/>
    <n v="3910"/>
    <n v="15640"/>
    <n v="12860"/>
    <n v="0.82225063938618925"/>
    <n v="2027"/>
    <s v="Sep"/>
    <s v="Q3"/>
  </r>
  <r>
    <s v="ORD10886"/>
    <x v="885"/>
    <s v="CUST1367"/>
    <s v="Arjun Iyer"/>
    <x v="184"/>
    <x v="0"/>
    <x v="6"/>
    <x v="8"/>
    <s v="Mysuru"/>
    <s v="Karnataka"/>
    <x v="2"/>
    <x v="2"/>
    <s v="Smartwatch"/>
    <x v="3"/>
    <n v="3"/>
    <n v="6750"/>
    <n v="0.15"/>
    <n v="4650"/>
    <s v="Debit Card"/>
    <s v="Delivered"/>
    <n v="4"/>
    <s v="New"/>
    <n v="20250"/>
    <n v="3037.5"/>
    <n v="17212.5"/>
    <n v="12562.5"/>
    <n v="0.72984749455337694"/>
    <n v="2027"/>
    <s v="Sep"/>
    <s v="Q3"/>
  </r>
  <r>
    <s v="ORD10887"/>
    <x v="886"/>
    <s v="CUST1347"/>
    <s v="Vivaan Sharma"/>
    <x v="40"/>
    <x v="1"/>
    <x v="41"/>
    <x v="2"/>
    <s v="Kochi"/>
    <s v="Kerala"/>
    <x v="2"/>
    <x v="0"/>
    <s v="Jacket"/>
    <x v="25"/>
    <n v="2"/>
    <n v="4180"/>
    <n v="0.1"/>
    <n v="2480"/>
    <s v="UPI"/>
    <s v="Delivered"/>
    <n v="6"/>
    <s v="New"/>
    <n v="8360"/>
    <n v="836"/>
    <n v="7524"/>
    <n v="5044"/>
    <n v="0.67038809144072298"/>
    <n v="2027"/>
    <s v="Sep"/>
    <s v="Q3"/>
  </r>
  <r>
    <s v="ORD10888"/>
    <x v="887"/>
    <s v="CUST1337"/>
    <s v="Aditya Bhat"/>
    <x v="59"/>
    <x v="1"/>
    <x v="12"/>
    <x v="4"/>
    <s v="Chandigarh"/>
    <s v="Chandigarh"/>
    <x v="3"/>
    <x v="2"/>
    <s v="Smartwatch"/>
    <x v="3"/>
    <n v="1"/>
    <n v="7240"/>
    <n v="0"/>
    <n v="4380"/>
    <s v="UPI"/>
    <s v="Delivered"/>
    <n v="3"/>
    <s v="New"/>
    <n v="7240"/>
    <n v="0"/>
    <n v="7240"/>
    <n v="2860"/>
    <n v="0.39502762430939226"/>
    <n v="2027"/>
    <s v="Sep"/>
    <s v="Q3"/>
  </r>
  <r>
    <s v="ORD10889"/>
    <x v="888"/>
    <s v="CUST1463"/>
    <s v="Aditya Reddy"/>
    <x v="32"/>
    <x v="1"/>
    <x v="33"/>
    <x v="3"/>
    <s v="Bengaluru"/>
    <s v="Karnataka"/>
    <x v="2"/>
    <x v="2"/>
    <s v="Tablet"/>
    <x v="4"/>
    <n v="1"/>
    <n v="23390"/>
    <n v="0.15"/>
    <n v="14910"/>
    <s v="UPI"/>
    <s v="Pending"/>
    <n v="4"/>
    <s v="New"/>
    <n v="23390"/>
    <n v="3508.5"/>
    <n v="19881.5"/>
    <n v="4971.5"/>
    <n v="0.25005658526771118"/>
    <n v="2027"/>
    <s v="Sep"/>
    <s v="Q3"/>
  </r>
  <r>
    <s v="ORD10890"/>
    <x v="889"/>
    <s v="CUST1403"/>
    <s v="Vivaan Shah"/>
    <x v="156"/>
    <x v="0"/>
    <x v="1"/>
    <x v="6"/>
    <s v="Guwahati"/>
    <s v="Assam"/>
    <x v="1"/>
    <x v="1"/>
    <s v="Sofa"/>
    <x v="16"/>
    <n v="3"/>
    <n v="28990"/>
    <n v="0.2"/>
    <n v="20740"/>
    <s v="UPI"/>
    <s v="Delivered"/>
    <n v="1"/>
    <s v="New"/>
    <n v="86970"/>
    <n v="17394"/>
    <n v="69576"/>
    <n v="48836"/>
    <n v="0.7019087041508566"/>
    <n v="2027"/>
    <s v="Sep"/>
    <s v="Q3"/>
  </r>
  <r>
    <s v="ORD10891"/>
    <x v="890"/>
    <s v="CUST1215"/>
    <s v="Nisha Iyer"/>
    <x v="9"/>
    <x v="0"/>
    <x v="4"/>
    <x v="2"/>
    <s v="Kochi"/>
    <s v="Kerala"/>
    <x v="2"/>
    <x v="2"/>
    <s v="Smartwatch"/>
    <x v="3"/>
    <n v="1"/>
    <n v="7270"/>
    <n v="0.1"/>
    <n v="4420"/>
    <s v="Net Banking"/>
    <s v="Delivered"/>
    <n v="4"/>
    <s v="Returning"/>
    <n v="7270"/>
    <n v="727"/>
    <n v="6543"/>
    <n v="2123"/>
    <n v="0.32446889805899437"/>
    <n v="2027"/>
    <s v="Sep"/>
    <s v="Q3"/>
  </r>
  <r>
    <s v="ORD10892"/>
    <x v="891"/>
    <s v="CUST1209"/>
    <s v="Arjun Kumar"/>
    <x v="188"/>
    <x v="0"/>
    <x v="15"/>
    <x v="5"/>
    <s v="Bhubaneswar"/>
    <s v="Odisha"/>
    <x v="1"/>
    <x v="1"/>
    <s v="Bedside Table"/>
    <x v="24"/>
    <n v="3"/>
    <n v="4440"/>
    <n v="0"/>
    <n v="2900"/>
    <s v="UPI"/>
    <s v="Delivered"/>
    <n v="2"/>
    <s v="Returning"/>
    <n v="13320"/>
    <n v="0"/>
    <n v="13320"/>
    <n v="10420"/>
    <n v="0.78228228228228225"/>
    <n v="2027"/>
    <s v="Sep"/>
    <s v="Q3"/>
  </r>
  <r>
    <s v="ORD10893"/>
    <x v="892"/>
    <s v="CUST1126"/>
    <s v="Diya Kumar"/>
    <x v="120"/>
    <x v="0"/>
    <x v="31"/>
    <x v="13"/>
    <s v="Lucknow"/>
    <s v="Uttar Pradesh"/>
    <x v="3"/>
    <x v="2"/>
    <s v="Smartwatch"/>
    <x v="3"/>
    <n v="1"/>
    <n v="6620"/>
    <n v="0.15"/>
    <n v="4280"/>
    <s v="UPI"/>
    <s v="Returned"/>
    <n v="6"/>
    <s v="Returning"/>
    <n v="6620"/>
    <n v="993"/>
    <n v="5627"/>
    <n v="1347"/>
    <n v="0.23938155322551982"/>
    <n v="2027"/>
    <s v="Sep"/>
    <s v="Q3"/>
  </r>
  <r>
    <s v="ORD10894"/>
    <x v="893"/>
    <s v="CUST1389"/>
    <s v="Diya Sharma"/>
    <x v="220"/>
    <x v="0"/>
    <x v="36"/>
    <x v="8"/>
    <s v="Mysuru"/>
    <s v="Karnataka"/>
    <x v="2"/>
    <x v="2"/>
    <s v="Tablet"/>
    <x v="4"/>
    <n v="3"/>
    <n v="21330"/>
    <n v="0.05"/>
    <n v="15570"/>
    <s v="Credit Card"/>
    <s v="Returned"/>
    <n v="2"/>
    <s v="New"/>
    <n v="63990"/>
    <n v="3199.5"/>
    <n v="60790.5"/>
    <n v="45220.5"/>
    <n v="0.74387445406765862"/>
    <n v="2027"/>
    <s v="Sep"/>
    <s v="Q3"/>
  </r>
  <r>
    <s v="ORD10895"/>
    <x v="894"/>
    <s v="CUST1053"/>
    <s v="Arjun Joshi"/>
    <x v="51"/>
    <x v="1"/>
    <x v="22"/>
    <x v="6"/>
    <s v="Guwahati"/>
    <s v="Assam"/>
    <x v="1"/>
    <x v="1"/>
    <s v="Sofa"/>
    <x v="16"/>
    <n v="3"/>
    <n v="27690"/>
    <n v="0.1"/>
    <n v="19530"/>
    <s v="Debit Card"/>
    <s v="Delivered"/>
    <n v="4"/>
    <s v="Returning"/>
    <n v="83070"/>
    <n v="8307"/>
    <n v="74763"/>
    <n v="55233"/>
    <n v="0.73877452750692185"/>
    <n v="2027"/>
    <s v="Sep"/>
    <s v="Q3"/>
  </r>
  <r>
    <s v="ORD10896"/>
    <x v="895"/>
    <s v="CUST1223"/>
    <s v="Vikram Gupta"/>
    <x v="177"/>
    <x v="1"/>
    <x v="0"/>
    <x v="1"/>
    <s v="Kolkata"/>
    <s v="West Bengal"/>
    <x v="1"/>
    <x v="0"/>
    <s v="Sneakers"/>
    <x v="0"/>
    <n v="1"/>
    <n v="3650"/>
    <n v="0.25"/>
    <n v="2020"/>
    <s v="UPI"/>
    <s v="Pending"/>
    <n v="1"/>
    <s v="Returning"/>
    <n v="3650"/>
    <n v="912.5"/>
    <n v="2737.5"/>
    <n v="717.5"/>
    <n v="0.26210045662100456"/>
    <n v="2027"/>
    <s v="Sep"/>
    <s v="Q3"/>
  </r>
  <r>
    <s v="ORD10897"/>
    <x v="896"/>
    <s v="CUST1263"/>
    <s v="Arjun Singh"/>
    <x v="148"/>
    <x v="0"/>
    <x v="23"/>
    <x v="8"/>
    <s v="Mysuru"/>
    <s v="Karnataka"/>
    <x v="2"/>
    <x v="3"/>
    <s v="Cricket Bat"/>
    <x v="23"/>
    <n v="2"/>
    <n v="3400"/>
    <n v="0.15"/>
    <n v="1940"/>
    <s v="UPI"/>
    <s v="Delivered"/>
    <n v="2"/>
    <s v="Returning"/>
    <n v="6800"/>
    <n v="1020"/>
    <n v="5780"/>
    <n v="3840"/>
    <n v="0.66435986159169547"/>
    <n v="2027"/>
    <s v="Sep"/>
    <s v="Q3"/>
  </r>
  <r>
    <s v="ORD10898"/>
    <x v="897"/>
    <s v="CUST1482"/>
    <s v="Vivaan Bhat"/>
    <x v="35"/>
    <x v="0"/>
    <x v="15"/>
    <x v="13"/>
    <s v="Lucknow"/>
    <s v="Uttar Pradesh"/>
    <x v="3"/>
    <x v="3"/>
    <s v="Football"/>
    <x v="10"/>
    <n v="3"/>
    <n v="1140"/>
    <n v="0.15"/>
    <n v="570"/>
    <s v="Net Banking"/>
    <s v="Delivered"/>
    <n v="1"/>
    <s v="New"/>
    <n v="3420"/>
    <n v="513"/>
    <n v="2907"/>
    <n v="2337"/>
    <n v="0.80392156862745101"/>
    <n v="2027"/>
    <s v="Sep"/>
    <s v="Q3"/>
  </r>
  <r>
    <s v="ORD10899"/>
    <x v="898"/>
    <s v="CUST1447"/>
    <s v="Ishita Gupta"/>
    <x v="135"/>
    <x v="0"/>
    <x v="17"/>
    <x v="4"/>
    <s v="Chandigarh"/>
    <s v="Chandigarh"/>
    <x v="3"/>
    <x v="1"/>
    <s v="Bookshelf"/>
    <x v="6"/>
    <n v="2"/>
    <n v="4620"/>
    <n v="0.1"/>
    <n v="3260"/>
    <s v="UPI"/>
    <s v="Cancelled"/>
    <n v="0"/>
    <s v="New"/>
    <n v="9240"/>
    <n v="924"/>
    <n v="8316"/>
    <n v="5056"/>
    <n v="0.60798460798460796"/>
    <n v="2027"/>
    <s v="Sep"/>
    <s v="Q3"/>
  </r>
  <r>
    <s v="ORD10900"/>
    <x v="899"/>
    <s v="CUST1037"/>
    <s v="Aditya Nair"/>
    <x v="117"/>
    <x v="0"/>
    <x v="8"/>
    <x v="9"/>
    <s v="Hyderabad"/>
    <s v="Telangana"/>
    <x v="2"/>
    <x v="4"/>
    <s v="Perfume"/>
    <x v="29"/>
    <n v="1"/>
    <n v="1840"/>
    <n v="0.1"/>
    <n v="930"/>
    <s v="UPI"/>
    <s v="Delivered"/>
    <n v="5"/>
    <s v="Returning"/>
    <n v="1840"/>
    <n v="184"/>
    <n v="1656"/>
    <n v="726"/>
    <n v="0.43840579710144928"/>
    <n v="2027"/>
    <s v="Sep"/>
    <s v="Q3"/>
  </r>
  <r>
    <s v="ORD10901"/>
    <x v="900"/>
    <s v="CUST1496"/>
    <s v="Vivaan Reddy"/>
    <x v="131"/>
    <x v="1"/>
    <x v="31"/>
    <x v="8"/>
    <s v="Mysuru"/>
    <s v="Karnataka"/>
    <x v="2"/>
    <x v="0"/>
    <s v="T-Shirt"/>
    <x v="2"/>
    <n v="2"/>
    <n v="900"/>
    <n v="0.1"/>
    <n v="450"/>
    <s v="UPI"/>
    <s v="Delivered"/>
    <n v="4"/>
    <s v="New"/>
    <n v="1800"/>
    <n v="180"/>
    <n v="1620"/>
    <n v="1170"/>
    <n v="0.72222222222222221"/>
    <n v="2027"/>
    <s v="Sep"/>
    <s v="Q3"/>
  </r>
  <r>
    <s v="ORD10902"/>
    <x v="901"/>
    <s v="CUST1419"/>
    <s v="Vikram Shah"/>
    <x v="146"/>
    <x v="0"/>
    <x v="24"/>
    <x v="13"/>
    <s v="Lucknow"/>
    <s v="Uttar Pradesh"/>
    <x v="3"/>
    <x v="1"/>
    <s v="Study Table"/>
    <x v="11"/>
    <n v="2"/>
    <n v="8690"/>
    <n v="0.25"/>
    <n v="5360"/>
    <s v="Credit Card"/>
    <s v="Delivered"/>
    <n v="3"/>
    <s v="New"/>
    <n v="17380"/>
    <n v="4345"/>
    <n v="13035"/>
    <n v="7675"/>
    <n v="0.58879938626774064"/>
    <n v="2027"/>
    <s v="Oct"/>
    <s v="Q4"/>
  </r>
  <r>
    <s v="ORD10903"/>
    <x v="902"/>
    <s v="CUST1116"/>
    <s v="Rohan Shah"/>
    <x v="199"/>
    <x v="0"/>
    <x v="33"/>
    <x v="1"/>
    <s v="Kolkata"/>
    <s v="West Bengal"/>
    <x v="1"/>
    <x v="5"/>
    <s v="Air Fryer"/>
    <x v="26"/>
    <n v="2"/>
    <n v="6560"/>
    <n v="0.05"/>
    <n v="4070"/>
    <s v="Cash on Delivery"/>
    <s v="Delivered"/>
    <n v="1"/>
    <s v="Returning"/>
    <n v="13120"/>
    <n v="656"/>
    <n v="12464"/>
    <n v="8394"/>
    <n v="0.67345956354300385"/>
    <n v="2027"/>
    <s v="Oct"/>
    <s v="Q4"/>
  </r>
  <r>
    <s v="ORD10904"/>
    <x v="903"/>
    <s v="CUST1458"/>
    <s v="Vivaan Sharma"/>
    <x v="40"/>
    <x v="0"/>
    <x v="26"/>
    <x v="7"/>
    <s v="Mumbai"/>
    <s v="Maharashtra"/>
    <x v="0"/>
    <x v="5"/>
    <s v="Air Fryer"/>
    <x v="26"/>
    <n v="3"/>
    <n v="6620"/>
    <n v="0.05"/>
    <n v="4060"/>
    <s v="Net Banking"/>
    <s v="Delivered"/>
    <n v="4"/>
    <s v="New"/>
    <n v="19860"/>
    <n v="993"/>
    <n v="18867"/>
    <n v="14807"/>
    <n v="0.78480945566332749"/>
    <n v="2027"/>
    <s v="Oct"/>
    <s v="Q4"/>
  </r>
  <r>
    <s v="ORD10905"/>
    <x v="904"/>
    <s v="CUST1188"/>
    <s v="Ananya Patel"/>
    <x v="29"/>
    <x v="1"/>
    <x v="22"/>
    <x v="9"/>
    <s v="Hyderabad"/>
    <s v="Telangana"/>
    <x v="2"/>
    <x v="4"/>
    <s v="Perfume"/>
    <x v="29"/>
    <n v="3"/>
    <n v="1740"/>
    <n v="0.1"/>
    <n v="870"/>
    <s v="UPI"/>
    <s v="Delivered"/>
    <n v="3"/>
    <s v="Returning"/>
    <n v="5220"/>
    <n v="522"/>
    <n v="4698"/>
    <n v="3828"/>
    <n v="0.81481481481481477"/>
    <n v="2027"/>
    <s v="Oct"/>
    <s v="Q4"/>
  </r>
  <r>
    <s v="ORD10906"/>
    <x v="905"/>
    <s v="CUST1150"/>
    <s v="Aditya Singh"/>
    <x v="115"/>
    <x v="1"/>
    <x v="37"/>
    <x v="13"/>
    <s v="Lucknow"/>
    <s v="Uttar Pradesh"/>
    <x v="3"/>
    <x v="1"/>
    <s v="Bookshelf"/>
    <x v="6"/>
    <n v="3"/>
    <n v="4840"/>
    <n v="0.2"/>
    <n v="3090"/>
    <s v="Credit Card"/>
    <s v="Delivered"/>
    <n v="2"/>
    <s v="Returning"/>
    <n v="14520"/>
    <n v="2904"/>
    <n v="11616"/>
    <n v="8526"/>
    <n v="0.73398760330578516"/>
    <n v="2027"/>
    <s v="Oct"/>
    <s v="Q4"/>
  </r>
  <r>
    <s v="ORD10907"/>
    <x v="906"/>
    <s v="CUST1485"/>
    <s v="Vivaan Das"/>
    <x v="17"/>
    <x v="1"/>
    <x v="41"/>
    <x v="7"/>
    <s v="Mumbai"/>
    <s v="Maharashtra"/>
    <x v="0"/>
    <x v="2"/>
    <s v="Laptop"/>
    <x v="15"/>
    <n v="1"/>
    <n v="58330"/>
    <n v="0.2"/>
    <n v="40860"/>
    <s v="UPI"/>
    <s v="Delivered"/>
    <n v="4"/>
    <s v="New"/>
    <n v="58330"/>
    <n v="11666"/>
    <n v="46664"/>
    <n v="5804"/>
    <n v="0.12437853591633807"/>
    <n v="2027"/>
    <s v="Oct"/>
    <s v="Q4"/>
  </r>
  <r>
    <s v="ORD10908"/>
    <x v="907"/>
    <s v="CUST1140"/>
    <s v="Ananya Mehta"/>
    <x v="125"/>
    <x v="1"/>
    <x v="16"/>
    <x v="9"/>
    <s v="Hyderabad"/>
    <s v="Telangana"/>
    <x v="2"/>
    <x v="4"/>
    <s v="Perfume"/>
    <x v="29"/>
    <n v="4"/>
    <n v="1880"/>
    <n v="0.15"/>
    <n v="920"/>
    <s v="Credit Card"/>
    <s v="Cancelled"/>
    <n v="0"/>
    <s v="Returning"/>
    <n v="7520"/>
    <n v="1128"/>
    <n v="6392"/>
    <n v="5472"/>
    <n v="0.85607008760951186"/>
    <n v="2027"/>
    <s v="Oct"/>
    <s v="Q4"/>
  </r>
  <r>
    <s v="ORD10909"/>
    <x v="908"/>
    <s v="CUST1008"/>
    <s v="Ananya Gupta"/>
    <x v="61"/>
    <x v="1"/>
    <x v="2"/>
    <x v="6"/>
    <s v="Guwahati"/>
    <s v="Assam"/>
    <x v="1"/>
    <x v="1"/>
    <s v="Study Table"/>
    <x v="11"/>
    <n v="2"/>
    <n v="8370"/>
    <n v="0.25"/>
    <n v="5460"/>
    <s v="Cash on Delivery"/>
    <s v="Delivered"/>
    <n v="3"/>
    <s v="Returning"/>
    <n v="16740"/>
    <n v="4185"/>
    <n v="12555"/>
    <n v="7095"/>
    <n v="0.56511350059737153"/>
    <n v="2027"/>
    <s v="Oct"/>
    <s v="Q4"/>
  </r>
  <r>
    <s v="ORD10910"/>
    <x v="909"/>
    <s v="CUST1244"/>
    <s v="Aditya Singh"/>
    <x v="115"/>
    <x v="1"/>
    <x v="26"/>
    <x v="0"/>
    <s v="Pune"/>
    <s v="Maharashtra"/>
    <x v="0"/>
    <x v="5"/>
    <s v="Mixer Grinder"/>
    <x v="22"/>
    <n v="2"/>
    <n v="4320"/>
    <n v="0"/>
    <n v="2730"/>
    <s v="Credit Card"/>
    <s v="Delivered"/>
    <n v="3"/>
    <s v="Returning"/>
    <n v="8640"/>
    <n v="0"/>
    <n v="8640"/>
    <n v="5910"/>
    <n v="0.68402777777777779"/>
    <n v="2027"/>
    <s v="Oct"/>
    <s v="Q4"/>
  </r>
  <r>
    <s v="ORD10911"/>
    <x v="910"/>
    <s v="CUST1214"/>
    <s v="Nisha Singh"/>
    <x v="114"/>
    <x v="1"/>
    <x v="40"/>
    <x v="9"/>
    <s v="Hyderabad"/>
    <s v="Telangana"/>
    <x v="2"/>
    <x v="3"/>
    <s v="Cricket Bat"/>
    <x v="23"/>
    <n v="3"/>
    <n v="2970"/>
    <n v="0.2"/>
    <n v="1840"/>
    <s v="UPI"/>
    <s v="Delivered"/>
    <n v="8"/>
    <s v="Returning"/>
    <n v="8910"/>
    <n v="1782"/>
    <n v="7128"/>
    <n v="5288"/>
    <n v="0.74186307519640848"/>
    <n v="2027"/>
    <s v="Oct"/>
    <s v="Q4"/>
  </r>
  <r>
    <s v="ORD10912"/>
    <x v="911"/>
    <s v="CUST1328"/>
    <s v="Aarav Naidu"/>
    <x v="143"/>
    <x v="1"/>
    <x v="9"/>
    <x v="13"/>
    <s v="Lucknow"/>
    <s v="Uttar Pradesh"/>
    <x v="3"/>
    <x v="1"/>
    <s v="Office Chair"/>
    <x v="1"/>
    <n v="1"/>
    <n v="6660"/>
    <n v="0.25"/>
    <n v="4360"/>
    <s v="Net Banking"/>
    <s v="Cancelled"/>
    <n v="0"/>
    <s v="New"/>
    <n v="6660"/>
    <n v="1665"/>
    <n v="4995"/>
    <n v="635"/>
    <n v="0.12712712712712712"/>
    <n v="2027"/>
    <s v="Oct"/>
    <s v="Q4"/>
  </r>
  <r>
    <s v="ORD10913"/>
    <x v="912"/>
    <s v="CUST1116"/>
    <s v="Kavya Iyer"/>
    <x v="128"/>
    <x v="1"/>
    <x v="40"/>
    <x v="9"/>
    <s v="Hyderabad"/>
    <s v="Telangana"/>
    <x v="2"/>
    <x v="3"/>
    <s v="Cricket Bat"/>
    <x v="23"/>
    <n v="2"/>
    <n v="3010"/>
    <n v="0"/>
    <n v="1930"/>
    <s v="Credit Card"/>
    <s v="Delivered"/>
    <n v="2"/>
    <s v="Returning"/>
    <n v="6020"/>
    <n v="0"/>
    <n v="6020"/>
    <n v="4090"/>
    <n v="0.67940199335548168"/>
    <n v="2027"/>
    <s v="Oct"/>
    <s v="Q4"/>
  </r>
  <r>
    <s v="ORD10914"/>
    <x v="913"/>
    <s v="CUST1449"/>
    <s v="Kavya Gupta"/>
    <x v="193"/>
    <x v="0"/>
    <x v="37"/>
    <x v="4"/>
    <s v="Chandigarh"/>
    <s v="Chandigarh"/>
    <x v="3"/>
    <x v="2"/>
    <s v="Smartphone"/>
    <x v="13"/>
    <n v="3"/>
    <n v="17580"/>
    <n v="0.05"/>
    <n v="12090"/>
    <s v="Credit Card"/>
    <s v="Delivered"/>
    <n v="1"/>
    <s v="New"/>
    <n v="52740"/>
    <n v="2637"/>
    <n v="50103"/>
    <n v="38013"/>
    <n v="0.75869708400694569"/>
    <n v="2027"/>
    <s v="Oct"/>
    <s v="Q4"/>
  </r>
  <r>
    <s v="ORD10915"/>
    <x v="914"/>
    <s v="CUST1334"/>
    <s v="Ananya Reddy"/>
    <x v="195"/>
    <x v="0"/>
    <x v="22"/>
    <x v="14"/>
    <s v="Ahmedabad"/>
    <s v="Gujarat"/>
    <x v="0"/>
    <x v="2"/>
    <s v="Smartwatch"/>
    <x v="3"/>
    <n v="1"/>
    <n v="7190"/>
    <n v="0"/>
    <n v="4670"/>
    <s v="Credit Card"/>
    <s v="Delivered"/>
    <n v="4"/>
    <s v="New"/>
    <n v="7190"/>
    <n v="0"/>
    <n v="7190"/>
    <n v="2520"/>
    <n v="0.35048678720445064"/>
    <n v="2027"/>
    <s v="Oct"/>
    <s v="Q4"/>
  </r>
  <r>
    <s v="ORD10916"/>
    <x v="915"/>
    <s v="CUST1447"/>
    <s v="Karan Kumar"/>
    <x v="111"/>
    <x v="0"/>
    <x v="23"/>
    <x v="2"/>
    <s v="Kochi"/>
    <s v="Kerala"/>
    <x v="2"/>
    <x v="0"/>
    <s v="Jeans"/>
    <x v="19"/>
    <n v="2"/>
    <n v="2130"/>
    <n v="0.1"/>
    <n v="1200"/>
    <s v="Cash on Delivery"/>
    <s v="Pending"/>
    <n v="3"/>
    <s v="New"/>
    <n v="4260"/>
    <n v="426"/>
    <n v="3834"/>
    <n v="2634"/>
    <n v="0.68701095461658845"/>
    <n v="2027"/>
    <s v="Oct"/>
    <s v="Q4"/>
  </r>
  <r>
    <s v="ORD10917"/>
    <x v="916"/>
    <s v="CUST1227"/>
    <s v="Kavya Sharma"/>
    <x v="106"/>
    <x v="0"/>
    <x v="8"/>
    <x v="3"/>
    <s v="Bengaluru"/>
    <s v="Karnataka"/>
    <x v="2"/>
    <x v="2"/>
    <s v="Laptop"/>
    <x v="15"/>
    <n v="3"/>
    <n v="56310"/>
    <n v="0.1"/>
    <n v="40600"/>
    <s v="Net Banking"/>
    <s v="Pending"/>
    <n v="1"/>
    <s v="Returning"/>
    <n v="168930"/>
    <n v="16893"/>
    <n v="152037"/>
    <n v="111437"/>
    <n v="0.73295974006327402"/>
    <n v="2027"/>
    <s v="Oct"/>
    <s v="Q4"/>
  </r>
  <r>
    <s v="ORD10918"/>
    <x v="917"/>
    <s v="CUST1248"/>
    <s v="Kavya Reddy"/>
    <x v="203"/>
    <x v="0"/>
    <x v="33"/>
    <x v="13"/>
    <s v="Lucknow"/>
    <s v="Uttar Pradesh"/>
    <x v="3"/>
    <x v="3"/>
    <s v="Yoga Mat"/>
    <x v="20"/>
    <n v="1"/>
    <n v="930"/>
    <n v="0.15"/>
    <n v="420"/>
    <s v="UPI"/>
    <s v="Delivered"/>
    <n v="5"/>
    <s v="Returning"/>
    <n v="930"/>
    <n v="139.5"/>
    <n v="790.5"/>
    <n v="370.5"/>
    <n v="0.46869070208728653"/>
    <n v="2027"/>
    <s v="Oct"/>
    <s v="Q4"/>
  </r>
  <r>
    <s v="ORD10919"/>
    <x v="918"/>
    <s v="CUST1246"/>
    <s v="Kavya Naidu"/>
    <x v="28"/>
    <x v="0"/>
    <x v="35"/>
    <x v="12"/>
    <s v="Delhi"/>
    <s v="Delhi"/>
    <x v="3"/>
    <x v="0"/>
    <s v="T-Shirt"/>
    <x v="2"/>
    <n v="1"/>
    <n v="970"/>
    <n v="0.15"/>
    <n v="450"/>
    <s v="Credit Card"/>
    <s v="Cancelled"/>
    <n v="0"/>
    <s v="Returning"/>
    <n v="970"/>
    <n v="145.5"/>
    <n v="824.5"/>
    <n v="374.5"/>
    <n v="0.45421467556094602"/>
    <n v="2027"/>
    <s v="Oct"/>
    <s v="Q4"/>
  </r>
  <r>
    <s v="ORD10920"/>
    <x v="919"/>
    <s v="CUST1304"/>
    <s v="Rohan Bhat"/>
    <x v="175"/>
    <x v="1"/>
    <x v="26"/>
    <x v="6"/>
    <s v="Guwahati"/>
    <s v="Assam"/>
    <x v="1"/>
    <x v="3"/>
    <s v="Yoga Mat"/>
    <x v="20"/>
    <n v="2"/>
    <n v="970"/>
    <n v="0.05"/>
    <n v="410"/>
    <s v="Debit Card"/>
    <s v="Delivered"/>
    <n v="3"/>
    <s v="New"/>
    <n v="1940"/>
    <n v="97"/>
    <n v="1843"/>
    <n v="1433"/>
    <n v="0.77753662506782417"/>
    <n v="2027"/>
    <s v="Oct"/>
    <s v="Q4"/>
  </r>
  <r>
    <s v="ORD10921"/>
    <x v="920"/>
    <s v="CUST1126"/>
    <s v="Aditya Bhat"/>
    <x v="59"/>
    <x v="1"/>
    <x v="40"/>
    <x v="0"/>
    <s v="Pune"/>
    <s v="Maharashtra"/>
    <x v="0"/>
    <x v="2"/>
    <s v="Tablet"/>
    <x v="4"/>
    <n v="4"/>
    <n v="23390"/>
    <n v="0.25"/>
    <n v="16100"/>
    <s v="UPI"/>
    <s v="Delivered"/>
    <n v="1"/>
    <s v="Returning"/>
    <n v="93560"/>
    <n v="23390"/>
    <n v="70170"/>
    <n v="54070"/>
    <n v="0.77055721818440925"/>
    <n v="2027"/>
    <s v="Oct"/>
    <s v="Q4"/>
  </r>
  <r>
    <s v="ORD10922"/>
    <x v="921"/>
    <s v="CUST1094"/>
    <s v="Rohan Rao"/>
    <x v="23"/>
    <x v="0"/>
    <x v="17"/>
    <x v="0"/>
    <s v="Pune"/>
    <s v="Maharashtra"/>
    <x v="0"/>
    <x v="2"/>
    <s v="Laptop"/>
    <x v="15"/>
    <n v="1"/>
    <n v="52170"/>
    <n v="0.15"/>
    <n v="43390"/>
    <s v="Credit Card"/>
    <s v="Delivered"/>
    <n v="2"/>
    <s v="Returning"/>
    <n v="52170"/>
    <n v="7825.5"/>
    <n v="44344.5"/>
    <n v="954.5"/>
    <n v="2.1524653564703629E-2"/>
    <n v="2027"/>
    <s v="Oct"/>
    <s v="Q4"/>
  </r>
  <r>
    <s v="ORD10923"/>
    <x v="922"/>
    <s v="CUST1024"/>
    <s v="Karan Naidu"/>
    <x v="168"/>
    <x v="1"/>
    <x v="13"/>
    <x v="6"/>
    <s v="Guwahati"/>
    <s v="Assam"/>
    <x v="1"/>
    <x v="0"/>
    <s v="Jeans"/>
    <x v="19"/>
    <n v="1"/>
    <n v="2300"/>
    <n v="0"/>
    <n v="1160"/>
    <s v="Debit Card"/>
    <s v="Returned"/>
    <n v="2"/>
    <s v="Returning"/>
    <n v="2300"/>
    <n v="0"/>
    <n v="2300"/>
    <n v="1140"/>
    <n v="0.4956521739130435"/>
    <n v="2027"/>
    <s v="Oct"/>
    <s v="Q4"/>
  </r>
  <r>
    <s v="ORD10924"/>
    <x v="923"/>
    <s v="CUST1354"/>
    <s v="Aarav Nair"/>
    <x v="4"/>
    <x v="1"/>
    <x v="21"/>
    <x v="7"/>
    <s v="Mumbai"/>
    <s v="Maharashtra"/>
    <x v="0"/>
    <x v="5"/>
    <s v="Mixer Grinder"/>
    <x v="22"/>
    <n v="2"/>
    <n v="4390"/>
    <n v="0.1"/>
    <n v="2630"/>
    <s v="Credit Card"/>
    <s v="Delivered"/>
    <n v="3"/>
    <s v="New"/>
    <n v="8780"/>
    <n v="878"/>
    <n v="7902"/>
    <n v="5272"/>
    <n v="0.66717286762844852"/>
    <n v="2027"/>
    <s v="Oct"/>
    <s v="Q4"/>
  </r>
  <r>
    <s v="ORD10925"/>
    <x v="924"/>
    <s v="CUST1472"/>
    <s v="Vivaan Das"/>
    <x v="17"/>
    <x v="1"/>
    <x v="31"/>
    <x v="13"/>
    <s v="Lucknow"/>
    <s v="Uttar Pradesh"/>
    <x v="3"/>
    <x v="2"/>
    <s v="Tablet"/>
    <x v="4"/>
    <n v="4"/>
    <n v="22240"/>
    <n v="0.05"/>
    <n v="16170"/>
    <s v="Net Banking"/>
    <s v="Returned"/>
    <n v="4"/>
    <s v="New"/>
    <n v="88960"/>
    <n v="4448"/>
    <n v="84512"/>
    <n v="68342"/>
    <n v="0.808666224914805"/>
    <n v="2027"/>
    <s v="Oct"/>
    <s v="Q4"/>
  </r>
  <r>
    <s v="ORD10926"/>
    <x v="925"/>
    <s v="CUST1039"/>
    <s v="Ananya Rao"/>
    <x v="189"/>
    <x v="1"/>
    <x v="6"/>
    <x v="7"/>
    <s v="Mumbai"/>
    <s v="Maharashtra"/>
    <x v="0"/>
    <x v="0"/>
    <s v="Jeans"/>
    <x v="19"/>
    <n v="1"/>
    <n v="2310"/>
    <n v="0.2"/>
    <n v="1220"/>
    <s v="Credit Card"/>
    <s v="Pending"/>
    <n v="2"/>
    <s v="Returning"/>
    <n v="2310"/>
    <n v="462"/>
    <n v="1848"/>
    <n v="628"/>
    <n v="0.33982683982683981"/>
    <n v="2027"/>
    <s v="Oct"/>
    <s v="Q4"/>
  </r>
  <r>
    <s v="ORD10927"/>
    <x v="926"/>
    <s v="CUST1460"/>
    <s v="Aditya Joshi"/>
    <x v="231"/>
    <x v="1"/>
    <x v="8"/>
    <x v="6"/>
    <s v="Guwahati"/>
    <s v="Assam"/>
    <x v="1"/>
    <x v="4"/>
    <s v="Hair Dryer"/>
    <x v="14"/>
    <n v="2"/>
    <n v="1720"/>
    <n v="0.15"/>
    <n v="1000"/>
    <s v="Credit Card"/>
    <s v="Delivered"/>
    <n v="10"/>
    <s v="New"/>
    <n v="3440"/>
    <n v="516"/>
    <n v="2924"/>
    <n v="1924"/>
    <n v="0.65800273597811221"/>
    <n v="2027"/>
    <s v="Oct"/>
    <s v="Q4"/>
  </r>
  <r>
    <s v="ORD10928"/>
    <x v="927"/>
    <s v="CUST1069"/>
    <s v="Sneha Singh"/>
    <x v="16"/>
    <x v="1"/>
    <x v="8"/>
    <x v="9"/>
    <s v="Hyderabad"/>
    <s v="Telangana"/>
    <x v="2"/>
    <x v="5"/>
    <s v="Vacuum Cleaner"/>
    <x v="9"/>
    <n v="1"/>
    <n v="8370"/>
    <n v="0.05"/>
    <n v="5320"/>
    <s v="Net Banking"/>
    <s v="Delivered"/>
    <n v="4"/>
    <s v="Returning"/>
    <n v="8370"/>
    <n v="418.5"/>
    <n v="7951.5"/>
    <n v="2631.5"/>
    <n v="0.33094384707287933"/>
    <n v="2027"/>
    <s v="Oct"/>
    <s v="Q4"/>
  </r>
  <r>
    <s v="ORD10929"/>
    <x v="928"/>
    <s v="CUST1349"/>
    <s v="Nisha Naidu"/>
    <x v="3"/>
    <x v="1"/>
    <x v="17"/>
    <x v="13"/>
    <s v="Lucknow"/>
    <s v="Uttar Pradesh"/>
    <x v="3"/>
    <x v="0"/>
    <s v="T-Shirt"/>
    <x v="2"/>
    <n v="2"/>
    <n v="910"/>
    <n v="0.05"/>
    <n v="460"/>
    <s v="Wallet"/>
    <s v="Delivered"/>
    <n v="6"/>
    <s v="New"/>
    <n v="1820"/>
    <n v="91"/>
    <n v="1729"/>
    <n v="1269"/>
    <n v="0.7339502602660497"/>
    <n v="2027"/>
    <s v="Oct"/>
    <s v="Q4"/>
  </r>
  <r>
    <s v="ORD10930"/>
    <x v="929"/>
    <s v="CUST1484"/>
    <s v="Vikram Patel"/>
    <x v="60"/>
    <x v="1"/>
    <x v="31"/>
    <x v="14"/>
    <s v="Ahmedabad"/>
    <s v="Gujarat"/>
    <x v="0"/>
    <x v="2"/>
    <s v="Tablet"/>
    <x v="4"/>
    <n v="3"/>
    <n v="22400"/>
    <n v="0.25"/>
    <n v="15080"/>
    <s v="UPI"/>
    <s v="Delivered"/>
    <n v="3"/>
    <s v="New"/>
    <n v="67200"/>
    <n v="16800"/>
    <n v="50400"/>
    <n v="35320"/>
    <n v="0.70079365079365075"/>
    <n v="2027"/>
    <s v="Oct"/>
    <s v="Q4"/>
  </r>
  <r>
    <s v="ORD10931"/>
    <x v="930"/>
    <s v="CUST1119"/>
    <s v="Ishita Iyer"/>
    <x v="69"/>
    <x v="1"/>
    <x v="20"/>
    <x v="6"/>
    <s v="Guwahati"/>
    <s v="Assam"/>
    <x v="1"/>
    <x v="0"/>
    <s v="Jacket"/>
    <x v="25"/>
    <n v="3"/>
    <n v="4070"/>
    <n v="0"/>
    <n v="2530"/>
    <s v="Credit Card"/>
    <s v="Delivered"/>
    <n v="3"/>
    <s v="Returning"/>
    <n v="12210"/>
    <n v="0"/>
    <n v="12210"/>
    <n v="9680"/>
    <n v="0.7927927927927928"/>
    <n v="2027"/>
    <s v="Oct"/>
    <s v="Q4"/>
  </r>
  <r>
    <s v="ORD10932"/>
    <x v="931"/>
    <s v="CUST1133"/>
    <s v="Rahul Kumar"/>
    <x v="44"/>
    <x v="0"/>
    <x v="19"/>
    <x v="7"/>
    <s v="Mumbai"/>
    <s v="Maharashtra"/>
    <x v="0"/>
    <x v="1"/>
    <s v="Study Table"/>
    <x v="11"/>
    <n v="1"/>
    <n v="8010"/>
    <n v="0.1"/>
    <n v="5660"/>
    <s v="Debit Card"/>
    <s v="Delivered"/>
    <n v="3"/>
    <s v="Returning"/>
    <n v="8010"/>
    <n v="801"/>
    <n v="7209"/>
    <n v="1549"/>
    <n v="0.21487030101262311"/>
    <n v="2027"/>
    <s v="Oct"/>
    <s v="Q4"/>
  </r>
  <r>
    <s v="ORD10933"/>
    <x v="932"/>
    <s v="CUST1147"/>
    <s v="Sneha Singh"/>
    <x v="16"/>
    <x v="1"/>
    <x v="6"/>
    <x v="7"/>
    <s v="Mumbai"/>
    <s v="Maharashtra"/>
    <x v="0"/>
    <x v="2"/>
    <s v="Laptop"/>
    <x v="15"/>
    <n v="1"/>
    <n v="53980"/>
    <n v="0"/>
    <n v="41820"/>
    <s v="UPI"/>
    <s v="Delivered"/>
    <n v="3"/>
    <s v="Returning"/>
    <n v="53980"/>
    <n v="0"/>
    <n v="53980"/>
    <n v="12160"/>
    <n v="0.22526861800666914"/>
    <n v="2027"/>
    <s v="Nov"/>
    <s v="Q4"/>
  </r>
  <r>
    <s v="ORD10934"/>
    <x v="933"/>
    <s v="CUST1441"/>
    <s v="Meera Patel"/>
    <x v="244"/>
    <x v="1"/>
    <x v="42"/>
    <x v="5"/>
    <s v="Bhubaneswar"/>
    <s v="Odisha"/>
    <x v="1"/>
    <x v="1"/>
    <s v="Sofa"/>
    <x v="16"/>
    <n v="5"/>
    <n v="28700"/>
    <n v="0.1"/>
    <n v="21040"/>
    <s v="Net Banking"/>
    <s v="Delivered"/>
    <n v="1"/>
    <s v="New"/>
    <n v="143500"/>
    <n v="14350"/>
    <n v="129150"/>
    <n v="108110"/>
    <n v="0.83708865660085174"/>
    <n v="2027"/>
    <s v="Nov"/>
    <s v="Q4"/>
  </r>
  <r>
    <s v="ORD10935"/>
    <x v="934"/>
    <s v="CUST1325"/>
    <s v="Rohan Rao"/>
    <x v="23"/>
    <x v="1"/>
    <x v="32"/>
    <x v="6"/>
    <s v="Guwahati"/>
    <s v="Assam"/>
    <x v="1"/>
    <x v="0"/>
    <s v="Handbag"/>
    <x v="12"/>
    <n v="1"/>
    <n v="2760"/>
    <n v="0.1"/>
    <n v="1560"/>
    <s v="UPI"/>
    <s v="Delivered"/>
    <n v="8"/>
    <s v="New"/>
    <n v="2760"/>
    <n v="276"/>
    <n v="2484"/>
    <n v="924"/>
    <n v="0.3719806763285024"/>
    <n v="2027"/>
    <s v="Nov"/>
    <s v="Q4"/>
  </r>
  <r>
    <s v="ORD10936"/>
    <x v="935"/>
    <s v="CUST1050"/>
    <s v="Rohan Nair"/>
    <x v="178"/>
    <x v="0"/>
    <x v="13"/>
    <x v="7"/>
    <s v="Mumbai"/>
    <s v="Maharashtra"/>
    <x v="0"/>
    <x v="1"/>
    <s v="Bookshelf"/>
    <x v="6"/>
    <n v="4"/>
    <n v="4820"/>
    <n v="0.25"/>
    <n v="3310"/>
    <s v="Wallet"/>
    <s v="Delivered"/>
    <n v="2"/>
    <s v="Returning"/>
    <n v="19280"/>
    <n v="4820"/>
    <n v="14460"/>
    <n v="11150"/>
    <n v="0.77109266943291843"/>
    <n v="2027"/>
    <s v="Nov"/>
    <s v="Q4"/>
  </r>
  <r>
    <s v="ORD10937"/>
    <x v="936"/>
    <s v="CUST1196"/>
    <s v="Rohan Verma"/>
    <x v="212"/>
    <x v="1"/>
    <x v="7"/>
    <x v="5"/>
    <s v="Bhubaneswar"/>
    <s v="Odisha"/>
    <x v="1"/>
    <x v="2"/>
    <s v="Tablet"/>
    <x v="4"/>
    <n v="1"/>
    <n v="22130"/>
    <n v="0.2"/>
    <n v="14800"/>
    <s v="Net Banking"/>
    <s v="Delivered"/>
    <n v="4"/>
    <s v="Returning"/>
    <n v="22130"/>
    <n v="4426"/>
    <n v="17704"/>
    <n v="2904"/>
    <n v="0.16403072751920469"/>
    <n v="2027"/>
    <s v="Nov"/>
    <s v="Q4"/>
  </r>
  <r>
    <s v="ORD10938"/>
    <x v="937"/>
    <s v="CUST1282"/>
    <s v="Ishita Shah"/>
    <x v="160"/>
    <x v="0"/>
    <x v="11"/>
    <x v="1"/>
    <s v="Kolkata"/>
    <s v="West Bengal"/>
    <x v="1"/>
    <x v="4"/>
    <s v="Makeup Kit"/>
    <x v="28"/>
    <n v="3"/>
    <n v="2170"/>
    <n v="0.1"/>
    <n v="1150"/>
    <s v="Wallet"/>
    <s v="Delivered"/>
    <n v="4"/>
    <s v="Returning"/>
    <n v="6510"/>
    <n v="651"/>
    <n v="5859"/>
    <n v="4709"/>
    <n v="0.80372077146270693"/>
    <n v="2027"/>
    <s v="Nov"/>
    <s v="Q4"/>
  </r>
  <r>
    <s v="ORD10939"/>
    <x v="938"/>
    <s v="CUST1011"/>
    <s v="Vikram Bhat"/>
    <x v="18"/>
    <x v="0"/>
    <x v="26"/>
    <x v="1"/>
    <s v="Kolkata"/>
    <s v="West Bengal"/>
    <x v="1"/>
    <x v="1"/>
    <s v="Office Chair"/>
    <x v="1"/>
    <n v="4"/>
    <n v="6380"/>
    <n v="0.15"/>
    <n v="4290"/>
    <s v="UPI"/>
    <s v="Delivered"/>
    <n v="2"/>
    <s v="Returning"/>
    <n v="25520"/>
    <n v="3828"/>
    <n v="21692"/>
    <n v="17402"/>
    <n v="0.80223123732251522"/>
    <n v="2027"/>
    <s v="Nov"/>
    <s v="Q4"/>
  </r>
  <r>
    <s v="ORD10940"/>
    <x v="939"/>
    <s v="CUST1241"/>
    <s v="Aditya Reddy"/>
    <x v="32"/>
    <x v="1"/>
    <x v="29"/>
    <x v="6"/>
    <s v="Guwahati"/>
    <s v="Assam"/>
    <x v="1"/>
    <x v="2"/>
    <s v="Headphones"/>
    <x v="5"/>
    <n v="1"/>
    <n v="2520"/>
    <n v="0.1"/>
    <n v="1440"/>
    <s v="Cash on Delivery"/>
    <s v="Cancelled"/>
    <n v="0"/>
    <s v="Returning"/>
    <n v="2520"/>
    <n v="252"/>
    <n v="2268"/>
    <n v="828"/>
    <n v="0.36507936507936506"/>
    <n v="2027"/>
    <s v="Nov"/>
    <s v="Q4"/>
  </r>
  <r>
    <s v="ORD10941"/>
    <x v="940"/>
    <s v="CUST1182"/>
    <s v="Nisha Bhat"/>
    <x v="24"/>
    <x v="1"/>
    <x v="37"/>
    <x v="5"/>
    <s v="Bhubaneswar"/>
    <s v="Odisha"/>
    <x v="1"/>
    <x v="5"/>
    <s v="Microwave"/>
    <x v="27"/>
    <n v="2"/>
    <n v="12730"/>
    <n v="0.15"/>
    <n v="8110"/>
    <s v="Credit Card"/>
    <s v="Delivered"/>
    <n v="1"/>
    <s v="Returning"/>
    <n v="25460"/>
    <n v="3819"/>
    <n v="21641"/>
    <n v="13531"/>
    <n v="0.62524837114735921"/>
    <n v="2027"/>
    <s v="Nov"/>
    <s v="Q4"/>
  </r>
  <r>
    <s v="ORD10942"/>
    <x v="941"/>
    <s v="CUST1486"/>
    <s v="Ishita Reddy"/>
    <x v="153"/>
    <x v="0"/>
    <x v="13"/>
    <x v="14"/>
    <s v="Ahmedabad"/>
    <s v="Gujarat"/>
    <x v="0"/>
    <x v="0"/>
    <s v="Sneakers"/>
    <x v="0"/>
    <n v="2"/>
    <n v="3440"/>
    <n v="0.2"/>
    <n v="2090"/>
    <s v="Debit Card"/>
    <s v="Returned"/>
    <n v="6"/>
    <s v="New"/>
    <n v="6880"/>
    <n v="1376"/>
    <n v="5504"/>
    <n v="3414"/>
    <n v="0.62027616279069764"/>
    <n v="2027"/>
    <s v="Nov"/>
    <s v="Q4"/>
  </r>
  <r>
    <s v="ORD10943"/>
    <x v="942"/>
    <s v="CUST1027"/>
    <s v="Vikram Reddy"/>
    <x v="221"/>
    <x v="1"/>
    <x v="37"/>
    <x v="7"/>
    <s v="Mumbai"/>
    <s v="Maharashtra"/>
    <x v="0"/>
    <x v="2"/>
    <s v="Laptop"/>
    <x v="15"/>
    <n v="5"/>
    <n v="55190"/>
    <n v="0.2"/>
    <n v="42320"/>
    <s v="Net Banking"/>
    <s v="Delivered"/>
    <n v="4"/>
    <s v="Returning"/>
    <n v="275950"/>
    <n v="55190"/>
    <n v="220760"/>
    <n v="178440"/>
    <n v="0.80829860481971372"/>
    <n v="2027"/>
    <s v="Nov"/>
    <s v="Q4"/>
  </r>
  <r>
    <s v="ORD10944"/>
    <x v="943"/>
    <s v="CUST1148"/>
    <s v="Diya Naidu"/>
    <x v="147"/>
    <x v="1"/>
    <x v="20"/>
    <x v="7"/>
    <s v="Mumbai"/>
    <s v="Maharashtra"/>
    <x v="0"/>
    <x v="2"/>
    <s v="Smartphone"/>
    <x v="13"/>
    <n v="2"/>
    <n v="16790"/>
    <n v="0.05"/>
    <n v="12280"/>
    <s v="Debit Card"/>
    <s v="Delivered"/>
    <n v="2"/>
    <s v="Returning"/>
    <n v="33580"/>
    <n v="1679"/>
    <n v="31901"/>
    <n v="19621"/>
    <n v="0.61505908905676943"/>
    <n v="2027"/>
    <s v="Nov"/>
    <s v="Q4"/>
  </r>
  <r>
    <s v="ORD10945"/>
    <x v="944"/>
    <s v="CUST1222"/>
    <s v="Nisha Bhat"/>
    <x v="24"/>
    <x v="0"/>
    <x v="5"/>
    <x v="0"/>
    <s v="Pune"/>
    <s v="Maharashtra"/>
    <x v="0"/>
    <x v="4"/>
    <s v="Face Cream"/>
    <x v="21"/>
    <n v="1"/>
    <n v="670"/>
    <n v="0.15"/>
    <n v="310"/>
    <s v="Credit Card"/>
    <s v="Delivered"/>
    <n v="2"/>
    <s v="Returning"/>
    <n v="670"/>
    <n v="100.5"/>
    <n v="569.5"/>
    <n v="259.5"/>
    <n v="0.45566286215978929"/>
    <n v="2027"/>
    <s v="Nov"/>
    <s v="Q4"/>
  </r>
  <r>
    <s v="ORD10946"/>
    <x v="945"/>
    <s v="CUST1429"/>
    <s v="Kavya Rao"/>
    <x v="6"/>
    <x v="0"/>
    <x v="29"/>
    <x v="4"/>
    <s v="Chandigarh"/>
    <s v="Chandigarh"/>
    <x v="3"/>
    <x v="2"/>
    <s v="Tablet"/>
    <x v="4"/>
    <n v="2"/>
    <n v="21260"/>
    <n v="0.05"/>
    <n v="15870"/>
    <s v="UPI"/>
    <s v="Delivered"/>
    <n v="5"/>
    <s v="New"/>
    <n v="42520"/>
    <n v="2126"/>
    <n v="40394"/>
    <n v="24524"/>
    <n v="0.60711986928751793"/>
    <n v="2027"/>
    <s v="Nov"/>
    <s v="Q4"/>
  </r>
  <r>
    <s v="ORD10947"/>
    <x v="946"/>
    <s v="CUST1451"/>
    <s v="Arjun Shah"/>
    <x v="185"/>
    <x v="0"/>
    <x v="29"/>
    <x v="13"/>
    <s v="Lucknow"/>
    <s v="Uttar Pradesh"/>
    <x v="3"/>
    <x v="0"/>
    <s v="Jacket"/>
    <x v="25"/>
    <n v="1"/>
    <n v="4440"/>
    <n v="0"/>
    <n v="2600"/>
    <s v="UPI"/>
    <s v="Delivered"/>
    <n v="4"/>
    <s v="New"/>
    <n v="4440"/>
    <n v="0"/>
    <n v="4440"/>
    <n v="1840"/>
    <n v="0.4144144144144144"/>
    <n v="2027"/>
    <s v="Nov"/>
    <s v="Q4"/>
  </r>
  <r>
    <s v="ORD10948"/>
    <x v="947"/>
    <s v="CUST1357"/>
    <s v="Rahul Joshi"/>
    <x v="108"/>
    <x v="0"/>
    <x v="19"/>
    <x v="7"/>
    <s v="Mumbai"/>
    <s v="Maharashtra"/>
    <x v="0"/>
    <x v="2"/>
    <s v="Tablet"/>
    <x v="4"/>
    <n v="1"/>
    <n v="21020"/>
    <n v="0"/>
    <n v="15410"/>
    <s v="Net Banking"/>
    <s v="Delivered"/>
    <n v="3"/>
    <s v="New"/>
    <n v="21020"/>
    <n v="0"/>
    <n v="21020"/>
    <n v="5610"/>
    <n v="0.26688867745004757"/>
    <n v="2027"/>
    <s v="Nov"/>
    <s v="Q4"/>
  </r>
  <r>
    <s v="ORD10949"/>
    <x v="948"/>
    <s v="CUST1123"/>
    <s v="Diya Iyer"/>
    <x v="91"/>
    <x v="0"/>
    <x v="1"/>
    <x v="4"/>
    <s v="Chandigarh"/>
    <s v="Chandigarh"/>
    <x v="3"/>
    <x v="3"/>
    <s v="Tennis Racket"/>
    <x v="17"/>
    <n v="3"/>
    <n v="4660"/>
    <n v="0.15"/>
    <n v="2700"/>
    <s v="Net Banking"/>
    <s v="Cancelled"/>
    <n v="0"/>
    <s v="Returning"/>
    <n v="13980"/>
    <n v="2097"/>
    <n v="11883"/>
    <n v="9183"/>
    <n v="0.772784650340823"/>
    <n v="2027"/>
    <s v="Nov"/>
    <s v="Q4"/>
  </r>
  <r>
    <s v="ORD10950"/>
    <x v="949"/>
    <s v="CUST1075"/>
    <s v="Rahul Sharma"/>
    <x v="86"/>
    <x v="1"/>
    <x v="24"/>
    <x v="9"/>
    <s v="Hyderabad"/>
    <s v="Telangana"/>
    <x v="2"/>
    <x v="5"/>
    <s v="Air Fryer"/>
    <x v="26"/>
    <n v="2"/>
    <n v="6030"/>
    <n v="0.1"/>
    <n v="4160"/>
    <s v="Credit Card"/>
    <s v="Delivered"/>
    <n v="3"/>
    <s v="Returning"/>
    <n v="12060"/>
    <n v="1206"/>
    <n v="10854"/>
    <n v="6694"/>
    <n v="0.6167311590197162"/>
    <n v="2027"/>
    <s v="Nov"/>
    <s v="Q4"/>
  </r>
  <r>
    <s v="ORD10951"/>
    <x v="950"/>
    <s v="CUST1362"/>
    <s v="Aarav Mehta"/>
    <x v="201"/>
    <x v="0"/>
    <x v="17"/>
    <x v="3"/>
    <s v="Bengaluru"/>
    <s v="Karnataka"/>
    <x v="2"/>
    <x v="0"/>
    <s v="T-Shirt"/>
    <x v="2"/>
    <n v="3"/>
    <n v="920"/>
    <n v="0.05"/>
    <n v="430"/>
    <s v="UPI"/>
    <s v="Delivered"/>
    <n v="5"/>
    <s v="New"/>
    <n v="2760"/>
    <n v="138"/>
    <n v="2622"/>
    <n v="2192"/>
    <n v="0.83600305110602591"/>
    <n v="2027"/>
    <s v="Nov"/>
    <s v="Q4"/>
  </r>
  <r>
    <s v="ORD10952"/>
    <x v="951"/>
    <s v="CUST1178"/>
    <s v="Kavya Verma"/>
    <x v="97"/>
    <x v="1"/>
    <x v="5"/>
    <x v="13"/>
    <s v="Lucknow"/>
    <s v="Uttar Pradesh"/>
    <x v="3"/>
    <x v="1"/>
    <s v="Study Table"/>
    <x v="11"/>
    <n v="4"/>
    <n v="9090"/>
    <n v="0.1"/>
    <n v="5730"/>
    <s v="Wallet"/>
    <s v="Delivered"/>
    <n v="1"/>
    <s v="Returning"/>
    <n v="36360"/>
    <n v="3636"/>
    <n v="32724"/>
    <n v="26994"/>
    <n v="0.82489915658232493"/>
    <n v="2027"/>
    <s v="Nov"/>
    <s v="Q4"/>
  </r>
  <r>
    <s v="ORD10953"/>
    <x v="952"/>
    <s v="CUST1006"/>
    <s v="Diya Verma"/>
    <x v="87"/>
    <x v="0"/>
    <x v="34"/>
    <x v="5"/>
    <s v="Bhubaneswar"/>
    <s v="Odisha"/>
    <x v="1"/>
    <x v="2"/>
    <s v="Smartwatch"/>
    <x v="3"/>
    <n v="1"/>
    <n v="6470"/>
    <n v="0"/>
    <n v="4350"/>
    <s v="UPI"/>
    <s v="Delivered"/>
    <n v="5"/>
    <s v="Returning"/>
    <n v="6470"/>
    <n v="0"/>
    <n v="6470"/>
    <n v="2120"/>
    <n v="0.32766615146831529"/>
    <n v="2027"/>
    <s v="Nov"/>
    <s v="Q4"/>
  </r>
  <r>
    <s v="ORD10954"/>
    <x v="953"/>
    <s v="CUST1142"/>
    <s v="Ishita Rao"/>
    <x v="137"/>
    <x v="1"/>
    <x v="31"/>
    <x v="3"/>
    <s v="Bengaluru"/>
    <s v="Karnataka"/>
    <x v="2"/>
    <x v="2"/>
    <s v="Headphones"/>
    <x v="5"/>
    <n v="1"/>
    <n v="2520"/>
    <n v="0.1"/>
    <n v="1470"/>
    <s v="Wallet"/>
    <s v="Delivered"/>
    <n v="3"/>
    <s v="Returning"/>
    <n v="2520"/>
    <n v="252"/>
    <n v="2268"/>
    <n v="798"/>
    <n v="0.35185185185185186"/>
    <n v="2027"/>
    <s v="Nov"/>
    <s v="Q4"/>
  </r>
  <r>
    <s v="ORD10955"/>
    <x v="954"/>
    <s v="CUST1226"/>
    <s v="Karan Kumar"/>
    <x v="111"/>
    <x v="0"/>
    <x v="40"/>
    <x v="1"/>
    <s v="Kolkata"/>
    <s v="West Bengal"/>
    <x v="1"/>
    <x v="5"/>
    <s v="Electric Kettle"/>
    <x v="18"/>
    <n v="1"/>
    <n v="1710"/>
    <n v="0.15"/>
    <n v="960"/>
    <s v="UPI"/>
    <s v="Delivered"/>
    <n v="2"/>
    <s v="Returning"/>
    <n v="1710"/>
    <n v="256.5"/>
    <n v="1453.5"/>
    <n v="493.5"/>
    <n v="0.33952528379772962"/>
    <n v="2027"/>
    <s v="Nov"/>
    <s v="Q4"/>
  </r>
  <r>
    <s v="ORD10956"/>
    <x v="955"/>
    <s v="CUST1276"/>
    <s v="Ishita Rao"/>
    <x v="137"/>
    <x v="1"/>
    <x v="16"/>
    <x v="6"/>
    <s v="Guwahati"/>
    <s v="Assam"/>
    <x v="1"/>
    <x v="4"/>
    <s v="Shampoo"/>
    <x v="8"/>
    <n v="2"/>
    <n v="490"/>
    <n v="0.05"/>
    <n v="220"/>
    <s v="Cash on Delivery"/>
    <s v="Cancelled"/>
    <n v="0"/>
    <s v="Returning"/>
    <n v="980"/>
    <n v="49"/>
    <n v="931"/>
    <n v="711"/>
    <n v="0.76369495166487644"/>
    <n v="2027"/>
    <s v="Nov"/>
    <s v="Q4"/>
  </r>
  <r>
    <s v="ORD10957"/>
    <x v="956"/>
    <s v="CUST1171"/>
    <s v="Sneha Patel"/>
    <x v="191"/>
    <x v="1"/>
    <x v="11"/>
    <x v="3"/>
    <s v="Bengaluru"/>
    <s v="Karnataka"/>
    <x v="2"/>
    <x v="2"/>
    <s v="Tablet"/>
    <x v="4"/>
    <n v="3"/>
    <n v="22930"/>
    <n v="0"/>
    <n v="15640"/>
    <s v="Net Banking"/>
    <s v="Delivered"/>
    <n v="3"/>
    <s v="Returning"/>
    <n v="68790"/>
    <n v="0"/>
    <n v="68790"/>
    <n v="53150"/>
    <n v="0.77264137229248442"/>
    <n v="2027"/>
    <s v="Nov"/>
    <s v="Q4"/>
  </r>
  <r>
    <s v="ORD10958"/>
    <x v="957"/>
    <s v="CUST1104"/>
    <s v="Priya Nair"/>
    <x v="222"/>
    <x v="1"/>
    <x v="20"/>
    <x v="3"/>
    <s v="Bengaluru"/>
    <s v="Karnataka"/>
    <x v="2"/>
    <x v="0"/>
    <s v="Sneakers"/>
    <x v="0"/>
    <n v="1"/>
    <n v="3660"/>
    <n v="0.25"/>
    <n v="2080"/>
    <s v="Credit Card"/>
    <s v="Delivered"/>
    <n v="4"/>
    <s v="Returning"/>
    <n v="3660"/>
    <n v="915"/>
    <n v="2745"/>
    <n v="665"/>
    <n v="0.24225865209471767"/>
    <n v="2027"/>
    <s v="Nov"/>
    <s v="Q4"/>
  </r>
  <r>
    <s v="ORD10959"/>
    <x v="958"/>
    <s v="CUST1212"/>
    <s v="Ishita Reddy"/>
    <x v="153"/>
    <x v="0"/>
    <x v="1"/>
    <x v="8"/>
    <s v="Mysuru"/>
    <s v="Karnataka"/>
    <x v="2"/>
    <x v="5"/>
    <s v="Vacuum Cleaner"/>
    <x v="9"/>
    <n v="1"/>
    <n v="8300"/>
    <n v="0.05"/>
    <n v="5530"/>
    <s v="Credit Card"/>
    <s v="Delivered"/>
    <n v="4"/>
    <s v="Returning"/>
    <n v="8300"/>
    <n v="415"/>
    <n v="7885"/>
    <n v="2355"/>
    <n v="0.29866835764109068"/>
    <n v="2027"/>
    <s v="Nov"/>
    <s v="Q4"/>
  </r>
  <r>
    <s v="ORD10960"/>
    <x v="959"/>
    <s v="CUST1274"/>
    <s v="Ishita Naidu"/>
    <x v="218"/>
    <x v="1"/>
    <x v="35"/>
    <x v="3"/>
    <s v="Bengaluru"/>
    <s v="Karnataka"/>
    <x v="2"/>
    <x v="0"/>
    <s v="Jeans"/>
    <x v="19"/>
    <n v="5"/>
    <n v="2300"/>
    <n v="0.1"/>
    <n v="1250"/>
    <s v="UPI"/>
    <s v="Delivered"/>
    <n v="4"/>
    <s v="Returning"/>
    <n v="11500"/>
    <n v="1150"/>
    <n v="10350"/>
    <n v="9100"/>
    <n v="0.87922705314009664"/>
    <n v="2027"/>
    <s v="Nov"/>
    <s v="Q4"/>
  </r>
  <r>
    <s v="ORD10961"/>
    <x v="960"/>
    <s v="CUST1097"/>
    <s v="Vikram Singh"/>
    <x v="192"/>
    <x v="0"/>
    <x v="40"/>
    <x v="13"/>
    <s v="Lucknow"/>
    <s v="Uttar Pradesh"/>
    <x v="3"/>
    <x v="1"/>
    <s v="Bookshelf"/>
    <x v="6"/>
    <n v="1"/>
    <n v="5120"/>
    <n v="0.2"/>
    <n v="3340"/>
    <s v="Wallet"/>
    <s v="Delivered"/>
    <n v="2"/>
    <s v="Returning"/>
    <n v="5120"/>
    <n v="1024"/>
    <n v="4096"/>
    <n v="756"/>
    <n v="0.1845703125"/>
    <n v="2027"/>
    <s v="Nov"/>
    <s v="Q4"/>
  </r>
  <r>
    <s v="ORD10962"/>
    <x v="961"/>
    <s v="CUST1116"/>
    <s v="Meera Patel"/>
    <x v="244"/>
    <x v="0"/>
    <x v="0"/>
    <x v="9"/>
    <s v="Hyderabad"/>
    <s v="Telangana"/>
    <x v="2"/>
    <x v="5"/>
    <s v="Electric Kettle"/>
    <x v="18"/>
    <n v="2"/>
    <n v="1910"/>
    <n v="0.1"/>
    <n v="910"/>
    <s v="Wallet"/>
    <s v="Delivered"/>
    <n v="4"/>
    <s v="Returning"/>
    <n v="3820"/>
    <n v="382"/>
    <n v="3438"/>
    <n v="2528"/>
    <n v="0.73531122745782429"/>
    <n v="2027"/>
    <s v="Nov"/>
    <s v="Q4"/>
  </r>
  <r>
    <s v="ORD10963"/>
    <x v="962"/>
    <s v="CUST1401"/>
    <s v="Aarav Das"/>
    <x v="207"/>
    <x v="1"/>
    <x v="30"/>
    <x v="14"/>
    <s v="Ahmedabad"/>
    <s v="Gujarat"/>
    <x v="0"/>
    <x v="5"/>
    <s v="Mixer Grinder"/>
    <x v="22"/>
    <n v="3"/>
    <n v="4510"/>
    <n v="0"/>
    <n v="2640"/>
    <s v="UPI"/>
    <s v="Delivered"/>
    <n v="2"/>
    <s v="New"/>
    <n v="13530"/>
    <n v="0"/>
    <n v="13530"/>
    <n v="10890"/>
    <n v="0.80487804878048785"/>
    <n v="2027"/>
    <s v="Dec"/>
    <s v="Q4"/>
  </r>
  <r>
    <s v="ORD10964"/>
    <x v="963"/>
    <s v="CUST1107"/>
    <s v="Ananya Mehta"/>
    <x v="125"/>
    <x v="1"/>
    <x v="14"/>
    <x v="7"/>
    <s v="Mumbai"/>
    <s v="Maharashtra"/>
    <x v="0"/>
    <x v="0"/>
    <s v="Sneakers"/>
    <x v="0"/>
    <n v="1"/>
    <n v="3500"/>
    <n v="0.2"/>
    <n v="2180"/>
    <s v="UPI"/>
    <s v="Returned"/>
    <n v="3"/>
    <s v="Returning"/>
    <n v="3500"/>
    <n v="700"/>
    <n v="2800"/>
    <n v="620"/>
    <n v="0.22142857142857142"/>
    <n v="2027"/>
    <s v="Dec"/>
    <s v="Q4"/>
  </r>
  <r>
    <s v="ORD10965"/>
    <x v="964"/>
    <s v="CUST1120"/>
    <s v="Priya Naidu"/>
    <x v="25"/>
    <x v="1"/>
    <x v="11"/>
    <x v="14"/>
    <s v="Ahmedabad"/>
    <s v="Gujarat"/>
    <x v="0"/>
    <x v="5"/>
    <s v="Air Fryer"/>
    <x v="26"/>
    <n v="3"/>
    <n v="6910"/>
    <n v="0.1"/>
    <n v="4400"/>
    <s v="Wallet"/>
    <s v="Delivered"/>
    <n v="6"/>
    <s v="Returning"/>
    <n v="20730"/>
    <n v="2073"/>
    <n v="18657"/>
    <n v="14257"/>
    <n v="0.76416358471351231"/>
    <n v="2027"/>
    <s v="Dec"/>
    <s v="Q4"/>
  </r>
  <r>
    <s v="ORD10966"/>
    <x v="965"/>
    <s v="CUST1219"/>
    <s v="Ananya Shah"/>
    <x v="169"/>
    <x v="0"/>
    <x v="26"/>
    <x v="7"/>
    <s v="Mumbai"/>
    <s v="Maharashtra"/>
    <x v="0"/>
    <x v="0"/>
    <s v="Handbag"/>
    <x v="12"/>
    <n v="1"/>
    <n v="2770"/>
    <n v="0.25"/>
    <n v="1590"/>
    <s v="Credit Card"/>
    <s v="Delivered"/>
    <n v="4"/>
    <s v="Returning"/>
    <n v="2770"/>
    <n v="692.5"/>
    <n v="2077.5"/>
    <n v="487.5"/>
    <n v="0.23465703971119134"/>
    <n v="2027"/>
    <s v="Dec"/>
    <s v="Q4"/>
  </r>
  <r>
    <s v="ORD10967"/>
    <x v="966"/>
    <s v="CUST1145"/>
    <s v="Meera Mehta"/>
    <x v="78"/>
    <x v="0"/>
    <x v="36"/>
    <x v="4"/>
    <s v="Chandigarh"/>
    <s v="Chandigarh"/>
    <x v="3"/>
    <x v="1"/>
    <s v="Sofa"/>
    <x v="16"/>
    <n v="2"/>
    <n v="28260"/>
    <n v="0"/>
    <n v="19820"/>
    <s v="UPI"/>
    <s v="Delivered"/>
    <n v="4"/>
    <s v="Returning"/>
    <n v="56520"/>
    <n v="0"/>
    <n v="56520"/>
    <n v="36700"/>
    <n v="0.64932767162066529"/>
    <n v="2027"/>
    <s v="Dec"/>
    <s v="Q4"/>
  </r>
  <r>
    <s v="ORD10968"/>
    <x v="967"/>
    <s v="CUST1044"/>
    <s v="Arjun Gupta"/>
    <x v="109"/>
    <x v="1"/>
    <x v="41"/>
    <x v="4"/>
    <s v="Chandigarh"/>
    <s v="Chandigarh"/>
    <x v="3"/>
    <x v="0"/>
    <s v="Sneakers"/>
    <x v="0"/>
    <n v="2"/>
    <n v="3240"/>
    <n v="0"/>
    <n v="2060"/>
    <s v="Credit Card"/>
    <s v="Delivered"/>
    <n v="2"/>
    <s v="Returning"/>
    <n v="6480"/>
    <n v="0"/>
    <n v="6480"/>
    <n v="4420"/>
    <n v="0.6820987654320988"/>
    <n v="2027"/>
    <s v="Dec"/>
    <s v="Q4"/>
  </r>
  <r>
    <s v="ORD10969"/>
    <x v="968"/>
    <s v="CUST1407"/>
    <s v="Priya Singh"/>
    <x v="0"/>
    <x v="0"/>
    <x v="31"/>
    <x v="2"/>
    <s v="Kochi"/>
    <s v="Kerala"/>
    <x v="2"/>
    <x v="2"/>
    <s v="Laptop"/>
    <x v="15"/>
    <n v="1"/>
    <n v="54350"/>
    <n v="0.15"/>
    <n v="42520"/>
    <s v="UPI"/>
    <s v="Delivered"/>
    <n v="7"/>
    <s v="New"/>
    <n v="54350"/>
    <n v="8152.5"/>
    <n v="46197.5"/>
    <n v="3677.5"/>
    <n v="7.9603874668542671E-2"/>
    <n v="2027"/>
    <s v="Dec"/>
    <s v="Q4"/>
  </r>
  <r>
    <s v="ORD10970"/>
    <x v="969"/>
    <s v="CUST1496"/>
    <s v="Karan Kumar"/>
    <x v="111"/>
    <x v="0"/>
    <x v="10"/>
    <x v="7"/>
    <s v="Mumbai"/>
    <s v="Maharashtra"/>
    <x v="0"/>
    <x v="2"/>
    <s v="Smartphone"/>
    <x v="13"/>
    <n v="1"/>
    <n v="17400"/>
    <n v="0.25"/>
    <n v="12090"/>
    <s v="UPI"/>
    <s v="Delivered"/>
    <n v="6"/>
    <s v="New"/>
    <n v="17400"/>
    <n v="4350"/>
    <n v="13050"/>
    <n v="960"/>
    <n v="7.3563218390804597E-2"/>
    <n v="2027"/>
    <s v="Dec"/>
    <s v="Q4"/>
  </r>
  <r>
    <s v="ORD10971"/>
    <x v="970"/>
    <s v="CUST1422"/>
    <s v="Nisha Nair"/>
    <x v="1"/>
    <x v="0"/>
    <x v="6"/>
    <x v="11"/>
    <s v="Chennai"/>
    <s v="Tamil Nadu"/>
    <x v="2"/>
    <x v="2"/>
    <s v="Laptop"/>
    <x v="15"/>
    <n v="2"/>
    <n v="57920"/>
    <n v="0"/>
    <n v="43770"/>
    <s v="Net Banking"/>
    <s v="Delivered"/>
    <n v="1"/>
    <s v="New"/>
    <n v="115840"/>
    <n v="0"/>
    <n v="115840"/>
    <n v="72070"/>
    <n v="0.62215124309392267"/>
    <n v="2027"/>
    <s v="Dec"/>
    <s v="Q4"/>
  </r>
  <r>
    <s v="ORD10972"/>
    <x v="971"/>
    <s v="CUST1314"/>
    <s v="Kavya Verma"/>
    <x v="97"/>
    <x v="0"/>
    <x v="40"/>
    <x v="11"/>
    <s v="Chennai"/>
    <s v="Tamil Nadu"/>
    <x v="2"/>
    <x v="5"/>
    <s v="Air Fryer"/>
    <x v="26"/>
    <n v="1"/>
    <n v="6890"/>
    <n v="0.2"/>
    <n v="4250"/>
    <s v="Wallet"/>
    <s v="Delivered"/>
    <n v="2"/>
    <s v="New"/>
    <n v="6890"/>
    <n v="1378"/>
    <n v="5512"/>
    <n v="1262"/>
    <n v="0.22895500725689405"/>
    <n v="2027"/>
    <s v="Dec"/>
    <s v="Q4"/>
  </r>
  <r>
    <s v="ORD10973"/>
    <x v="972"/>
    <s v="CUST1004"/>
    <s v="Nisha Das"/>
    <x v="171"/>
    <x v="1"/>
    <x v="12"/>
    <x v="10"/>
    <s v="Jaipur"/>
    <s v="Rajasthan"/>
    <x v="3"/>
    <x v="5"/>
    <s v="Vacuum Cleaner"/>
    <x v="9"/>
    <n v="5"/>
    <n v="8610"/>
    <n v="0.2"/>
    <n v="5850"/>
    <s v="Debit Card"/>
    <s v="Delivered"/>
    <n v="1"/>
    <s v="Returning"/>
    <n v="43050"/>
    <n v="8610"/>
    <n v="34440"/>
    <n v="28590"/>
    <n v="0.83013937282229966"/>
    <n v="2027"/>
    <s v="Dec"/>
    <s v="Q4"/>
  </r>
  <r>
    <s v="ORD10974"/>
    <x v="973"/>
    <s v="CUST1082"/>
    <s v="Karan Joshi"/>
    <x v="230"/>
    <x v="1"/>
    <x v="16"/>
    <x v="0"/>
    <s v="Pune"/>
    <s v="Maharashtra"/>
    <x v="0"/>
    <x v="1"/>
    <s v="Office Chair"/>
    <x v="1"/>
    <n v="2"/>
    <n v="6290"/>
    <n v="0.05"/>
    <n v="4100"/>
    <s v="Cash on Delivery"/>
    <s v="Delivered"/>
    <n v="5"/>
    <s v="Returning"/>
    <n v="12580"/>
    <n v="629"/>
    <n v="11951"/>
    <n v="7851"/>
    <n v="0.65693247426993562"/>
    <n v="2027"/>
    <s v="Dec"/>
    <s v="Q4"/>
  </r>
  <r>
    <s v="ORD10975"/>
    <x v="974"/>
    <s v="CUST1260"/>
    <s v="Rahul Das"/>
    <x v="223"/>
    <x v="0"/>
    <x v="32"/>
    <x v="14"/>
    <s v="Ahmedabad"/>
    <s v="Gujarat"/>
    <x v="0"/>
    <x v="2"/>
    <s v="Smartwatch"/>
    <x v="3"/>
    <n v="2"/>
    <n v="6640"/>
    <n v="0.1"/>
    <n v="4720"/>
    <s v="Credit Card"/>
    <s v="Cancelled"/>
    <n v="0"/>
    <s v="Returning"/>
    <n v="13280"/>
    <n v="1328"/>
    <n v="11952"/>
    <n v="7232"/>
    <n v="0.60508701472556892"/>
    <n v="2027"/>
    <s v="Dec"/>
    <s v="Q4"/>
  </r>
  <r>
    <s v="ORD10976"/>
    <x v="975"/>
    <s v="CUST1438"/>
    <s v="Meera Mehta"/>
    <x v="78"/>
    <x v="1"/>
    <x v="23"/>
    <x v="13"/>
    <s v="Lucknow"/>
    <s v="Uttar Pradesh"/>
    <x v="3"/>
    <x v="5"/>
    <s v="Mixer Grinder"/>
    <x v="22"/>
    <n v="1"/>
    <n v="3980"/>
    <n v="0"/>
    <n v="2760"/>
    <s v="Wallet"/>
    <s v="Delivered"/>
    <n v="5"/>
    <s v="New"/>
    <n v="3980"/>
    <n v="0"/>
    <n v="3980"/>
    <n v="1220"/>
    <n v="0.30653266331658291"/>
    <n v="2027"/>
    <s v="Dec"/>
    <s v="Q4"/>
  </r>
  <r>
    <s v="ORD10977"/>
    <x v="976"/>
    <s v="CUST1171"/>
    <s v="Priya Das"/>
    <x v="141"/>
    <x v="1"/>
    <x v="0"/>
    <x v="3"/>
    <s v="Bengaluru"/>
    <s v="Karnataka"/>
    <x v="2"/>
    <x v="0"/>
    <s v="Jeans"/>
    <x v="19"/>
    <n v="1"/>
    <n v="2220"/>
    <n v="0.25"/>
    <n v="1220"/>
    <s v="Cash on Delivery"/>
    <s v="Delivered"/>
    <n v="5"/>
    <s v="Returning"/>
    <n v="2220"/>
    <n v="555"/>
    <n v="1665"/>
    <n v="445"/>
    <n v="0.26726726726726729"/>
    <n v="2027"/>
    <s v="Dec"/>
    <s v="Q4"/>
  </r>
  <r>
    <s v="ORD10978"/>
    <x v="977"/>
    <s v="CUST1135"/>
    <s v="Priya Reddy"/>
    <x v="64"/>
    <x v="1"/>
    <x v="14"/>
    <x v="5"/>
    <s v="Bhubaneswar"/>
    <s v="Odisha"/>
    <x v="1"/>
    <x v="4"/>
    <s v="Hair Dryer"/>
    <x v="14"/>
    <n v="1"/>
    <n v="1750"/>
    <n v="0.25"/>
    <n v="1020"/>
    <s v="Credit Card"/>
    <s v="Delivered"/>
    <n v="3"/>
    <s v="Returning"/>
    <n v="1750"/>
    <n v="437.5"/>
    <n v="1312.5"/>
    <n v="292.5"/>
    <n v="0.22285714285714286"/>
    <n v="2027"/>
    <s v="Dec"/>
    <s v="Q4"/>
  </r>
  <r>
    <s v="ORD10979"/>
    <x v="978"/>
    <s v="CUST1091"/>
    <s v="Aditya Reddy"/>
    <x v="32"/>
    <x v="0"/>
    <x v="22"/>
    <x v="10"/>
    <s v="Jaipur"/>
    <s v="Rajasthan"/>
    <x v="3"/>
    <x v="2"/>
    <s v="Tablet"/>
    <x v="4"/>
    <n v="2"/>
    <n v="20960"/>
    <n v="0.05"/>
    <n v="15040"/>
    <s v="Cash on Delivery"/>
    <s v="Delivered"/>
    <n v="4"/>
    <s v="Returning"/>
    <n v="41920"/>
    <n v="2096"/>
    <n v="39824"/>
    <n v="24784"/>
    <n v="0.62233828846926476"/>
    <n v="2027"/>
    <s v="Dec"/>
    <s v="Q4"/>
  </r>
  <r>
    <s v="ORD10980"/>
    <x v="979"/>
    <s v="CUST1102"/>
    <s v="Meera Rao"/>
    <x v="245"/>
    <x v="0"/>
    <x v="15"/>
    <x v="3"/>
    <s v="Bengaluru"/>
    <s v="Karnataka"/>
    <x v="2"/>
    <x v="2"/>
    <s v="Tablet"/>
    <x v="4"/>
    <n v="1"/>
    <n v="20550"/>
    <n v="0.1"/>
    <n v="15850"/>
    <s v="Debit Card"/>
    <s v="Delivered"/>
    <n v="4"/>
    <s v="Returning"/>
    <n v="20550"/>
    <n v="2055"/>
    <n v="18495"/>
    <n v="2645"/>
    <n v="0.14301162476344959"/>
    <n v="2027"/>
    <s v="Dec"/>
    <s v="Q4"/>
  </r>
  <r>
    <s v="ORD10981"/>
    <x v="980"/>
    <s v="CUST1311"/>
    <s v="Vivaan Patel"/>
    <x v="57"/>
    <x v="1"/>
    <x v="22"/>
    <x v="6"/>
    <s v="Guwahati"/>
    <s v="Assam"/>
    <x v="1"/>
    <x v="0"/>
    <s v="Jeans"/>
    <x v="19"/>
    <n v="1"/>
    <n v="2080"/>
    <n v="0.2"/>
    <n v="1190"/>
    <s v="Net Banking"/>
    <s v="Returned"/>
    <n v="3"/>
    <s v="New"/>
    <n v="2080"/>
    <n v="416"/>
    <n v="1664"/>
    <n v="474"/>
    <n v="0.28485576923076922"/>
    <n v="2027"/>
    <s v="Dec"/>
    <s v="Q4"/>
  </r>
  <r>
    <s v="ORD10982"/>
    <x v="981"/>
    <s v="CUST1478"/>
    <s v="Ananya Bhat"/>
    <x v="206"/>
    <x v="1"/>
    <x v="13"/>
    <x v="7"/>
    <s v="Mumbai"/>
    <s v="Maharashtra"/>
    <x v="0"/>
    <x v="4"/>
    <s v="Hair Dryer"/>
    <x v="14"/>
    <n v="3"/>
    <n v="1720"/>
    <n v="0.1"/>
    <n v="1000"/>
    <s v="Credit Card"/>
    <s v="Cancelled"/>
    <n v="0"/>
    <s v="New"/>
    <n v="5160"/>
    <n v="516"/>
    <n v="4644"/>
    <n v="3644"/>
    <n v="0.78466838931955207"/>
    <n v="2027"/>
    <s v="Dec"/>
    <s v="Q4"/>
  </r>
  <r>
    <s v="ORD10983"/>
    <x v="982"/>
    <s v="CUST1250"/>
    <s v="Nisha Gupta"/>
    <x v="138"/>
    <x v="0"/>
    <x v="5"/>
    <x v="6"/>
    <s v="Guwahati"/>
    <s v="Assam"/>
    <x v="1"/>
    <x v="5"/>
    <s v="Vacuum Cleaner"/>
    <x v="9"/>
    <n v="1"/>
    <n v="8300"/>
    <n v="0.05"/>
    <n v="5350"/>
    <s v="UPI"/>
    <s v="Delivered"/>
    <n v="6"/>
    <s v="Returning"/>
    <n v="8300"/>
    <n v="415"/>
    <n v="7885"/>
    <n v="2535"/>
    <n v="0.32149651236525045"/>
    <n v="2027"/>
    <s v="Dec"/>
    <s v="Q4"/>
  </r>
  <r>
    <s v="ORD10984"/>
    <x v="983"/>
    <s v="CUST1441"/>
    <s v="Ananya Shah"/>
    <x v="169"/>
    <x v="0"/>
    <x v="2"/>
    <x v="9"/>
    <s v="Hyderabad"/>
    <s v="Telangana"/>
    <x v="2"/>
    <x v="2"/>
    <s v="Tablet"/>
    <x v="4"/>
    <n v="3"/>
    <n v="22130"/>
    <n v="0.2"/>
    <n v="14820"/>
    <s v="Debit Card"/>
    <s v="Delivered"/>
    <n v="4"/>
    <s v="New"/>
    <n v="66390"/>
    <n v="13278"/>
    <n v="53112"/>
    <n v="38292"/>
    <n v="0.72096701310438316"/>
    <n v="2027"/>
    <s v="Dec"/>
    <s v="Q4"/>
  </r>
  <r>
    <s v="ORD10985"/>
    <x v="984"/>
    <s v="CUST1152"/>
    <s v="Aarav Reddy"/>
    <x v="31"/>
    <x v="1"/>
    <x v="18"/>
    <x v="9"/>
    <s v="Hyderabad"/>
    <s v="Telangana"/>
    <x v="2"/>
    <x v="1"/>
    <s v="Bedside Table"/>
    <x v="24"/>
    <n v="4"/>
    <n v="4270"/>
    <n v="0.05"/>
    <n v="2920"/>
    <s v="Net Banking"/>
    <s v="Cancelled"/>
    <n v="0"/>
    <s v="Returning"/>
    <n v="17080"/>
    <n v="854"/>
    <n v="16226"/>
    <n v="13306"/>
    <n v="0.8200419080488105"/>
    <n v="2027"/>
    <s v="Dec"/>
    <s v="Q4"/>
  </r>
  <r>
    <s v="ORD10986"/>
    <x v="985"/>
    <s v="CUST1086"/>
    <s v="Karan Verma"/>
    <x v="66"/>
    <x v="1"/>
    <x v="3"/>
    <x v="6"/>
    <s v="Guwahati"/>
    <s v="Assam"/>
    <x v="1"/>
    <x v="1"/>
    <s v="Bookshelf"/>
    <x v="6"/>
    <n v="1"/>
    <n v="4660"/>
    <n v="0.1"/>
    <n v="3220"/>
    <s v="Net Banking"/>
    <s v="Pending"/>
    <n v="3"/>
    <s v="Returning"/>
    <n v="4660"/>
    <n v="466"/>
    <n v="4194"/>
    <n v="974"/>
    <n v="0.23223652837386743"/>
    <n v="2027"/>
    <s v="Dec"/>
    <s v="Q4"/>
  </r>
  <r>
    <s v="ORD10987"/>
    <x v="986"/>
    <s v="CUST1209"/>
    <s v="Priya Das"/>
    <x v="141"/>
    <x v="1"/>
    <x v="26"/>
    <x v="6"/>
    <s v="Guwahati"/>
    <s v="Assam"/>
    <x v="1"/>
    <x v="5"/>
    <s v="Air Fryer"/>
    <x v="26"/>
    <n v="1"/>
    <n v="6540"/>
    <n v="0.05"/>
    <n v="4260"/>
    <s v="Net Banking"/>
    <s v="Delivered"/>
    <n v="2"/>
    <s v="Returning"/>
    <n v="6540"/>
    <n v="327"/>
    <n v="6213"/>
    <n v="1953"/>
    <n v="0.31434089811685179"/>
    <n v="2027"/>
    <s v="Dec"/>
    <s v="Q4"/>
  </r>
  <r>
    <s v="ORD10988"/>
    <x v="987"/>
    <s v="CUST1304"/>
    <s v="Aarav Kumar"/>
    <x v="19"/>
    <x v="1"/>
    <x v="41"/>
    <x v="13"/>
    <s v="Lucknow"/>
    <s v="Uttar Pradesh"/>
    <x v="3"/>
    <x v="1"/>
    <s v="Bookshelf"/>
    <x v="6"/>
    <n v="4"/>
    <n v="5210"/>
    <n v="0.15"/>
    <n v="3120"/>
    <s v="UPI"/>
    <s v="Returned"/>
    <n v="1"/>
    <s v="New"/>
    <n v="20840"/>
    <n v="3126"/>
    <n v="17714"/>
    <n v="14594"/>
    <n v="0.82386812690527267"/>
    <n v="2027"/>
    <s v="Dec"/>
    <s v="Q4"/>
  </r>
  <r>
    <s v="ORD10989"/>
    <x v="988"/>
    <s v="CUST1275"/>
    <s v="Vivaan Mehta"/>
    <x v="95"/>
    <x v="0"/>
    <x v="38"/>
    <x v="4"/>
    <s v="Chandigarh"/>
    <s v="Chandigarh"/>
    <x v="3"/>
    <x v="1"/>
    <s v="Sofa"/>
    <x v="16"/>
    <n v="1"/>
    <n v="27700"/>
    <n v="0.2"/>
    <n v="19530"/>
    <s v="Debit Card"/>
    <s v="Cancelled"/>
    <n v="0"/>
    <s v="Returning"/>
    <n v="27700"/>
    <n v="5540"/>
    <n v="22160"/>
    <n v="2630"/>
    <n v="0.11868231046931407"/>
    <n v="2027"/>
    <s v="Dec"/>
    <s v="Q4"/>
  </r>
  <r>
    <s v="ORD10990"/>
    <x v="989"/>
    <s v="CUST1228"/>
    <s v="Karan Bhat"/>
    <x v="84"/>
    <x v="0"/>
    <x v="33"/>
    <x v="1"/>
    <s v="Kolkata"/>
    <s v="West Bengal"/>
    <x v="1"/>
    <x v="2"/>
    <s v="Smartphone"/>
    <x v="13"/>
    <n v="1"/>
    <n v="17540"/>
    <n v="0.1"/>
    <n v="12670"/>
    <s v="UPI"/>
    <s v="Delivered"/>
    <n v="3"/>
    <s v="Returning"/>
    <n v="17540"/>
    <n v="1754"/>
    <n v="15786"/>
    <n v="3116"/>
    <n v="0.19739009248701381"/>
    <n v="2027"/>
    <s v="Dec"/>
    <s v="Q4"/>
  </r>
  <r>
    <s v="ORD10991"/>
    <x v="990"/>
    <s v="CUST1328"/>
    <s v="Aditya Reddy"/>
    <x v="32"/>
    <x v="1"/>
    <x v="24"/>
    <x v="7"/>
    <s v="Mumbai"/>
    <s v="Maharashtra"/>
    <x v="0"/>
    <x v="5"/>
    <s v="Vacuum Cleaner"/>
    <x v="9"/>
    <n v="1"/>
    <n v="9110"/>
    <n v="0"/>
    <n v="5340"/>
    <s v="Credit Card"/>
    <s v="Delivered"/>
    <n v="2"/>
    <s v="New"/>
    <n v="9110"/>
    <n v="0"/>
    <n v="9110"/>
    <n v="3770"/>
    <n v="0.4138309549945115"/>
    <n v="2027"/>
    <s v="Dec"/>
    <s v="Q4"/>
  </r>
  <r>
    <s v="ORD10992"/>
    <x v="991"/>
    <s v="CUST1102"/>
    <s v="Kavya Verma"/>
    <x v="97"/>
    <x v="1"/>
    <x v="17"/>
    <x v="12"/>
    <s v="Delhi"/>
    <s v="Delhi"/>
    <x v="3"/>
    <x v="3"/>
    <s v="Tennis Racket"/>
    <x v="17"/>
    <n v="2"/>
    <n v="4840"/>
    <n v="0"/>
    <n v="2780"/>
    <s v="Net Banking"/>
    <s v="Cancelled"/>
    <n v="0"/>
    <s v="Returning"/>
    <n v="9680"/>
    <n v="0"/>
    <n v="9680"/>
    <n v="6900"/>
    <n v="0.71280991735537191"/>
    <n v="2027"/>
    <s v="Dec"/>
    <s v="Q4"/>
  </r>
  <r>
    <s v="ORD10993"/>
    <x v="992"/>
    <s v="CUST1269"/>
    <s v="Aditya Bhat"/>
    <x v="59"/>
    <x v="1"/>
    <x v="15"/>
    <x v="10"/>
    <s v="Jaipur"/>
    <s v="Rajasthan"/>
    <x v="3"/>
    <x v="0"/>
    <s v="Handbag"/>
    <x v="12"/>
    <n v="3"/>
    <n v="2940"/>
    <n v="0.15"/>
    <n v="1520"/>
    <s v="Debit Card"/>
    <s v="Delivered"/>
    <n v="3"/>
    <s v="Returning"/>
    <n v="8820"/>
    <n v="1323"/>
    <n v="7497"/>
    <n v="5977"/>
    <n v="0.79725223422702418"/>
    <n v="2027"/>
    <s v="Dec"/>
    <s v="Q4"/>
  </r>
  <r>
    <s v="ORD10994"/>
    <x v="993"/>
    <s v="CUST1232"/>
    <s v="Rahul Shah"/>
    <x v="211"/>
    <x v="0"/>
    <x v="3"/>
    <x v="12"/>
    <s v="Delhi"/>
    <s v="Delhi"/>
    <x v="3"/>
    <x v="4"/>
    <s v="Face Cream"/>
    <x v="21"/>
    <n v="1"/>
    <n v="690"/>
    <n v="0.05"/>
    <n v="300"/>
    <s v="Debit Card"/>
    <s v="Delivered"/>
    <n v="6"/>
    <s v="Returning"/>
    <n v="690"/>
    <n v="34.5"/>
    <n v="655.5"/>
    <n v="355.5"/>
    <n v="0.54233409610983985"/>
    <n v="2028"/>
    <s v="Jan"/>
    <s v="Q1"/>
  </r>
  <r>
    <s v="ORD10995"/>
    <x v="994"/>
    <s v="CUST1175"/>
    <s v="Ananya Verma"/>
    <x v="41"/>
    <x v="0"/>
    <x v="32"/>
    <x v="8"/>
    <s v="Mysuru"/>
    <s v="Karnataka"/>
    <x v="2"/>
    <x v="0"/>
    <s v="Jacket"/>
    <x v="25"/>
    <n v="1"/>
    <n v="4320"/>
    <n v="0.15"/>
    <n v="2500"/>
    <s v="UPI"/>
    <s v="Delivered"/>
    <n v="3"/>
    <s v="Returning"/>
    <n v="4320"/>
    <n v="648"/>
    <n v="3672"/>
    <n v="1172"/>
    <n v="0.31917211328976036"/>
    <n v="2028"/>
    <s v="Jan"/>
    <s v="Q1"/>
  </r>
  <r>
    <s v="ORD10996"/>
    <x v="995"/>
    <s v="CUST1247"/>
    <s v="Karan Reddy"/>
    <x v="104"/>
    <x v="0"/>
    <x v="38"/>
    <x v="10"/>
    <s v="Jaipur"/>
    <s v="Rajasthan"/>
    <x v="3"/>
    <x v="4"/>
    <s v="Perfume"/>
    <x v="29"/>
    <n v="2"/>
    <n v="1850"/>
    <n v="0"/>
    <n v="900"/>
    <s v="UPI"/>
    <s v="Delivered"/>
    <n v="8"/>
    <s v="Returning"/>
    <n v="3700"/>
    <n v="0"/>
    <n v="3700"/>
    <n v="2800"/>
    <n v="0.7567567567567568"/>
    <n v="2028"/>
    <s v="Jan"/>
    <s v="Q1"/>
  </r>
  <r>
    <s v="ORD10997"/>
    <x v="996"/>
    <s v="CUST1301"/>
    <s v="Diya Iyer"/>
    <x v="91"/>
    <x v="1"/>
    <x v="34"/>
    <x v="3"/>
    <s v="Bengaluru"/>
    <s v="Karnataka"/>
    <x v="2"/>
    <x v="1"/>
    <s v="Study Table"/>
    <x v="11"/>
    <n v="4"/>
    <n v="8880"/>
    <n v="0.25"/>
    <n v="5490"/>
    <s v="UPI"/>
    <s v="Delivered"/>
    <n v="1"/>
    <s v="New"/>
    <n v="35520"/>
    <n v="8880"/>
    <n v="26640"/>
    <n v="21150"/>
    <n v="0.79391891891891897"/>
    <n v="2028"/>
    <s v="Jan"/>
    <s v="Q1"/>
  </r>
  <r>
    <s v="ORD10998"/>
    <x v="997"/>
    <s v="CUST1172"/>
    <s v="Karan Patel"/>
    <x v="173"/>
    <x v="1"/>
    <x v="21"/>
    <x v="8"/>
    <s v="Mysuru"/>
    <s v="Karnataka"/>
    <x v="2"/>
    <x v="2"/>
    <s v="Smartwatch"/>
    <x v="3"/>
    <n v="2"/>
    <n v="7450"/>
    <n v="0.05"/>
    <n v="4670"/>
    <s v="Debit Card"/>
    <s v="Delivered"/>
    <n v="5"/>
    <s v="Returning"/>
    <n v="14900"/>
    <n v="745"/>
    <n v="14155"/>
    <n v="9485"/>
    <n v="0.67008124337689867"/>
    <n v="2028"/>
    <s v="Jan"/>
    <s v="Q1"/>
  </r>
  <r>
    <s v="ORD10999"/>
    <x v="998"/>
    <s v="CUST1261"/>
    <s v="Karan Verma"/>
    <x v="66"/>
    <x v="0"/>
    <x v="29"/>
    <x v="8"/>
    <s v="Mysuru"/>
    <s v="Karnataka"/>
    <x v="2"/>
    <x v="2"/>
    <s v="Tablet"/>
    <x v="4"/>
    <n v="1"/>
    <n v="23310"/>
    <n v="0"/>
    <n v="16110"/>
    <s v="Debit Card"/>
    <s v="Delivered"/>
    <n v="1"/>
    <s v="Returning"/>
    <n v="23310"/>
    <n v="0"/>
    <n v="23310"/>
    <n v="7200"/>
    <n v="0.30888030888030887"/>
    <n v="2028"/>
    <s v="Jan"/>
    <s v="Q1"/>
  </r>
  <r>
    <s v="ORD11000"/>
    <x v="999"/>
    <s v="CUST1429"/>
    <s v="Diya Das"/>
    <x v="237"/>
    <x v="0"/>
    <x v="22"/>
    <x v="6"/>
    <s v="Guwahati"/>
    <s v="Assam"/>
    <x v="1"/>
    <x v="0"/>
    <s v="Jeans"/>
    <x v="19"/>
    <n v="2"/>
    <n v="2220"/>
    <n v="0.2"/>
    <n v="1260"/>
    <s v="Debit Card"/>
    <s v="Delivered"/>
    <n v="2"/>
    <s v="New"/>
    <n v="4440"/>
    <n v="888"/>
    <n v="3552"/>
    <n v="2292"/>
    <n v="0.64527027027027029"/>
    <n v="2028"/>
    <s v="Jan"/>
    <s v="Q1"/>
  </r>
  <r>
    <s v="ORD11001"/>
    <x v="1000"/>
    <s v="CUST1064"/>
    <s v="Aditya Nair"/>
    <x v="117"/>
    <x v="1"/>
    <x v="34"/>
    <x v="13"/>
    <s v="Lucknow"/>
    <s v="Uttar Pradesh"/>
    <x v="3"/>
    <x v="5"/>
    <s v="Vacuum Cleaner"/>
    <x v="9"/>
    <n v="1"/>
    <n v="8670"/>
    <n v="0.05"/>
    <n v="5360"/>
    <s v="Credit Card"/>
    <s v="Delivered"/>
    <n v="6"/>
    <s v="Returning"/>
    <n v="8670"/>
    <n v="433.5"/>
    <n v="8236.5"/>
    <n v="2876.5"/>
    <n v="0.34923814727129243"/>
    <n v="2028"/>
    <s v="Jan"/>
    <s v="Q1"/>
  </r>
  <r>
    <s v="ORD11002"/>
    <x v="1001"/>
    <s v="CUST1076"/>
    <s v="Priya Reddy"/>
    <x v="64"/>
    <x v="0"/>
    <x v="31"/>
    <x v="0"/>
    <s v="Pune"/>
    <s v="Maharashtra"/>
    <x v="0"/>
    <x v="4"/>
    <s v="Makeup Kit"/>
    <x v="28"/>
    <n v="5"/>
    <n v="2260"/>
    <n v="0.1"/>
    <n v="1200"/>
    <s v="UPI"/>
    <s v="Delivered"/>
    <n v="4"/>
    <s v="Returning"/>
    <n v="11300"/>
    <n v="1130"/>
    <n v="10170"/>
    <n v="8970"/>
    <n v="0.88200589970501475"/>
    <n v="2028"/>
    <s v="Jan"/>
    <s v="Q1"/>
  </r>
  <r>
    <s v="ORD11003"/>
    <x v="1002"/>
    <s v="CUST1038"/>
    <s v="Sneha Mehta"/>
    <x v="226"/>
    <x v="0"/>
    <x v="0"/>
    <x v="12"/>
    <s v="Delhi"/>
    <s v="Delhi"/>
    <x v="3"/>
    <x v="2"/>
    <s v="Tablet"/>
    <x v="4"/>
    <n v="2"/>
    <n v="20960"/>
    <n v="0"/>
    <n v="15850"/>
    <s v="Credit Card"/>
    <s v="Delivered"/>
    <n v="3"/>
    <s v="Returning"/>
    <n v="41920"/>
    <n v="0"/>
    <n v="41920"/>
    <n v="26070"/>
    <n v="0.62189885496183206"/>
    <n v="2028"/>
    <s v="Jan"/>
    <s v="Q1"/>
  </r>
  <r>
    <s v="ORD11004"/>
    <x v="1003"/>
    <s v="CUST1175"/>
    <s v="Kavya Sharma"/>
    <x v="106"/>
    <x v="0"/>
    <x v="30"/>
    <x v="13"/>
    <s v="Lucknow"/>
    <s v="Uttar Pradesh"/>
    <x v="3"/>
    <x v="5"/>
    <s v="Microwave"/>
    <x v="27"/>
    <n v="3"/>
    <n v="11310"/>
    <n v="0.05"/>
    <n v="8350"/>
    <s v="Debit Card"/>
    <s v="Delivered"/>
    <n v="6"/>
    <s v="Returning"/>
    <n v="33930"/>
    <n v="1696.5"/>
    <n v="32233.5"/>
    <n v="23883.5"/>
    <n v="0.74095273550808938"/>
    <n v="2028"/>
    <s v="Jan"/>
    <s v="Q1"/>
  </r>
  <r>
    <s v="ORD11005"/>
    <x v="1004"/>
    <s v="CUST1406"/>
    <s v="Diya Das"/>
    <x v="237"/>
    <x v="1"/>
    <x v="31"/>
    <x v="8"/>
    <s v="Mysuru"/>
    <s v="Karnataka"/>
    <x v="2"/>
    <x v="1"/>
    <s v="Office Chair"/>
    <x v="1"/>
    <n v="1"/>
    <n v="6740"/>
    <n v="0.05"/>
    <n v="4150"/>
    <s v="UPI"/>
    <s v="Delivered"/>
    <n v="4"/>
    <s v="New"/>
    <n v="6740"/>
    <n v="337"/>
    <n v="6403"/>
    <n v="2253"/>
    <n v="0.35186631266593782"/>
    <n v="2028"/>
    <s v="Jan"/>
    <s v="Q1"/>
  </r>
  <r>
    <s v="ORD11006"/>
    <x v="1005"/>
    <s v="CUST1143"/>
    <s v="Kavya Reddy"/>
    <x v="203"/>
    <x v="1"/>
    <x v="29"/>
    <x v="0"/>
    <s v="Pune"/>
    <s v="Maharashtra"/>
    <x v="0"/>
    <x v="0"/>
    <s v="Sneakers"/>
    <x v="0"/>
    <n v="1"/>
    <n v="3460"/>
    <n v="0.2"/>
    <n v="2000"/>
    <s v="UPI"/>
    <s v="Pending"/>
    <n v="3"/>
    <s v="Returning"/>
    <n v="3460"/>
    <n v="692"/>
    <n v="2768"/>
    <n v="768"/>
    <n v="0.2774566473988439"/>
    <n v="2028"/>
    <s v="Jan"/>
    <s v="Q1"/>
  </r>
  <r>
    <s v="ORD11007"/>
    <x v="1006"/>
    <s v="CUST1325"/>
    <s v="Vikram Sharma"/>
    <x v="12"/>
    <x v="0"/>
    <x v="0"/>
    <x v="6"/>
    <s v="Guwahati"/>
    <s v="Assam"/>
    <x v="1"/>
    <x v="1"/>
    <s v="Study Table"/>
    <x v="11"/>
    <n v="2"/>
    <n v="8970"/>
    <n v="0.05"/>
    <n v="5570"/>
    <s v="UPI"/>
    <s v="Delivered"/>
    <n v="2"/>
    <s v="New"/>
    <n v="17940"/>
    <n v="897"/>
    <n v="17043"/>
    <n v="11473"/>
    <n v="0.67317960452971892"/>
    <n v="2028"/>
    <s v="Jan"/>
    <s v="Q1"/>
  </r>
  <r>
    <s v="ORD11008"/>
    <x v="1007"/>
    <s v="CUST1202"/>
    <s v="Kavya Reddy"/>
    <x v="203"/>
    <x v="1"/>
    <x v="11"/>
    <x v="4"/>
    <s v="Chandigarh"/>
    <s v="Chandigarh"/>
    <x v="3"/>
    <x v="4"/>
    <s v="Perfume"/>
    <x v="29"/>
    <n v="3"/>
    <n v="1860"/>
    <n v="0"/>
    <n v="910"/>
    <s v="UPI"/>
    <s v="Delivered"/>
    <n v="10"/>
    <s v="Returning"/>
    <n v="5580"/>
    <n v="0"/>
    <n v="5580"/>
    <n v="4670"/>
    <n v="0.8369175627240143"/>
    <n v="2028"/>
    <s v="Jan"/>
    <s v="Q1"/>
  </r>
  <r>
    <s v="ORD11009"/>
    <x v="1008"/>
    <s v="CUST1063"/>
    <s v="Vivaan Iyer"/>
    <x v="179"/>
    <x v="1"/>
    <x v="21"/>
    <x v="10"/>
    <s v="Jaipur"/>
    <s v="Rajasthan"/>
    <x v="3"/>
    <x v="5"/>
    <s v="Microwave"/>
    <x v="27"/>
    <n v="2"/>
    <n v="12360"/>
    <n v="0.2"/>
    <n v="7820"/>
    <s v="Credit Card"/>
    <s v="Delivered"/>
    <n v="5"/>
    <s v="Returning"/>
    <n v="24720"/>
    <n v="4944"/>
    <n v="19776"/>
    <n v="11956"/>
    <n v="0.60457119741100329"/>
    <n v="2028"/>
    <s v="Jan"/>
    <s v="Q1"/>
  </r>
  <r>
    <s v="ORD11010"/>
    <x v="1009"/>
    <s v="CUST1195"/>
    <s v="Arjun Singh"/>
    <x v="148"/>
    <x v="0"/>
    <x v="31"/>
    <x v="13"/>
    <s v="Lucknow"/>
    <s v="Uttar Pradesh"/>
    <x v="3"/>
    <x v="2"/>
    <s v="Laptop"/>
    <x v="15"/>
    <n v="2"/>
    <n v="56470"/>
    <n v="0.25"/>
    <n v="42790"/>
    <s v="unknown"/>
    <s v="Delivered"/>
    <n v="6"/>
    <s v="Returning"/>
    <n v="112940"/>
    <n v="28235"/>
    <n v="84705"/>
    <n v="41915"/>
    <n v="0.49483501564252408"/>
    <n v="2028"/>
    <s v="Jan"/>
    <s v="Q1"/>
  </r>
  <r>
    <s v="ORD11011"/>
    <x v="1010"/>
    <s v="CUST1301"/>
    <s v="Aditya Das"/>
    <x v="229"/>
    <x v="1"/>
    <x v="11"/>
    <x v="6"/>
    <s v="Guwahati"/>
    <s v="Assam"/>
    <x v="1"/>
    <x v="2"/>
    <s v="Headphones"/>
    <x v="5"/>
    <n v="4"/>
    <n v="2690"/>
    <n v="0"/>
    <n v="1570"/>
    <s v="Wallet"/>
    <s v="Cancelled"/>
    <n v="0"/>
    <s v="New"/>
    <n v="10760"/>
    <n v="0"/>
    <n v="10760"/>
    <n v="9190"/>
    <n v="0.85408921933085502"/>
    <n v="2028"/>
    <s v="Jan"/>
    <s v="Q1"/>
  </r>
  <r>
    <s v="ORD11012"/>
    <x v="1011"/>
    <s v="CUST1100"/>
    <s v="Vivaan Das"/>
    <x v="17"/>
    <x v="0"/>
    <x v="21"/>
    <x v="4"/>
    <s v="Chandigarh"/>
    <s v="Chandigarh"/>
    <x v="3"/>
    <x v="3"/>
    <s v="Cricket Bat"/>
    <x v="23"/>
    <n v="1"/>
    <n v="3150"/>
    <n v="0.05"/>
    <n v="1890"/>
    <s v="UPI"/>
    <s v="Delivered"/>
    <n v="5"/>
    <s v="Returning"/>
    <n v="3150"/>
    <n v="157.5"/>
    <n v="2992.5"/>
    <n v="1102.5"/>
    <n v="0.36842105263157893"/>
    <n v="2028"/>
    <s v="Jan"/>
    <s v="Q1"/>
  </r>
  <r>
    <s v="ORD11013"/>
    <x v="1012"/>
    <s v="CUST1231"/>
    <s v="Aarav Naidu"/>
    <x v="143"/>
    <x v="1"/>
    <x v="39"/>
    <x v="8"/>
    <s v="Mysuru"/>
    <s v="Karnataka"/>
    <x v="2"/>
    <x v="3"/>
    <s v="Cricket Bat"/>
    <x v="23"/>
    <n v="1"/>
    <n v="3290"/>
    <n v="0.1"/>
    <n v="1910"/>
    <s v="Net Banking"/>
    <s v="Delivered"/>
    <n v="3"/>
    <s v="Returning"/>
    <n v="3290"/>
    <n v="329"/>
    <n v="2961"/>
    <n v="1051"/>
    <n v="0.35494765281999324"/>
    <n v="2028"/>
    <s v="Jan"/>
    <s v="Q1"/>
  </r>
  <r>
    <s v="ORD11014"/>
    <x v="1013"/>
    <s v="CUST1082"/>
    <s v="Aarav Patel"/>
    <x v="170"/>
    <x v="0"/>
    <x v="7"/>
    <x v="0"/>
    <s v="Pune"/>
    <s v="Maharashtra"/>
    <x v="0"/>
    <x v="2"/>
    <s v="Smartwatch"/>
    <x v="3"/>
    <n v="3"/>
    <n v="6540"/>
    <n v="0.1"/>
    <n v="4300"/>
    <s v="Credit Card"/>
    <s v="Delivered"/>
    <n v="4"/>
    <s v="Returning"/>
    <n v="19620"/>
    <n v="1962"/>
    <n v="17658"/>
    <n v="13358"/>
    <n v="0.75648431305923658"/>
    <n v="2028"/>
    <s v="Jan"/>
    <s v="Q1"/>
  </r>
  <r>
    <s v="ORD11015"/>
    <x v="1014"/>
    <s v="CUST1199"/>
    <s v="Rahul Bhat"/>
    <x v="172"/>
    <x v="1"/>
    <x v="42"/>
    <x v="7"/>
    <s v="Mumbai"/>
    <s v="Maharashtra"/>
    <x v="0"/>
    <x v="5"/>
    <s v="Air Fryer"/>
    <x v="26"/>
    <n v="2"/>
    <n v="6620"/>
    <n v="0.05"/>
    <n v="4260"/>
    <s v="Debit Card"/>
    <s v="Delivered"/>
    <n v="2"/>
    <s v="Returning"/>
    <n v="13240"/>
    <n v="662"/>
    <n v="12578"/>
    <n v="8318"/>
    <n v="0.66131340435681352"/>
    <n v="2028"/>
    <s v="Jan"/>
    <s v="Q1"/>
  </r>
  <r>
    <s v="ORD11016"/>
    <x v="1015"/>
    <s v="CUST1252"/>
    <s v="Kavya Mehta"/>
    <x v="166"/>
    <x v="0"/>
    <x v="17"/>
    <x v="6"/>
    <s v="Guwahati"/>
    <s v="Assam"/>
    <x v="1"/>
    <x v="1"/>
    <s v="Sofa"/>
    <x v="16"/>
    <n v="3"/>
    <n v="27080"/>
    <n v="0"/>
    <n v="21410"/>
    <s v="UPI"/>
    <s v="Delivered"/>
    <n v="2"/>
    <s v="Returning"/>
    <n v="81240"/>
    <n v="0"/>
    <n v="81240"/>
    <n v="59830"/>
    <n v="0.73645987198424423"/>
    <n v="2028"/>
    <s v="Jan"/>
    <s v="Q1"/>
  </r>
  <r>
    <s v="ORD11017"/>
    <x v="1016"/>
    <s v="CUST1323"/>
    <s v="Aarav Naidu"/>
    <x v="143"/>
    <x v="0"/>
    <x v="4"/>
    <x v="3"/>
    <s v="Bengaluru"/>
    <s v="Karnataka"/>
    <x v="2"/>
    <x v="0"/>
    <s v="Sneakers"/>
    <x v="0"/>
    <n v="2"/>
    <n v="3420"/>
    <n v="0"/>
    <n v="2130"/>
    <s v="Debit Card"/>
    <s v="Delivered"/>
    <n v="6"/>
    <s v="New"/>
    <n v="6840"/>
    <n v="0"/>
    <n v="6840"/>
    <n v="4710"/>
    <n v="0.68859649122807021"/>
    <n v="2028"/>
    <s v="Jan"/>
    <s v="Q1"/>
  </r>
  <r>
    <s v="ORD11018"/>
    <x v="1017"/>
    <s v="CUST1191"/>
    <s v="Aarav Singh"/>
    <x v="36"/>
    <x v="0"/>
    <x v="0"/>
    <x v="9"/>
    <s v="Hyderabad"/>
    <s v="Telangana"/>
    <x v="2"/>
    <x v="2"/>
    <s v="Headphones"/>
    <x v="5"/>
    <n v="1"/>
    <n v="2520"/>
    <n v="0.2"/>
    <n v="1470"/>
    <s v="UPI"/>
    <s v="Delivered"/>
    <n v="5"/>
    <s v="Returning"/>
    <n v="2520"/>
    <n v="504"/>
    <n v="2016"/>
    <n v="546"/>
    <n v="0.27083333333333331"/>
    <n v="2028"/>
    <s v="Jan"/>
    <s v="Q1"/>
  </r>
  <r>
    <s v="ORD11019"/>
    <x v="1018"/>
    <s v="CUST1488"/>
    <s v="Aditya Gupta"/>
    <x v="112"/>
    <x v="1"/>
    <x v="23"/>
    <x v="10"/>
    <s v="Jaipur"/>
    <s v="Rajasthan"/>
    <x v="3"/>
    <x v="2"/>
    <s v="Laptop"/>
    <x v="15"/>
    <n v="3"/>
    <n v="55900"/>
    <n v="0.1"/>
    <n v="41610"/>
    <s v="Credit Card"/>
    <s v="Delivered"/>
    <n v="6"/>
    <s v="New"/>
    <n v="167700"/>
    <n v="16770"/>
    <n v="150930"/>
    <n v="109320"/>
    <n v="0.72430928244881732"/>
    <n v="2028"/>
    <s v="Jan"/>
    <s v="Q1"/>
  </r>
  <r>
    <s v="ORD11020"/>
    <x v="1019"/>
    <s v="CUST1265"/>
    <s v="Kavya Patel"/>
    <x v="227"/>
    <x v="1"/>
    <x v="5"/>
    <x v="11"/>
    <s v="Chennai"/>
    <s v="Tamil Nadu"/>
    <x v="2"/>
    <x v="5"/>
    <s v="Air Fryer"/>
    <x v="26"/>
    <n v="1"/>
    <n v="6210"/>
    <n v="0.15"/>
    <n v="4030"/>
    <s v="Credit Card"/>
    <s v="Delivered"/>
    <n v="3"/>
    <s v="Returning"/>
    <n v="6210"/>
    <n v="931.5"/>
    <n v="5278.5"/>
    <n v="1248.5"/>
    <n v="0.23652552808563038"/>
    <n v="2028"/>
    <s v="Jan"/>
    <s v="Q1"/>
  </r>
  <r>
    <s v="ORD11021"/>
    <x v="1020"/>
    <s v="CUST1252"/>
    <s v="Meera Joshi"/>
    <x v="88"/>
    <x v="1"/>
    <x v="21"/>
    <x v="8"/>
    <s v="Mysuru"/>
    <s v="Karnataka"/>
    <x v="2"/>
    <x v="4"/>
    <s v="Makeup Kit"/>
    <x v="28"/>
    <n v="1"/>
    <n v="2330"/>
    <n v="0.05"/>
    <n v="1210"/>
    <s v="Credit Card"/>
    <s v="Delivered"/>
    <n v="5"/>
    <s v="Returning"/>
    <n v="2330"/>
    <n v="116.5"/>
    <n v="2213.5"/>
    <n v="1003.5"/>
    <n v="0.45335441608312627"/>
    <n v="2028"/>
    <s v="Jan"/>
    <s v="Q1"/>
  </r>
  <r>
    <s v="ORD11022"/>
    <x v="1021"/>
    <s v="CUST1283"/>
    <s v="Rahul Shah"/>
    <x v="211"/>
    <x v="1"/>
    <x v="30"/>
    <x v="5"/>
    <s v="Bhubaneswar"/>
    <s v="Odisha"/>
    <x v="1"/>
    <x v="2"/>
    <s v="Laptop"/>
    <x v="15"/>
    <n v="3"/>
    <n v="54510"/>
    <n v="0.05"/>
    <n v="43660"/>
    <s v="Net Banking"/>
    <s v="Delivered"/>
    <n v="1"/>
    <s v="Returning"/>
    <n v="163530"/>
    <n v="8176.5"/>
    <n v="155353.5"/>
    <n v="111693.5"/>
    <n v="0.71896352512173844"/>
    <n v="2028"/>
    <s v="Jan"/>
    <s v="Q1"/>
  </r>
  <r>
    <s v="ORD11023"/>
    <x v="1022"/>
    <s v="CUST1172"/>
    <s v="Sneha Bhat"/>
    <x v="246"/>
    <x v="1"/>
    <x v="14"/>
    <x v="1"/>
    <s v="Kolkata"/>
    <s v="West Bengal"/>
    <x v="1"/>
    <x v="2"/>
    <s v="Headphones"/>
    <x v="5"/>
    <n v="1"/>
    <n v="2680"/>
    <n v="0.2"/>
    <n v="1550"/>
    <s v="Credit Card"/>
    <s v="Delivered"/>
    <n v="2"/>
    <s v="Returning"/>
    <n v="2680"/>
    <n v="536"/>
    <n v="2144"/>
    <n v="594"/>
    <n v="0.27705223880597013"/>
    <n v="2028"/>
    <s v="Jan"/>
    <s v="Q1"/>
  </r>
  <r>
    <s v="ORD11024"/>
    <x v="1023"/>
    <s v="CUST1088"/>
    <s v="Meera Kumar"/>
    <x v="234"/>
    <x v="1"/>
    <x v="9"/>
    <x v="6"/>
    <s v="Guwahati"/>
    <s v="Assam"/>
    <x v="1"/>
    <x v="0"/>
    <s v="Jacket"/>
    <x v="25"/>
    <n v="1"/>
    <n v="4530"/>
    <n v="0.1"/>
    <n v="2590"/>
    <s v="Credit Card"/>
    <s v="Delivered"/>
    <n v="3"/>
    <s v="Returning"/>
    <n v="4530"/>
    <n v="453"/>
    <n v="4077"/>
    <n v="1487"/>
    <n v="0.364728967377974"/>
    <n v="2028"/>
    <s v="Jan"/>
    <s v="Q1"/>
  </r>
  <r>
    <s v="ORD11025"/>
    <x v="1024"/>
    <s v="CUST1335"/>
    <s v="Aarav Joshi"/>
    <x v="62"/>
    <x v="1"/>
    <x v="14"/>
    <x v="3"/>
    <s v="Bengaluru"/>
    <s v="Karnataka"/>
    <x v="2"/>
    <x v="1"/>
    <s v="Study Table"/>
    <x v="11"/>
    <n v="2"/>
    <n v="8160"/>
    <n v="0.25"/>
    <n v="5770"/>
    <s v="Credit Card"/>
    <s v="Delivered"/>
    <n v="5"/>
    <s v="New"/>
    <n v="16320"/>
    <n v="4080"/>
    <n v="12240"/>
    <n v="6470"/>
    <n v="0.52859477124183007"/>
    <n v="2028"/>
    <s v="Feb"/>
    <s v="Q1"/>
  </r>
  <r>
    <s v="ORD11026"/>
    <x v="1025"/>
    <s v="CUST1009"/>
    <s v="Rohan Bhat"/>
    <x v="175"/>
    <x v="1"/>
    <x v="37"/>
    <x v="13"/>
    <s v="Lucknow"/>
    <s v="Uttar Pradesh"/>
    <x v="3"/>
    <x v="5"/>
    <s v="Air Fryer"/>
    <x v="26"/>
    <n v="4"/>
    <n v="6090"/>
    <n v="0"/>
    <n v="4350"/>
    <s v="Credit Card"/>
    <s v="Delivered"/>
    <n v="4"/>
    <s v="Returning"/>
    <n v="24360"/>
    <n v="0"/>
    <n v="24360"/>
    <n v="20010"/>
    <n v="0.8214285714285714"/>
    <n v="2028"/>
    <s v="Feb"/>
    <s v="Q1"/>
  </r>
  <r>
    <s v="ORD11027"/>
    <x v="1026"/>
    <s v="CUST1415"/>
    <s v="Ishita Patel"/>
    <x v="209"/>
    <x v="0"/>
    <x v="3"/>
    <x v="10"/>
    <s v="Jaipur"/>
    <s v="Rajasthan"/>
    <x v="3"/>
    <x v="1"/>
    <s v="Bedside Table"/>
    <x v="24"/>
    <n v="2"/>
    <n v="4320"/>
    <n v="0.05"/>
    <n v="2790"/>
    <s v="Credit Card"/>
    <s v="Delivered"/>
    <n v="3"/>
    <s v="New"/>
    <n v="8640"/>
    <n v="432"/>
    <n v="8208"/>
    <n v="5418"/>
    <n v="0.66008771929824561"/>
    <n v="2028"/>
    <s v="Feb"/>
    <s v="Q1"/>
  </r>
  <r>
    <s v="ORD11028"/>
    <x v="1027"/>
    <s v="CUST1194"/>
    <s v="Ishita Patel"/>
    <x v="209"/>
    <x v="0"/>
    <x v="36"/>
    <x v="2"/>
    <s v="Kochi"/>
    <s v="Kerala"/>
    <x v="2"/>
    <x v="4"/>
    <s v="Perfume"/>
    <x v="29"/>
    <n v="1"/>
    <n v="1790"/>
    <n v="0.2"/>
    <n v="870"/>
    <s v="Credit Card"/>
    <s v="Delivered"/>
    <n v="4"/>
    <s v="Returning"/>
    <n v="1790"/>
    <n v="358"/>
    <n v="1432"/>
    <n v="562"/>
    <n v="0.39245810055865921"/>
    <n v="2028"/>
    <s v="Feb"/>
    <s v="Q1"/>
  </r>
  <r>
    <s v="ORD11029"/>
    <x v="1028"/>
    <s v="CUST1257"/>
    <s v="Priya Rao"/>
    <x v="158"/>
    <x v="1"/>
    <x v="16"/>
    <x v="9"/>
    <s v="Hyderabad"/>
    <s v="Telangana"/>
    <x v="2"/>
    <x v="2"/>
    <s v="Tablet"/>
    <x v="4"/>
    <n v="3"/>
    <n v="23540"/>
    <n v="0"/>
    <n v="15310"/>
    <s v="UPI"/>
    <s v="Returned"/>
    <n v="3"/>
    <s v="Returning"/>
    <n v="70620"/>
    <n v="0"/>
    <n v="70620"/>
    <n v="55310"/>
    <n v="0.78320589068252622"/>
    <n v="2028"/>
    <s v="Feb"/>
    <s v="Q1"/>
  </r>
  <r>
    <s v="ORD11030"/>
    <x v="1029"/>
    <s v="CUST1325"/>
    <s v="Rahul Patel"/>
    <x v="247"/>
    <x v="1"/>
    <x v="30"/>
    <x v="8"/>
    <s v="Mysuru"/>
    <s v="Karnataka"/>
    <x v="2"/>
    <x v="5"/>
    <s v="Vacuum Cleaner"/>
    <x v="9"/>
    <n v="1"/>
    <n v="8180"/>
    <n v="0.05"/>
    <n v="5380"/>
    <s v="Debit Card"/>
    <s v="Delivered"/>
    <n v="7"/>
    <s v="New"/>
    <n v="8180"/>
    <n v="409"/>
    <n v="7771"/>
    <n v="2391"/>
    <n v="0.30768240895637627"/>
    <n v="2028"/>
    <s v="Feb"/>
    <s v="Q1"/>
  </r>
  <r>
    <s v="ORD11031"/>
    <x v="1030"/>
    <s v="CUST1408"/>
    <s v="Priya Verma"/>
    <x v="190"/>
    <x v="1"/>
    <x v="23"/>
    <x v="3"/>
    <s v="Bengaluru"/>
    <s v="Karnataka"/>
    <x v="2"/>
    <x v="5"/>
    <s v="Mixer Grinder"/>
    <x v="22"/>
    <n v="1"/>
    <n v="4360"/>
    <n v="0.15"/>
    <n v="2630"/>
    <s v="UPI"/>
    <s v="Delivered"/>
    <n v="5"/>
    <s v="New"/>
    <n v="4360"/>
    <n v="654"/>
    <n v="3706"/>
    <n v="1076"/>
    <n v="0.29033998920669185"/>
    <n v="2028"/>
    <s v="Feb"/>
    <s v="Q1"/>
  </r>
  <r>
    <s v="ORD11032"/>
    <x v="1031"/>
    <s v="CUST1015"/>
    <s v="Rahul Das"/>
    <x v="223"/>
    <x v="0"/>
    <x v="3"/>
    <x v="8"/>
    <s v="Mysuru"/>
    <s v="Karnataka"/>
    <x v="2"/>
    <x v="5"/>
    <s v="Electric Kettle"/>
    <x v="18"/>
    <n v="3"/>
    <n v="1660"/>
    <n v="0"/>
    <n v="960"/>
    <s v="Credit Card"/>
    <s v="Returned"/>
    <n v="3"/>
    <s v="Returning"/>
    <n v="4980"/>
    <n v="0"/>
    <n v="4980"/>
    <n v="4020"/>
    <n v="0.80722891566265065"/>
    <n v="2028"/>
    <s v="Feb"/>
    <s v="Q1"/>
  </r>
  <r>
    <s v="ORD11033"/>
    <x v="1032"/>
    <s v="CUST1043"/>
    <s v="Sneha Bhat"/>
    <x v="246"/>
    <x v="1"/>
    <x v="40"/>
    <x v="8"/>
    <s v="Mysuru"/>
    <s v="Karnataka"/>
    <x v="2"/>
    <x v="1"/>
    <s v="Office Chair"/>
    <x v="1"/>
    <n v="2"/>
    <n v="6240"/>
    <n v="0.05"/>
    <n v="4200"/>
    <s v="Debit Card"/>
    <s v="Delivered"/>
    <n v="2"/>
    <s v="Returning"/>
    <n v="12480"/>
    <n v="624"/>
    <n v="11856"/>
    <n v="7656"/>
    <n v="0.64574898785425106"/>
    <n v="2028"/>
    <s v="Feb"/>
    <s v="Q1"/>
  </r>
  <r>
    <s v="ORD11034"/>
    <x v="1033"/>
    <s v="CUST1420"/>
    <s v="Ishita Nair"/>
    <x v="194"/>
    <x v="1"/>
    <x v="22"/>
    <x v="4"/>
    <s v="Chandigarh"/>
    <s v="Chandigarh"/>
    <x v="3"/>
    <x v="2"/>
    <s v="Headphones"/>
    <x v="5"/>
    <n v="1"/>
    <n v="2490"/>
    <n v="0.1"/>
    <n v="1450"/>
    <s v="Debit Card"/>
    <s v="Pending"/>
    <n v="3"/>
    <s v="New"/>
    <n v="2490"/>
    <n v="249"/>
    <n v="2241"/>
    <n v="791"/>
    <n v="0.35296742525658187"/>
    <n v="2028"/>
    <s v="Feb"/>
    <s v="Q1"/>
  </r>
  <r>
    <s v="ORD11035"/>
    <x v="1034"/>
    <s v="CUST1368"/>
    <s v="Ananya Naidu"/>
    <x v="219"/>
    <x v="0"/>
    <x v="5"/>
    <x v="10"/>
    <s v="Jaipur"/>
    <s v="Rajasthan"/>
    <x v="3"/>
    <x v="2"/>
    <s v="Smartwatch"/>
    <x v="3"/>
    <n v="2"/>
    <n v="6750"/>
    <n v="0.05"/>
    <n v="4470"/>
    <s v="UPI"/>
    <s v="Delivered"/>
    <n v="3"/>
    <s v="New"/>
    <n v="13500"/>
    <n v="675"/>
    <n v="12825"/>
    <n v="8355"/>
    <n v="0.65146198830409352"/>
    <n v="2028"/>
    <s v="Feb"/>
    <s v="Q1"/>
  </r>
  <r>
    <s v="ORD11036"/>
    <x v="1035"/>
    <s v="CUST1435"/>
    <s v="Vikram Joshi"/>
    <x v="73"/>
    <x v="1"/>
    <x v="4"/>
    <x v="13"/>
    <s v="Lucknow"/>
    <s v="Uttar Pradesh"/>
    <x v="3"/>
    <x v="3"/>
    <s v="Dumbbells"/>
    <x v="7"/>
    <n v="2"/>
    <n v="2360"/>
    <n v="0.05"/>
    <n v="1470"/>
    <s v="Credit Card"/>
    <s v="Delivered"/>
    <n v="5"/>
    <s v="New"/>
    <n v="4720"/>
    <n v="236"/>
    <n v="4484"/>
    <n v="3014"/>
    <n v="0.67216770740410348"/>
    <n v="2028"/>
    <s v="Feb"/>
    <s v="Q1"/>
  </r>
  <r>
    <s v="ORD11037"/>
    <x v="1036"/>
    <s v="CUST1010"/>
    <s v="Arjun Sharma"/>
    <x v="225"/>
    <x v="0"/>
    <x v="15"/>
    <x v="1"/>
    <s v="Kolkata"/>
    <s v="West Bengal"/>
    <x v="1"/>
    <x v="5"/>
    <s v="Air Fryer"/>
    <x v="26"/>
    <n v="4"/>
    <n v="6030"/>
    <n v="0.05"/>
    <n v="4230"/>
    <s v="Credit Card"/>
    <s v="Delivered"/>
    <n v="4"/>
    <s v="Returning"/>
    <n v="24120"/>
    <n v="1206"/>
    <n v="22914"/>
    <n v="18684"/>
    <n v="0.81539670070699133"/>
    <n v="2028"/>
    <s v="Feb"/>
    <s v="Q1"/>
  </r>
  <r>
    <s v="ORD11038"/>
    <x v="1037"/>
    <s v="CUST1309"/>
    <s v="Arjun Shah"/>
    <x v="185"/>
    <x v="0"/>
    <x v="28"/>
    <x v="14"/>
    <s v="Ahmedabad"/>
    <s v="Gujarat"/>
    <x v="0"/>
    <x v="3"/>
    <s v="Tennis Racket"/>
    <x v="17"/>
    <n v="1"/>
    <n v="4510"/>
    <n v="0.15"/>
    <n v="2880"/>
    <s v="Cash on Delivery"/>
    <s v="Delivered"/>
    <n v="3"/>
    <s v="New"/>
    <n v="4510"/>
    <n v="676.5"/>
    <n v="3833.5"/>
    <n v="953.5"/>
    <n v="0.24872831616016694"/>
    <n v="2028"/>
    <s v="Feb"/>
    <s v="Q1"/>
  </r>
  <r>
    <s v="ORD11039"/>
    <x v="1038"/>
    <s v="CUST1458"/>
    <s v="Ishita Patel"/>
    <x v="209"/>
    <x v="1"/>
    <x v="17"/>
    <x v="3"/>
    <s v="Bengaluru"/>
    <s v="Karnataka"/>
    <x v="2"/>
    <x v="4"/>
    <s v="Face Cream"/>
    <x v="21"/>
    <n v="4"/>
    <n v="660"/>
    <n v="0.15"/>
    <n v="300"/>
    <s v="UPI"/>
    <s v="Pending"/>
    <n v="2"/>
    <s v="New"/>
    <n v="2640"/>
    <n v="396"/>
    <n v="2244"/>
    <n v="1944"/>
    <n v="0.86631016042780751"/>
    <n v="2028"/>
    <s v="Feb"/>
    <s v="Q1"/>
  </r>
  <r>
    <s v="ORD11040"/>
    <x v="1039"/>
    <s v="CUST1221"/>
    <s v="Aditya Nair"/>
    <x v="117"/>
    <x v="0"/>
    <x v="17"/>
    <x v="1"/>
    <s v="Kolkata"/>
    <s v="West Bengal"/>
    <x v="1"/>
    <x v="0"/>
    <s v="Sneakers"/>
    <x v="0"/>
    <n v="4"/>
    <n v="3240"/>
    <n v="0.2"/>
    <n v="2040"/>
    <s v="Net Banking"/>
    <s v="Delivered"/>
    <n v="4"/>
    <s v="Returning"/>
    <n v="12960"/>
    <n v="2592"/>
    <n v="10368"/>
    <n v="8328"/>
    <n v="0.8032407407407407"/>
    <n v="2028"/>
    <s v="Feb"/>
    <s v="Q1"/>
  </r>
  <r>
    <s v="ORD11041"/>
    <x v="1040"/>
    <s v="CUST1049"/>
    <s v="Meera Singh"/>
    <x v="163"/>
    <x v="0"/>
    <x v="30"/>
    <x v="3"/>
    <s v="Bengaluru"/>
    <s v="Karnataka"/>
    <x v="2"/>
    <x v="4"/>
    <s v="Hair Dryer"/>
    <x v="14"/>
    <n v="4"/>
    <n v="1720"/>
    <n v="0"/>
    <n v="980"/>
    <s v="Cash on Delivery"/>
    <s v="Delivered"/>
    <n v="3"/>
    <s v="Returning"/>
    <n v="6880"/>
    <n v="0"/>
    <n v="6880"/>
    <n v="5900"/>
    <n v="0.85755813953488369"/>
    <n v="2028"/>
    <s v="Feb"/>
    <s v="Q1"/>
  </r>
  <r>
    <s v="ORD11042"/>
    <x v="1041"/>
    <s v="CUST1304"/>
    <s v="Ishita Singh"/>
    <x v="72"/>
    <x v="1"/>
    <x v="36"/>
    <x v="7"/>
    <s v="Mumbai"/>
    <s v="Maharashtra"/>
    <x v="0"/>
    <x v="2"/>
    <s v="Smartphone"/>
    <x v="13"/>
    <n v="1"/>
    <n v="19380"/>
    <n v="0.15"/>
    <n v="12100"/>
    <s v="Debit Card"/>
    <s v="Delivered"/>
    <n v="3"/>
    <s v="New"/>
    <n v="19380"/>
    <n v="2907"/>
    <n v="16473"/>
    <n v="4373"/>
    <n v="0.26546469981181325"/>
    <n v="2028"/>
    <s v="Feb"/>
    <s v="Q1"/>
  </r>
  <r>
    <s v="ORD11043"/>
    <x v="1042"/>
    <s v="CUST1077"/>
    <s v="Rohan Naidu"/>
    <x v="162"/>
    <x v="1"/>
    <x v="25"/>
    <x v="3"/>
    <s v="Bengaluru"/>
    <s v="Karnataka"/>
    <x v="2"/>
    <x v="2"/>
    <s v="Tablet"/>
    <x v="4"/>
    <n v="3"/>
    <n v="20320"/>
    <n v="0.25"/>
    <n v="15260"/>
    <s v="UPI"/>
    <s v="Returned"/>
    <n v="4"/>
    <s v="Returning"/>
    <n v="60960"/>
    <n v="15240"/>
    <n v="45720"/>
    <n v="30460"/>
    <n v="0.66622922134733153"/>
    <n v="2028"/>
    <s v="Feb"/>
    <s v="Q1"/>
  </r>
  <r>
    <s v="ORD11044"/>
    <x v="1043"/>
    <s v="CUST1033"/>
    <s v="Diya Kumar"/>
    <x v="120"/>
    <x v="0"/>
    <x v="13"/>
    <x v="5"/>
    <s v="Bhubaneswar"/>
    <s v="Odisha"/>
    <x v="1"/>
    <x v="2"/>
    <s v="Tablet"/>
    <x v="4"/>
    <n v="1"/>
    <n v="21520"/>
    <n v="0.1"/>
    <n v="15280"/>
    <s v="Cash on Delivery"/>
    <s v="Pending"/>
    <n v="4"/>
    <s v="Returning"/>
    <n v="21520"/>
    <n v="2152"/>
    <n v="19368"/>
    <n v="4088"/>
    <n v="0.21106980586534491"/>
    <n v="2028"/>
    <s v="Feb"/>
    <s v="Q1"/>
  </r>
  <r>
    <s v="ORD11045"/>
    <x v="1044"/>
    <s v="CUST1417"/>
    <s v="Ishita Shah"/>
    <x v="160"/>
    <x v="0"/>
    <x v="10"/>
    <x v="13"/>
    <s v="Lucknow"/>
    <s v="Uttar Pradesh"/>
    <x v="3"/>
    <x v="4"/>
    <s v="Perfume"/>
    <x v="29"/>
    <n v="1"/>
    <n v="1810"/>
    <n v="0.15"/>
    <n v="940"/>
    <s v="Cash on Delivery"/>
    <s v="Delivered"/>
    <n v="4"/>
    <s v="New"/>
    <n v="1810"/>
    <n v="271.5"/>
    <n v="1538.5"/>
    <n v="598.5"/>
    <n v="0.38901527461813457"/>
    <n v="2028"/>
    <s v="Feb"/>
    <s v="Q1"/>
  </r>
  <r>
    <s v="ORD11046"/>
    <x v="1045"/>
    <s v="CUST1061"/>
    <s v="Rohan Naidu"/>
    <x v="162"/>
    <x v="1"/>
    <x v="35"/>
    <x v="9"/>
    <s v="Hyderabad"/>
    <s v="Telangana"/>
    <x v="2"/>
    <x v="5"/>
    <s v="Air Fryer"/>
    <x v="26"/>
    <n v="2"/>
    <n v="6690"/>
    <n v="0.2"/>
    <n v="4050"/>
    <s v="Debit Card"/>
    <s v="Delivered"/>
    <n v="1"/>
    <s v="Returning"/>
    <n v="13380"/>
    <n v="2676"/>
    <n v="10704"/>
    <n v="6654"/>
    <n v="0.62163677130044848"/>
    <n v="2028"/>
    <s v="Feb"/>
    <s v="Q1"/>
  </r>
  <r>
    <s v="ORD11047"/>
    <x v="1046"/>
    <s v="CUST1100"/>
    <s v="Rahul Rao"/>
    <x v="216"/>
    <x v="1"/>
    <x v="30"/>
    <x v="2"/>
    <s v="Kochi"/>
    <s v="Kerala"/>
    <x v="2"/>
    <x v="0"/>
    <s v="Jeans"/>
    <x v="19"/>
    <n v="1"/>
    <n v="2290"/>
    <n v="0"/>
    <n v="1150"/>
    <s v="Debit Card"/>
    <s v="Delivered"/>
    <n v="5"/>
    <s v="Returning"/>
    <n v="2290"/>
    <n v="0"/>
    <n v="2290"/>
    <n v="1140"/>
    <n v="0.49781659388646288"/>
    <n v="2028"/>
    <s v="Feb"/>
    <s v="Q1"/>
  </r>
  <r>
    <s v="ORD11048"/>
    <x v="1047"/>
    <s v="CUST1127"/>
    <s v="Vivaan Shah"/>
    <x v="156"/>
    <x v="0"/>
    <x v="8"/>
    <x v="9"/>
    <s v="Hyderabad"/>
    <s v="Telangana"/>
    <x v="2"/>
    <x v="3"/>
    <s v="Dumbbells"/>
    <x v="7"/>
    <n v="4"/>
    <n v="2400"/>
    <n v="0.15"/>
    <n v="1460"/>
    <s v="UPI"/>
    <s v="Cancelled"/>
    <n v="0"/>
    <s v="Returning"/>
    <n v="9600"/>
    <n v="1440"/>
    <n v="8160"/>
    <n v="6700"/>
    <n v="0.82107843137254899"/>
    <n v="2028"/>
    <s v="Feb"/>
    <s v="Q1"/>
  </r>
  <r>
    <s v="ORD11049"/>
    <x v="1048"/>
    <s v="CUST1286"/>
    <s v="Diya Nair"/>
    <x v="248"/>
    <x v="0"/>
    <x v="18"/>
    <x v="1"/>
    <s v="Kolkata"/>
    <s v="West Bengal"/>
    <x v="1"/>
    <x v="0"/>
    <s v="Jacket"/>
    <x v="25"/>
    <n v="2"/>
    <n v="4210"/>
    <n v="0.05"/>
    <n v="2590"/>
    <s v="Debit Card"/>
    <s v="Delivered"/>
    <n v="3"/>
    <s v="Returning"/>
    <n v="8420"/>
    <n v="421"/>
    <n v="7999"/>
    <n v="5409"/>
    <n v="0.6762095261907739"/>
    <n v="2028"/>
    <s v="Feb"/>
    <s v="Q1"/>
  </r>
  <r>
    <s v="ORD11050"/>
    <x v="1049"/>
    <s v="CUST1318"/>
    <s v="Rahul Kumar"/>
    <x v="44"/>
    <x v="0"/>
    <x v="26"/>
    <x v="10"/>
    <s v="Jaipur"/>
    <s v="Rajasthan"/>
    <x v="3"/>
    <x v="1"/>
    <s v="Bookshelf"/>
    <x v="6"/>
    <n v="1"/>
    <n v="4610"/>
    <n v="0.1"/>
    <n v="3180"/>
    <s v="Debit Card"/>
    <s v="Returned"/>
    <n v="5"/>
    <s v="New"/>
    <n v="4610"/>
    <n v="461"/>
    <n v="4149"/>
    <n v="969"/>
    <n v="0.23355025307302965"/>
    <n v="2028"/>
    <s v="Feb"/>
    <s v="Q1"/>
  </r>
  <r>
    <s v="ORD11051"/>
    <x v="1050"/>
    <s v="CUST1237"/>
    <s v="Vivaan Rao"/>
    <x v="200"/>
    <x v="0"/>
    <x v="27"/>
    <x v="5"/>
    <s v="Bhubaneswar"/>
    <s v="Odisha"/>
    <x v="1"/>
    <x v="4"/>
    <s v="Face Cream"/>
    <x v="21"/>
    <n v="1"/>
    <n v="670"/>
    <n v="0.1"/>
    <n v="290"/>
    <s v="Net Banking"/>
    <s v="Delivered"/>
    <n v="5"/>
    <s v="Returning"/>
    <n v="670"/>
    <n v="67"/>
    <n v="603"/>
    <n v="313"/>
    <n v="0.5190713101160862"/>
    <n v="2028"/>
    <s v="Feb"/>
    <s v="Q1"/>
  </r>
  <r>
    <s v="ORD11052"/>
    <x v="1051"/>
    <s v="CUST1312"/>
    <s v="Rohan Iyer"/>
    <x v="33"/>
    <x v="0"/>
    <x v="21"/>
    <x v="11"/>
    <s v="Chennai"/>
    <s v="Tamil Nadu"/>
    <x v="2"/>
    <x v="0"/>
    <s v="Handbag"/>
    <x v="12"/>
    <n v="3"/>
    <n v="3010"/>
    <n v="0.05"/>
    <n v="1650"/>
    <s v="UPI"/>
    <s v="Delivered"/>
    <n v="2"/>
    <s v="New"/>
    <n v="9030"/>
    <n v="451.5"/>
    <n v="8578.5"/>
    <n v="6928.5"/>
    <n v="0.80765868158769016"/>
    <n v="2028"/>
    <s v="Feb"/>
    <s v="Q1"/>
  </r>
  <r>
    <s v="ORD11053"/>
    <x v="1052"/>
    <s v="CUST1463"/>
    <s v="Sneha Sharma"/>
    <x v="49"/>
    <x v="1"/>
    <x v="33"/>
    <x v="9"/>
    <s v="Hyderabad"/>
    <s v="Telangana"/>
    <x v="2"/>
    <x v="1"/>
    <s v="Study Table"/>
    <x v="11"/>
    <n v="2"/>
    <n v="8070"/>
    <n v="0.2"/>
    <n v="5860"/>
    <s v="UPI"/>
    <s v="Delivered"/>
    <n v="3"/>
    <s v="New"/>
    <n v="16140"/>
    <n v="3228"/>
    <n v="12912"/>
    <n v="7052"/>
    <n v="0.54615861214374228"/>
    <n v="2028"/>
    <s v="Feb"/>
    <s v="Q1"/>
  </r>
  <r>
    <s v="ORD11054"/>
    <x v="1053"/>
    <s v="CUST1068"/>
    <s v="Kavya Verma"/>
    <x v="97"/>
    <x v="1"/>
    <x v="18"/>
    <x v="4"/>
    <s v="Chandigarh"/>
    <s v="Chandigarh"/>
    <x v="3"/>
    <x v="5"/>
    <s v="Mixer Grinder"/>
    <x v="22"/>
    <n v="1"/>
    <n v="4520"/>
    <n v="0.15"/>
    <n v="2760"/>
    <s v="Debit Card"/>
    <s v="Pending"/>
    <n v="4"/>
    <s v="Returning"/>
    <n v="4520"/>
    <n v="678"/>
    <n v="3842"/>
    <n v="1082"/>
    <n v="0.28162415408641334"/>
    <n v="2028"/>
    <s v="Mar"/>
    <s v="Q1"/>
  </r>
  <r>
    <s v="ORD11055"/>
    <x v="1054"/>
    <s v="CUST1386"/>
    <s v="Vikram Gupta"/>
    <x v="177"/>
    <x v="0"/>
    <x v="30"/>
    <x v="4"/>
    <s v="Chandigarh"/>
    <s v="Chandigarh"/>
    <x v="3"/>
    <x v="1"/>
    <s v="Bookshelf"/>
    <x v="6"/>
    <n v="2"/>
    <n v="4610"/>
    <n v="0.05"/>
    <n v="3250"/>
    <s v="UPI"/>
    <s v="Delivered"/>
    <n v="3"/>
    <s v="New"/>
    <n v="9220"/>
    <n v="461"/>
    <n v="8759"/>
    <n v="5509"/>
    <n v="0.62895307683525514"/>
    <n v="2028"/>
    <s v="Mar"/>
    <s v="Q1"/>
  </r>
  <r>
    <s v="ORD11056"/>
    <x v="1055"/>
    <s v="CUST1420"/>
    <s v="Vikram Rao"/>
    <x v="15"/>
    <x v="0"/>
    <x v="1"/>
    <x v="9"/>
    <s v="Hyderabad"/>
    <s v="Telangana"/>
    <x v="2"/>
    <x v="4"/>
    <s v="Perfume"/>
    <x v="29"/>
    <n v="1"/>
    <n v="1940"/>
    <n v="0"/>
    <n v="910"/>
    <s v="Credit Card"/>
    <s v="Delivered"/>
    <n v="3"/>
    <s v="New"/>
    <n v="1940"/>
    <n v="0"/>
    <n v="1940"/>
    <n v="1030"/>
    <n v="0.53092783505154639"/>
    <n v="2028"/>
    <s v="Mar"/>
    <s v="Q1"/>
  </r>
  <r>
    <s v="ORD11057"/>
    <x v="1056"/>
    <s v="CUST1420"/>
    <s v="Rahul Gupta"/>
    <x v="140"/>
    <x v="0"/>
    <x v="34"/>
    <x v="6"/>
    <s v="Guwahati"/>
    <s v="Assam"/>
    <x v="1"/>
    <x v="4"/>
    <s v="Makeup Kit"/>
    <x v="28"/>
    <n v="3"/>
    <n v="2210"/>
    <n v="0.05"/>
    <n v="1170"/>
    <s v="Cash on Delivery"/>
    <s v="Delivered"/>
    <n v="3"/>
    <s v="New"/>
    <n v="6630"/>
    <n v="331.5"/>
    <n v="6298.5"/>
    <n v="5128.5"/>
    <n v="0.81424148606811142"/>
    <n v="2028"/>
    <s v="Mar"/>
    <s v="Q1"/>
  </r>
  <r>
    <s v="ORD11058"/>
    <x v="1057"/>
    <s v="CUST1080"/>
    <s v="Aditya Iyer"/>
    <x v="242"/>
    <x v="1"/>
    <x v="19"/>
    <x v="7"/>
    <s v="Mumbai"/>
    <s v="Maharashtra"/>
    <x v="0"/>
    <x v="4"/>
    <s v="Perfume"/>
    <x v="29"/>
    <n v="1"/>
    <n v="1800"/>
    <n v="0.1"/>
    <n v="910"/>
    <s v="UPI"/>
    <s v="Pending"/>
    <n v="3"/>
    <s v="Returning"/>
    <n v="1800"/>
    <n v="180"/>
    <n v="1620"/>
    <n v="710"/>
    <n v="0.43827160493827161"/>
    <n v="2028"/>
    <s v="Mar"/>
    <s v="Q1"/>
  </r>
  <r>
    <s v="ORD11059"/>
    <x v="1058"/>
    <s v="CUST1441"/>
    <s v="Aarav Patel"/>
    <x v="170"/>
    <x v="1"/>
    <x v="4"/>
    <x v="11"/>
    <s v="Chennai"/>
    <s v="Tamil Nadu"/>
    <x v="2"/>
    <x v="1"/>
    <s v="Office Chair"/>
    <x v="1"/>
    <n v="3"/>
    <n v="6610"/>
    <n v="0.2"/>
    <n v="4000"/>
    <s v="UPI"/>
    <s v="Delivered"/>
    <n v="5"/>
    <s v="New"/>
    <n v="19830"/>
    <n v="3966"/>
    <n v="15864"/>
    <n v="11864"/>
    <n v="0.74785678265254663"/>
    <n v="2028"/>
    <s v="Mar"/>
    <s v="Q1"/>
  </r>
  <r>
    <s v="ORD11060"/>
    <x v="1059"/>
    <s v="CUST1146"/>
    <s v="Vikram Rao"/>
    <x v="15"/>
    <x v="1"/>
    <x v="28"/>
    <x v="10"/>
    <s v="Jaipur"/>
    <s v="Rajasthan"/>
    <x v="3"/>
    <x v="5"/>
    <s v="Microwave"/>
    <x v="27"/>
    <n v="1"/>
    <n v="12610"/>
    <n v="0.25"/>
    <n v="8430"/>
    <s v="Wallet"/>
    <s v="Delivered"/>
    <n v="2"/>
    <s v="Returning"/>
    <n v="12610"/>
    <n v="3152.5"/>
    <n v="9457.5"/>
    <n v="1027.5"/>
    <n v="0.10864393338620143"/>
    <n v="2028"/>
    <s v="Mar"/>
    <s v="Q1"/>
  </r>
  <r>
    <s v="ORD11061"/>
    <x v="1060"/>
    <s v="CUST1309"/>
    <s v="Aarav Das"/>
    <x v="207"/>
    <x v="1"/>
    <x v="30"/>
    <x v="13"/>
    <s v="Lucknow"/>
    <s v="Uttar Pradesh"/>
    <x v="3"/>
    <x v="3"/>
    <s v="Cricket Bat"/>
    <x v="23"/>
    <n v="1"/>
    <n v="3230"/>
    <n v="0.1"/>
    <n v="1890"/>
    <s v="Wallet"/>
    <s v="Delivered"/>
    <n v="4"/>
    <s v="New"/>
    <n v="3230"/>
    <n v="323"/>
    <n v="2907"/>
    <n v="1017"/>
    <n v="0.34984520123839008"/>
    <n v="2028"/>
    <s v="Mar"/>
    <s v="Q1"/>
  </r>
  <r>
    <s v="ORD11062"/>
    <x v="1061"/>
    <s v="CUST1231"/>
    <s v="Meera Das"/>
    <x v="116"/>
    <x v="1"/>
    <x v="28"/>
    <x v="5"/>
    <s v="Bhubaneswar"/>
    <s v="Odisha"/>
    <x v="1"/>
    <x v="2"/>
    <s v="Headphones"/>
    <x v="5"/>
    <n v="2"/>
    <n v="2550"/>
    <n v="0.05"/>
    <n v="1510"/>
    <s v="UPI"/>
    <s v="Delivered"/>
    <n v="4"/>
    <s v="Returning"/>
    <n v="5100"/>
    <n v="255"/>
    <n v="4845"/>
    <n v="3335"/>
    <n v="0.68833849329205365"/>
    <n v="2028"/>
    <s v="Mar"/>
    <s v="Q1"/>
  </r>
  <r>
    <s v="ORD11063"/>
    <x v="1062"/>
    <s v="CUST1151"/>
    <s v="Aditya Reddy"/>
    <x v="32"/>
    <x v="1"/>
    <x v="30"/>
    <x v="13"/>
    <s v="Lucknow"/>
    <s v="Uttar Pradesh"/>
    <x v="3"/>
    <x v="5"/>
    <s v="Microwave"/>
    <x v="27"/>
    <n v="2"/>
    <n v="11110"/>
    <n v="0.25"/>
    <n v="7830"/>
    <s v="Net Banking"/>
    <s v="Returned"/>
    <n v="4"/>
    <s v="Returning"/>
    <n v="22220"/>
    <n v="5555"/>
    <n v="16665"/>
    <n v="8835"/>
    <n v="0.53015301530153014"/>
    <n v="2028"/>
    <s v="Mar"/>
    <s v="Q1"/>
  </r>
  <r>
    <s v="ORD11064"/>
    <x v="1063"/>
    <s v="CUST1238"/>
    <s v="Rahul Iyer"/>
    <x v="181"/>
    <x v="0"/>
    <x v="25"/>
    <x v="1"/>
    <s v="Kolkata"/>
    <s v="West Bengal"/>
    <x v="1"/>
    <x v="0"/>
    <s v="Handbag"/>
    <x v="12"/>
    <n v="5"/>
    <n v="2770"/>
    <n v="0.1"/>
    <n v="1600"/>
    <s v="Credit Card"/>
    <s v="Delivered"/>
    <n v="1"/>
    <s v="Returning"/>
    <n v="13850"/>
    <n v="1385"/>
    <n v="12465"/>
    <n v="10865"/>
    <n v="0.87164059366225433"/>
    <n v="2028"/>
    <s v="Mar"/>
    <s v="Q1"/>
  </r>
  <r>
    <s v="ORD11065"/>
    <x v="1064"/>
    <s v="CUST1406"/>
    <s v="Priya Bhat"/>
    <x v="58"/>
    <x v="1"/>
    <x v="12"/>
    <x v="6"/>
    <s v="Guwahati"/>
    <s v="Assam"/>
    <x v="1"/>
    <x v="2"/>
    <s v="Laptop"/>
    <x v="15"/>
    <n v="1"/>
    <n v="57310"/>
    <n v="0.1"/>
    <n v="40530"/>
    <s v="Net Banking"/>
    <s v="Returned"/>
    <n v="3"/>
    <s v="New"/>
    <n v="57310"/>
    <n v="5731"/>
    <n v="51579"/>
    <n v="11049"/>
    <n v="0.21421508753562496"/>
    <n v="2028"/>
    <s v="Mar"/>
    <s v="Q1"/>
  </r>
  <r>
    <s v="ORD11066"/>
    <x v="1065"/>
    <s v="CUST1143"/>
    <s v="Aditya Naidu"/>
    <x v="83"/>
    <x v="0"/>
    <x v="33"/>
    <x v="9"/>
    <s v="Hyderabad"/>
    <s v="Telangana"/>
    <x v="2"/>
    <x v="2"/>
    <s v="Smartwatch"/>
    <x v="3"/>
    <n v="1"/>
    <n v="7280"/>
    <n v="0.1"/>
    <n v="4720"/>
    <s v="UPI"/>
    <s v="Returned"/>
    <n v="3"/>
    <s v="Returning"/>
    <n v="7280"/>
    <n v="728"/>
    <n v="6552"/>
    <n v="1832"/>
    <n v="0.27960927960927962"/>
    <n v="2028"/>
    <s v="Mar"/>
    <s v="Q1"/>
  </r>
  <r>
    <s v="ORD11067"/>
    <x v="1066"/>
    <s v="CUST1204"/>
    <s v="Sneha Reddy"/>
    <x v="133"/>
    <x v="0"/>
    <x v="10"/>
    <x v="4"/>
    <s v="Chandigarh"/>
    <s v="Chandigarh"/>
    <x v="3"/>
    <x v="2"/>
    <s v="Tablet"/>
    <x v="4"/>
    <n v="1"/>
    <n v="20630"/>
    <n v="0.2"/>
    <n v="15560"/>
    <s v="Cash on Delivery"/>
    <s v="Delivered"/>
    <n v="2"/>
    <s v="Returning"/>
    <n v="20630"/>
    <n v="4126"/>
    <n v="16504"/>
    <n v="944"/>
    <n v="5.7198254968492485E-2"/>
    <n v="2028"/>
    <s v="Mar"/>
    <s v="Q1"/>
  </r>
  <r>
    <s v="ORD11068"/>
    <x v="1067"/>
    <s v="CUST1219"/>
    <s v="Arjun Kumar"/>
    <x v="188"/>
    <x v="1"/>
    <x v="9"/>
    <x v="10"/>
    <s v="Jaipur"/>
    <s v="Rajasthan"/>
    <x v="3"/>
    <x v="1"/>
    <s v="Bedside Table"/>
    <x v="24"/>
    <n v="1"/>
    <n v="4400"/>
    <n v="0.05"/>
    <n v="2810"/>
    <s v="UPI"/>
    <s v="Delivered"/>
    <n v="5"/>
    <s v="Returning"/>
    <n v="4400"/>
    <n v="220"/>
    <n v="4180"/>
    <n v="1370"/>
    <n v="0.32775119617224879"/>
    <n v="2028"/>
    <s v="Mar"/>
    <s v="Q1"/>
  </r>
  <r>
    <s v="ORD11069"/>
    <x v="1068"/>
    <s v="CUST1465"/>
    <s v="Diya Sharma"/>
    <x v="220"/>
    <x v="0"/>
    <x v="16"/>
    <x v="10"/>
    <s v="Jaipur"/>
    <s v="Rajasthan"/>
    <x v="3"/>
    <x v="4"/>
    <s v="Perfume"/>
    <x v="29"/>
    <n v="3"/>
    <n v="1810"/>
    <n v="0.05"/>
    <n v="940"/>
    <s v="Debit Card"/>
    <s v="Returned"/>
    <n v="1"/>
    <s v="New"/>
    <n v="5430"/>
    <n v="271.5"/>
    <n v="5158.5"/>
    <n v="4218.5"/>
    <n v="0.81777648541242609"/>
    <n v="2028"/>
    <s v="Mar"/>
    <s v="Q1"/>
  </r>
  <r>
    <s v="ORD11070"/>
    <x v="1069"/>
    <s v="CUST1343"/>
    <s v="Ishita Iyer"/>
    <x v="69"/>
    <x v="0"/>
    <x v="35"/>
    <x v="3"/>
    <s v="Bengaluru"/>
    <s v="Karnataka"/>
    <x v="2"/>
    <x v="2"/>
    <s v="Smartphone"/>
    <x v="13"/>
    <n v="3"/>
    <n v="16680"/>
    <n v="0.1"/>
    <n v="12030"/>
    <s v="Credit Card"/>
    <s v="Delivered"/>
    <n v="3"/>
    <s v="New"/>
    <n v="50040"/>
    <n v="5004"/>
    <n v="45036"/>
    <n v="33006"/>
    <n v="0.73288036237676524"/>
    <n v="2028"/>
    <s v="Mar"/>
    <s v="Q1"/>
  </r>
  <r>
    <s v="ORD11071"/>
    <x v="1070"/>
    <s v="CUST1456"/>
    <s v="Sneha Verma"/>
    <x v="132"/>
    <x v="0"/>
    <x v="13"/>
    <x v="6"/>
    <s v="Guwahati"/>
    <s v="Assam"/>
    <x v="1"/>
    <x v="2"/>
    <s v="Tablet"/>
    <x v="4"/>
    <n v="2"/>
    <n v="22090"/>
    <n v="0.15"/>
    <n v="14760"/>
    <s v="Debit Card"/>
    <s v="Cancelled"/>
    <n v="0"/>
    <s v="New"/>
    <n v="44180"/>
    <n v="6627"/>
    <n v="37553"/>
    <n v="22793"/>
    <n v="0.60695550288924982"/>
    <n v="2028"/>
    <s v="Mar"/>
    <s v="Q1"/>
  </r>
  <r>
    <s v="ORD11072"/>
    <x v="1071"/>
    <s v="CUST1280"/>
    <s v="Aarav Naidu"/>
    <x v="143"/>
    <x v="0"/>
    <x v="41"/>
    <x v="1"/>
    <s v="Kolkata"/>
    <s v="West Bengal"/>
    <x v="1"/>
    <x v="0"/>
    <s v="Sneakers"/>
    <x v="0"/>
    <n v="3"/>
    <n v="3290"/>
    <n v="0.2"/>
    <n v="2060"/>
    <s v="Debit Card"/>
    <s v="Delivered"/>
    <n v="4"/>
    <s v="Returning"/>
    <n v="9870"/>
    <n v="1974"/>
    <n v="7896"/>
    <n v="5836"/>
    <n v="0.73910840932117527"/>
    <n v="2028"/>
    <s v="Mar"/>
    <s v="Q1"/>
  </r>
  <r>
    <s v="ORD11073"/>
    <x v="1072"/>
    <s v="CUST1121"/>
    <s v="Arjun Patel"/>
    <x v="98"/>
    <x v="0"/>
    <x v="3"/>
    <x v="0"/>
    <s v="Pune"/>
    <s v="Maharashtra"/>
    <x v="0"/>
    <x v="0"/>
    <s v="Jacket"/>
    <x v="25"/>
    <n v="1"/>
    <n v="4170"/>
    <n v="0.05"/>
    <n v="2520"/>
    <s v="UPI"/>
    <s v="Cancelled"/>
    <n v="0"/>
    <s v="Returning"/>
    <n v="4170"/>
    <n v="208.5"/>
    <n v="3961.5"/>
    <n v="1441.5"/>
    <n v="0.36387731919727379"/>
    <n v="2028"/>
    <s v="Mar"/>
    <s v="Q1"/>
  </r>
  <r>
    <s v="ORD11074"/>
    <x v="1073"/>
    <s v="CUST1010"/>
    <s v="Nisha Bhat"/>
    <x v="24"/>
    <x v="1"/>
    <x v="20"/>
    <x v="6"/>
    <s v="Guwahati"/>
    <s v="Assam"/>
    <x v="1"/>
    <x v="5"/>
    <s v="Electric Kettle"/>
    <x v="18"/>
    <n v="1"/>
    <n v="1890"/>
    <n v="0.05"/>
    <n v="960"/>
    <s v="Credit Card"/>
    <s v="Delivered"/>
    <n v="1"/>
    <s v="Returning"/>
    <n v="1890"/>
    <n v="94.5"/>
    <n v="1795.5"/>
    <n v="835.5"/>
    <n v="0.46532999164578109"/>
    <n v="2028"/>
    <s v="Mar"/>
    <s v="Q1"/>
  </r>
  <r>
    <s v="ORD11075"/>
    <x v="1074"/>
    <s v="CUST1433"/>
    <s v="Aditya Joshi"/>
    <x v="231"/>
    <x v="0"/>
    <x v="29"/>
    <x v="6"/>
    <s v="Guwahati"/>
    <s v="Assam"/>
    <x v="1"/>
    <x v="5"/>
    <s v="Vacuum Cleaner"/>
    <x v="9"/>
    <n v="1"/>
    <n v="9110"/>
    <n v="0.25"/>
    <n v="5330"/>
    <s v="UPI"/>
    <s v="Returned"/>
    <n v="3"/>
    <s v="New"/>
    <n v="9110"/>
    <n v="2277.5"/>
    <n v="6832.5"/>
    <n v="1502.5"/>
    <n v="0.2199048664471277"/>
    <n v="2028"/>
    <s v="Mar"/>
    <s v="Q1"/>
  </r>
  <r>
    <s v="ORD11076"/>
    <x v="1075"/>
    <s v="CUST1066"/>
    <s v="Vikram Reddy"/>
    <x v="221"/>
    <x v="1"/>
    <x v="27"/>
    <x v="10"/>
    <s v="Jaipur"/>
    <s v="Rajasthan"/>
    <x v="3"/>
    <x v="2"/>
    <s v="Headphones"/>
    <x v="5"/>
    <n v="2"/>
    <n v="2420"/>
    <n v="0"/>
    <n v="1550"/>
    <s v="Net Banking"/>
    <s v="Delivered"/>
    <n v="4"/>
    <s v="Returning"/>
    <n v="4840"/>
    <n v="0"/>
    <n v="4840"/>
    <n v="3290"/>
    <n v="0.67975206611570249"/>
    <n v="2028"/>
    <s v="Mar"/>
    <s v="Q1"/>
  </r>
  <r>
    <s v="ORD11077"/>
    <x v="1076"/>
    <s v="CUST1214"/>
    <s v="Vivaan Gupta"/>
    <x v="243"/>
    <x v="0"/>
    <x v="2"/>
    <x v="4"/>
    <s v="Chandigarh"/>
    <s v="Chandigarh"/>
    <x v="3"/>
    <x v="0"/>
    <s v="Jeans"/>
    <x v="19"/>
    <n v="1"/>
    <n v="2070"/>
    <n v="0.1"/>
    <n v="1260"/>
    <s v="UPI"/>
    <s v="Delivered"/>
    <n v="3"/>
    <s v="Returning"/>
    <n v="2070"/>
    <n v="207"/>
    <n v="1863"/>
    <n v="603"/>
    <n v="0.32367149758454106"/>
    <n v="2028"/>
    <s v="Mar"/>
    <s v="Q1"/>
  </r>
  <r>
    <s v="ORD11078"/>
    <x v="1077"/>
    <s v="CUST1465"/>
    <s v="Ananya Verma"/>
    <x v="41"/>
    <x v="1"/>
    <x v="25"/>
    <x v="2"/>
    <s v="Kochi"/>
    <s v="Kerala"/>
    <x v="2"/>
    <x v="1"/>
    <s v="Office Chair"/>
    <x v="1"/>
    <n v="1"/>
    <n v="6690"/>
    <n v="0.1"/>
    <n v="4300"/>
    <s v="UPI"/>
    <s v="Delivered"/>
    <n v="3"/>
    <s v="New"/>
    <n v="6690"/>
    <n v="669"/>
    <n v="6021"/>
    <n v="1721"/>
    <n v="0.28583291811991363"/>
    <n v="2028"/>
    <s v="Mar"/>
    <s v="Q1"/>
  </r>
  <r>
    <s v="ORD11079"/>
    <x v="1078"/>
    <s v="CUST1112"/>
    <s v="Sneha Iyer"/>
    <x v="2"/>
    <x v="0"/>
    <x v="1"/>
    <x v="9"/>
    <s v="Hyderabad"/>
    <s v="Telangana"/>
    <x v="2"/>
    <x v="2"/>
    <s v="Smartphone"/>
    <x v="13"/>
    <n v="1"/>
    <n v="17390"/>
    <n v="0.1"/>
    <n v="12670"/>
    <s v="UPI"/>
    <s v="Delivered"/>
    <n v="3"/>
    <s v="Returning"/>
    <n v="17390"/>
    <n v="1739"/>
    <n v="15651"/>
    <n v="2981"/>
    <n v="0.19046706280748835"/>
    <n v="2028"/>
    <s v="Mar"/>
    <s v="Q1"/>
  </r>
  <r>
    <s v="ORD11080"/>
    <x v="1079"/>
    <s v="CUST1216"/>
    <s v="Kavya Das"/>
    <x v="121"/>
    <x v="0"/>
    <x v="23"/>
    <x v="4"/>
    <s v="Chandigarh"/>
    <s v="Chandigarh"/>
    <x v="3"/>
    <x v="1"/>
    <s v="Office Chair"/>
    <x v="1"/>
    <n v="1"/>
    <n v="6730"/>
    <n v="0.1"/>
    <n v="4270"/>
    <s v="Credit Card"/>
    <s v="Delivered"/>
    <n v="3"/>
    <s v="Returning"/>
    <n v="6730"/>
    <n v="673"/>
    <n v="6057"/>
    <n v="1787"/>
    <n v="0.29503054317318805"/>
    <n v="2028"/>
    <s v="Mar"/>
    <s v="Q1"/>
  </r>
  <r>
    <s v="ORD11081"/>
    <x v="1080"/>
    <s v="CUST1384"/>
    <s v="Ananya Kumar"/>
    <x v="126"/>
    <x v="1"/>
    <x v="27"/>
    <x v="9"/>
    <s v="Hyderabad"/>
    <s v="Telangana"/>
    <x v="2"/>
    <x v="5"/>
    <s v="Electric Kettle"/>
    <x v="18"/>
    <n v="4"/>
    <n v="1910"/>
    <n v="0.05"/>
    <n v="950"/>
    <s v="Wallet"/>
    <s v="Delivered"/>
    <n v="3"/>
    <s v="New"/>
    <n v="7640"/>
    <n v="382"/>
    <n v="7258"/>
    <n v="6308"/>
    <n v="0.86910994764397909"/>
    <n v="2028"/>
    <s v="Mar"/>
    <s v="Q1"/>
  </r>
  <r>
    <s v="ORD11082"/>
    <x v="1081"/>
    <s v="CUST1133"/>
    <s v="Vikram Das"/>
    <x v="198"/>
    <x v="0"/>
    <x v="1"/>
    <x v="14"/>
    <s v="Ahmedabad"/>
    <s v="Gujarat"/>
    <x v="0"/>
    <x v="5"/>
    <s v="Microwave"/>
    <x v="27"/>
    <n v="5"/>
    <n v="12610"/>
    <n v="0.2"/>
    <n v="8300"/>
    <s v="Net Banking"/>
    <s v="Delivered"/>
    <n v="5"/>
    <s v="Returning"/>
    <n v="63050"/>
    <n v="12610"/>
    <n v="50440"/>
    <n v="42140"/>
    <n v="0.83544805709754166"/>
    <n v="2028"/>
    <s v="Mar"/>
    <s v="Q1"/>
  </r>
  <r>
    <s v="ORD11083"/>
    <x v="1082"/>
    <s v="CUST1419"/>
    <s v="Ananya Singh"/>
    <x v="197"/>
    <x v="0"/>
    <x v="40"/>
    <x v="8"/>
    <s v="Mysuru"/>
    <s v="Karnataka"/>
    <x v="2"/>
    <x v="2"/>
    <s v="Laptop"/>
    <x v="15"/>
    <n v="5"/>
    <n v="52910"/>
    <n v="0.05"/>
    <n v="40240"/>
    <s v="Debit Card"/>
    <s v="Delivered"/>
    <n v="3"/>
    <s v="New"/>
    <n v="264550"/>
    <n v="13227.5"/>
    <n v="251322.5"/>
    <n v="211082.5"/>
    <n v="0.83988699778173459"/>
    <n v="2028"/>
    <s v="Mar"/>
    <s v="Q1"/>
  </r>
  <r>
    <s v="ORD11084"/>
    <x v="1083"/>
    <s v="CUST1107"/>
    <s v="Nisha Bhat"/>
    <x v="24"/>
    <x v="0"/>
    <x v="11"/>
    <x v="5"/>
    <s v="Bhubaneswar"/>
    <s v="Odisha"/>
    <x v="1"/>
    <x v="2"/>
    <s v="Tablet"/>
    <x v="4"/>
    <n v="3"/>
    <n v="22870"/>
    <n v="0.05"/>
    <n v="14840"/>
    <s v="Cash on Delivery"/>
    <s v="Delivered"/>
    <n v="5"/>
    <s v="Returning"/>
    <n v="68610"/>
    <n v="3430.5"/>
    <n v="65179.5"/>
    <n v="50339.5"/>
    <n v="0.77232105186446653"/>
    <n v="2028"/>
    <s v="Mar"/>
    <s v="Q1"/>
  </r>
  <r>
    <s v="ORD11085"/>
    <x v="1084"/>
    <s v="CUST1304"/>
    <s v="Ishita Gupta"/>
    <x v="135"/>
    <x v="0"/>
    <x v="24"/>
    <x v="14"/>
    <s v="Ahmedabad"/>
    <s v="Gujarat"/>
    <x v="0"/>
    <x v="2"/>
    <s v="Smartphone"/>
    <x v="13"/>
    <n v="2"/>
    <n v="16650"/>
    <n v="0.1"/>
    <n v="12980"/>
    <s v="Credit Card"/>
    <s v="Cancelled"/>
    <n v="0"/>
    <s v="New"/>
    <n v="33300"/>
    <n v="3330"/>
    <n v="29970"/>
    <n v="16990"/>
    <n v="0.56690023356690022"/>
    <n v="2028"/>
    <s v="Apr"/>
    <s v="Q2"/>
  </r>
  <r>
    <s v="ORD11086"/>
    <x v="1085"/>
    <s v="CUST1177"/>
    <s v="Sneha Gupta"/>
    <x v="76"/>
    <x v="1"/>
    <x v="22"/>
    <x v="11"/>
    <s v="Chennai"/>
    <s v="Tamil Nadu"/>
    <x v="2"/>
    <x v="2"/>
    <s v="Smartphone"/>
    <x v="13"/>
    <n v="1"/>
    <n v="19180"/>
    <n v="0.25"/>
    <n v="11890"/>
    <s v="Cash on Delivery"/>
    <s v="Delivered"/>
    <n v="3"/>
    <s v="Returning"/>
    <n v="19180"/>
    <n v="4795"/>
    <n v="14385"/>
    <n v="2495"/>
    <n v="0.17344456030587418"/>
    <n v="2028"/>
    <s v="Apr"/>
    <s v="Q2"/>
  </r>
  <r>
    <s v="ORD11087"/>
    <x v="1086"/>
    <s v="CUST1181"/>
    <s v="Sneha Bhat"/>
    <x v="246"/>
    <x v="1"/>
    <x v="40"/>
    <x v="1"/>
    <s v="Kolkata"/>
    <s v="West Bengal"/>
    <x v="1"/>
    <x v="0"/>
    <s v="Sneakers"/>
    <x v="0"/>
    <n v="2"/>
    <n v="3510"/>
    <n v="0.3"/>
    <n v="2010"/>
    <s v="Credit Card"/>
    <s v="Delivered"/>
    <n v="2"/>
    <s v="Returning"/>
    <n v="7020"/>
    <n v="2106"/>
    <n v="4914"/>
    <n v="2904"/>
    <n v="0.59096459096459097"/>
    <n v="2028"/>
    <s v="Apr"/>
    <s v="Q2"/>
  </r>
  <r>
    <s v="ORD11088"/>
    <x v="1087"/>
    <s v="CUST1137"/>
    <s v="Meera Mehta"/>
    <x v="78"/>
    <x v="0"/>
    <x v="12"/>
    <x v="1"/>
    <s v="Kolkata"/>
    <s v="West Bengal"/>
    <x v="1"/>
    <x v="1"/>
    <s v="Study Table"/>
    <x v="11"/>
    <n v="1"/>
    <n v="8530"/>
    <n v="0.1"/>
    <n v="5640"/>
    <s v="Debit Card"/>
    <s v="Delivered"/>
    <n v="2"/>
    <s v="Returning"/>
    <n v="8530"/>
    <n v="853"/>
    <n v="7677"/>
    <n v="2037"/>
    <n v="0.26533802266510353"/>
    <n v="2028"/>
    <s v="Apr"/>
    <s v="Q2"/>
  </r>
  <r>
    <s v="ORD11089"/>
    <x v="1088"/>
    <s v="CUST1265"/>
    <s v="Ananya Gupta"/>
    <x v="61"/>
    <x v="1"/>
    <x v="4"/>
    <x v="7"/>
    <s v="Mumbai"/>
    <s v="Maharashtra"/>
    <x v="0"/>
    <x v="1"/>
    <s v="Bedside Table"/>
    <x v="24"/>
    <n v="3"/>
    <n v="4690"/>
    <n v="0.1"/>
    <n v="2860"/>
    <s v="UPI"/>
    <s v="Delivered"/>
    <n v="4"/>
    <s v="Returning"/>
    <n v="14070"/>
    <n v="1407"/>
    <n v="12663"/>
    <n v="9803"/>
    <n v="0.77414514727947559"/>
    <n v="2028"/>
    <s v="Apr"/>
    <s v="Q2"/>
  </r>
  <r>
    <s v="ORD11090"/>
    <x v="1089"/>
    <s v="CUST1360"/>
    <s v="Vivaan Singh"/>
    <x v="159"/>
    <x v="1"/>
    <x v="39"/>
    <x v="4"/>
    <s v="Chandigarh"/>
    <s v="Chandigarh"/>
    <x v="3"/>
    <x v="5"/>
    <s v="Microwave"/>
    <x v="27"/>
    <n v="3"/>
    <n v="11700"/>
    <n v="0.05"/>
    <n v="8600"/>
    <s v="Credit Card"/>
    <s v="Delivered"/>
    <n v="2"/>
    <s v="New"/>
    <n v="35100"/>
    <n v="1755"/>
    <n v="33345"/>
    <n v="24745"/>
    <n v="0.74209026840605785"/>
    <n v="2028"/>
    <s v="Apr"/>
    <s v="Q2"/>
  </r>
  <r>
    <s v="ORD11091"/>
    <x v="1090"/>
    <s v="CUST1103"/>
    <s v="Arjun Patel"/>
    <x v="98"/>
    <x v="0"/>
    <x v="34"/>
    <x v="9"/>
    <s v="Hyderabad"/>
    <s v="Telangana"/>
    <x v="2"/>
    <x v="3"/>
    <s v="Football"/>
    <x v="10"/>
    <n v="3"/>
    <n v="1130"/>
    <n v="0.2"/>
    <n v="610"/>
    <s v="Net Banking"/>
    <s v="Returned"/>
    <n v="4"/>
    <s v="Returning"/>
    <n v="3390"/>
    <n v="678"/>
    <n v="2712"/>
    <n v="2102"/>
    <n v="0.77507374631268433"/>
    <n v="2028"/>
    <s v="Apr"/>
    <s v="Q2"/>
  </r>
  <r>
    <s v="ORD11092"/>
    <x v="1091"/>
    <s v="CUST1008"/>
    <s v="Nisha Iyer"/>
    <x v="9"/>
    <x v="1"/>
    <x v="16"/>
    <x v="1"/>
    <s v="Kolkata"/>
    <s v="West Bengal"/>
    <x v="1"/>
    <x v="2"/>
    <s v="Headphones"/>
    <x v="5"/>
    <n v="1"/>
    <n v="2640"/>
    <n v="0"/>
    <n v="1470"/>
    <s v="Credit Card"/>
    <s v="Delivered"/>
    <n v="2"/>
    <s v="Returning"/>
    <n v="2640"/>
    <n v="0"/>
    <n v="2640"/>
    <n v="1170"/>
    <n v="0.44318181818181818"/>
    <n v="2028"/>
    <s v="Apr"/>
    <s v="Q2"/>
  </r>
  <r>
    <s v="ORD11093"/>
    <x v="1092"/>
    <s v="CUST1248"/>
    <s v="Meera Verma"/>
    <x v="77"/>
    <x v="1"/>
    <x v="25"/>
    <x v="8"/>
    <s v="Mysuru"/>
    <s v="Karnataka"/>
    <x v="2"/>
    <x v="5"/>
    <s v="Vacuum Cleaner"/>
    <x v="9"/>
    <n v="2"/>
    <n v="9020"/>
    <n v="0.05"/>
    <n v="5530"/>
    <s v="Cash on Delivery"/>
    <s v="Delivered"/>
    <n v="6"/>
    <s v="Returning"/>
    <n v="18040"/>
    <n v="902"/>
    <n v="17138"/>
    <n v="11608"/>
    <n v="0.67732524215194301"/>
    <n v="2028"/>
    <s v="Apr"/>
    <s v="Q2"/>
  </r>
  <r>
    <s v="ORD11094"/>
    <x v="1093"/>
    <s v="CUST1413"/>
    <s v="Sneha Rao"/>
    <x v="27"/>
    <x v="0"/>
    <x v="22"/>
    <x v="3"/>
    <s v="Bengaluru"/>
    <s v="Karnataka"/>
    <x v="2"/>
    <x v="2"/>
    <s v="Smartphone"/>
    <x v="13"/>
    <n v="1"/>
    <n v="18450"/>
    <n v="0"/>
    <n v="12970"/>
    <s v="Cash on Delivery"/>
    <s v="Delivered"/>
    <n v="4"/>
    <s v="New"/>
    <n v="18450"/>
    <n v="0"/>
    <n v="18450"/>
    <n v="5480"/>
    <n v="0.29701897018970191"/>
    <n v="2028"/>
    <s v="Apr"/>
    <s v="Q2"/>
  </r>
  <r>
    <s v="ORD11095"/>
    <x v="1094"/>
    <s v="CUST1128"/>
    <s v="Meera Singh"/>
    <x v="163"/>
    <x v="0"/>
    <x v="28"/>
    <x v="4"/>
    <s v="Chandigarh"/>
    <s v="Chandigarh"/>
    <x v="3"/>
    <x v="0"/>
    <s v="Handbag"/>
    <x v="12"/>
    <n v="3"/>
    <n v="2920"/>
    <n v="0.15"/>
    <n v="1650"/>
    <s v="Credit Card"/>
    <s v="Returned"/>
    <n v="4"/>
    <s v="Returning"/>
    <n v="8760"/>
    <n v="1314"/>
    <n v="7446"/>
    <n v="5796"/>
    <n v="0.77840451248992748"/>
    <n v="2028"/>
    <s v="Apr"/>
    <s v="Q2"/>
  </r>
  <r>
    <s v="ORD11096"/>
    <x v="1095"/>
    <s v="CUST1286"/>
    <s v="Priya Kumar"/>
    <x v="127"/>
    <x v="1"/>
    <x v="33"/>
    <x v="7"/>
    <s v="Mumbai"/>
    <s v="Maharashtra"/>
    <x v="0"/>
    <x v="1"/>
    <s v="Sofa"/>
    <x v="16"/>
    <n v="2"/>
    <n v="29510"/>
    <n v="0.15"/>
    <n v="20880"/>
    <s v="UPI"/>
    <s v="Pending"/>
    <n v="6"/>
    <s v="Returning"/>
    <n v="59020"/>
    <n v="8853"/>
    <n v="50167"/>
    <n v="29287"/>
    <n v="0.58379014092929615"/>
    <n v="2028"/>
    <s v="Apr"/>
    <s v="Q2"/>
  </r>
  <r>
    <s v="ORD11097"/>
    <x v="1096"/>
    <s v="CUST1227"/>
    <s v="Vivaan Bhat"/>
    <x v="35"/>
    <x v="0"/>
    <x v="10"/>
    <x v="12"/>
    <s v="Delhi"/>
    <s v="Delhi"/>
    <x v="3"/>
    <x v="0"/>
    <s v="Sneakers"/>
    <x v="0"/>
    <n v="1"/>
    <n v="3730"/>
    <n v="0.2"/>
    <n v="2040"/>
    <s v="Net Banking"/>
    <s v="Delivered"/>
    <n v="4"/>
    <s v="Returning"/>
    <n v="3730"/>
    <n v="746"/>
    <n v="2984"/>
    <n v="944"/>
    <n v="0.3163538873994638"/>
    <n v="2028"/>
    <s v="Apr"/>
    <s v="Q2"/>
  </r>
  <r>
    <s v="ORD11098"/>
    <x v="1097"/>
    <s v="CUST1490"/>
    <s v="Vikram Patel"/>
    <x v="60"/>
    <x v="1"/>
    <x v="22"/>
    <x v="11"/>
    <s v="Chennai"/>
    <s v="Tamil Nadu"/>
    <x v="2"/>
    <x v="1"/>
    <s v="Study Table"/>
    <x v="11"/>
    <n v="1"/>
    <n v="8750"/>
    <n v="0.05"/>
    <n v="5630"/>
    <s v="Net Banking"/>
    <s v="Delivered"/>
    <n v="1"/>
    <s v="New"/>
    <n v="8750"/>
    <n v="437.5"/>
    <n v="8312.5"/>
    <n v="2682.5"/>
    <n v="0.32270676691729322"/>
    <n v="2028"/>
    <s v="Apr"/>
    <s v="Q2"/>
  </r>
  <r>
    <s v="ORD11099"/>
    <x v="1098"/>
    <s v="CUST1411"/>
    <s v="Meera Shah"/>
    <x v="100"/>
    <x v="0"/>
    <x v="21"/>
    <x v="5"/>
    <s v="Bhubaneswar"/>
    <s v="Odisha"/>
    <x v="1"/>
    <x v="5"/>
    <s v="Electric Kettle"/>
    <x v="18"/>
    <n v="3"/>
    <n v="1840"/>
    <n v="0.05"/>
    <n v="930"/>
    <s v="UPI"/>
    <s v="Cancelled"/>
    <n v="0"/>
    <s v="New"/>
    <n v="5520"/>
    <n v="276"/>
    <n v="5244"/>
    <n v="4314"/>
    <n v="0.82265446224256289"/>
    <n v="2028"/>
    <s v="Apr"/>
    <s v="Q2"/>
  </r>
  <r>
    <s v="ORD11100"/>
    <x v="1099"/>
    <s v="CUST1074"/>
    <s v="Vikram Shah"/>
    <x v="146"/>
    <x v="1"/>
    <x v="32"/>
    <x v="2"/>
    <s v="Kochi"/>
    <s v="Kerala"/>
    <x v="2"/>
    <x v="4"/>
    <s v="Face Cream"/>
    <x v="21"/>
    <n v="2"/>
    <n v="650"/>
    <n v="0.05"/>
    <n v="290"/>
    <s v="Credit Card"/>
    <s v="Delivered"/>
    <n v="4"/>
    <s v="Returning"/>
    <n v="1300"/>
    <n v="65"/>
    <n v="1235"/>
    <n v="945"/>
    <n v="0.76518218623481782"/>
    <n v="2028"/>
    <s v="Apr"/>
    <s v="Q2"/>
  </r>
  <r>
    <s v="ORD11101"/>
    <x v="1100"/>
    <s v="CUST1162"/>
    <s v="Aditya Shah"/>
    <x v="10"/>
    <x v="1"/>
    <x v="34"/>
    <x v="13"/>
    <s v="Lucknow"/>
    <s v="Uttar Pradesh"/>
    <x v="3"/>
    <x v="2"/>
    <s v="Tablet"/>
    <x v="4"/>
    <n v="2"/>
    <n v="20580"/>
    <n v="0.05"/>
    <n v="15110"/>
    <s v="Net Banking"/>
    <s v="Returned"/>
    <n v="4"/>
    <s v="Returning"/>
    <n v="41160"/>
    <n v="2058"/>
    <n v="39102"/>
    <n v="23992"/>
    <n v="0.61357475320955446"/>
    <n v="2028"/>
    <s v="Apr"/>
    <s v="Q2"/>
  </r>
  <r>
    <s v="ORD11102"/>
    <x v="1101"/>
    <s v="CUST1418"/>
    <s v="Diya Kumar"/>
    <x v="120"/>
    <x v="0"/>
    <x v="41"/>
    <x v="2"/>
    <s v="Kochi"/>
    <s v="Kerala"/>
    <x v="2"/>
    <x v="2"/>
    <s v="Laptop"/>
    <x v="15"/>
    <n v="1"/>
    <n v="53340"/>
    <n v="0.2"/>
    <n v="42100"/>
    <s v="UPI"/>
    <s v="Delivered"/>
    <n v="3"/>
    <s v="New"/>
    <n v="53340"/>
    <n v="10668"/>
    <n v="42672"/>
    <n v="572"/>
    <n v="1.3404574428196476E-2"/>
    <n v="2028"/>
    <s v="Apr"/>
    <s v="Q2"/>
  </r>
  <r>
    <s v="ORD11103"/>
    <x v="1102"/>
    <s v="CUST1138"/>
    <s v="Kavya Verma"/>
    <x v="97"/>
    <x v="1"/>
    <x v="37"/>
    <x v="6"/>
    <s v="Guwahati"/>
    <s v="Assam"/>
    <x v="1"/>
    <x v="0"/>
    <s v="Sneakers"/>
    <x v="0"/>
    <n v="1"/>
    <n v="3780"/>
    <n v="0.05"/>
    <n v="2040"/>
    <s v="Credit Card"/>
    <s v="Delivered"/>
    <n v="3"/>
    <s v="Returning"/>
    <n v="3780"/>
    <n v="189"/>
    <n v="3591"/>
    <n v="1551"/>
    <n v="0.43191311612364242"/>
    <n v="2028"/>
    <s v="Apr"/>
    <s v="Q2"/>
  </r>
  <r>
    <s v="ORD11104"/>
    <x v="1103"/>
    <s v="CUST1128"/>
    <s v="Karan Singh"/>
    <x v="74"/>
    <x v="0"/>
    <x v="27"/>
    <x v="0"/>
    <s v="Pune"/>
    <s v="Maharashtra"/>
    <x v="0"/>
    <x v="2"/>
    <s v="Smartphone"/>
    <x v="13"/>
    <n v="3"/>
    <n v="16610"/>
    <n v="0.1"/>
    <n v="13030"/>
    <s v="Credit Card"/>
    <s v="Delivered"/>
    <n v="8"/>
    <s v="Returning"/>
    <n v="49830"/>
    <n v="4983"/>
    <n v="44847"/>
    <n v="31817"/>
    <n v="0.70945659687381546"/>
    <n v="2028"/>
    <s v="Apr"/>
    <s v="Q2"/>
  </r>
  <r>
    <s v="ORD11105"/>
    <x v="1104"/>
    <s v="CUST1052"/>
    <s v="Vikram Iyer"/>
    <x v="119"/>
    <x v="0"/>
    <x v="35"/>
    <x v="6"/>
    <s v="Guwahati"/>
    <s v="Assam"/>
    <x v="1"/>
    <x v="0"/>
    <s v="Jeans"/>
    <x v="19"/>
    <n v="3"/>
    <n v="2120"/>
    <n v="0"/>
    <n v="1200"/>
    <s v="Net Banking"/>
    <s v="Returned"/>
    <n v="7"/>
    <s v="Returning"/>
    <n v="6360"/>
    <n v="0"/>
    <n v="6360"/>
    <n v="5160"/>
    <n v="0.81132075471698117"/>
    <n v="2028"/>
    <s v="Apr"/>
    <s v="Q2"/>
  </r>
  <r>
    <s v="ORD11106"/>
    <x v="1105"/>
    <s v="CUST1105"/>
    <s v="Rohan Joshi"/>
    <x v="235"/>
    <x v="1"/>
    <x v="13"/>
    <x v="4"/>
    <s v="Chandigarh"/>
    <s v="Chandigarh"/>
    <x v="3"/>
    <x v="4"/>
    <s v="Perfume"/>
    <x v="29"/>
    <n v="2"/>
    <n v="1810"/>
    <n v="0.05"/>
    <n v="900"/>
    <s v="Cash on Delivery"/>
    <s v="Delivered"/>
    <n v="2"/>
    <s v="Returning"/>
    <n v="3620"/>
    <n v="181"/>
    <n v="3439"/>
    <n v="2539"/>
    <n v="0.73829601628380348"/>
    <n v="2028"/>
    <s v="Apr"/>
    <s v="Q2"/>
  </r>
  <r>
    <s v="ORD11107"/>
    <x v="1106"/>
    <s v="CUST1452"/>
    <s v="Nisha Iyer"/>
    <x v="9"/>
    <x v="0"/>
    <x v="39"/>
    <x v="0"/>
    <s v="Pune"/>
    <s v="Maharashtra"/>
    <x v="0"/>
    <x v="3"/>
    <s v="Cricket Bat"/>
    <x v="23"/>
    <n v="1"/>
    <n v="3260"/>
    <n v="0.15"/>
    <n v="1910"/>
    <s v="UPI"/>
    <s v="Delivered"/>
    <n v="4"/>
    <s v="New"/>
    <n v="3260"/>
    <n v="489"/>
    <n v="2771"/>
    <n v="861"/>
    <n v="0.3107181522915915"/>
    <n v="2028"/>
    <s v="Apr"/>
    <s v="Q2"/>
  </r>
  <r>
    <s v="ORD11108"/>
    <x v="1107"/>
    <s v="CUST1086"/>
    <s v="Priya Bhat"/>
    <x v="58"/>
    <x v="1"/>
    <x v="3"/>
    <x v="13"/>
    <s v="Lucknow"/>
    <s v="Uttar Pradesh"/>
    <x v="3"/>
    <x v="0"/>
    <s v="T-Shirt"/>
    <x v="2"/>
    <n v="5"/>
    <n v="880"/>
    <n v="0.2"/>
    <n v="440"/>
    <s v="Cash on Delivery"/>
    <s v="Delivered"/>
    <n v="3"/>
    <s v="Returning"/>
    <n v="4400"/>
    <n v="880"/>
    <n v="3520"/>
    <n v="3080"/>
    <n v="0.875"/>
    <n v="2028"/>
    <s v="Apr"/>
    <s v="Q2"/>
  </r>
  <r>
    <s v="ORD11109"/>
    <x v="1108"/>
    <s v="CUST1444"/>
    <s v="Ishita Naidu"/>
    <x v="218"/>
    <x v="0"/>
    <x v="20"/>
    <x v="5"/>
    <s v="Bhubaneswar"/>
    <s v="Odisha"/>
    <x v="1"/>
    <x v="2"/>
    <s v="Laptop"/>
    <x v="15"/>
    <n v="4"/>
    <n v="53210"/>
    <n v="0.25"/>
    <n v="41790"/>
    <s v="Debit Card"/>
    <s v="Delivered"/>
    <n v="3"/>
    <s v="New"/>
    <n v="212840"/>
    <n v="53210"/>
    <n v="159630"/>
    <n v="117840"/>
    <n v="0.73820710392783306"/>
    <n v="2028"/>
    <s v="Apr"/>
    <s v="Q2"/>
  </r>
  <r>
    <s v="ORD11110"/>
    <x v="1109"/>
    <s v="CUST1414"/>
    <s v="Nisha Joshi"/>
    <x v="13"/>
    <x v="0"/>
    <x v="22"/>
    <x v="9"/>
    <s v="Hyderabad"/>
    <s v="Telangana"/>
    <x v="2"/>
    <x v="2"/>
    <s v="Smartphone"/>
    <x v="13"/>
    <n v="2"/>
    <n v="17270"/>
    <n v="0.1"/>
    <n v="12730"/>
    <s v="Net Banking"/>
    <s v="Delivered"/>
    <n v="2"/>
    <s v="New"/>
    <n v="34540"/>
    <n v="3454"/>
    <n v="31086"/>
    <n v="18356"/>
    <n v="0.59049089622338025"/>
    <n v="2028"/>
    <s v="Apr"/>
    <s v="Q2"/>
  </r>
  <r>
    <s v="ORD11111"/>
    <x v="1110"/>
    <s v="CUST1303"/>
    <s v="Diya Patel"/>
    <x v="63"/>
    <x v="0"/>
    <x v="0"/>
    <x v="10"/>
    <s v="Jaipur"/>
    <s v="Rajasthan"/>
    <x v="3"/>
    <x v="5"/>
    <s v="Electric Kettle"/>
    <x v="18"/>
    <n v="3"/>
    <n v="1800"/>
    <n v="0.15"/>
    <n v="960"/>
    <s v="Net Banking"/>
    <s v="Delivered"/>
    <n v="4"/>
    <s v="New"/>
    <n v="5400"/>
    <n v="810"/>
    <n v="4590"/>
    <n v="3630"/>
    <n v="0.79084967320261434"/>
    <n v="2028"/>
    <s v="Apr"/>
    <s v="Q2"/>
  </r>
  <r>
    <s v="ORD11112"/>
    <x v="1111"/>
    <s v="CUST1349"/>
    <s v="Arjun Naidu"/>
    <x v="152"/>
    <x v="1"/>
    <x v="39"/>
    <x v="8"/>
    <s v="Mysuru"/>
    <s v="Karnataka"/>
    <x v="2"/>
    <x v="4"/>
    <s v="Shampoo"/>
    <x v="8"/>
    <n v="3"/>
    <n v="460"/>
    <n v="0.1"/>
    <n v="220"/>
    <s v="UPI"/>
    <s v="Returned"/>
    <n v="2"/>
    <s v="New"/>
    <n v="1380"/>
    <n v="138"/>
    <n v="1242"/>
    <n v="1022"/>
    <n v="0.82286634460547503"/>
    <n v="2028"/>
    <s v="Apr"/>
    <s v="Q2"/>
  </r>
  <r>
    <s v="ORD11113"/>
    <x v="1112"/>
    <s v="CUST1020"/>
    <s v="Meera Bhat"/>
    <x v="82"/>
    <x v="1"/>
    <x v="8"/>
    <x v="14"/>
    <s v="Ahmedabad"/>
    <s v="Gujarat"/>
    <x v="0"/>
    <x v="0"/>
    <s v="Jeans"/>
    <x v="19"/>
    <n v="1"/>
    <n v="2230"/>
    <n v="0.1"/>
    <n v="1190"/>
    <s v="Net Banking"/>
    <s v="Delivered"/>
    <n v="1"/>
    <s v="Returning"/>
    <n v="2230"/>
    <n v="223"/>
    <n v="2007"/>
    <n v="817"/>
    <n v="0.40707523667164924"/>
    <n v="2028"/>
    <s v="Apr"/>
    <s v="Q2"/>
  </r>
  <r>
    <s v="ORD11114"/>
    <x v="1113"/>
    <s v="CUST1180"/>
    <s v="Rahul Kumar"/>
    <x v="44"/>
    <x v="0"/>
    <x v="15"/>
    <x v="14"/>
    <s v="Ahmedabad"/>
    <s v="Gujarat"/>
    <x v="0"/>
    <x v="2"/>
    <s v="Smartphone"/>
    <x v="13"/>
    <n v="4"/>
    <n v="17100"/>
    <n v="0.05"/>
    <n v="12370"/>
    <s v="Debit Card"/>
    <s v="Cancelled"/>
    <n v="0"/>
    <s v="Returning"/>
    <n v="68400"/>
    <n v="3420"/>
    <n v="64980"/>
    <n v="52610"/>
    <n v="0.80963373345644818"/>
    <n v="2028"/>
    <s v="Apr"/>
    <s v="Q2"/>
  </r>
  <r>
    <s v="ORD11115"/>
    <x v="1114"/>
    <s v="CUST1477"/>
    <s v="Meera Sharma"/>
    <x v="48"/>
    <x v="1"/>
    <x v="31"/>
    <x v="8"/>
    <s v="Mysuru"/>
    <s v="Karnataka"/>
    <x v="2"/>
    <x v="1"/>
    <s v="Office Chair"/>
    <x v="1"/>
    <n v="2"/>
    <n v="6010"/>
    <n v="0"/>
    <n v="4100"/>
    <s v="Credit Card"/>
    <s v="Delivered"/>
    <n v="4"/>
    <s v="New"/>
    <n v="12020"/>
    <n v="0"/>
    <n v="12020"/>
    <n v="7920"/>
    <n v="0.65890183028286187"/>
    <n v="2028"/>
    <s v="May"/>
    <s v="Q2"/>
  </r>
  <r>
    <s v="ORD11116"/>
    <x v="1115"/>
    <s v="CUST1468"/>
    <s v="Kavya Mehta"/>
    <x v="166"/>
    <x v="0"/>
    <x v="42"/>
    <x v="1"/>
    <s v="Kolkata"/>
    <s v="West Bengal"/>
    <x v="1"/>
    <x v="0"/>
    <s v="Jacket"/>
    <x v="25"/>
    <n v="3"/>
    <n v="4470"/>
    <n v="0.25"/>
    <n v="2610"/>
    <s v="Credit Card"/>
    <s v="Delivered"/>
    <n v="7"/>
    <s v="New"/>
    <n v="13410"/>
    <n v="3352.5"/>
    <n v="10057.5"/>
    <n v="7447.5"/>
    <n v="0.74049217002237133"/>
    <n v="2028"/>
    <s v="May"/>
    <s v="Q2"/>
  </r>
  <r>
    <s v="ORD11117"/>
    <x v="1116"/>
    <s v="CUST1094"/>
    <s v="Nisha Sharma"/>
    <x v="11"/>
    <x v="1"/>
    <x v="1"/>
    <x v="1"/>
    <s v="Kolkata"/>
    <s v="West Bengal"/>
    <x v="1"/>
    <x v="0"/>
    <s v="T-Shirt"/>
    <x v="2"/>
    <n v="4"/>
    <n v="920"/>
    <n v="0.25"/>
    <n v="470"/>
    <s v="Debit Card"/>
    <s v="Delivered"/>
    <n v="2"/>
    <s v="Returning"/>
    <n v="3680"/>
    <n v="920"/>
    <n v="2760"/>
    <n v="2290"/>
    <n v="0.82971014492753625"/>
    <n v="2028"/>
    <s v="May"/>
    <s v="Q2"/>
  </r>
  <r>
    <s v="ORD11118"/>
    <x v="1117"/>
    <s v="CUST1271"/>
    <s v="Rahul Iyer"/>
    <x v="181"/>
    <x v="0"/>
    <x v="39"/>
    <x v="7"/>
    <s v="Mumbai"/>
    <s v="Maharashtra"/>
    <x v="0"/>
    <x v="5"/>
    <s v="Mixer Grinder"/>
    <x v="22"/>
    <n v="1"/>
    <n v="4160"/>
    <n v="0.1"/>
    <n v="2650"/>
    <s v="Debit Card"/>
    <s v="Delivered"/>
    <n v="5"/>
    <s v="Returning"/>
    <n v="4160"/>
    <n v="416"/>
    <n v="3744"/>
    <n v="1094"/>
    <n v="0.29220085470085472"/>
    <n v="2028"/>
    <s v="May"/>
    <s v="Q2"/>
  </r>
  <r>
    <s v="ORD11119"/>
    <x v="1118"/>
    <s v="CUST1085"/>
    <s v="Aarav Joshi"/>
    <x v="62"/>
    <x v="1"/>
    <x v="36"/>
    <x v="9"/>
    <s v="Hyderabad"/>
    <s v="Telangana"/>
    <x v="2"/>
    <x v="5"/>
    <s v="Vacuum Cleaner"/>
    <x v="9"/>
    <n v="1"/>
    <n v="8500"/>
    <n v="0.15"/>
    <n v="5810"/>
    <s v="UPI"/>
    <s v="Delivered"/>
    <n v="5"/>
    <s v="Returning"/>
    <n v="8500"/>
    <n v="1275"/>
    <n v="7225"/>
    <n v="1415"/>
    <n v="0.19584775086505191"/>
    <n v="2028"/>
    <s v="May"/>
    <s v="Q2"/>
  </r>
  <r>
    <s v="ORD11120"/>
    <x v="1119"/>
    <s v="CUST1229"/>
    <s v="Karan Gupta"/>
    <x v="99"/>
    <x v="0"/>
    <x v="42"/>
    <x v="3"/>
    <s v="Bengaluru"/>
    <s v="Karnataka"/>
    <x v="2"/>
    <x v="5"/>
    <s v="Mixer Grinder"/>
    <x v="22"/>
    <n v="1"/>
    <n v="3970"/>
    <n v="0"/>
    <n v="2720"/>
    <s v="Credit Card"/>
    <s v="Delivered"/>
    <n v="4"/>
    <s v="Returning"/>
    <n v="3970"/>
    <n v="0"/>
    <n v="3970"/>
    <n v="1250"/>
    <n v="0.31486146095717882"/>
    <n v="2028"/>
    <s v="May"/>
    <s v="Q2"/>
  </r>
  <r>
    <s v="ORD11121"/>
    <x v="1120"/>
    <s v="CUST1190"/>
    <s v="Aarav Gupta"/>
    <x v="204"/>
    <x v="1"/>
    <x v="32"/>
    <x v="13"/>
    <s v="Lucknow"/>
    <s v="Uttar Pradesh"/>
    <x v="3"/>
    <x v="0"/>
    <s v="Jacket"/>
    <x v="25"/>
    <n v="1"/>
    <n v="4080"/>
    <n v="0.2"/>
    <n v="2620"/>
    <s v="Debit Card"/>
    <s v="Delivered"/>
    <n v="4"/>
    <s v="Returning"/>
    <n v="4080"/>
    <n v="816"/>
    <n v="3264"/>
    <n v="644"/>
    <n v="0.19730392156862744"/>
    <n v="2028"/>
    <s v="May"/>
    <s v="Q2"/>
  </r>
  <r>
    <s v="ORD11122"/>
    <x v="1121"/>
    <s v="CUST1046"/>
    <s v="Aditya Joshi"/>
    <x v="231"/>
    <x v="0"/>
    <x v="26"/>
    <x v="9"/>
    <s v="Hyderabad"/>
    <s v="Telangana"/>
    <x v="2"/>
    <x v="2"/>
    <s v="Laptop"/>
    <x v="15"/>
    <n v="2"/>
    <n v="52810"/>
    <n v="0.1"/>
    <n v="43040"/>
    <s v="Debit Card"/>
    <s v="Delivered"/>
    <n v="2"/>
    <s v="Returning"/>
    <n v="105620"/>
    <n v="10562"/>
    <n v="95058"/>
    <n v="52018"/>
    <n v="0.54722380020618988"/>
    <n v="2028"/>
    <s v="May"/>
    <s v="Q2"/>
  </r>
  <r>
    <s v="ORD11123"/>
    <x v="1122"/>
    <s v="CUST1416"/>
    <s v="Ananya Shah"/>
    <x v="169"/>
    <x v="0"/>
    <x v="16"/>
    <x v="2"/>
    <s v="Kochi"/>
    <s v="Kerala"/>
    <x v="2"/>
    <x v="5"/>
    <s v="Electric Kettle"/>
    <x v="18"/>
    <n v="1"/>
    <n v="1940"/>
    <n v="0.1"/>
    <n v="980"/>
    <s v="Net Banking"/>
    <s v="Delivered"/>
    <n v="4"/>
    <s v="New"/>
    <n v="1940"/>
    <n v="194"/>
    <n v="1746"/>
    <n v="766"/>
    <n v="0.43871706758304696"/>
    <n v="2028"/>
    <s v="May"/>
    <s v="Q2"/>
  </r>
  <r>
    <s v="ORD11124"/>
    <x v="1123"/>
    <s v="CUST1161"/>
    <s v="Ishita Reddy"/>
    <x v="153"/>
    <x v="1"/>
    <x v="17"/>
    <x v="6"/>
    <s v="Guwahati"/>
    <s v="Assam"/>
    <x v="1"/>
    <x v="2"/>
    <s v="Laptop"/>
    <x v="15"/>
    <n v="1"/>
    <n v="55380"/>
    <n v="0.05"/>
    <n v="41040"/>
    <s v="Debit Card"/>
    <s v="Delivered"/>
    <n v="6"/>
    <s v="Returning"/>
    <n v="55380"/>
    <n v="2769"/>
    <n v="52611"/>
    <n v="11571"/>
    <n v="0.2199349945828819"/>
    <n v="2028"/>
    <s v="May"/>
    <s v="Q2"/>
  </r>
  <r>
    <s v="ORD11125"/>
    <x v="1124"/>
    <s v="CUST1445"/>
    <s v="Rohan Nair"/>
    <x v="178"/>
    <x v="0"/>
    <x v="35"/>
    <x v="0"/>
    <s v="Pune"/>
    <s v="Maharashtra"/>
    <x v="0"/>
    <x v="3"/>
    <s v="Cricket Bat"/>
    <x v="23"/>
    <n v="2"/>
    <n v="3390"/>
    <n v="0.1"/>
    <n v="1910"/>
    <s v="UPI"/>
    <s v="Delivered"/>
    <n v="4"/>
    <s v="New"/>
    <n v="6780"/>
    <n v="678"/>
    <n v="6102"/>
    <n v="4192"/>
    <n v="0.68698787282858076"/>
    <n v="2028"/>
    <s v="May"/>
    <s v="Q2"/>
  </r>
  <r>
    <s v="ORD11126"/>
    <x v="1125"/>
    <s v="CUST1291"/>
    <s v="Aarav Das"/>
    <x v="207"/>
    <x v="1"/>
    <x v="16"/>
    <x v="0"/>
    <s v="Pune"/>
    <s v="Maharashtra"/>
    <x v="0"/>
    <x v="1"/>
    <s v="Sofa"/>
    <x v="16"/>
    <n v="3"/>
    <n v="26140"/>
    <n v="0.2"/>
    <n v="20440"/>
    <s v="Cash on Delivery"/>
    <s v="Delivered"/>
    <n v="4"/>
    <s v="Returning"/>
    <n v="78420"/>
    <n v="15684"/>
    <n v="62736"/>
    <n v="42296"/>
    <n v="0.67419025758735018"/>
    <n v="2028"/>
    <s v="May"/>
    <s v="Q2"/>
  </r>
  <r>
    <s v="ORD11127"/>
    <x v="1126"/>
    <s v="CUST1002"/>
    <s v="Nisha Mehta"/>
    <x v="103"/>
    <x v="1"/>
    <x v="2"/>
    <x v="14"/>
    <s v="Ahmedabad"/>
    <s v="Gujarat"/>
    <x v="0"/>
    <x v="0"/>
    <s v="Jacket"/>
    <x v="25"/>
    <n v="1"/>
    <n v="4330"/>
    <n v="0"/>
    <n v="2630"/>
    <s v="UPI"/>
    <s v="Cancelled"/>
    <n v="0"/>
    <s v="Returning"/>
    <n v="4330"/>
    <n v="0"/>
    <n v="4330"/>
    <n v="1700"/>
    <n v="0.39260969976905313"/>
    <n v="2028"/>
    <s v="May"/>
    <s v="Q2"/>
  </r>
  <r>
    <s v="ORD11128"/>
    <x v="1127"/>
    <s v="CUST1309"/>
    <s v="Arjun Bhat"/>
    <x v="52"/>
    <x v="1"/>
    <x v="35"/>
    <x v="5"/>
    <s v="Bhubaneswar"/>
    <s v="Odisha"/>
    <x v="1"/>
    <x v="2"/>
    <s v="Laptop"/>
    <x v="15"/>
    <n v="1"/>
    <n v="51280"/>
    <n v="0.1"/>
    <n v="42710"/>
    <s v="Credit Card"/>
    <s v="Delivered"/>
    <n v="2"/>
    <s v="New"/>
    <n v="51280"/>
    <n v="5128"/>
    <n v="46152"/>
    <n v="3442"/>
    <n v="7.4579649852660773E-2"/>
    <n v="2028"/>
    <s v="May"/>
    <s v="Q2"/>
  </r>
  <r>
    <s v="ORD11129"/>
    <x v="1128"/>
    <s v="CUST1402"/>
    <s v="Karan Bhat"/>
    <x v="84"/>
    <x v="1"/>
    <x v="40"/>
    <x v="8"/>
    <s v="Mysuru"/>
    <s v="Karnataka"/>
    <x v="2"/>
    <x v="0"/>
    <s v="T-Shirt"/>
    <x v="2"/>
    <n v="1"/>
    <n v="920"/>
    <n v="0.1"/>
    <n v="450"/>
    <s v="Debit Card"/>
    <s v="Delivered"/>
    <n v="3"/>
    <s v="New"/>
    <n v="920"/>
    <n v="92"/>
    <n v="828"/>
    <n v="378"/>
    <n v="0.45652173913043476"/>
    <n v="2028"/>
    <s v="May"/>
    <s v="Q2"/>
  </r>
  <r>
    <s v="ORD11130"/>
    <x v="1129"/>
    <s v="CUST1064"/>
    <s v="Vivaan Sharma"/>
    <x v="40"/>
    <x v="1"/>
    <x v="6"/>
    <x v="0"/>
    <s v="Pune"/>
    <s v="Maharashtra"/>
    <x v="0"/>
    <x v="1"/>
    <s v="Bookshelf"/>
    <x v="6"/>
    <n v="2"/>
    <n v="5290"/>
    <n v="0.2"/>
    <n v="3060"/>
    <s v="Credit Card"/>
    <s v="Delivered"/>
    <n v="2"/>
    <s v="Returning"/>
    <n v="10580"/>
    <n v="2116"/>
    <n v="8464"/>
    <n v="5404"/>
    <n v="0.63846880907372405"/>
    <n v="2028"/>
    <s v="May"/>
    <s v="Q2"/>
  </r>
  <r>
    <s v="ORD11131"/>
    <x v="1130"/>
    <s v="CUST1374"/>
    <s v="Meera Sharma"/>
    <x v="48"/>
    <x v="0"/>
    <x v="41"/>
    <x v="7"/>
    <s v="Mumbai"/>
    <s v="Maharashtra"/>
    <x v="0"/>
    <x v="3"/>
    <s v="Dumbbells"/>
    <x v="7"/>
    <n v="3"/>
    <n v="2340"/>
    <n v="0.05"/>
    <n v="1450"/>
    <s v="Credit Card"/>
    <s v="Delivered"/>
    <n v="3"/>
    <s v="New"/>
    <n v="7020"/>
    <n v="351"/>
    <n v="6669"/>
    <n v="5219"/>
    <n v="0.78257609836557207"/>
    <n v="2028"/>
    <s v="May"/>
    <s v="Q2"/>
  </r>
  <r>
    <s v="ORD11132"/>
    <x v="1131"/>
    <s v="CUST1256"/>
    <s v="Nisha Joshi"/>
    <x v="13"/>
    <x v="0"/>
    <x v="38"/>
    <x v="9"/>
    <s v="Hyderabad"/>
    <s v="Telangana"/>
    <x v="2"/>
    <x v="2"/>
    <s v="Smartphone"/>
    <x v="13"/>
    <n v="1"/>
    <n v="17330"/>
    <n v="0.3"/>
    <n v="13010"/>
    <s v="UPI"/>
    <s v="Delivered"/>
    <n v="2"/>
    <s v="Returning"/>
    <n v="17330"/>
    <n v="5199"/>
    <n v="12131"/>
    <n v="-879"/>
    <n v="-7.2458989366086884E-2"/>
    <n v="2028"/>
    <s v="May"/>
    <s v="Q2"/>
  </r>
  <r>
    <s v="ORD11133"/>
    <x v="1132"/>
    <s v="CUST1111"/>
    <s v="Rohan Gupta"/>
    <x v="42"/>
    <x v="1"/>
    <x v="25"/>
    <x v="8"/>
    <s v="Mysuru"/>
    <s v="Karnataka"/>
    <x v="2"/>
    <x v="4"/>
    <s v="Makeup Kit"/>
    <x v="28"/>
    <n v="1"/>
    <n v="2350"/>
    <n v="0"/>
    <n v="1220"/>
    <s v="UPI"/>
    <s v="Delivered"/>
    <n v="1"/>
    <s v="Returning"/>
    <n v="2350"/>
    <n v="0"/>
    <n v="2350"/>
    <n v="1130"/>
    <n v="0.48085106382978721"/>
    <n v="2028"/>
    <s v="May"/>
    <s v="Q2"/>
  </r>
  <r>
    <s v="ORD11134"/>
    <x v="1133"/>
    <s v="CUST1479"/>
    <s v="Sneha Bhat"/>
    <x v="246"/>
    <x v="0"/>
    <x v="38"/>
    <x v="3"/>
    <s v="Bengaluru"/>
    <s v="Karnataka"/>
    <x v="2"/>
    <x v="1"/>
    <s v="Bookshelf"/>
    <x v="6"/>
    <n v="2"/>
    <n v="5140"/>
    <n v="0.05"/>
    <n v="3230"/>
    <s v="UPI"/>
    <s v="Delivered"/>
    <n v="3"/>
    <s v="New"/>
    <n v="10280"/>
    <n v="514"/>
    <n v="9766"/>
    <n v="6536"/>
    <n v="0.66926070038910501"/>
    <n v="2028"/>
    <s v="May"/>
    <s v="Q2"/>
  </r>
  <r>
    <s v="ORD11135"/>
    <x v="1134"/>
    <s v="CUST1414"/>
    <s v="Diya Bhat"/>
    <x v="164"/>
    <x v="1"/>
    <x v="24"/>
    <x v="9"/>
    <s v="Hyderabad"/>
    <s v="Telangana"/>
    <x v="2"/>
    <x v="2"/>
    <s v="Tablet"/>
    <x v="4"/>
    <n v="1"/>
    <n v="23300"/>
    <n v="0.1"/>
    <n v="15270"/>
    <s v="Wallet"/>
    <s v="Delivered"/>
    <n v="5"/>
    <s v="New"/>
    <n v="23300"/>
    <n v="2330"/>
    <n v="20970"/>
    <n v="5700"/>
    <n v="0.27181688125894132"/>
    <n v="2028"/>
    <s v="May"/>
    <s v="Q2"/>
  </r>
  <r>
    <s v="ORD11136"/>
    <x v="1135"/>
    <s v="CUST1247"/>
    <s v="Meera Reddy"/>
    <x v="202"/>
    <x v="1"/>
    <x v="18"/>
    <x v="6"/>
    <s v="Guwahati"/>
    <s v="Assam"/>
    <x v="1"/>
    <x v="0"/>
    <s v="Jeans"/>
    <x v="19"/>
    <n v="1"/>
    <n v="2300"/>
    <n v="0.1"/>
    <n v="1140"/>
    <s v="Debit Card"/>
    <s v="Delivered"/>
    <n v="4"/>
    <s v="Returning"/>
    <n v="2300"/>
    <n v="230"/>
    <n v="2070"/>
    <n v="930"/>
    <n v="0.44927536231884058"/>
    <n v="2028"/>
    <s v="May"/>
    <s v="Q2"/>
  </r>
  <r>
    <s v="ORD11137"/>
    <x v="1136"/>
    <s v="CUST1385"/>
    <s v="Ishita Naidu"/>
    <x v="218"/>
    <x v="0"/>
    <x v="32"/>
    <x v="13"/>
    <s v="Lucknow"/>
    <s v="Uttar Pradesh"/>
    <x v="3"/>
    <x v="2"/>
    <s v="Tablet"/>
    <x v="4"/>
    <n v="3"/>
    <n v="23380"/>
    <n v="0.1"/>
    <n v="15270"/>
    <s v="Debit Card"/>
    <s v="Delivered"/>
    <n v="1"/>
    <s v="New"/>
    <n v="70140"/>
    <n v="7014"/>
    <n v="63126"/>
    <n v="47856"/>
    <n v="0.7581028419351773"/>
    <n v="2028"/>
    <s v="May"/>
    <s v="Q2"/>
  </r>
  <r>
    <s v="ORD11138"/>
    <x v="1137"/>
    <s v="CUST1359"/>
    <s v="Nisha Iyer"/>
    <x v="9"/>
    <x v="1"/>
    <x v="20"/>
    <x v="1"/>
    <s v="Kolkata"/>
    <s v="West Bengal"/>
    <x v="1"/>
    <x v="0"/>
    <s v="Handbag"/>
    <x v="12"/>
    <n v="1"/>
    <n v="2820"/>
    <n v="0"/>
    <n v="1670"/>
    <s v="UPI"/>
    <s v="Returned"/>
    <n v="3"/>
    <s v="New"/>
    <n v="2820"/>
    <n v="0"/>
    <n v="2820"/>
    <n v="1150"/>
    <n v="0.40780141843971629"/>
    <n v="2028"/>
    <s v="May"/>
    <s v="Q2"/>
  </r>
  <r>
    <s v="ORD11139"/>
    <x v="1138"/>
    <s v="CUST1320"/>
    <s v="Nisha Reddy"/>
    <x v="22"/>
    <x v="1"/>
    <x v="36"/>
    <x v="11"/>
    <s v="Chennai"/>
    <s v="Tamil Nadu"/>
    <x v="2"/>
    <x v="2"/>
    <s v="Smartwatch"/>
    <x v="3"/>
    <n v="3"/>
    <n v="7490"/>
    <n v="0.3"/>
    <n v="4710"/>
    <s v="UPI"/>
    <s v="Delivered"/>
    <n v="2"/>
    <s v="New"/>
    <n v="22470"/>
    <n v="6741"/>
    <n v="15729"/>
    <n v="11019"/>
    <n v="0.7005531184436391"/>
    <n v="2028"/>
    <s v="May"/>
    <s v="Q2"/>
  </r>
  <r>
    <s v="ORD11140"/>
    <x v="1139"/>
    <s v="CUST1029"/>
    <s v="Meera Naidu"/>
    <x v="38"/>
    <x v="1"/>
    <x v="28"/>
    <x v="0"/>
    <s v="Pune"/>
    <s v="Maharashtra"/>
    <x v="0"/>
    <x v="3"/>
    <s v="Yoga Mat"/>
    <x v="20"/>
    <n v="5"/>
    <n v="970"/>
    <n v="0.25"/>
    <n v="420"/>
    <s v="Cash on Delivery"/>
    <s v="Pending"/>
    <n v="6"/>
    <s v="Returning"/>
    <n v="4850"/>
    <n v="1212.5"/>
    <n v="3637.5"/>
    <n v="3217.5"/>
    <n v="0.88453608247422677"/>
    <n v="2028"/>
    <s v="May"/>
    <s v="Q2"/>
  </r>
  <r>
    <s v="ORD11141"/>
    <x v="1140"/>
    <s v="CUST1289"/>
    <s v="Meera Joshi"/>
    <x v="88"/>
    <x v="1"/>
    <x v="18"/>
    <x v="11"/>
    <s v="Chennai"/>
    <s v="Tamil Nadu"/>
    <x v="2"/>
    <x v="5"/>
    <s v="Mixer Grinder"/>
    <x v="22"/>
    <n v="1"/>
    <n v="3970"/>
    <n v="0.05"/>
    <n v="2720"/>
    <s v="Credit Card"/>
    <s v="Delivered"/>
    <n v="8"/>
    <s v="Returning"/>
    <n v="3970"/>
    <n v="198.5"/>
    <n v="3771.5"/>
    <n v="1051.5"/>
    <n v="0.27880153784966194"/>
    <n v="2028"/>
    <s v="May"/>
    <s v="Q2"/>
  </r>
  <r>
    <s v="ORD11142"/>
    <x v="1141"/>
    <s v="CUST1219"/>
    <s v="Aditya Gupta"/>
    <x v="112"/>
    <x v="0"/>
    <x v="9"/>
    <x v="9"/>
    <s v="Hyderabad"/>
    <s v="Telangana"/>
    <x v="2"/>
    <x v="2"/>
    <s v="Tablet"/>
    <x v="4"/>
    <n v="3"/>
    <n v="22260"/>
    <n v="0.1"/>
    <n v="15710"/>
    <s v="UPI"/>
    <s v="Delivered"/>
    <n v="4"/>
    <s v="Returning"/>
    <n v="66780"/>
    <n v="6678"/>
    <n v="60102"/>
    <n v="44392"/>
    <n v="0.73861102791920397"/>
    <n v="2028"/>
    <s v="May"/>
    <s v="Q2"/>
  </r>
  <r>
    <s v="ORD11143"/>
    <x v="1142"/>
    <s v="CUST1478"/>
    <s v="Ishita Joshi"/>
    <x v="92"/>
    <x v="1"/>
    <x v="19"/>
    <x v="7"/>
    <s v="Mumbai"/>
    <s v="Maharashtra"/>
    <x v="0"/>
    <x v="1"/>
    <s v="Study Table"/>
    <x v="11"/>
    <n v="1"/>
    <n v="8480"/>
    <n v="0.1"/>
    <n v="5680"/>
    <s v="Credit Card"/>
    <s v="Pending"/>
    <n v="7"/>
    <s v="New"/>
    <n v="8480"/>
    <n v="848"/>
    <n v="7632"/>
    <n v="1952"/>
    <n v="0.25576519916142559"/>
    <n v="2028"/>
    <s v="May"/>
    <s v="Q2"/>
  </r>
  <r>
    <s v="ORD11144"/>
    <x v="1143"/>
    <s v="CUST1107"/>
    <s v="Rohan Verma"/>
    <x v="212"/>
    <x v="0"/>
    <x v="16"/>
    <x v="2"/>
    <s v="Kochi"/>
    <s v="Kerala"/>
    <x v="2"/>
    <x v="5"/>
    <s v="Mixer Grinder"/>
    <x v="22"/>
    <n v="5"/>
    <n v="4100"/>
    <n v="0.2"/>
    <n v="2750"/>
    <s v="Debit Card"/>
    <s v="Delivered"/>
    <n v="5"/>
    <s v="Returning"/>
    <n v="20500"/>
    <n v="4100"/>
    <n v="16400"/>
    <n v="13650"/>
    <n v="0.83231707317073167"/>
    <n v="2028"/>
    <s v="May"/>
    <s v="Q2"/>
  </r>
  <r>
    <s v="ORD11145"/>
    <x v="1144"/>
    <s v="CUST1174"/>
    <s v="Sneha Sharma"/>
    <x v="49"/>
    <x v="1"/>
    <x v="7"/>
    <x v="10"/>
    <s v="Jaipur"/>
    <s v="Rajasthan"/>
    <x v="3"/>
    <x v="1"/>
    <s v="Sofa"/>
    <x v="16"/>
    <n v="1"/>
    <n v="27470"/>
    <n v="0.15"/>
    <n v="19630"/>
    <s v="Debit Card"/>
    <s v="Cancelled"/>
    <n v="0"/>
    <s v="Returning"/>
    <n v="27470"/>
    <n v="4120.5"/>
    <n v="23349.5"/>
    <n v="3719.5"/>
    <n v="0.15929677295017025"/>
    <n v="2028"/>
    <s v="May"/>
    <s v="Q2"/>
  </r>
  <r>
    <s v="ORD11146"/>
    <x v="1145"/>
    <s v="CUST1208"/>
    <s v="Vivaan Sharma"/>
    <x v="40"/>
    <x v="0"/>
    <x v="28"/>
    <x v="12"/>
    <s v="Delhi"/>
    <s v="Delhi"/>
    <x v="3"/>
    <x v="2"/>
    <s v="Smartphone"/>
    <x v="13"/>
    <n v="3"/>
    <n v="16650"/>
    <n v="0.1"/>
    <n v="12380"/>
    <s v="Credit Card"/>
    <s v="Delivered"/>
    <n v="3"/>
    <s v="Returning"/>
    <n v="49950"/>
    <n v="4995"/>
    <n v="44955"/>
    <n v="32575"/>
    <n v="0.7246135023912802"/>
    <n v="2028"/>
    <s v="Jun"/>
    <s v="Q2"/>
  </r>
  <r>
    <s v="ORD11147"/>
    <x v="1146"/>
    <s v="CUST1211"/>
    <s v="Nisha Nair"/>
    <x v="1"/>
    <x v="0"/>
    <x v="2"/>
    <x v="7"/>
    <s v="Mumbai"/>
    <s v="Maharashtra"/>
    <x v="0"/>
    <x v="2"/>
    <s v="Smartphone"/>
    <x v="13"/>
    <n v="1"/>
    <n v="17530"/>
    <n v="0.15"/>
    <n v="12110"/>
    <s v="Net Banking"/>
    <s v="Delivered"/>
    <n v="3"/>
    <s v="Returning"/>
    <n v="17530"/>
    <n v="2629.5"/>
    <n v="14900.5"/>
    <n v="2790.5"/>
    <n v="0.18727559477869871"/>
    <n v="2028"/>
    <s v="Jun"/>
    <s v="Q2"/>
  </r>
  <r>
    <s v="ORD11148"/>
    <x v="1147"/>
    <s v="CUST1323"/>
    <s v="Meera Sharma"/>
    <x v="48"/>
    <x v="1"/>
    <x v="17"/>
    <x v="4"/>
    <s v="Chandigarh"/>
    <s v="Chandigarh"/>
    <x v="3"/>
    <x v="1"/>
    <s v="Study Table"/>
    <x v="11"/>
    <n v="1"/>
    <n v="8190"/>
    <n v="0"/>
    <n v="5720"/>
    <s v="Net Banking"/>
    <s v="Delivered"/>
    <n v="4"/>
    <s v="New"/>
    <n v="8190"/>
    <n v="0"/>
    <n v="8190"/>
    <n v="2470"/>
    <n v="0.30158730158730157"/>
    <n v="2028"/>
    <s v="Jun"/>
    <s v="Q2"/>
  </r>
  <r>
    <s v="ORD11149"/>
    <x v="1148"/>
    <s v="CUST1066"/>
    <s v="Aditya Shah"/>
    <x v="10"/>
    <x v="1"/>
    <x v="15"/>
    <x v="12"/>
    <s v="Delhi"/>
    <s v="Delhi"/>
    <x v="3"/>
    <x v="3"/>
    <s v="Cricket Bat"/>
    <x v="23"/>
    <n v="1"/>
    <n v="3260"/>
    <n v="0.1"/>
    <n v="1910"/>
    <s v="Credit Card"/>
    <s v="Delivered"/>
    <n v="4"/>
    <s v="Returning"/>
    <n v="3260"/>
    <n v="326"/>
    <n v="2934"/>
    <n v="1024"/>
    <n v="0.34901158827539197"/>
    <n v="2028"/>
    <s v="Jun"/>
    <s v="Q2"/>
  </r>
  <r>
    <s v="ORD11150"/>
    <x v="1149"/>
    <s v="CUST1456"/>
    <s v="Vivaan Reddy"/>
    <x v="131"/>
    <x v="1"/>
    <x v="10"/>
    <x v="2"/>
    <s v="Kochi"/>
    <s v="Kerala"/>
    <x v="2"/>
    <x v="2"/>
    <s v="Smartphone"/>
    <x v="13"/>
    <n v="1"/>
    <n v="17920"/>
    <n v="0.2"/>
    <n v="12230"/>
    <s v="Net Banking"/>
    <s v="Delivered"/>
    <n v="3"/>
    <s v="New"/>
    <n v="17920"/>
    <n v="3584"/>
    <n v="14336"/>
    <n v="2106"/>
    <n v="0.14690290178571427"/>
    <n v="2028"/>
    <s v="Jun"/>
    <s v="Q2"/>
  </r>
  <r>
    <s v="ORD11151"/>
    <x v="1150"/>
    <s v="CUST1485"/>
    <s v="Aarav Iyer"/>
    <x v="37"/>
    <x v="1"/>
    <x v="25"/>
    <x v="10"/>
    <s v="Jaipur"/>
    <s v="Rajasthan"/>
    <x v="3"/>
    <x v="4"/>
    <s v="Face Cream"/>
    <x v="21"/>
    <n v="2"/>
    <n v="660"/>
    <n v="0.2"/>
    <n v="310"/>
    <s v="Cash on Delivery"/>
    <s v="Delivered"/>
    <n v="3"/>
    <s v="New"/>
    <n v="1320"/>
    <n v="264"/>
    <n v="1056"/>
    <n v="746"/>
    <n v="0.70643939393939392"/>
    <n v="2028"/>
    <s v="Jun"/>
    <s v="Q2"/>
  </r>
  <r>
    <s v="ORD11152"/>
    <x v="1151"/>
    <s v="CUST1033"/>
    <s v="Diya Rao"/>
    <x v="67"/>
    <x v="1"/>
    <x v="31"/>
    <x v="12"/>
    <s v="Delhi"/>
    <s v="Delhi"/>
    <x v="3"/>
    <x v="0"/>
    <s v="Jacket"/>
    <x v="25"/>
    <n v="1"/>
    <n v="4110"/>
    <n v="0.2"/>
    <n v="2610"/>
    <s v="Debit Card"/>
    <s v="Delivered"/>
    <n v="2"/>
    <s v="Returning"/>
    <n v="4110"/>
    <n v="822"/>
    <n v="3288"/>
    <n v="678"/>
    <n v="0.20620437956204379"/>
    <n v="2028"/>
    <s v="Jun"/>
    <s v="Q2"/>
  </r>
  <r>
    <s v="ORD11153"/>
    <x v="1152"/>
    <s v="CUST1174"/>
    <s v="Aditya Rao"/>
    <x v="145"/>
    <x v="0"/>
    <x v="13"/>
    <x v="12"/>
    <s v="Delhi"/>
    <s v="Delhi"/>
    <x v="3"/>
    <x v="4"/>
    <s v="Perfume"/>
    <x v="29"/>
    <n v="1"/>
    <n v="1810"/>
    <n v="0.05"/>
    <n v="870"/>
    <s v="UPI"/>
    <s v="Delivered"/>
    <n v="1"/>
    <s v="Returning"/>
    <n v="1810"/>
    <n v="90.5"/>
    <n v="1719.5"/>
    <n v="849.5"/>
    <n v="0.49403896481535331"/>
    <n v="2028"/>
    <s v="Jun"/>
    <s v="Q2"/>
  </r>
  <r>
    <s v="ORD11154"/>
    <x v="1153"/>
    <s v="CUST1339"/>
    <s v="Vivaan Bhat"/>
    <x v="35"/>
    <x v="1"/>
    <x v="10"/>
    <x v="10"/>
    <s v="Jaipur"/>
    <s v="Rajasthan"/>
    <x v="3"/>
    <x v="2"/>
    <s v="Laptop"/>
    <x v="15"/>
    <n v="3"/>
    <n v="56110"/>
    <n v="0.1"/>
    <n v="40290"/>
    <s v="Debit Card"/>
    <s v="Delivered"/>
    <n v="1"/>
    <s v="New"/>
    <n v="168330"/>
    <n v="16833"/>
    <n v="151497"/>
    <n v="111207"/>
    <n v="0.73405413968593436"/>
    <n v="2028"/>
    <s v="Jun"/>
    <s v="Q2"/>
  </r>
  <r>
    <s v="ORD11155"/>
    <x v="1154"/>
    <s v="CUST1420"/>
    <s v="Kavya Mehta"/>
    <x v="166"/>
    <x v="1"/>
    <x v="40"/>
    <x v="7"/>
    <s v="Mumbai"/>
    <s v="Maharashtra"/>
    <x v="0"/>
    <x v="0"/>
    <s v="Jeans"/>
    <x v="19"/>
    <n v="3"/>
    <n v="2160"/>
    <n v="0.1"/>
    <n v="1210"/>
    <s v="Wallet"/>
    <s v="Returned"/>
    <n v="3"/>
    <s v="New"/>
    <n v="6480"/>
    <n v="648"/>
    <n v="5832"/>
    <n v="4622"/>
    <n v="0.79252400548696844"/>
    <n v="2028"/>
    <s v="Jun"/>
    <s v="Q2"/>
  </r>
  <r>
    <s v="ORD11156"/>
    <x v="1155"/>
    <s v="CUST1462"/>
    <s v="Vivaan Nair"/>
    <x v="65"/>
    <x v="0"/>
    <x v="12"/>
    <x v="8"/>
    <s v="Mysuru"/>
    <s v="Karnataka"/>
    <x v="2"/>
    <x v="0"/>
    <s v="Handbag"/>
    <x v="12"/>
    <n v="4"/>
    <n v="2580"/>
    <n v="0.05"/>
    <n v="1680"/>
    <s v="Credit Card"/>
    <s v="Delivered"/>
    <n v="2"/>
    <s v="New"/>
    <n v="10320"/>
    <n v="516"/>
    <n v="9804"/>
    <n v="8124"/>
    <n v="0.828641370869033"/>
    <n v="2028"/>
    <s v="Jun"/>
    <s v="Q2"/>
  </r>
  <r>
    <s v="ORD11157"/>
    <x v="1156"/>
    <s v="CUST1495"/>
    <s v="Nisha Rao"/>
    <x v="249"/>
    <x v="1"/>
    <x v="36"/>
    <x v="12"/>
    <s v="Delhi"/>
    <s v="Delhi"/>
    <x v="3"/>
    <x v="3"/>
    <s v="Tennis Racket"/>
    <x v="17"/>
    <n v="1"/>
    <n v="4730"/>
    <n v="0.1"/>
    <n v="2740"/>
    <s v="Cash on Delivery"/>
    <s v="Delivered"/>
    <n v="6"/>
    <s v="New"/>
    <n v="4730"/>
    <n v="473"/>
    <n v="4257"/>
    <n v="1517"/>
    <n v="0.3563542400751703"/>
    <n v="2028"/>
    <s v="Jun"/>
    <s v="Q2"/>
  </r>
  <r>
    <s v="ORD11158"/>
    <x v="1157"/>
    <s v="CUST1465"/>
    <s v="Ananya Gupta"/>
    <x v="61"/>
    <x v="0"/>
    <x v="35"/>
    <x v="12"/>
    <s v="Delhi"/>
    <s v="Delhi"/>
    <x v="3"/>
    <x v="0"/>
    <s v="T-Shirt"/>
    <x v="2"/>
    <n v="2"/>
    <n v="840"/>
    <n v="0.15"/>
    <n v="450"/>
    <s v="Wallet"/>
    <s v="Delivered"/>
    <n v="4"/>
    <s v="New"/>
    <n v="1680"/>
    <n v="252"/>
    <n v="1428"/>
    <n v="978"/>
    <n v="0.68487394957983194"/>
    <n v="2028"/>
    <s v="Jun"/>
    <s v="Q2"/>
  </r>
  <r>
    <s v="ORD11159"/>
    <x v="1158"/>
    <s v="CUST1119"/>
    <s v="Meera Verma"/>
    <x v="77"/>
    <x v="0"/>
    <x v="38"/>
    <x v="6"/>
    <s v="Guwahati"/>
    <s v="Assam"/>
    <x v="1"/>
    <x v="5"/>
    <s v="Air Fryer"/>
    <x v="26"/>
    <n v="1"/>
    <n v="6690"/>
    <n v="0.1"/>
    <n v="4070"/>
    <s v="Debit Card"/>
    <s v="Delivered"/>
    <n v="3"/>
    <s v="Returning"/>
    <n v="6690"/>
    <n v="669"/>
    <n v="6021"/>
    <n v="1951"/>
    <n v="0.3240325527321043"/>
    <n v="2028"/>
    <s v="Jun"/>
    <s v="Q2"/>
  </r>
  <r>
    <s v="ORD11160"/>
    <x v="1159"/>
    <s v="CUST1239"/>
    <s v="Vikram Nair"/>
    <x v="80"/>
    <x v="1"/>
    <x v="36"/>
    <x v="3"/>
    <s v="Bengaluru"/>
    <s v="Karnataka"/>
    <x v="2"/>
    <x v="2"/>
    <s v="Headphones"/>
    <x v="5"/>
    <n v="2"/>
    <n v="2650"/>
    <n v="0.1"/>
    <n v="1520"/>
    <s v="UPI"/>
    <s v="Delivered"/>
    <n v="5"/>
    <s v="Returning"/>
    <n v="5300"/>
    <n v="530"/>
    <n v="4770"/>
    <n v="3250"/>
    <n v="0.68134171907756813"/>
    <n v="2028"/>
    <s v="Jun"/>
    <s v="Q2"/>
  </r>
  <r>
    <s v="ORD11161"/>
    <x v="1160"/>
    <s v="CUST1440"/>
    <s v="Aarav Kumar"/>
    <x v="19"/>
    <x v="1"/>
    <x v="33"/>
    <x v="4"/>
    <s v="Chandigarh"/>
    <s v="Chandigarh"/>
    <x v="3"/>
    <x v="0"/>
    <s v="Jacket"/>
    <x v="25"/>
    <n v="1"/>
    <n v="4120"/>
    <n v="0.1"/>
    <n v="2630"/>
    <s v="UPI"/>
    <s v="Pending"/>
    <n v="3"/>
    <s v="New"/>
    <n v="4120"/>
    <n v="412"/>
    <n v="3708"/>
    <n v="1078"/>
    <n v="0.29072276159654803"/>
    <n v="2028"/>
    <s v="Jun"/>
    <s v="Q2"/>
  </r>
  <r>
    <s v="ORD11162"/>
    <x v="1161"/>
    <s v="CUST1483"/>
    <s v="Diya Shah"/>
    <x v="53"/>
    <x v="1"/>
    <x v="6"/>
    <x v="9"/>
    <s v="Hyderabad"/>
    <s v="Telangana"/>
    <x v="2"/>
    <x v="3"/>
    <s v="Tennis Racket"/>
    <x v="17"/>
    <n v="3"/>
    <n v="4470"/>
    <n v="0.05"/>
    <n v="2720"/>
    <s v="UPI"/>
    <s v="Delivered"/>
    <n v="6"/>
    <s v="New"/>
    <n v="13410"/>
    <n v="670.5"/>
    <n v="12739.5"/>
    <n v="10019.5"/>
    <n v="0.78649083559009381"/>
    <n v="2028"/>
    <s v="Jun"/>
    <s v="Q2"/>
  </r>
  <r>
    <s v="ORD11163"/>
    <x v="1162"/>
    <s v="CUST1278"/>
    <s v="Aarav Das"/>
    <x v="207"/>
    <x v="0"/>
    <x v="42"/>
    <x v="4"/>
    <s v="Chandigarh"/>
    <s v="Chandigarh"/>
    <x v="3"/>
    <x v="4"/>
    <s v="Face Cream"/>
    <x v="21"/>
    <n v="2"/>
    <n v="660"/>
    <n v="0.05"/>
    <n v="290"/>
    <s v="Cash on Delivery"/>
    <s v="Delivered"/>
    <n v="3"/>
    <s v="Returning"/>
    <n v="1320"/>
    <n v="66"/>
    <n v="1254"/>
    <n v="964"/>
    <n v="0.76874003189792661"/>
    <n v="2028"/>
    <s v="Jun"/>
    <s v="Q2"/>
  </r>
  <r>
    <s v="ORD11164"/>
    <x v="1163"/>
    <s v="CUST1463"/>
    <s v="Diya Kumar"/>
    <x v="120"/>
    <x v="1"/>
    <x v="8"/>
    <x v="13"/>
    <s v="Lucknow"/>
    <s v="Uttar Pradesh"/>
    <x v="3"/>
    <x v="3"/>
    <s v="Tennis Racket"/>
    <x v="17"/>
    <n v="3"/>
    <n v="4710"/>
    <n v="0.05"/>
    <n v="2750"/>
    <s v="Credit Card"/>
    <s v="Delivered"/>
    <n v="7"/>
    <s v="New"/>
    <n v="14130"/>
    <n v="706.5"/>
    <n v="13423.5"/>
    <n v="10673.5"/>
    <n v="0.79513539687860846"/>
    <n v="2028"/>
    <s v="Jun"/>
    <s v="Q2"/>
  </r>
  <r>
    <s v="ORD11165"/>
    <x v="1164"/>
    <s v="CUST1046"/>
    <s v="Rohan Das"/>
    <x v="232"/>
    <x v="1"/>
    <x v="4"/>
    <x v="13"/>
    <s v="Lucknow"/>
    <s v="Uttar Pradesh"/>
    <x v="3"/>
    <x v="4"/>
    <s v="Hair Dryer"/>
    <x v="14"/>
    <n v="2"/>
    <n v="1850"/>
    <n v="0.25"/>
    <n v="960"/>
    <s v="Credit Card"/>
    <s v="Delivered"/>
    <n v="3"/>
    <s v="Returning"/>
    <n v="3700"/>
    <n v="925"/>
    <n v="2775"/>
    <n v="1815"/>
    <n v="0.65405405405405403"/>
    <n v="2028"/>
    <s v="Jun"/>
    <s v="Q2"/>
  </r>
  <r>
    <s v="ORD11166"/>
    <x v="1165"/>
    <s v="CUST1161"/>
    <s v="Ishita Mehta"/>
    <x v="113"/>
    <x v="0"/>
    <x v="4"/>
    <x v="11"/>
    <s v="Chennai"/>
    <s v="Tamil Nadu"/>
    <x v="2"/>
    <x v="0"/>
    <s v="T-Shirt"/>
    <x v="2"/>
    <n v="1"/>
    <n v="840"/>
    <n v="0"/>
    <n v="460"/>
    <s v="Debit Card"/>
    <s v="Delivered"/>
    <n v="4"/>
    <s v="Returning"/>
    <n v="840"/>
    <n v="0"/>
    <n v="840"/>
    <n v="380"/>
    <n v="0.45238095238095238"/>
    <n v="2028"/>
    <s v="Jun"/>
    <s v="Q2"/>
  </r>
  <r>
    <s v="ORD11167"/>
    <x v="1166"/>
    <s v="CUST1336"/>
    <s v="Karan Mehta"/>
    <x v="139"/>
    <x v="1"/>
    <x v="22"/>
    <x v="13"/>
    <s v="Lucknow"/>
    <s v="Uttar Pradesh"/>
    <x v="3"/>
    <x v="2"/>
    <s v="Headphones"/>
    <x v="5"/>
    <n v="4"/>
    <n v="2540"/>
    <n v="0.2"/>
    <n v="1460"/>
    <s v="UPI"/>
    <s v="Delivered"/>
    <n v="4"/>
    <s v="New"/>
    <n v="10160"/>
    <n v="2032"/>
    <n v="8128"/>
    <n v="6668"/>
    <n v="0.82037401574803148"/>
    <n v="2028"/>
    <s v="Jun"/>
    <s v="Q2"/>
  </r>
  <r>
    <s v="ORD11168"/>
    <x v="1167"/>
    <s v="CUST1443"/>
    <s v="Rohan Bhat"/>
    <x v="175"/>
    <x v="0"/>
    <x v="26"/>
    <x v="10"/>
    <s v="Jaipur"/>
    <s v="Rajasthan"/>
    <x v="3"/>
    <x v="3"/>
    <s v="Football"/>
    <x v="10"/>
    <n v="1"/>
    <n v="1210"/>
    <n v="0.15"/>
    <n v="630"/>
    <s v="Credit Card"/>
    <s v="Delivered"/>
    <n v="6"/>
    <s v="New"/>
    <n v="1210"/>
    <n v="181.5"/>
    <n v="1028.5"/>
    <n v="398.5"/>
    <n v="0.38745746232377248"/>
    <n v="2028"/>
    <s v="Jun"/>
    <s v="Q2"/>
  </r>
  <r>
    <s v="ORD11169"/>
    <x v="1168"/>
    <s v="CUST1227"/>
    <s v="Priya Gupta"/>
    <x v="102"/>
    <x v="1"/>
    <x v="25"/>
    <x v="12"/>
    <s v="Delhi"/>
    <s v="Delhi"/>
    <x v="3"/>
    <x v="5"/>
    <s v="Vacuum Cleaner"/>
    <x v="9"/>
    <n v="2"/>
    <n v="8320"/>
    <n v="0.2"/>
    <n v="5380"/>
    <s v="Credit Card"/>
    <s v="Delivered"/>
    <n v="6"/>
    <s v="Returning"/>
    <n v="16640"/>
    <n v="3328"/>
    <n v="13312"/>
    <n v="7932"/>
    <n v="0.59585336538461542"/>
    <n v="2028"/>
    <s v="Jun"/>
    <s v="Q2"/>
  </r>
  <r>
    <s v="ORD11170"/>
    <x v="1169"/>
    <s v="CUST1228"/>
    <s v="Priya Nair"/>
    <x v="222"/>
    <x v="1"/>
    <x v="16"/>
    <x v="0"/>
    <s v="Pune"/>
    <s v="Maharashtra"/>
    <x v="0"/>
    <x v="5"/>
    <s v="Vacuum Cleaner"/>
    <x v="9"/>
    <n v="1"/>
    <n v="9040"/>
    <n v="0.05"/>
    <n v="5460"/>
    <s v="Net Banking"/>
    <s v="Delivered"/>
    <n v="5"/>
    <s v="Returning"/>
    <n v="9040"/>
    <n v="452"/>
    <n v="8588"/>
    <n v="3128"/>
    <n v="0.36422915696320446"/>
    <n v="2028"/>
    <s v="Jun"/>
    <s v="Q2"/>
  </r>
  <r>
    <s v="ORD11171"/>
    <x v="1170"/>
    <s v="CUST1053"/>
    <s v="Vikram Iyer"/>
    <x v="119"/>
    <x v="1"/>
    <x v="18"/>
    <x v="3"/>
    <s v="Bengaluru"/>
    <s v="Karnataka"/>
    <x v="2"/>
    <x v="5"/>
    <s v="Electric Kettle"/>
    <x v="18"/>
    <n v="2"/>
    <n v="1730"/>
    <n v="0.1"/>
    <n v="1000"/>
    <s v="UPI"/>
    <s v="Delivered"/>
    <n v="3"/>
    <s v="Returning"/>
    <n v="3460"/>
    <n v="346"/>
    <n v="3114"/>
    <n v="2114"/>
    <n v="0.6788696210661529"/>
    <n v="2028"/>
    <s v="Jun"/>
    <s v="Q2"/>
  </r>
  <r>
    <s v="ORD11172"/>
    <x v="1171"/>
    <s v="CUST1278"/>
    <s v="Karan Joshi"/>
    <x v="230"/>
    <x v="1"/>
    <x v="42"/>
    <x v="6"/>
    <s v="Guwahati"/>
    <s v="Assam"/>
    <x v="1"/>
    <x v="0"/>
    <s v="T-Shirt"/>
    <x v="2"/>
    <n v="2"/>
    <n v="890"/>
    <n v="0.25"/>
    <n v="450"/>
    <s v="Credit Card"/>
    <s v="Delivered"/>
    <n v="4"/>
    <s v="Returning"/>
    <n v="1780"/>
    <n v="445"/>
    <n v="1335"/>
    <n v="885"/>
    <n v="0.6629213483146067"/>
    <n v="2028"/>
    <s v="Jun"/>
    <s v="Q2"/>
  </r>
  <r>
    <s v="ORD11173"/>
    <x v="1172"/>
    <s v="CUST1408"/>
    <s v="Rahul Nair"/>
    <x v="250"/>
    <x v="1"/>
    <x v="22"/>
    <x v="12"/>
    <s v="Delhi"/>
    <s v="Delhi"/>
    <x v="3"/>
    <x v="1"/>
    <s v="Bookshelf"/>
    <x v="6"/>
    <n v="2"/>
    <n v="4730"/>
    <n v="0.3"/>
    <n v="3190"/>
    <s v="Debit Card"/>
    <s v="Delivered"/>
    <n v="3"/>
    <s v="New"/>
    <n v="9460"/>
    <n v="2838"/>
    <n v="6622"/>
    <n v="3432"/>
    <n v="0.51827242524916939"/>
    <n v="2028"/>
    <s v="Jun"/>
    <s v="Q2"/>
  </r>
  <r>
    <s v="ORD11174"/>
    <x v="1173"/>
    <s v="CUST1035"/>
    <s v="Aarav Das"/>
    <x v="207"/>
    <x v="0"/>
    <x v="41"/>
    <x v="4"/>
    <s v="Chandigarh"/>
    <s v="Chandigarh"/>
    <x v="3"/>
    <x v="4"/>
    <s v="Perfume"/>
    <x v="29"/>
    <n v="1"/>
    <n v="1810"/>
    <n v="0.2"/>
    <n v="920"/>
    <s v="Debit Card"/>
    <s v="Delivered"/>
    <n v="3"/>
    <s v="Returning"/>
    <n v="1810"/>
    <n v="362"/>
    <n v="1448"/>
    <n v="528"/>
    <n v="0.36464088397790057"/>
    <n v="2028"/>
    <s v="Jun"/>
    <s v="Q2"/>
  </r>
  <r>
    <s v="ORD11175"/>
    <x v="1174"/>
    <s v="CUST1120"/>
    <s v="Sneha Sharma"/>
    <x v="49"/>
    <x v="1"/>
    <x v="24"/>
    <x v="9"/>
    <s v="Hyderabad"/>
    <s v="Telangana"/>
    <x v="2"/>
    <x v="2"/>
    <s v="Headphones"/>
    <x v="5"/>
    <n v="1"/>
    <n v="2480"/>
    <n v="0.25"/>
    <n v="1460"/>
    <s v="UPI"/>
    <s v="Delivered"/>
    <n v="4"/>
    <s v="Returning"/>
    <n v="2480"/>
    <n v="620"/>
    <n v="1860"/>
    <n v="400"/>
    <n v="0.21505376344086022"/>
    <n v="2028"/>
    <s v="Jun"/>
    <s v="Q2"/>
  </r>
  <r>
    <s v="ORD11176"/>
    <x v="1175"/>
    <s v="CUST1116"/>
    <s v="Kavya Iyer"/>
    <x v="128"/>
    <x v="0"/>
    <x v="39"/>
    <x v="12"/>
    <s v="Delhi"/>
    <s v="Delhi"/>
    <x v="3"/>
    <x v="4"/>
    <s v="Perfume"/>
    <x v="29"/>
    <n v="2"/>
    <n v="1720"/>
    <n v="0.2"/>
    <n v="900"/>
    <s v="Net Banking"/>
    <s v="Delivered"/>
    <n v="5"/>
    <s v="Returning"/>
    <n v="3440"/>
    <n v="688"/>
    <n v="2752"/>
    <n v="1852"/>
    <n v="0.67296511627906974"/>
    <n v="2028"/>
    <s v="Jul"/>
    <s v="Q3"/>
  </r>
  <r>
    <s v="ORD11177"/>
    <x v="1176"/>
    <s v="CUST1239"/>
    <s v="Kavya Kumar"/>
    <x v="96"/>
    <x v="1"/>
    <x v="35"/>
    <x v="8"/>
    <s v="Mysuru"/>
    <s v="Karnataka"/>
    <x v="2"/>
    <x v="1"/>
    <s v="Bookshelf"/>
    <x v="6"/>
    <n v="2"/>
    <n v="5080"/>
    <n v="0.1"/>
    <n v="3050"/>
    <s v="Cash on Delivery"/>
    <s v="Cancelled"/>
    <n v="0"/>
    <s v="Returning"/>
    <n v="10160"/>
    <n v="1016"/>
    <n v="9144"/>
    <n v="6094"/>
    <n v="0.66644794400699914"/>
    <n v="2028"/>
    <s v="Jul"/>
    <s v="Q3"/>
  </r>
  <r>
    <s v="ORD11178"/>
    <x v="1177"/>
    <s v="CUST1330"/>
    <s v="Kavya Nair"/>
    <x v="251"/>
    <x v="0"/>
    <x v="6"/>
    <x v="5"/>
    <s v="Bhubaneswar"/>
    <s v="Odisha"/>
    <x v="1"/>
    <x v="0"/>
    <s v="Sneakers"/>
    <x v="0"/>
    <n v="2"/>
    <n v="3250"/>
    <n v="0"/>
    <n v="2000"/>
    <s v="Credit Card"/>
    <s v="Returned"/>
    <n v="3"/>
    <s v="New"/>
    <n v="6500"/>
    <n v="0"/>
    <n v="6500"/>
    <n v="4500"/>
    <n v="0.69230769230769229"/>
    <n v="2028"/>
    <s v="Jul"/>
    <s v="Q3"/>
  </r>
  <r>
    <s v="ORD11179"/>
    <x v="1178"/>
    <s v="CUST1275"/>
    <s v="Kavya Singh"/>
    <x v="150"/>
    <x v="0"/>
    <x v="11"/>
    <x v="4"/>
    <s v="Chandigarh"/>
    <s v="Chandigarh"/>
    <x v="3"/>
    <x v="2"/>
    <s v="Headphones"/>
    <x v="5"/>
    <n v="3"/>
    <n v="2580"/>
    <n v="0.05"/>
    <n v="1560"/>
    <s v="Debit Card"/>
    <s v="Delivered"/>
    <n v="6"/>
    <s v="Returning"/>
    <n v="7740"/>
    <n v="387"/>
    <n v="7353"/>
    <n v="5793"/>
    <n v="0.78784169726642184"/>
    <n v="2028"/>
    <s v="Jul"/>
    <s v="Q3"/>
  </r>
  <r>
    <s v="ORD11180"/>
    <x v="1179"/>
    <s v="CUST1012"/>
    <s v="Vivaan Bhat"/>
    <x v="35"/>
    <x v="0"/>
    <x v="42"/>
    <x v="7"/>
    <s v="Mumbai"/>
    <s v="Maharashtra"/>
    <x v="0"/>
    <x v="1"/>
    <s v="Study Table"/>
    <x v="11"/>
    <n v="1"/>
    <n v="9040"/>
    <n v="0.25"/>
    <n v="5680"/>
    <s v="Net Banking"/>
    <s v="Delivered"/>
    <n v="1"/>
    <s v="Returning"/>
    <n v="9040"/>
    <n v="2260"/>
    <n v="6780"/>
    <n v="1100"/>
    <n v="0.16224188790560473"/>
    <n v="2028"/>
    <s v="Jul"/>
    <s v="Q3"/>
  </r>
  <r>
    <s v="ORD11181"/>
    <x v="1180"/>
    <s v="CUST1029"/>
    <s v="Nisha Verma"/>
    <x v="34"/>
    <x v="0"/>
    <x v="35"/>
    <x v="0"/>
    <s v="Pune"/>
    <s v="Maharashtra"/>
    <x v="0"/>
    <x v="1"/>
    <s v="Sofa"/>
    <x v="16"/>
    <n v="1"/>
    <n v="29300"/>
    <n v="0.05"/>
    <n v="20000"/>
    <s v="Net Banking"/>
    <s v="Delivered"/>
    <n v="3"/>
    <s v="Returning"/>
    <n v="29300"/>
    <n v="1465"/>
    <n v="27835"/>
    <n v="7835"/>
    <n v="0.28148015088916833"/>
    <n v="2028"/>
    <s v="Jul"/>
    <s v="Q3"/>
  </r>
  <r>
    <s v="ORD11182"/>
    <x v="1181"/>
    <s v="CUST1377"/>
    <s v="Meera Bhat"/>
    <x v="82"/>
    <x v="1"/>
    <x v="22"/>
    <x v="6"/>
    <s v="Guwahati"/>
    <s v="Assam"/>
    <x v="1"/>
    <x v="4"/>
    <s v="Face Cream"/>
    <x v="21"/>
    <n v="1"/>
    <n v="650"/>
    <n v="0.05"/>
    <n v="300"/>
    <s v="Credit Card"/>
    <s v="Delivered"/>
    <n v="2"/>
    <s v="New"/>
    <n v="650"/>
    <n v="32.5"/>
    <n v="617.5"/>
    <n v="317.5"/>
    <n v="0.51417004048582993"/>
    <n v="2028"/>
    <s v="Jul"/>
    <s v="Q3"/>
  </r>
  <r>
    <s v="ORD11183"/>
    <x v="1182"/>
    <s v="CUST1012"/>
    <s v="Ananya Patel"/>
    <x v="29"/>
    <x v="0"/>
    <x v="7"/>
    <x v="14"/>
    <s v="Ahmedabad"/>
    <s v="Gujarat"/>
    <x v="0"/>
    <x v="2"/>
    <s v="Laptop"/>
    <x v="15"/>
    <n v="1"/>
    <n v="56450"/>
    <n v="0.2"/>
    <n v="42950"/>
    <s v="Cash on Delivery"/>
    <s v="Delivered"/>
    <n v="6"/>
    <s v="Returning"/>
    <n v="56450"/>
    <n v="11290"/>
    <n v="45160"/>
    <n v="2210"/>
    <n v="4.8937112488928257E-2"/>
    <n v="2028"/>
    <s v="Jul"/>
    <s v="Q3"/>
  </r>
  <r>
    <s v="ORD11184"/>
    <x v="1183"/>
    <s v="CUST1334"/>
    <s v="Aditya Naidu"/>
    <x v="83"/>
    <x v="0"/>
    <x v="4"/>
    <x v="2"/>
    <s v="Kochi"/>
    <s v="Kerala"/>
    <x v="2"/>
    <x v="5"/>
    <s v="Vacuum Cleaner"/>
    <x v="9"/>
    <n v="1"/>
    <n v="8580"/>
    <n v="0.05"/>
    <n v="5360"/>
    <s v="Cash on Delivery"/>
    <s v="Delivered"/>
    <n v="3"/>
    <s v="New"/>
    <n v="8580"/>
    <n v="429"/>
    <n v="8151"/>
    <n v="2791"/>
    <n v="0.34241197399092138"/>
    <n v="2028"/>
    <s v="Jul"/>
    <s v="Q3"/>
  </r>
  <r>
    <s v="ORD11185"/>
    <x v="1184"/>
    <s v="CUST1037"/>
    <s v="Diya Verma"/>
    <x v="87"/>
    <x v="0"/>
    <x v="34"/>
    <x v="1"/>
    <s v="Kolkata"/>
    <s v="West Bengal"/>
    <x v="1"/>
    <x v="0"/>
    <s v="Sneakers"/>
    <x v="0"/>
    <n v="1"/>
    <n v="3340"/>
    <n v="0.1"/>
    <n v="2120"/>
    <s v="Credit Card"/>
    <s v="Delivered"/>
    <n v="1"/>
    <s v="Returning"/>
    <n v="3340"/>
    <n v="334"/>
    <n v="3006"/>
    <n v="886"/>
    <n v="0.29474384564204925"/>
    <n v="2028"/>
    <s v="Jul"/>
    <s v="Q3"/>
  </r>
  <r>
    <s v="ORD11186"/>
    <x v="1185"/>
    <s v="CUST1380"/>
    <s v="Vikram Bhat"/>
    <x v="18"/>
    <x v="1"/>
    <x v="22"/>
    <x v="8"/>
    <s v="Mysuru"/>
    <s v="Karnataka"/>
    <x v="2"/>
    <x v="2"/>
    <s v="Smartwatch"/>
    <x v="3"/>
    <n v="1"/>
    <n v="6570"/>
    <n v="0.05"/>
    <n v="4720"/>
    <s v="Credit Card"/>
    <s v="Cancelled"/>
    <n v="0"/>
    <s v="New"/>
    <n v="6570"/>
    <n v="328.5"/>
    <n v="6241.5"/>
    <n v="1521.5"/>
    <n v="0.24377152927982054"/>
    <n v="2028"/>
    <s v="Jul"/>
    <s v="Q3"/>
  </r>
  <r>
    <s v="ORD11187"/>
    <x v="1186"/>
    <s v="CUST1206"/>
    <s v="Vikram Das"/>
    <x v="198"/>
    <x v="1"/>
    <x v="30"/>
    <x v="7"/>
    <s v="Mumbai"/>
    <s v="Maharashtra"/>
    <x v="0"/>
    <x v="3"/>
    <s v="Football"/>
    <x v="10"/>
    <n v="4"/>
    <n v="1270"/>
    <n v="0.05"/>
    <n v="590"/>
    <s v="UPI"/>
    <s v="Delivered"/>
    <n v="4"/>
    <s v="Returning"/>
    <n v="5080"/>
    <n v="254"/>
    <n v="4826"/>
    <n v="4236"/>
    <n v="0.87774554496477419"/>
    <n v="2028"/>
    <s v="Jul"/>
    <s v="Q3"/>
  </r>
  <r>
    <s v="ORD11188"/>
    <x v="1187"/>
    <s v="CUST1012"/>
    <s v="Meera Shah"/>
    <x v="100"/>
    <x v="1"/>
    <x v="9"/>
    <x v="14"/>
    <s v="Ahmedabad"/>
    <s v="Gujarat"/>
    <x v="0"/>
    <x v="2"/>
    <s v="Tablet"/>
    <x v="4"/>
    <n v="3"/>
    <n v="23050"/>
    <n v="0.1"/>
    <n v="15170"/>
    <s v="UPI"/>
    <s v="Delivered"/>
    <n v="3"/>
    <s v="Returning"/>
    <n v="69150"/>
    <n v="6915"/>
    <n v="62235"/>
    <n v="47065"/>
    <n v="0.75624648509681047"/>
    <n v="2028"/>
    <s v="Jul"/>
    <s v="Q3"/>
  </r>
  <r>
    <s v="ORD11189"/>
    <x v="1188"/>
    <s v="CUST1219"/>
    <s v="Vikram Patel"/>
    <x v="60"/>
    <x v="1"/>
    <x v="27"/>
    <x v="0"/>
    <s v="Pune"/>
    <s v="Maharashtra"/>
    <x v="0"/>
    <x v="0"/>
    <s v="Handbag"/>
    <x v="12"/>
    <n v="3"/>
    <n v="2910"/>
    <n v="0.1"/>
    <n v="1540"/>
    <s v="Credit Card"/>
    <s v="Delivered"/>
    <n v="2"/>
    <s v="Returning"/>
    <n v="8730"/>
    <n v="873"/>
    <n v="7857"/>
    <n v="6317"/>
    <n v="0.80399643629884177"/>
    <n v="2028"/>
    <s v="Jul"/>
    <s v="Q3"/>
  </r>
  <r>
    <s v="ORD11190"/>
    <x v="1189"/>
    <s v="CUST1164"/>
    <s v="Karan Rao"/>
    <x v="136"/>
    <x v="1"/>
    <x v="29"/>
    <x v="1"/>
    <s v="Kolkata"/>
    <s v="West Bengal"/>
    <x v="1"/>
    <x v="3"/>
    <s v="Football"/>
    <x v="10"/>
    <n v="1"/>
    <n v="1150"/>
    <n v="0.25"/>
    <n v="600"/>
    <s v="UPI"/>
    <s v="Delivered"/>
    <n v="4"/>
    <s v="Returning"/>
    <n v="1150"/>
    <n v="287.5"/>
    <n v="862.5"/>
    <n v="262.5"/>
    <n v="0.30434782608695654"/>
    <n v="2028"/>
    <s v="Jul"/>
    <s v="Q3"/>
  </r>
  <r>
    <s v="ORD11191"/>
    <x v="1190"/>
    <s v="CUST1173"/>
    <s v="Ishita Verma"/>
    <x v="174"/>
    <x v="1"/>
    <x v="20"/>
    <x v="3"/>
    <s v="Bengaluru"/>
    <s v="Karnataka"/>
    <x v="2"/>
    <x v="0"/>
    <s v="Handbag"/>
    <x v="12"/>
    <n v="4"/>
    <n v="2680"/>
    <n v="0.1"/>
    <n v="1520"/>
    <s v="Net Banking"/>
    <s v="Delivered"/>
    <n v="6"/>
    <s v="Returning"/>
    <n v="10720"/>
    <n v="1072"/>
    <n v="9648"/>
    <n v="8128"/>
    <n v="0.84245439469320071"/>
    <n v="2028"/>
    <s v="Jul"/>
    <s v="Q3"/>
  </r>
  <r>
    <s v="ORD11192"/>
    <x v="1191"/>
    <s v="CUST1153"/>
    <s v="Sneha Reddy"/>
    <x v="133"/>
    <x v="1"/>
    <x v="8"/>
    <x v="11"/>
    <s v="Chennai"/>
    <s v="Tamil Nadu"/>
    <x v="2"/>
    <x v="5"/>
    <s v="Electric Kettle"/>
    <x v="18"/>
    <n v="1"/>
    <n v="1730"/>
    <n v="0.25"/>
    <n v="940"/>
    <s v="Debit Card"/>
    <s v="Delivered"/>
    <n v="5"/>
    <s v="Returning"/>
    <n v="1730"/>
    <n v="432.5"/>
    <n v="1297.5"/>
    <n v="357.5"/>
    <n v="0.27552986512524086"/>
    <n v="2028"/>
    <s v="Jul"/>
    <s v="Q3"/>
  </r>
  <r>
    <s v="ORD11193"/>
    <x v="1192"/>
    <s v="CUST1277"/>
    <s v="Vivaan Das"/>
    <x v="17"/>
    <x v="1"/>
    <x v="29"/>
    <x v="8"/>
    <s v="Mysuru"/>
    <s v="Karnataka"/>
    <x v="2"/>
    <x v="0"/>
    <s v="T-Shirt"/>
    <x v="2"/>
    <n v="1"/>
    <n v="960"/>
    <n v="0.25"/>
    <n v="430"/>
    <s v="UPI"/>
    <s v="Delivered"/>
    <n v="3"/>
    <s v="Returning"/>
    <n v="960"/>
    <n v="240"/>
    <n v="720"/>
    <n v="290"/>
    <n v="0.40277777777777779"/>
    <n v="2028"/>
    <s v="Jul"/>
    <s v="Q3"/>
  </r>
  <r>
    <s v="ORD11194"/>
    <x v="1193"/>
    <s v="CUST1259"/>
    <s v="Ishita Bhat"/>
    <x v="107"/>
    <x v="0"/>
    <x v="22"/>
    <x v="11"/>
    <s v="Chennai"/>
    <s v="Tamil Nadu"/>
    <x v="2"/>
    <x v="0"/>
    <s v="Jacket"/>
    <x v="25"/>
    <n v="4"/>
    <n v="4350"/>
    <n v="0.1"/>
    <n v="2520"/>
    <s v="UPI"/>
    <s v="Delivered"/>
    <n v="5"/>
    <s v="Returning"/>
    <n v="17400"/>
    <n v="1740"/>
    <n v="15660"/>
    <n v="13140"/>
    <n v="0.83908045977011492"/>
    <n v="2028"/>
    <s v="Jul"/>
    <s v="Q3"/>
  </r>
  <r>
    <s v="ORD11195"/>
    <x v="1194"/>
    <s v="CUST1258"/>
    <s v="Aarav Verma"/>
    <x v="70"/>
    <x v="0"/>
    <x v="41"/>
    <x v="11"/>
    <s v="Chennai"/>
    <s v="Tamil Nadu"/>
    <x v="2"/>
    <x v="1"/>
    <s v="Bedside Table"/>
    <x v="24"/>
    <n v="1"/>
    <n v="4800"/>
    <n v="0.05"/>
    <n v="2850"/>
    <s v="UPI"/>
    <s v="Delivered"/>
    <n v="6"/>
    <s v="Returning"/>
    <n v="4800"/>
    <n v="240"/>
    <n v="4560"/>
    <n v="1710"/>
    <n v="0.375"/>
    <n v="2028"/>
    <s v="Jul"/>
    <s v="Q3"/>
  </r>
  <r>
    <s v="ORD11196"/>
    <x v="1195"/>
    <s v="CUST1407"/>
    <s v="Aditya Nair"/>
    <x v="117"/>
    <x v="0"/>
    <x v="15"/>
    <x v="6"/>
    <s v="Guwahati"/>
    <s v="Assam"/>
    <x v="1"/>
    <x v="1"/>
    <s v="Bedside Table"/>
    <x v="24"/>
    <n v="3"/>
    <n v="4520"/>
    <n v="0.1"/>
    <n v="2870"/>
    <s v="Wallet"/>
    <s v="Delivered"/>
    <n v="7"/>
    <s v="New"/>
    <n v="13560"/>
    <n v="1356"/>
    <n v="12204"/>
    <n v="9334"/>
    <n v="0.76483120288430018"/>
    <n v="2028"/>
    <s v="Jul"/>
    <s v="Q3"/>
  </r>
  <r>
    <s v="ORD11197"/>
    <x v="1196"/>
    <s v="CUST1129"/>
    <s v="Aarav Reddy"/>
    <x v="31"/>
    <x v="0"/>
    <x v="40"/>
    <x v="11"/>
    <s v="Chennai"/>
    <s v="Tamil Nadu"/>
    <x v="2"/>
    <x v="2"/>
    <s v="Smartwatch"/>
    <x v="3"/>
    <n v="2"/>
    <n v="6470"/>
    <n v="0.25"/>
    <n v="4370"/>
    <s v="Credit Card"/>
    <s v="Delivered"/>
    <n v="4"/>
    <s v="Returning"/>
    <n v="12940"/>
    <n v="3235"/>
    <n v="9705"/>
    <n v="5335"/>
    <n v="0.5497166409067491"/>
    <n v="2028"/>
    <s v="Jul"/>
    <s v="Q3"/>
  </r>
  <r>
    <s v="ORD11198"/>
    <x v="1197"/>
    <s v="CUST1350"/>
    <s v="Vivaan Gupta"/>
    <x v="243"/>
    <x v="1"/>
    <x v="16"/>
    <x v="10"/>
    <s v="Jaipur"/>
    <s v="Rajasthan"/>
    <x v="3"/>
    <x v="3"/>
    <s v="Cricket Bat"/>
    <x v="23"/>
    <n v="2"/>
    <n v="2960"/>
    <n v="0.2"/>
    <n v="1830"/>
    <s v="Credit Card"/>
    <s v="Delivered"/>
    <n v="1"/>
    <s v="New"/>
    <n v="5920"/>
    <n v="1184"/>
    <n v="4736"/>
    <n v="2906"/>
    <n v="0.61359797297297303"/>
    <n v="2028"/>
    <s v="Jul"/>
    <s v="Q3"/>
  </r>
  <r>
    <s v="ORD11199"/>
    <x v="1198"/>
    <s v="CUST1466"/>
    <s v="Priya Rao"/>
    <x v="158"/>
    <x v="0"/>
    <x v="28"/>
    <x v="9"/>
    <s v="Hyderabad"/>
    <s v="Telangana"/>
    <x v="2"/>
    <x v="2"/>
    <s v="Laptop"/>
    <x v="15"/>
    <n v="1"/>
    <n v="58220"/>
    <n v="0.1"/>
    <n v="43050"/>
    <s v="Credit Card"/>
    <s v="Delivered"/>
    <n v="5"/>
    <s v="New"/>
    <n v="58220"/>
    <n v="5822"/>
    <n v="52398"/>
    <n v="9348"/>
    <n v="0.17840375586854459"/>
    <n v="2028"/>
    <s v="Jul"/>
    <s v="Q3"/>
  </r>
  <r>
    <s v="ORD11200"/>
    <x v="1199"/>
    <s v="CUST1370"/>
    <s v="Nisha Patel"/>
    <x v="241"/>
    <x v="1"/>
    <x v="12"/>
    <x v="1"/>
    <s v="Kolkata"/>
    <s v="West Bengal"/>
    <x v="1"/>
    <x v="2"/>
    <s v="Tablet"/>
    <x v="4"/>
    <n v="1"/>
    <n v="22490"/>
    <n v="0.25"/>
    <n v="14960"/>
    <s v="Debit Card"/>
    <s v="Delivered"/>
    <n v="5"/>
    <s v="New"/>
    <n v="22490"/>
    <n v="5622.5"/>
    <n v="16867.5"/>
    <n v="1907.5"/>
    <n v="0.11308729805839632"/>
    <n v="2028"/>
    <s v="Jul"/>
    <s v="Q3"/>
  </r>
  <r>
    <s v="ORD11201"/>
    <x v="1200"/>
    <s v="CUST1345"/>
    <s v="Ananya Nair"/>
    <x v="238"/>
    <x v="0"/>
    <x v="16"/>
    <x v="3"/>
    <s v="Bengaluru"/>
    <s v="Karnataka"/>
    <x v="2"/>
    <x v="5"/>
    <s v="Microwave"/>
    <x v="27"/>
    <n v="1"/>
    <n v="12940"/>
    <n v="0.1"/>
    <n v="8460"/>
    <s v="Credit Card"/>
    <s v="Returned"/>
    <n v="8"/>
    <s v="New"/>
    <n v="12940"/>
    <n v="1294"/>
    <n v="11646"/>
    <n v="3186"/>
    <n v="0.27357032457496139"/>
    <n v="2028"/>
    <s v="Jul"/>
    <s v="Q3"/>
  </r>
  <r>
    <s v="ORD11202"/>
    <x v="1201"/>
    <s v="CUST1061"/>
    <s v="Rahul Nair"/>
    <x v="250"/>
    <x v="0"/>
    <x v="41"/>
    <x v="7"/>
    <s v="Mumbai"/>
    <s v="Maharashtra"/>
    <x v="0"/>
    <x v="2"/>
    <s v="Smartwatch"/>
    <x v="3"/>
    <n v="1"/>
    <n v="6740"/>
    <n v="0.1"/>
    <n v="4710"/>
    <s v="Net Banking"/>
    <s v="Returned"/>
    <n v="2"/>
    <s v="Returning"/>
    <n v="6740"/>
    <n v="674"/>
    <n v="6066"/>
    <n v="1356"/>
    <n v="0.22354104846686448"/>
    <n v="2028"/>
    <s v="Jul"/>
    <s v="Q3"/>
  </r>
  <r>
    <s v="ORD11203"/>
    <x v="1202"/>
    <s v="CUST1376"/>
    <s v="Diya Naidu"/>
    <x v="147"/>
    <x v="0"/>
    <x v="38"/>
    <x v="11"/>
    <s v="Chennai"/>
    <s v="Tamil Nadu"/>
    <x v="2"/>
    <x v="0"/>
    <s v="T-Shirt"/>
    <x v="2"/>
    <n v="1"/>
    <n v="960"/>
    <n v="0.3"/>
    <n v="440"/>
    <s v="UPI"/>
    <s v="Delivered"/>
    <n v="4"/>
    <s v="New"/>
    <n v="960"/>
    <n v="288"/>
    <n v="672"/>
    <n v="232"/>
    <n v="0.34523809523809523"/>
    <n v="2028"/>
    <s v="Jul"/>
    <s v="Q3"/>
  </r>
  <r>
    <s v="ORD11204"/>
    <x v="1203"/>
    <s v="CUST1380"/>
    <s v="Aarav Verma"/>
    <x v="70"/>
    <x v="0"/>
    <x v="25"/>
    <x v="12"/>
    <s v="Delhi"/>
    <s v="Delhi"/>
    <x v="3"/>
    <x v="5"/>
    <s v="Electric Kettle"/>
    <x v="18"/>
    <n v="2"/>
    <n v="1740"/>
    <n v="0"/>
    <n v="950"/>
    <s v="Debit Card"/>
    <s v="Delivered"/>
    <n v="2"/>
    <s v="New"/>
    <n v="3480"/>
    <n v="0"/>
    <n v="3480"/>
    <n v="2530"/>
    <n v="0.72701149425287359"/>
    <n v="2028"/>
    <s v="Jul"/>
    <s v="Q3"/>
  </r>
  <r>
    <s v="ORD11205"/>
    <x v="1204"/>
    <s v="CUST1497"/>
    <s v="Sneha Singh"/>
    <x v="16"/>
    <x v="0"/>
    <x v="32"/>
    <x v="14"/>
    <s v="Ahmedabad"/>
    <s v="Gujarat"/>
    <x v="0"/>
    <x v="5"/>
    <s v="Air Fryer"/>
    <x v="26"/>
    <n v="1"/>
    <n v="6140"/>
    <n v="0.1"/>
    <n v="4090"/>
    <s v="Credit Card"/>
    <s v="Pending"/>
    <n v="5"/>
    <s v="New"/>
    <n v="6140"/>
    <n v="614"/>
    <n v="5526"/>
    <n v="1436"/>
    <n v="0.25986246833152371"/>
    <n v="2028"/>
    <s v="Jul"/>
    <s v="Q3"/>
  </r>
  <r>
    <s v="ORD11206"/>
    <x v="1205"/>
    <s v="CUST1500"/>
    <s v="Vikram Verma"/>
    <x v="149"/>
    <x v="1"/>
    <x v="11"/>
    <x v="4"/>
    <s v="Chandigarh"/>
    <s v="Chandigarh"/>
    <x v="3"/>
    <x v="5"/>
    <s v="Electric Kettle"/>
    <x v="18"/>
    <n v="1"/>
    <n v="1800"/>
    <n v="0.1"/>
    <n v="990"/>
    <s v="Credit Card"/>
    <s v="Cancelled"/>
    <n v="0"/>
    <s v="New"/>
    <n v="1800"/>
    <n v="180"/>
    <n v="1620"/>
    <n v="630"/>
    <n v="0.3888888888888889"/>
    <n v="2028"/>
    <s v="Jul"/>
    <s v="Q3"/>
  </r>
  <r>
    <s v="ORD11207"/>
    <x v="1206"/>
    <s v="CUST1113"/>
    <s v="Ananya Nair"/>
    <x v="238"/>
    <x v="1"/>
    <x v="7"/>
    <x v="6"/>
    <s v="Guwahati"/>
    <s v="Assam"/>
    <x v="1"/>
    <x v="4"/>
    <s v="Perfume"/>
    <x v="29"/>
    <n v="4"/>
    <n v="1690"/>
    <n v="0.1"/>
    <n v="870"/>
    <s v="Net Banking"/>
    <s v="Pending"/>
    <n v="3"/>
    <s v="Returning"/>
    <n v="6760"/>
    <n v="676"/>
    <n v="6084"/>
    <n v="5214"/>
    <n v="0.85700197238658782"/>
    <n v="2028"/>
    <s v="Aug"/>
    <s v="Q3"/>
  </r>
  <r>
    <s v="ORD11208"/>
    <x v="1207"/>
    <s v="CUST1158"/>
    <s v="Ananya Shah"/>
    <x v="169"/>
    <x v="1"/>
    <x v="1"/>
    <x v="8"/>
    <s v="Mysuru"/>
    <s v="Karnataka"/>
    <x v="2"/>
    <x v="3"/>
    <s v="Yoga Mat"/>
    <x v="20"/>
    <n v="1"/>
    <n v="960"/>
    <n v="0.15"/>
    <n v="390"/>
    <s v="Credit Card"/>
    <s v="Delivered"/>
    <n v="3"/>
    <s v="Returning"/>
    <n v="960"/>
    <n v="144"/>
    <n v="816"/>
    <n v="426"/>
    <n v="0.5220588235294118"/>
    <n v="2028"/>
    <s v="Aug"/>
    <s v="Q3"/>
  </r>
  <r>
    <s v="ORD11209"/>
    <x v="1208"/>
    <s v="CUST1056"/>
    <s v="Rahul Das"/>
    <x v="223"/>
    <x v="0"/>
    <x v="29"/>
    <x v="4"/>
    <s v="Chandigarh"/>
    <s v="Chandigarh"/>
    <x v="3"/>
    <x v="1"/>
    <s v="Study Table"/>
    <x v="11"/>
    <n v="3"/>
    <n v="8690"/>
    <n v="0.05"/>
    <n v="5550"/>
    <s v="Cash on Delivery"/>
    <s v="Delivered"/>
    <n v="3"/>
    <s v="Returning"/>
    <n v="26070"/>
    <n v="1303.5"/>
    <n v="24766.5"/>
    <n v="19216.5"/>
    <n v="0.77590697111016893"/>
    <n v="2028"/>
    <s v="Aug"/>
    <s v="Q3"/>
  </r>
  <r>
    <s v="ORD11210"/>
    <x v="1209"/>
    <s v="CUST1129"/>
    <s v="Rohan Reddy"/>
    <x v="130"/>
    <x v="0"/>
    <x v="14"/>
    <x v="7"/>
    <s v="Mumbai"/>
    <s v="Maharashtra"/>
    <x v="0"/>
    <x v="4"/>
    <s v="Makeup Kit"/>
    <x v="28"/>
    <n v="5"/>
    <n v="2110"/>
    <n v="0.05"/>
    <n v="1200"/>
    <s v="UPI"/>
    <s v="Delivered"/>
    <n v="6"/>
    <s v="Returning"/>
    <n v="10550"/>
    <n v="527.5"/>
    <n v="10022.5"/>
    <n v="8822.5"/>
    <n v="0.88026939386380643"/>
    <n v="2028"/>
    <s v="Aug"/>
    <s v="Q3"/>
  </r>
  <r>
    <s v="ORD11211"/>
    <x v="1210"/>
    <s v="CUST1037"/>
    <s v="Kavya Joshi"/>
    <x v="68"/>
    <x v="1"/>
    <x v="35"/>
    <x v="6"/>
    <s v="Guwahati"/>
    <s v="Assam"/>
    <x v="1"/>
    <x v="5"/>
    <s v="Air Fryer"/>
    <x v="26"/>
    <n v="2"/>
    <n v="6030"/>
    <n v="0.25"/>
    <n v="4250"/>
    <s v="Wallet"/>
    <s v="Delivered"/>
    <n v="5"/>
    <s v="Returning"/>
    <n v="12060"/>
    <n v="3015"/>
    <n v="9045"/>
    <n v="4795"/>
    <n v="0.5301271420674406"/>
    <n v="2028"/>
    <s v="Aug"/>
    <s v="Q3"/>
  </r>
  <r>
    <s v="ORD11212"/>
    <x v="1211"/>
    <s v="CUST1065"/>
    <s v="Vikram Joshi"/>
    <x v="73"/>
    <x v="0"/>
    <x v="2"/>
    <x v="8"/>
    <s v="Mysuru"/>
    <s v="Karnataka"/>
    <x v="2"/>
    <x v="2"/>
    <s v="Smartwatch"/>
    <x v="3"/>
    <n v="5"/>
    <n v="6520"/>
    <n v="0.25"/>
    <n v="4410"/>
    <s v="Debit Card"/>
    <s v="Delivered"/>
    <n v="8"/>
    <s v="Returning"/>
    <n v="32600"/>
    <n v="8150"/>
    <n v="24450"/>
    <n v="20040"/>
    <n v="0.81963190184049084"/>
    <n v="2028"/>
    <s v="Aug"/>
    <s v="Q3"/>
  </r>
  <r>
    <s v="ORD11213"/>
    <x v="1212"/>
    <s v="CUST1294"/>
    <s v="Vivaan Das"/>
    <x v="17"/>
    <x v="1"/>
    <x v="35"/>
    <x v="6"/>
    <s v="Guwahati"/>
    <s v="Assam"/>
    <x v="1"/>
    <x v="0"/>
    <s v="Jacket"/>
    <x v="25"/>
    <n v="2"/>
    <n v="4500"/>
    <n v="0.15"/>
    <n v="2630"/>
    <s v="Debit Card"/>
    <s v="Delivered"/>
    <n v="3"/>
    <s v="Returning"/>
    <n v="9000"/>
    <n v="1350"/>
    <n v="7650"/>
    <n v="5020"/>
    <n v="0.65620915032679739"/>
    <n v="2028"/>
    <s v="Aug"/>
    <s v="Q3"/>
  </r>
  <r>
    <s v="ORD11214"/>
    <x v="1213"/>
    <s v="CUST1462"/>
    <s v="Diya Patel"/>
    <x v="63"/>
    <x v="0"/>
    <x v="40"/>
    <x v="8"/>
    <s v="Mysuru"/>
    <s v="Karnataka"/>
    <x v="2"/>
    <x v="5"/>
    <s v="Vacuum Cleaner"/>
    <x v="9"/>
    <n v="2"/>
    <n v="8200"/>
    <n v="0.15"/>
    <n v="5630"/>
    <s v="UPI"/>
    <s v="Cancelled"/>
    <n v="0"/>
    <s v="New"/>
    <n v="16400"/>
    <n v="2460"/>
    <n v="13940"/>
    <n v="8310"/>
    <n v="0.59612625538020081"/>
    <n v="2028"/>
    <s v="Aug"/>
    <s v="Q3"/>
  </r>
  <r>
    <s v="ORD11215"/>
    <x v="1214"/>
    <s v="CUST1371"/>
    <s v="Arjun Gupta"/>
    <x v="109"/>
    <x v="0"/>
    <x v="13"/>
    <x v="2"/>
    <s v="Kochi"/>
    <s v="Kerala"/>
    <x v="2"/>
    <x v="5"/>
    <s v="Vacuum Cleaner"/>
    <x v="9"/>
    <n v="1"/>
    <n v="8980"/>
    <n v="0.05"/>
    <n v="5650"/>
    <s v="Credit Card"/>
    <s v="Delivered"/>
    <n v="5"/>
    <s v="New"/>
    <n v="8980"/>
    <n v="449"/>
    <n v="8531"/>
    <n v="2881"/>
    <n v="0.33770952994959558"/>
    <n v="2028"/>
    <s v="Aug"/>
    <s v="Q3"/>
  </r>
  <r>
    <s v="ORD11216"/>
    <x v="1215"/>
    <s v="CUST1401"/>
    <s v="Rohan Reddy"/>
    <x v="130"/>
    <x v="1"/>
    <x v="27"/>
    <x v="14"/>
    <s v="Ahmedabad"/>
    <s v="Gujarat"/>
    <x v="0"/>
    <x v="1"/>
    <s v="Office Chair"/>
    <x v="1"/>
    <n v="2"/>
    <n v="6440"/>
    <n v="0.15"/>
    <n v="4380"/>
    <s v="Debit Card"/>
    <s v="Delivered"/>
    <n v="5"/>
    <s v="New"/>
    <n v="12880"/>
    <n v="1932"/>
    <n v="10948"/>
    <n v="6568"/>
    <n v="0.59992692729265618"/>
    <n v="2028"/>
    <s v="Aug"/>
    <s v="Q3"/>
  </r>
  <r>
    <s v="ORD11217"/>
    <x v="1216"/>
    <s v="CUST1192"/>
    <s v="Priya Reddy"/>
    <x v="64"/>
    <x v="0"/>
    <x v="9"/>
    <x v="12"/>
    <s v="Delhi"/>
    <s v="Delhi"/>
    <x v="3"/>
    <x v="1"/>
    <s v="Office Chair"/>
    <x v="1"/>
    <n v="4"/>
    <n v="6260"/>
    <n v="0.15"/>
    <n v="4020"/>
    <s v="Credit Card"/>
    <s v="Returned"/>
    <n v="4"/>
    <s v="Returning"/>
    <n v="25040"/>
    <n v="3756"/>
    <n v="21284"/>
    <n v="17264"/>
    <n v="0.81112572824657014"/>
    <n v="2028"/>
    <s v="Aug"/>
    <s v="Q3"/>
  </r>
  <r>
    <s v="ORD11218"/>
    <x v="1217"/>
    <s v="CUST1111"/>
    <s v="Arjun Das"/>
    <x v="123"/>
    <x v="0"/>
    <x v="18"/>
    <x v="7"/>
    <s v="Mumbai"/>
    <s v="Maharashtra"/>
    <x v="0"/>
    <x v="2"/>
    <s v="Tablet"/>
    <x v="4"/>
    <n v="3"/>
    <n v="23690"/>
    <n v="0.2"/>
    <n v="15820"/>
    <s v="UPI"/>
    <s v="Delivered"/>
    <n v="5"/>
    <s v="Returning"/>
    <n v="71070"/>
    <n v="14214"/>
    <n v="56856"/>
    <n v="41036"/>
    <n v="0.72175320106936824"/>
    <n v="2028"/>
    <s v="Aug"/>
    <s v="Q3"/>
  </r>
  <r>
    <s v="ORD11219"/>
    <x v="1218"/>
    <s v="CUST1209"/>
    <s v="Karan Rao"/>
    <x v="136"/>
    <x v="1"/>
    <x v="28"/>
    <x v="10"/>
    <s v="Jaipur"/>
    <s v="Rajasthan"/>
    <x v="3"/>
    <x v="4"/>
    <s v="Shampoo"/>
    <x v="8"/>
    <n v="2"/>
    <n v="490"/>
    <n v="0"/>
    <n v="220"/>
    <s v="Net Banking"/>
    <s v="Delivered"/>
    <n v="2"/>
    <s v="Returning"/>
    <n v="980"/>
    <n v="0"/>
    <n v="980"/>
    <n v="760"/>
    <n v="0.77551020408163263"/>
    <n v="2028"/>
    <s v="Aug"/>
    <s v="Q3"/>
  </r>
  <r>
    <s v="ORD11220"/>
    <x v="1219"/>
    <s v="CUST1057"/>
    <s v="Vikram Patel"/>
    <x v="60"/>
    <x v="0"/>
    <x v="21"/>
    <x v="3"/>
    <s v="Bengaluru"/>
    <s v="Karnataka"/>
    <x v="2"/>
    <x v="0"/>
    <s v="Handbag"/>
    <x v="12"/>
    <n v="1"/>
    <n v="2590"/>
    <n v="0.1"/>
    <n v="1520"/>
    <s v="Wallet"/>
    <s v="Delivered"/>
    <n v="2"/>
    <s v="Returning"/>
    <n v="2590"/>
    <n v="259"/>
    <n v="2331"/>
    <n v="811"/>
    <n v="0.34791934791934792"/>
    <n v="2028"/>
    <s v="Aug"/>
    <s v="Q3"/>
  </r>
  <r>
    <s v="ORD11221"/>
    <x v="1220"/>
    <s v="CUST1329"/>
    <s v="Nisha Singh"/>
    <x v="114"/>
    <x v="1"/>
    <x v="10"/>
    <x v="0"/>
    <s v="Pune"/>
    <s v="Maharashtra"/>
    <x v="0"/>
    <x v="0"/>
    <s v="Handbag"/>
    <x v="12"/>
    <n v="4"/>
    <n v="2660"/>
    <n v="0.15"/>
    <n v="1640"/>
    <s v="Net Banking"/>
    <s v="Delivered"/>
    <n v="8"/>
    <s v="New"/>
    <n v="10640"/>
    <n v="1596"/>
    <n v="9044"/>
    <n v="7404"/>
    <n v="0.8186643078283945"/>
    <n v="2028"/>
    <s v="Aug"/>
    <s v="Q3"/>
  </r>
  <r>
    <s v="ORD11222"/>
    <x v="1221"/>
    <s v="CUST1144"/>
    <s v="Priya Iyer"/>
    <x v="217"/>
    <x v="1"/>
    <x v="1"/>
    <x v="13"/>
    <s v="Lucknow"/>
    <s v="Uttar Pradesh"/>
    <x v="3"/>
    <x v="4"/>
    <s v="Makeup Kit"/>
    <x v="28"/>
    <n v="1"/>
    <n v="2370"/>
    <n v="0.1"/>
    <n v="1230"/>
    <s v="UPI"/>
    <s v="Delivered"/>
    <n v="3"/>
    <s v="Returning"/>
    <n v="2370"/>
    <n v="237"/>
    <n v="2133"/>
    <n v="903"/>
    <n v="0.42334739803094235"/>
    <n v="2028"/>
    <s v="Aug"/>
    <s v="Q3"/>
  </r>
  <r>
    <s v="ORD11223"/>
    <x v="1222"/>
    <s v="CUST1465"/>
    <s v="Aarav Joshi"/>
    <x v="62"/>
    <x v="1"/>
    <x v="32"/>
    <x v="11"/>
    <s v="Chennai"/>
    <s v="Tamil Nadu"/>
    <x v="2"/>
    <x v="1"/>
    <s v="Study Table"/>
    <x v="11"/>
    <n v="1"/>
    <n v="8970"/>
    <n v="0.1"/>
    <n v="5470"/>
    <s v="Net Banking"/>
    <s v="Delivered"/>
    <n v="1"/>
    <s v="New"/>
    <n v="8970"/>
    <n v="897"/>
    <n v="8073"/>
    <n v="2603"/>
    <n v="0.32243280069367025"/>
    <n v="2028"/>
    <s v="Aug"/>
    <s v="Q3"/>
  </r>
  <r>
    <s v="ORD11224"/>
    <x v="1223"/>
    <s v="CUST1245"/>
    <s v="Meera Patel"/>
    <x v="244"/>
    <x v="1"/>
    <x v="19"/>
    <x v="11"/>
    <s v="Chennai"/>
    <s v="Tamil Nadu"/>
    <x v="2"/>
    <x v="2"/>
    <s v="Smartwatch"/>
    <x v="3"/>
    <n v="3"/>
    <n v="6900"/>
    <n v="0.1"/>
    <n v="4310"/>
    <s v="UPI"/>
    <s v="Delivered"/>
    <n v="3"/>
    <s v="Returning"/>
    <n v="20700"/>
    <n v="2070"/>
    <n v="18630"/>
    <n v="14320"/>
    <n v="0.76865271068169616"/>
    <n v="2028"/>
    <s v="Aug"/>
    <s v="Q3"/>
  </r>
  <r>
    <s v="ORD11225"/>
    <x v="1224"/>
    <s v="CUST1397"/>
    <s v="Rohan Mehta"/>
    <x v="176"/>
    <x v="1"/>
    <x v="3"/>
    <x v="2"/>
    <s v="Kochi"/>
    <s v="Kerala"/>
    <x v="2"/>
    <x v="0"/>
    <s v="T-Shirt"/>
    <x v="2"/>
    <n v="3"/>
    <n v="910"/>
    <n v="0.05"/>
    <n v="440"/>
    <s v="Debit Card"/>
    <s v="Delivered"/>
    <n v="2"/>
    <s v="New"/>
    <n v="2730"/>
    <n v="136.5"/>
    <n v="2593.5"/>
    <n v="2153.5"/>
    <n v="0.83034509350298824"/>
    <n v="2028"/>
    <s v="Aug"/>
    <s v="Q3"/>
  </r>
  <r>
    <s v="ORD11226"/>
    <x v="1225"/>
    <s v="CUST1413"/>
    <s v="Rahul Iyer"/>
    <x v="181"/>
    <x v="1"/>
    <x v="32"/>
    <x v="2"/>
    <s v="Kochi"/>
    <s v="Kerala"/>
    <x v="2"/>
    <x v="3"/>
    <s v="Football"/>
    <x v="10"/>
    <n v="1"/>
    <n v="1240"/>
    <n v="0"/>
    <n v="590"/>
    <s v="Credit Card"/>
    <s v="Returned"/>
    <n v="4"/>
    <s v="New"/>
    <n v="1240"/>
    <n v="0"/>
    <n v="1240"/>
    <n v="650"/>
    <n v="0.52419354838709675"/>
    <n v="2028"/>
    <s v="Aug"/>
    <s v="Q3"/>
  </r>
  <r>
    <s v="ORD11227"/>
    <x v="1226"/>
    <s v="CUST1018"/>
    <s v="Meera Gupta"/>
    <x v="89"/>
    <x v="0"/>
    <x v="11"/>
    <x v="6"/>
    <s v="Guwahati"/>
    <s v="Assam"/>
    <x v="1"/>
    <x v="4"/>
    <s v="Perfume"/>
    <x v="29"/>
    <n v="2"/>
    <n v="1760"/>
    <n v="0.1"/>
    <n v="910"/>
    <s v="Wallet"/>
    <s v="Delivered"/>
    <n v="3"/>
    <s v="Returning"/>
    <n v="3520"/>
    <n v="352"/>
    <n v="3168"/>
    <n v="2258"/>
    <n v="0.7127525252525253"/>
    <n v="2028"/>
    <s v="Aug"/>
    <s v="Q3"/>
  </r>
  <r>
    <s v="ORD11228"/>
    <x v="1227"/>
    <s v="CUST1031"/>
    <s v="Sneha Joshi"/>
    <x v="252"/>
    <x v="1"/>
    <x v="24"/>
    <x v="7"/>
    <s v="Mumbai"/>
    <s v="Maharashtra"/>
    <x v="0"/>
    <x v="0"/>
    <s v="Jeans"/>
    <x v="19"/>
    <n v="1"/>
    <n v="2050"/>
    <n v="0.1"/>
    <n v="1240"/>
    <s v="Credit Card"/>
    <s v="Delivered"/>
    <n v="5"/>
    <s v="Returning"/>
    <n v="2050"/>
    <n v="205"/>
    <n v="1845"/>
    <n v="605"/>
    <n v="0.32791327913279134"/>
    <n v="2028"/>
    <s v="Aug"/>
    <s v="Q3"/>
  </r>
  <r>
    <s v="ORD11229"/>
    <x v="1228"/>
    <s v="CUST1024"/>
    <s v="Aditya Bhat"/>
    <x v="59"/>
    <x v="0"/>
    <x v="1"/>
    <x v="0"/>
    <s v="Pune"/>
    <s v="Maharashtra"/>
    <x v="0"/>
    <x v="3"/>
    <s v="Dumbbells"/>
    <x v="7"/>
    <n v="1"/>
    <n v="2400"/>
    <n v="0"/>
    <n v="1530"/>
    <s v="UPI"/>
    <s v="Cancelled"/>
    <n v="0"/>
    <s v="Returning"/>
    <n v="2400"/>
    <n v="0"/>
    <n v="2400"/>
    <n v="870"/>
    <n v="0.36249999999999999"/>
    <n v="2028"/>
    <s v="Aug"/>
    <s v="Q3"/>
  </r>
  <r>
    <s v="ORD11230"/>
    <x v="1229"/>
    <s v="CUST1140"/>
    <s v="Vikram Singh"/>
    <x v="192"/>
    <x v="0"/>
    <x v="13"/>
    <x v="8"/>
    <s v="Mysuru"/>
    <s v="Karnataka"/>
    <x v="2"/>
    <x v="0"/>
    <s v="Jacket"/>
    <x v="25"/>
    <n v="2"/>
    <n v="3970"/>
    <n v="0.25"/>
    <n v="2640"/>
    <s v="UPI"/>
    <s v="Delivered"/>
    <n v="2"/>
    <s v="Returning"/>
    <n v="7940"/>
    <n v="1985"/>
    <n v="5955"/>
    <n v="3315"/>
    <n v="0.55667506297229219"/>
    <n v="2028"/>
    <s v="Aug"/>
    <s v="Q3"/>
  </r>
  <r>
    <s v="ORD11231"/>
    <x v="1230"/>
    <s v="CUST1259"/>
    <s v="Aditya Kumar"/>
    <x v="155"/>
    <x v="1"/>
    <x v="3"/>
    <x v="0"/>
    <s v="Pune"/>
    <s v="Maharashtra"/>
    <x v="0"/>
    <x v="2"/>
    <s v="Tablet"/>
    <x v="4"/>
    <n v="2"/>
    <n v="22090"/>
    <n v="0.2"/>
    <n v="15890"/>
    <s v="Credit Card"/>
    <s v="Delivered"/>
    <n v="5"/>
    <s v="Returning"/>
    <n v="44180"/>
    <n v="8836"/>
    <n v="35344"/>
    <n v="19454"/>
    <n v="0.55041874151199632"/>
    <n v="2028"/>
    <s v="Aug"/>
    <s v="Q3"/>
  </r>
  <r>
    <s v="ORD11232"/>
    <x v="1231"/>
    <s v="CUST1186"/>
    <s v="Vikram Rao"/>
    <x v="15"/>
    <x v="0"/>
    <x v="10"/>
    <x v="12"/>
    <s v="Delhi"/>
    <s v="Delhi"/>
    <x v="3"/>
    <x v="1"/>
    <s v="Bookshelf"/>
    <x v="6"/>
    <n v="1"/>
    <n v="4600"/>
    <n v="0.1"/>
    <n v="3280"/>
    <s v="UPI"/>
    <s v="Delivered"/>
    <n v="2"/>
    <s v="Returning"/>
    <n v="4600"/>
    <n v="460"/>
    <n v="4140"/>
    <n v="860"/>
    <n v="0.20772946859903382"/>
    <n v="2028"/>
    <s v="Aug"/>
    <s v="Q3"/>
  </r>
  <r>
    <s v="ORD11233"/>
    <x v="1232"/>
    <s v="CUST1341"/>
    <s v="Kavya Singh"/>
    <x v="150"/>
    <x v="0"/>
    <x v="5"/>
    <x v="6"/>
    <s v="Guwahati"/>
    <s v="Assam"/>
    <x v="1"/>
    <x v="0"/>
    <s v="T-Shirt"/>
    <x v="2"/>
    <n v="2"/>
    <n v="880"/>
    <n v="0"/>
    <n v="440"/>
    <s v="Net Banking"/>
    <s v="Delivered"/>
    <n v="5"/>
    <s v="New"/>
    <n v="1760"/>
    <n v="0"/>
    <n v="1760"/>
    <n v="1320"/>
    <n v="0.75"/>
    <n v="2028"/>
    <s v="Aug"/>
    <s v="Q3"/>
  </r>
  <r>
    <s v="ORD11234"/>
    <x v="1233"/>
    <s v="CUST1117"/>
    <s v="Meera Gupta"/>
    <x v="89"/>
    <x v="1"/>
    <x v="42"/>
    <x v="6"/>
    <s v="Guwahati"/>
    <s v="Assam"/>
    <x v="1"/>
    <x v="0"/>
    <s v="T-Shirt"/>
    <x v="2"/>
    <n v="2"/>
    <n v="840"/>
    <n v="0.1"/>
    <n v="450"/>
    <s v="UPI"/>
    <s v="Delivered"/>
    <n v="3"/>
    <s v="Returning"/>
    <n v="1680"/>
    <n v="168"/>
    <n v="1512"/>
    <n v="1062"/>
    <n v="0.70238095238095233"/>
    <n v="2028"/>
    <s v="Aug"/>
    <s v="Q3"/>
  </r>
  <r>
    <s v="ORD11235"/>
    <x v="1234"/>
    <s v="CUST1463"/>
    <s v="Diya Naidu"/>
    <x v="147"/>
    <x v="0"/>
    <x v="1"/>
    <x v="3"/>
    <s v="Bengaluru"/>
    <s v="Karnataka"/>
    <x v="2"/>
    <x v="2"/>
    <s v="Tablet"/>
    <x v="4"/>
    <n v="1"/>
    <n v="21210"/>
    <n v="0.1"/>
    <n v="16220"/>
    <s v="Credit Card"/>
    <s v="Delivered"/>
    <n v="7"/>
    <s v="New"/>
    <n v="21210"/>
    <n v="2121"/>
    <n v="19089"/>
    <n v="2869"/>
    <n v="0.15029598197915028"/>
    <n v="2028"/>
    <s v="Aug"/>
    <s v="Q3"/>
  </r>
  <r>
    <s v="ORD11236"/>
    <x v="1235"/>
    <s v="CUST1379"/>
    <s v="Vikram Gupta"/>
    <x v="177"/>
    <x v="1"/>
    <x v="12"/>
    <x v="14"/>
    <s v="Ahmedabad"/>
    <s v="Gujarat"/>
    <x v="0"/>
    <x v="5"/>
    <s v="Air Fryer"/>
    <x v="26"/>
    <n v="1"/>
    <n v="6670"/>
    <n v="0.15"/>
    <n v="4150"/>
    <s v="Debit Card"/>
    <s v="Delivered"/>
    <n v="1"/>
    <s v="New"/>
    <n v="6670"/>
    <n v="1000.5"/>
    <n v="5669.5"/>
    <n v="1519.5"/>
    <n v="0.26801305229738071"/>
    <n v="2028"/>
    <s v="Aug"/>
    <s v="Q3"/>
  </r>
  <r>
    <s v="ORD11237"/>
    <x v="1236"/>
    <s v="CUST1249"/>
    <s v="Aditya Das"/>
    <x v="229"/>
    <x v="0"/>
    <x v="42"/>
    <x v="5"/>
    <s v="Bhubaneswar"/>
    <s v="Odisha"/>
    <x v="1"/>
    <x v="0"/>
    <s v="T-Shirt"/>
    <x v="2"/>
    <n v="1"/>
    <n v="900"/>
    <n v="0"/>
    <n v="430"/>
    <s v="Credit Card"/>
    <s v="Delivered"/>
    <n v="8"/>
    <s v="Returning"/>
    <n v="900"/>
    <n v="0"/>
    <n v="900"/>
    <n v="470"/>
    <n v="0.52222222222222225"/>
    <n v="2028"/>
    <s v="Aug"/>
    <s v="Q3"/>
  </r>
  <r>
    <s v="ORD11238"/>
    <x v="1237"/>
    <s v="CUST1207"/>
    <s v="Aditya Shah"/>
    <x v="10"/>
    <x v="0"/>
    <x v="33"/>
    <x v="13"/>
    <s v="Lucknow"/>
    <s v="Uttar Pradesh"/>
    <x v="3"/>
    <x v="5"/>
    <s v="Air Fryer"/>
    <x v="26"/>
    <n v="1"/>
    <n v="6770"/>
    <n v="0.15"/>
    <n v="4200"/>
    <s v="Net Banking"/>
    <s v="Cancelled"/>
    <n v="0"/>
    <s v="Returning"/>
    <n v="6770"/>
    <n v="1015.5"/>
    <n v="5754.5"/>
    <n v="1554.5"/>
    <n v="0.27013641497958119"/>
    <n v="2028"/>
    <s v="Sep"/>
    <s v="Q3"/>
  </r>
  <r>
    <s v="ORD11239"/>
    <x v="1238"/>
    <s v="CUST1278"/>
    <s v="Meera Rao"/>
    <x v="245"/>
    <x v="1"/>
    <x v="29"/>
    <x v="7"/>
    <s v="Mumbai"/>
    <s v="Maharashtra"/>
    <x v="0"/>
    <x v="3"/>
    <s v="Football"/>
    <x v="10"/>
    <n v="3"/>
    <n v="1120"/>
    <n v="0.3"/>
    <n v="610"/>
    <s v="Net Banking"/>
    <s v="Delivered"/>
    <n v="3"/>
    <s v="Returning"/>
    <n v="3360"/>
    <n v="1008"/>
    <n v="2352"/>
    <n v="1742"/>
    <n v="0.74064625850340138"/>
    <n v="2028"/>
    <s v="Sep"/>
    <s v="Q3"/>
  </r>
  <r>
    <s v="ORD11240"/>
    <x v="1239"/>
    <s v="CUST1176"/>
    <s v="Priya Bhat"/>
    <x v="58"/>
    <x v="0"/>
    <x v="10"/>
    <x v="3"/>
    <s v="Bengaluru"/>
    <s v="Karnataka"/>
    <x v="2"/>
    <x v="1"/>
    <s v="Bookshelf"/>
    <x v="6"/>
    <n v="2"/>
    <n v="4950"/>
    <n v="0.2"/>
    <n v="3240"/>
    <s v="Debit Card"/>
    <s v="Cancelled"/>
    <n v="0"/>
    <s v="Returning"/>
    <n v="9900"/>
    <n v="1980"/>
    <n v="7920"/>
    <n v="4680"/>
    <n v="0.59090909090909094"/>
    <n v="2028"/>
    <s v="Sep"/>
    <s v="Q3"/>
  </r>
  <r>
    <s v="ORD11241"/>
    <x v="1240"/>
    <s v="CUST1169"/>
    <s v="Karan Verma"/>
    <x v="66"/>
    <x v="0"/>
    <x v="19"/>
    <x v="1"/>
    <s v="Kolkata"/>
    <s v="West Bengal"/>
    <x v="1"/>
    <x v="0"/>
    <s v="Jeans"/>
    <x v="19"/>
    <n v="1"/>
    <n v="2040"/>
    <n v="0"/>
    <n v="1160"/>
    <s v="UPI"/>
    <s v="Delivered"/>
    <n v="2"/>
    <s v="Returning"/>
    <n v="2040"/>
    <n v="0"/>
    <n v="2040"/>
    <n v="880"/>
    <n v="0.43137254901960786"/>
    <n v="2028"/>
    <s v="Sep"/>
    <s v="Q3"/>
  </r>
  <r>
    <s v="ORD11242"/>
    <x v="1241"/>
    <s v="CUST1017"/>
    <s v="Rohan Verma"/>
    <x v="212"/>
    <x v="1"/>
    <x v="35"/>
    <x v="0"/>
    <s v="Pune"/>
    <s v="Maharashtra"/>
    <x v="0"/>
    <x v="5"/>
    <s v="Mixer Grinder"/>
    <x v="22"/>
    <n v="1"/>
    <n v="4250"/>
    <n v="0.05"/>
    <n v="2660"/>
    <s v="UPI"/>
    <s v="Delivered"/>
    <n v="4"/>
    <s v="Returning"/>
    <n v="4250"/>
    <n v="212.5"/>
    <n v="4037.5"/>
    <n v="1377.5"/>
    <n v="0.3411764705882353"/>
    <n v="2028"/>
    <s v="Sep"/>
    <s v="Q3"/>
  </r>
  <r>
    <s v="ORD11243"/>
    <x v="1242"/>
    <s v="CUST1031"/>
    <s v="Meera Kumar"/>
    <x v="234"/>
    <x v="1"/>
    <x v="40"/>
    <x v="4"/>
    <s v="Chandigarh"/>
    <s v="Chandigarh"/>
    <x v="3"/>
    <x v="1"/>
    <s v="Office Chair"/>
    <x v="1"/>
    <n v="2"/>
    <n v="6740"/>
    <n v="0.1"/>
    <n v="4100"/>
    <s v="UPI"/>
    <s v="Delivered"/>
    <n v="3"/>
    <s v="Returning"/>
    <n v="13480"/>
    <n v="1348"/>
    <n v="12132"/>
    <n v="8032"/>
    <n v="0.66205077481041874"/>
    <n v="2028"/>
    <s v="Sep"/>
    <s v="Q3"/>
  </r>
  <r>
    <s v="ORD11244"/>
    <x v="1243"/>
    <s v="CUST1317"/>
    <s v="Rohan Verma"/>
    <x v="212"/>
    <x v="1"/>
    <x v="13"/>
    <x v="3"/>
    <s v="Bengaluru"/>
    <s v="Karnataka"/>
    <x v="2"/>
    <x v="2"/>
    <s v="Headphones"/>
    <x v="5"/>
    <n v="2"/>
    <n v="2420"/>
    <n v="0.2"/>
    <n v="1500"/>
    <s v="Credit Card"/>
    <s v="Pending"/>
    <n v="7"/>
    <s v="New"/>
    <n v="4840"/>
    <n v="968"/>
    <n v="3872"/>
    <n v="2372"/>
    <n v="0.61260330578512401"/>
    <n v="2028"/>
    <s v="Sep"/>
    <s v="Q3"/>
  </r>
  <r>
    <s v="ORD11245"/>
    <x v="1244"/>
    <s v="CUST1144"/>
    <s v="Vikram Joshi"/>
    <x v="73"/>
    <x v="1"/>
    <x v="36"/>
    <x v="6"/>
    <s v="Guwahati"/>
    <s v="Assam"/>
    <x v="1"/>
    <x v="1"/>
    <s v="Bookshelf"/>
    <x v="6"/>
    <n v="2"/>
    <n v="5090"/>
    <n v="0.05"/>
    <n v="3260"/>
    <s v="Credit Card"/>
    <s v="Delivered"/>
    <n v="1"/>
    <s v="Returning"/>
    <n v="10180"/>
    <n v="509"/>
    <n v="9671"/>
    <n v="6411"/>
    <n v="0.6629097301209802"/>
    <n v="2028"/>
    <s v="Sep"/>
    <s v="Q3"/>
  </r>
  <r>
    <s v="ORD11246"/>
    <x v="1245"/>
    <s v="CUST1238"/>
    <s v="Rahul Patel"/>
    <x v="247"/>
    <x v="0"/>
    <x v="41"/>
    <x v="13"/>
    <s v="Lucknow"/>
    <s v="Uttar Pradesh"/>
    <x v="3"/>
    <x v="1"/>
    <s v="Study Table"/>
    <x v="11"/>
    <n v="2"/>
    <n v="8290"/>
    <n v="0.1"/>
    <n v="5490"/>
    <s v="Wallet"/>
    <s v="Delivered"/>
    <n v="4"/>
    <s v="Returning"/>
    <n v="16580"/>
    <n v="1658"/>
    <n v="14922"/>
    <n v="9432"/>
    <n v="0.632086851628468"/>
    <n v="2028"/>
    <s v="Sep"/>
    <s v="Q3"/>
  </r>
  <r>
    <s v="ORD11247"/>
    <x v="1246"/>
    <s v="CUST1023"/>
    <s v="Nisha Sharma"/>
    <x v="11"/>
    <x v="1"/>
    <x v="41"/>
    <x v="14"/>
    <s v="Ahmedabad"/>
    <s v="Gujarat"/>
    <x v="0"/>
    <x v="1"/>
    <s v="Office Chair"/>
    <x v="1"/>
    <n v="2"/>
    <n v="7000"/>
    <n v="0.15"/>
    <n v="4030"/>
    <s v="Credit Card"/>
    <s v="Delivered"/>
    <n v="5"/>
    <s v="Returning"/>
    <n v="14000"/>
    <n v="2100"/>
    <n v="11900"/>
    <n v="7870"/>
    <n v="0.66134453781512603"/>
    <n v="2028"/>
    <s v="Sep"/>
    <s v="Q3"/>
  </r>
  <r>
    <s v="ORD11248"/>
    <x v="1247"/>
    <s v="CUST1430"/>
    <s v="Aditya Singh"/>
    <x v="115"/>
    <x v="0"/>
    <x v="8"/>
    <x v="12"/>
    <s v="Delhi"/>
    <s v="Delhi"/>
    <x v="3"/>
    <x v="2"/>
    <s v="Headphones"/>
    <x v="5"/>
    <n v="3"/>
    <n v="2570"/>
    <n v="0.15"/>
    <n v="1500"/>
    <s v="Debit Card"/>
    <s v="Delivered"/>
    <n v="6"/>
    <s v="New"/>
    <n v="7710"/>
    <n v="1156.5"/>
    <n v="6553.5"/>
    <n v="5053.5"/>
    <n v="0.77111467154955371"/>
    <n v="2028"/>
    <s v="Sep"/>
    <s v="Q3"/>
  </r>
  <r>
    <s v="ORD11249"/>
    <x v="1248"/>
    <s v="CUST1105"/>
    <s v="Aditya Rao"/>
    <x v="145"/>
    <x v="1"/>
    <x v="21"/>
    <x v="3"/>
    <s v="Bengaluru"/>
    <s v="Karnataka"/>
    <x v="2"/>
    <x v="4"/>
    <s v="Makeup Kit"/>
    <x v="28"/>
    <n v="2"/>
    <n v="2200"/>
    <n v="0.05"/>
    <n v="1230"/>
    <s v="Cash on Delivery"/>
    <s v="Delivered"/>
    <n v="3"/>
    <s v="Returning"/>
    <n v="4400"/>
    <n v="220"/>
    <n v="4180"/>
    <n v="2950"/>
    <n v="0.70574162679425834"/>
    <n v="2028"/>
    <s v="Sep"/>
    <s v="Q3"/>
  </r>
  <r>
    <s v="ORD11250"/>
    <x v="1249"/>
    <s v="CUST1210"/>
    <s v="Ananya Mehta"/>
    <x v="125"/>
    <x v="1"/>
    <x v="13"/>
    <x v="13"/>
    <s v="Lucknow"/>
    <s v="Uttar Pradesh"/>
    <x v="3"/>
    <x v="1"/>
    <s v="Study Table"/>
    <x v="11"/>
    <n v="1"/>
    <n v="8670"/>
    <n v="0.25"/>
    <n v="5420"/>
    <s v="Cash on Delivery"/>
    <s v="Delivered"/>
    <n v="5"/>
    <s v="Returning"/>
    <n v="8670"/>
    <n v="2167.5"/>
    <n v="6502.5"/>
    <n v="1082.5"/>
    <n v="0.16647443291041908"/>
    <n v="2028"/>
    <s v="Sep"/>
    <s v="Q3"/>
  </r>
  <r>
    <s v="ORD11251"/>
    <x v="1250"/>
    <s v="CUST1150"/>
    <s v="Karan Nair"/>
    <x v="129"/>
    <x v="0"/>
    <x v="17"/>
    <x v="1"/>
    <s v="Kolkata"/>
    <s v="West Bengal"/>
    <x v="1"/>
    <x v="0"/>
    <s v="Jeans"/>
    <x v="19"/>
    <n v="4"/>
    <n v="2200"/>
    <n v="0.1"/>
    <n v="1240"/>
    <s v="Credit Card"/>
    <s v="Delivered"/>
    <n v="6"/>
    <s v="Returning"/>
    <n v="8800"/>
    <n v="880"/>
    <n v="7920"/>
    <n v="6680"/>
    <n v="0.84343434343434343"/>
    <n v="2028"/>
    <s v="Sep"/>
    <s v="Q3"/>
  </r>
  <r>
    <s v="ORD11252"/>
    <x v="1251"/>
    <s v="CUST1246"/>
    <s v="Nisha Naidu"/>
    <x v="3"/>
    <x v="0"/>
    <x v="38"/>
    <x v="4"/>
    <s v="Chandigarh"/>
    <s v="Chandigarh"/>
    <x v="3"/>
    <x v="5"/>
    <s v="Electric Kettle"/>
    <x v="18"/>
    <n v="1"/>
    <n v="1890"/>
    <n v="0.15"/>
    <n v="920"/>
    <s v="Credit Card"/>
    <s v="Delivered"/>
    <n v="4"/>
    <s v="Returning"/>
    <n v="1890"/>
    <n v="283.5"/>
    <n v="1606.5"/>
    <n v="686.5"/>
    <n v="0.42732648615001556"/>
    <n v="2028"/>
    <s v="Sep"/>
    <s v="Q3"/>
  </r>
  <r>
    <s v="ORD11253"/>
    <x v="1252"/>
    <s v="CUST1162"/>
    <s v="Ishita Reddy"/>
    <x v="153"/>
    <x v="1"/>
    <x v="12"/>
    <x v="6"/>
    <s v="Guwahati"/>
    <s v="Assam"/>
    <x v="1"/>
    <x v="2"/>
    <s v="Tablet"/>
    <x v="4"/>
    <n v="2"/>
    <n v="23070"/>
    <n v="0.05"/>
    <n v="15540"/>
    <s v="UPI"/>
    <s v="Delivered"/>
    <n v="4"/>
    <s v="Returning"/>
    <n v="46140"/>
    <n v="2307"/>
    <n v="43833"/>
    <n v="28293"/>
    <n v="0.64547258914516459"/>
    <n v="2028"/>
    <s v="Sep"/>
    <s v="Q3"/>
  </r>
  <r>
    <s v="ORD11254"/>
    <x v="1253"/>
    <s v="CUST1196"/>
    <s v="Priya Shah"/>
    <x v="228"/>
    <x v="1"/>
    <x v="14"/>
    <x v="8"/>
    <s v="Mysuru"/>
    <s v="Karnataka"/>
    <x v="2"/>
    <x v="3"/>
    <s v="Yoga Mat"/>
    <x v="20"/>
    <n v="2"/>
    <n v="960"/>
    <n v="0.1"/>
    <n v="390"/>
    <s v="Credit Card"/>
    <s v="Delivered"/>
    <n v="1"/>
    <s v="Returning"/>
    <n v="1920"/>
    <n v="192"/>
    <n v="1728"/>
    <n v="1338"/>
    <n v="0.77430555555555558"/>
    <n v="2028"/>
    <s v="Sep"/>
    <s v="Q3"/>
  </r>
  <r>
    <s v="ORD11255"/>
    <x v="1254"/>
    <s v="CUST1146"/>
    <s v="Nisha Rao"/>
    <x v="249"/>
    <x v="0"/>
    <x v="36"/>
    <x v="1"/>
    <s v="Kolkata"/>
    <s v="West Bengal"/>
    <x v="1"/>
    <x v="0"/>
    <s v="Sneakers"/>
    <x v="0"/>
    <n v="3"/>
    <n v="3510"/>
    <n v="0.15"/>
    <n v="2010"/>
    <s v="Credit Card"/>
    <s v="Delivered"/>
    <n v="4"/>
    <s v="Returning"/>
    <n v="10530"/>
    <n v="1579.5"/>
    <n v="8950.5"/>
    <n v="6940.5"/>
    <n v="0.77543154013742244"/>
    <n v="2028"/>
    <s v="Sep"/>
    <s v="Q3"/>
  </r>
  <r>
    <s v="ORD11256"/>
    <x v="1255"/>
    <s v="CUST1266"/>
    <s v="Arjun Verma"/>
    <x v="7"/>
    <x v="1"/>
    <x v="24"/>
    <x v="10"/>
    <s v="Jaipur"/>
    <s v="Rajasthan"/>
    <x v="3"/>
    <x v="0"/>
    <s v="Jeans"/>
    <x v="19"/>
    <n v="2"/>
    <n v="2320"/>
    <n v="0.2"/>
    <n v="1250"/>
    <s v="Wallet"/>
    <s v="Delivered"/>
    <n v="7"/>
    <s v="Returning"/>
    <n v="4640"/>
    <n v="928"/>
    <n v="3712"/>
    <n v="2462"/>
    <n v="0.66325431034482762"/>
    <n v="2028"/>
    <s v="Sep"/>
    <s v="Q3"/>
  </r>
  <r>
    <s v="ORD11257"/>
    <x v="1256"/>
    <s v="CUST1187"/>
    <s v="Kavya Patel"/>
    <x v="227"/>
    <x v="0"/>
    <x v="17"/>
    <x v="2"/>
    <s v="Kochi"/>
    <s v="Kerala"/>
    <x v="2"/>
    <x v="0"/>
    <s v="Jeans"/>
    <x v="19"/>
    <n v="1"/>
    <n v="2140"/>
    <n v="0"/>
    <n v="1200"/>
    <s v="Cash on Delivery"/>
    <s v="Delivered"/>
    <n v="4"/>
    <s v="Returning"/>
    <n v="2140"/>
    <n v="0"/>
    <n v="2140"/>
    <n v="940"/>
    <n v="0.43925233644859812"/>
    <n v="2028"/>
    <s v="Sep"/>
    <s v="Q3"/>
  </r>
  <r>
    <s v="ORD11258"/>
    <x v="1257"/>
    <s v="CUST1216"/>
    <s v="Karan Mehta"/>
    <x v="139"/>
    <x v="1"/>
    <x v="0"/>
    <x v="14"/>
    <s v="Ahmedabad"/>
    <s v="Gujarat"/>
    <x v="0"/>
    <x v="2"/>
    <s v="Laptop"/>
    <x v="15"/>
    <n v="1"/>
    <n v="55440"/>
    <n v="0.1"/>
    <n v="40020"/>
    <s v="Debit Card"/>
    <s v="Returned"/>
    <n v="5"/>
    <s v="Returning"/>
    <n v="55440"/>
    <n v="5544"/>
    <n v="49896"/>
    <n v="9876"/>
    <n v="0.19793169793169793"/>
    <n v="2028"/>
    <s v="Sep"/>
    <s v="Q3"/>
  </r>
  <r>
    <s v="ORD11259"/>
    <x v="1258"/>
    <s v="CUST1099"/>
    <s v="Kavya Sharma"/>
    <x v="106"/>
    <x v="0"/>
    <x v="33"/>
    <x v="8"/>
    <s v="Mysuru"/>
    <s v="Karnataka"/>
    <x v="2"/>
    <x v="4"/>
    <s v="Hair Dryer"/>
    <x v="14"/>
    <n v="3"/>
    <n v="1890"/>
    <n v="0.15"/>
    <n v="1010"/>
    <s v="Debit Card"/>
    <s v="Delivered"/>
    <n v="4"/>
    <s v="Returning"/>
    <n v="5670"/>
    <n v="850.5"/>
    <n v="4819.5"/>
    <n v="3809.5"/>
    <n v="0.7904346923954767"/>
    <n v="2028"/>
    <s v="Sep"/>
    <s v="Q3"/>
  </r>
  <r>
    <s v="ORD11260"/>
    <x v="1259"/>
    <s v="CUST1209"/>
    <s v="Vivaan Patel"/>
    <x v="57"/>
    <x v="0"/>
    <x v="5"/>
    <x v="3"/>
    <s v="Bengaluru"/>
    <s v="Karnataka"/>
    <x v="2"/>
    <x v="5"/>
    <s v="Mixer Grinder"/>
    <x v="22"/>
    <n v="5"/>
    <n v="4330"/>
    <n v="0"/>
    <n v="2790"/>
    <s v="UPI"/>
    <s v="Delivered"/>
    <n v="3"/>
    <s v="Returning"/>
    <n v="21650"/>
    <n v="0"/>
    <n v="21650"/>
    <n v="18860"/>
    <n v="0.87113163972286378"/>
    <n v="2028"/>
    <s v="Sep"/>
    <s v="Q3"/>
  </r>
  <r>
    <s v="ORD11261"/>
    <x v="1260"/>
    <s v="CUST1158"/>
    <s v="Nisha Sharma"/>
    <x v="11"/>
    <x v="1"/>
    <x v="7"/>
    <x v="12"/>
    <s v="Delhi"/>
    <s v="Delhi"/>
    <x v="3"/>
    <x v="1"/>
    <s v="Bedside Table"/>
    <x v="24"/>
    <n v="2"/>
    <n v="4620"/>
    <n v="0.2"/>
    <n v="2760"/>
    <s v="Net Banking"/>
    <s v="Delivered"/>
    <n v="4"/>
    <s v="Returning"/>
    <n v="9240"/>
    <n v="1848"/>
    <n v="7392"/>
    <n v="4632"/>
    <n v="0.62662337662337664"/>
    <n v="2028"/>
    <s v="Sep"/>
    <s v="Q3"/>
  </r>
  <r>
    <s v="ORD11262"/>
    <x v="1261"/>
    <s v="CUST1143"/>
    <s v="Meera Mehta"/>
    <x v="78"/>
    <x v="1"/>
    <x v="8"/>
    <x v="0"/>
    <s v="Pune"/>
    <s v="Maharashtra"/>
    <x v="0"/>
    <x v="5"/>
    <s v="Vacuum Cleaner"/>
    <x v="9"/>
    <n v="2"/>
    <n v="8850"/>
    <n v="0.05"/>
    <n v="5480"/>
    <s v="Debit Card"/>
    <s v="Returned"/>
    <n v="8"/>
    <s v="Returning"/>
    <n v="17700"/>
    <n v="885"/>
    <n v="16815"/>
    <n v="11335"/>
    <n v="0.67410050550104073"/>
    <n v="2028"/>
    <s v="Sep"/>
    <s v="Q3"/>
  </r>
  <r>
    <s v="ORD11263"/>
    <x v="1262"/>
    <s v="CUST1453"/>
    <s v="Vivaan Patel"/>
    <x v="57"/>
    <x v="0"/>
    <x v="36"/>
    <x v="7"/>
    <s v="Mumbai"/>
    <s v="Maharashtra"/>
    <x v="0"/>
    <x v="1"/>
    <s v="Sofa"/>
    <x v="16"/>
    <n v="2"/>
    <n v="26070"/>
    <n v="0.1"/>
    <n v="21390"/>
    <s v="Net Banking"/>
    <s v="Delivered"/>
    <n v="2"/>
    <s v="New"/>
    <n v="52140"/>
    <n v="5214"/>
    <n v="46926"/>
    <n v="25536"/>
    <n v="0.54417593658099983"/>
    <n v="2028"/>
    <s v="Sep"/>
    <s v="Q3"/>
  </r>
  <r>
    <s v="ORD11264"/>
    <x v="1263"/>
    <s v="CUST1173"/>
    <s v="Vivaan Bhat"/>
    <x v="35"/>
    <x v="0"/>
    <x v="1"/>
    <x v="1"/>
    <s v="Kolkata"/>
    <s v="West Bengal"/>
    <x v="1"/>
    <x v="1"/>
    <s v="Bedside Table"/>
    <x v="24"/>
    <n v="4"/>
    <n v="4170"/>
    <n v="0.25"/>
    <n v="2950"/>
    <s v="Net Banking"/>
    <s v="Delivered"/>
    <n v="1"/>
    <s v="Returning"/>
    <n v="16680"/>
    <n v="4170"/>
    <n v="12510"/>
    <n v="9560"/>
    <n v="0.76418864908073536"/>
    <n v="2028"/>
    <s v="Sep"/>
    <s v="Q3"/>
  </r>
  <r>
    <s v="ORD11265"/>
    <x v="1264"/>
    <s v="CUST1366"/>
    <s v="Aditya Gupta"/>
    <x v="112"/>
    <x v="1"/>
    <x v="39"/>
    <x v="13"/>
    <s v="Lucknow"/>
    <s v="Uttar Pradesh"/>
    <x v="3"/>
    <x v="5"/>
    <s v="Electric Kettle"/>
    <x v="18"/>
    <n v="1"/>
    <n v="1870"/>
    <n v="0.15"/>
    <n v="940"/>
    <s v="Net Banking"/>
    <s v="Delivered"/>
    <n v="3"/>
    <s v="New"/>
    <n v="1870"/>
    <n v="280.5"/>
    <n v="1589.5"/>
    <n v="649.5"/>
    <n v="0.40861906259830133"/>
    <n v="2028"/>
    <s v="Sep"/>
    <s v="Q3"/>
  </r>
  <r>
    <s v="ORD11266"/>
    <x v="1265"/>
    <s v="CUST1472"/>
    <s v="Karan Mehta"/>
    <x v="139"/>
    <x v="0"/>
    <x v="34"/>
    <x v="10"/>
    <s v="Jaipur"/>
    <s v="Rajasthan"/>
    <x v="3"/>
    <x v="2"/>
    <s v="Laptop"/>
    <x v="15"/>
    <n v="1"/>
    <n v="53840"/>
    <n v="0.05"/>
    <n v="41780"/>
    <s v="Debit Card"/>
    <s v="Delivered"/>
    <n v="8"/>
    <s v="New"/>
    <n v="53840"/>
    <n v="2692"/>
    <n v="51148"/>
    <n v="9368"/>
    <n v="0.1831547665597873"/>
    <n v="2028"/>
    <s v="Sep"/>
    <s v="Q3"/>
  </r>
  <r>
    <s v="ORD11267"/>
    <x v="1266"/>
    <s v="CUST1098"/>
    <s v="Karan Gupta"/>
    <x v="99"/>
    <x v="1"/>
    <x v="16"/>
    <x v="9"/>
    <s v="Hyderabad"/>
    <s v="Telangana"/>
    <x v="2"/>
    <x v="0"/>
    <s v="Jeans"/>
    <x v="19"/>
    <n v="4"/>
    <n v="2240"/>
    <n v="0.15"/>
    <n v="1250"/>
    <s v="Cash on Delivery"/>
    <s v="Delivered"/>
    <n v="3"/>
    <s v="Returning"/>
    <n v="8960"/>
    <n v="1344"/>
    <n v="7616"/>
    <n v="6366"/>
    <n v="0.83587184873949583"/>
    <n v="2028"/>
    <s v="Sep"/>
    <s v="Q3"/>
  </r>
  <r>
    <s v="ORD11268"/>
    <x v="1267"/>
    <s v="CUST1291"/>
    <s v="Nisha Patel"/>
    <x v="241"/>
    <x v="0"/>
    <x v="18"/>
    <x v="5"/>
    <s v="Bhubaneswar"/>
    <s v="Odisha"/>
    <x v="1"/>
    <x v="4"/>
    <s v="Shampoo"/>
    <x v="8"/>
    <n v="2"/>
    <n v="530"/>
    <n v="0.15"/>
    <n v="230"/>
    <s v="UPI"/>
    <s v="Delivered"/>
    <n v="3"/>
    <s v="Returning"/>
    <n v="1060"/>
    <n v="159"/>
    <n v="901"/>
    <n v="671"/>
    <n v="0.74472807991120982"/>
    <n v="2028"/>
    <s v="Oct"/>
    <s v="Q4"/>
  </r>
  <r>
    <s v="ORD11269"/>
    <x v="1268"/>
    <s v="CUST1070"/>
    <s v="Rahul Rao"/>
    <x v="216"/>
    <x v="0"/>
    <x v="7"/>
    <x v="10"/>
    <s v="Jaipur"/>
    <s v="Rajasthan"/>
    <x v="3"/>
    <x v="2"/>
    <s v="Headphones"/>
    <x v="5"/>
    <n v="1"/>
    <n v="2640"/>
    <n v="0.05"/>
    <n v="1450"/>
    <s v="UPI"/>
    <s v="Delivered"/>
    <n v="5"/>
    <s v="Returning"/>
    <n v="2640"/>
    <n v="132"/>
    <n v="2508"/>
    <n v="1058"/>
    <n v="0.42185007974481659"/>
    <n v="2028"/>
    <s v="Oct"/>
    <s v="Q4"/>
  </r>
  <r>
    <s v="ORD11270"/>
    <x v="1269"/>
    <s v="CUST1410"/>
    <s v="Rahul Bhat"/>
    <x v="172"/>
    <x v="1"/>
    <x v="2"/>
    <x v="3"/>
    <s v="Bengaluru"/>
    <s v="Karnataka"/>
    <x v="2"/>
    <x v="0"/>
    <s v="T-Shirt"/>
    <x v="2"/>
    <n v="1"/>
    <n v="840"/>
    <n v="0.2"/>
    <n v="460"/>
    <s v="Wallet"/>
    <s v="Delivered"/>
    <n v="2"/>
    <s v="New"/>
    <n v="840"/>
    <n v="168"/>
    <n v="672"/>
    <n v="212"/>
    <n v="0.31547619047619047"/>
    <n v="2028"/>
    <s v="Oct"/>
    <s v="Q4"/>
  </r>
  <r>
    <s v="ORD11271"/>
    <x v="1270"/>
    <s v="CUST1050"/>
    <s v="Diya Naidu"/>
    <x v="147"/>
    <x v="1"/>
    <x v="23"/>
    <x v="4"/>
    <s v="Chandigarh"/>
    <s v="Chandigarh"/>
    <x v="3"/>
    <x v="5"/>
    <s v="Air Fryer"/>
    <x v="26"/>
    <n v="1"/>
    <n v="6950"/>
    <n v="0.15"/>
    <n v="4380"/>
    <s v="Cash on Delivery"/>
    <s v="Delivered"/>
    <n v="2"/>
    <s v="Returning"/>
    <n v="6950"/>
    <n v="1042.5"/>
    <n v="5907.5"/>
    <n v="1527.5"/>
    <n v="0.25856961489631825"/>
    <n v="2028"/>
    <s v="Oct"/>
    <s v="Q4"/>
  </r>
  <r>
    <s v="ORD11272"/>
    <x v="1271"/>
    <s v="CUST1254"/>
    <s v="Rohan Singh"/>
    <x v="47"/>
    <x v="1"/>
    <x v="30"/>
    <x v="11"/>
    <s v="Chennai"/>
    <s v="Tamil Nadu"/>
    <x v="2"/>
    <x v="4"/>
    <s v="Makeup Kit"/>
    <x v="28"/>
    <n v="1"/>
    <n v="2260"/>
    <n v="0.15"/>
    <n v="1160"/>
    <s v="Credit Card"/>
    <s v="Delivered"/>
    <n v="4"/>
    <s v="Returning"/>
    <n v="2260"/>
    <n v="339"/>
    <n v="1921"/>
    <n v="761"/>
    <n v="0.3961478396668402"/>
    <n v="2028"/>
    <s v="Oct"/>
    <s v="Q4"/>
  </r>
  <r>
    <s v="ORD11273"/>
    <x v="1272"/>
    <s v="CUST1484"/>
    <s v="Karan Gupta"/>
    <x v="99"/>
    <x v="1"/>
    <x v="31"/>
    <x v="12"/>
    <s v="Delhi"/>
    <s v="Delhi"/>
    <x v="3"/>
    <x v="5"/>
    <s v="Mixer Grinder"/>
    <x v="22"/>
    <n v="3"/>
    <n v="4390"/>
    <n v="0"/>
    <n v="2630"/>
    <s v="Credit Card"/>
    <s v="Delivered"/>
    <n v="6"/>
    <s v="New"/>
    <n v="13170"/>
    <n v="0"/>
    <n v="13170"/>
    <n v="10540"/>
    <n v="0.80030372057706911"/>
    <n v="2028"/>
    <s v="Oct"/>
    <s v="Q4"/>
  </r>
  <r>
    <s v="ORD11274"/>
    <x v="1273"/>
    <s v="CUST1069"/>
    <s v="Vivaan Verma"/>
    <x v="210"/>
    <x v="1"/>
    <x v="30"/>
    <x v="9"/>
    <s v="Hyderabad"/>
    <s v="Telangana"/>
    <x v="2"/>
    <x v="2"/>
    <s v="Smartphone"/>
    <x v="13"/>
    <n v="4"/>
    <n v="18080"/>
    <n v="0"/>
    <n v="12590"/>
    <s v="UPI"/>
    <s v="Delivered"/>
    <n v="1"/>
    <s v="Returning"/>
    <n v="72320"/>
    <n v="0"/>
    <n v="72320"/>
    <n v="59730"/>
    <n v="0.82591261061946908"/>
    <n v="2028"/>
    <s v="Oct"/>
    <s v="Q4"/>
  </r>
  <r>
    <s v="ORD11275"/>
    <x v="1274"/>
    <s v="CUST1473"/>
    <s v="Rahul Kumar"/>
    <x v="44"/>
    <x v="1"/>
    <x v="11"/>
    <x v="12"/>
    <s v="Delhi"/>
    <s v="Delhi"/>
    <x v="3"/>
    <x v="4"/>
    <s v="Hair Dryer"/>
    <x v="14"/>
    <n v="1"/>
    <n v="1850"/>
    <n v="0.2"/>
    <n v="950"/>
    <s v="Cash on Delivery"/>
    <s v="Delivered"/>
    <n v="4"/>
    <s v="New"/>
    <n v="1850"/>
    <n v="370"/>
    <n v="1480"/>
    <n v="530"/>
    <n v="0.35810810810810811"/>
    <n v="2028"/>
    <s v="Oct"/>
    <s v="Q4"/>
  </r>
  <r>
    <s v="ORD11276"/>
    <x v="1275"/>
    <s v="CUST1302"/>
    <s v="Diya Verma"/>
    <x v="87"/>
    <x v="1"/>
    <x v="42"/>
    <x v="0"/>
    <s v="Pune"/>
    <s v="Maharashtra"/>
    <x v="0"/>
    <x v="0"/>
    <s v="Jeans"/>
    <x v="19"/>
    <n v="3"/>
    <n v="2280"/>
    <n v="0.05"/>
    <n v="1240"/>
    <s v="Credit Card"/>
    <s v="Delivered"/>
    <n v="3"/>
    <s v="New"/>
    <n v="6840"/>
    <n v="342"/>
    <n v="6498"/>
    <n v="5258"/>
    <n v="0.809172052939366"/>
    <n v="2028"/>
    <s v="Oct"/>
    <s v="Q4"/>
  </r>
  <r>
    <s v="ORD11277"/>
    <x v="1276"/>
    <s v="CUST1457"/>
    <s v="Karan Iyer"/>
    <x v="20"/>
    <x v="0"/>
    <x v="42"/>
    <x v="1"/>
    <s v="Kolkata"/>
    <s v="West Bengal"/>
    <x v="1"/>
    <x v="4"/>
    <s v="Makeup Kit"/>
    <x v="28"/>
    <n v="1"/>
    <n v="2210"/>
    <n v="0.25"/>
    <n v="1150"/>
    <s v="Debit Card"/>
    <s v="Pending"/>
    <n v="3"/>
    <s v="New"/>
    <n v="2210"/>
    <n v="552.5"/>
    <n v="1657.5"/>
    <n v="507.5"/>
    <n v="0.30618401206636503"/>
    <n v="2028"/>
    <s v="Oct"/>
    <s v="Q4"/>
  </r>
  <r>
    <s v="ORD11278"/>
    <x v="1277"/>
    <s v="CUST1377"/>
    <s v="Arjun Bhat"/>
    <x v="52"/>
    <x v="0"/>
    <x v="17"/>
    <x v="9"/>
    <s v="Hyderabad"/>
    <s v="Telangana"/>
    <x v="2"/>
    <x v="1"/>
    <s v="Study Table"/>
    <x v="11"/>
    <n v="1"/>
    <n v="7870"/>
    <n v="0"/>
    <n v="5480"/>
    <s v="UPI"/>
    <s v="Delivered"/>
    <n v="3"/>
    <s v="New"/>
    <n v="7870"/>
    <n v="0"/>
    <n v="7870"/>
    <n v="2390"/>
    <n v="0.30368487928843713"/>
    <n v="2028"/>
    <s v="Oct"/>
    <s v="Q4"/>
  </r>
  <r>
    <s v="ORD11279"/>
    <x v="1278"/>
    <s v="CUST1435"/>
    <s v="Sneha Verma"/>
    <x v="132"/>
    <x v="1"/>
    <x v="9"/>
    <x v="11"/>
    <s v="Chennai"/>
    <s v="Tamil Nadu"/>
    <x v="2"/>
    <x v="2"/>
    <s v="Headphones"/>
    <x v="5"/>
    <n v="1"/>
    <n v="2520"/>
    <n v="0.15"/>
    <n v="1460"/>
    <s v="UPI"/>
    <s v="Delivered"/>
    <n v="1"/>
    <s v="New"/>
    <n v="2520"/>
    <n v="378"/>
    <n v="2142"/>
    <n v="682"/>
    <n v="0.3183940242763772"/>
    <n v="2028"/>
    <s v="Oct"/>
    <s v="Q4"/>
  </r>
  <r>
    <s v="ORD11280"/>
    <x v="1279"/>
    <s v="CUST1296"/>
    <s v="Rohan Sharma"/>
    <x v="21"/>
    <x v="1"/>
    <x v="16"/>
    <x v="11"/>
    <s v="Chennai"/>
    <s v="Tamil Nadu"/>
    <x v="2"/>
    <x v="0"/>
    <s v="T-Shirt"/>
    <x v="2"/>
    <n v="2"/>
    <n v="870"/>
    <n v="0.05"/>
    <n v="450"/>
    <s v="Net Banking"/>
    <s v="Delivered"/>
    <n v="1"/>
    <s v="Returning"/>
    <n v="1740"/>
    <n v="87"/>
    <n v="1653"/>
    <n v="1203"/>
    <n v="0.72776769509981853"/>
    <n v="2028"/>
    <s v="Oct"/>
    <s v="Q4"/>
  </r>
  <r>
    <s v="ORD11281"/>
    <x v="1280"/>
    <s v="CUST1495"/>
    <s v="Aarav Singh"/>
    <x v="36"/>
    <x v="0"/>
    <x v="1"/>
    <x v="10"/>
    <s v="Jaipur"/>
    <s v="Rajasthan"/>
    <x v="3"/>
    <x v="1"/>
    <s v="Bedside Table"/>
    <x v="24"/>
    <n v="2"/>
    <n v="4640"/>
    <n v="0.25"/>
    <n v="2930"/>
    <s v="Debit Card"/>
    <s v="Returned"/>
    <n v="4"/>
    <s v="New"/>
    <n v="9280"/>
    <n v="2320"/>
    <n v="6960"/>
    <n v="4030"/>
    <n v="0.57902298850574707"/>
    <n v="2028"/>
    <s v="Oct"/>
    <s v="Q4"/>
  </r>
  <r>
    <s v="ORD11282"/>
    <x v="1281"/>
    <s v="CUST1387"/>
    <s v="Diya Singh"/>
    <x v="239"/>
    <x v="1"/>
    <x v="26"/>
    <x v="5"/>
    <s v="Bhubaneswar"/>
    <s v="Odisha"/>
    <x v="1"/>
    <x v="0"/>
    <s v="Jacket"/>
    <x v="25"/>
    <n v="5"/>
    <n v="4270"/>
    <n v="0.15"/>
    <n v="2560"/>
    <s v="Net Banking"/>
    <s v="Delivered"/>
    <n v="4"/>
    <s v="New"/>
    <n v="21350"/>
    <n v="3202.5"/>
    <n v="18147.5"/>
    <n v="15587.5"/>
    <n v="0.85893373742939794"/>
    <n v="2028"/>
    <s v="Oct"/>
    <s v="Q4"/>
  </r>
  <r>
    <s v="ORD11283"/>
    <x v="1282"/>
    <s v="CUST1017"/>
    <s v="Rahul Gupta"/>
    <x v="140"/>
    <x v="0"/>
    <x v="21"/>
    <x v="8"/>
    <s v="Mysuru"/>
    <s v="Karnataka"/>
    <x v="2"/>
    <x v="3"/>
    <s v="Cricket Bat"/>
    <x v="23"/>
    <n v="1"/>
    <n v="3030"/>
    <n v="0.1"/>
    <n v="1870"/>
    <s v="Cash on Delivery"/>
    <s v="Delivered"/>
    <n v="3"/>
    <s v="Returning"/>
    <n v="3030"/>
    <n v="303"/>
    <n v="2727"/>
    <n v="857"/>
    <n v="0.31426475980931429"/>
    <n v="2028"/>
    <s v="Oct"/>
    <s v="Q4"/>
  </r>
  <r>
    <s v="ORD11284"/>
    <x v="1283"/>
    <s v="CUST1455"/>
    <s v="Ishita Iyer"/>
    <x v="69"/>
    <x v="1"/>
    <x v="15"/>
    <x v="8"/>
    <s v="Mysuru"/>
    <s v="Karnataka"/>
    <x v="2"/>
    <x v="1"/>
    <s v="Bedside Table"/>
    <x v="24"/>
    <n v="2"/>
    <n v="4410"/>
    <n v="0.1"/>
    <n v="2810"/>
    <s v="Debit Card"/>
    <s v="Delivered"/>
    <n v="1"/>
    <s v="New"/>
    <n v="8820"/>
    <n v="882"/>
    <n v="7938"/>
    <n v="5128"/>
    <n v="0.64600655076845548"/>
    <n v="2028"/>
    <s v="Oct"/>
    <s v="Q4"/>
  </r>
  <r>
    <s v="ORD11285"/>
    <x v="1284"/>
    <s v="CUST1163"/>
    <s v="Aarav Verma"/>
    <x v="70"/>
    <x v="1"/>
    <x v="5"/>
    <x v="2"/>
    <s v="Kochi"/>
    <s v="Kerala"/>
    <x v="2"/>
    <x v="2"/>
    <s v="Smartwatch"/>
    <x v="3"/>
    <n v="2"/>
    <n v="6610"/>
    <n v="0.1"/>
    <n v="4320"/>
    <s v="Credit Card"/>
    <s v="Delivered"/>
    <n v="5"/>
    <s v="Returning"/>
    <n v="13220"/>
    <n v="1322"/>
    <n v="11898"/>
    <n v="7578"/>
    <n v="0.63691376701966718"/>
    <n v="2028"/>
    <s v="Oct"/>
    <s v="Q4"/>
  </r>
  <r>
    <s v="ORD11286"/>
    <x v="1285"/>
    <s v="CUST1146"/>
    <s v="Vivaan Das"/>
    <x v="17"/>
    <x v="1"/>
    <x v="19"/>
    <x v="7"/>
    <s v="Mumbai"/>
    <s v="Maharashtra"/>
    <x v="0"/>
    <x v="0"/>
    <s v="Handbag"/>
    <x v="12"/>
    <n v="2"/>
    <n v="2910"/>
    <n v="0.2"/>
    <n v="1640"/>
    <s v="UPI"/>
    <s v="Delivered"/>
    <n v="2"/>
    <s v="Returning"/>
    <n v="5820"/>
    <n v="1164"/>
    <n v="4656"/>
    <n v="3016"/>
    <n v="0.64776632302405501"/>
    <n v="2028"/>
    <s v="Oct"/>
    <s v="Q4"/>
  </r>
  <r>
    <s v="ORD11287"/>
    <x v="1286"/>
    <s v="CUST1259"/>
    <s v="Rohan Joshi"/>
    <x v="235"/>
    <x v="0"/>
    <x v="9"/>
    <x v="9"/>
    <s v="Hyderabad"/>
    <s v="Telangana"/>
    <x v="2"/>
    <x v="1"/>
    <s v="Sofa"/>
    <x v="16"/>
    <n v="1"/>
    <n v="26630"/>
    <n v="0.2"/>
    <n v="19820"/>
    <s v="Debit Card"/>
    <s v="Delivered"/>
    <n v="7"/>
    <s v="Returning"/>
    <n v="26630"/>
    <n v="5326"/>
    <n v="21304"/>
    <n v="1484"/>
    <n v="6.9658280135185879E-2"/>
    <n v="2028"/>
    <s v="Oct"/>
    <s v="Q4"/>
  </r>
  <r>
    <s v="ORD11288"/>
    <x v="1287"/>
    <s v="CUST1194"/>
    <s v="Kavya Shah"/>
    <x v="213"/>
    <x v="0"/>
    <x v="15"/>
    <x v="13"/>
    <s v="Lucknow"/>
    <s v="Uttar Pradesh"/>
    <x v="3"/>
    <x v="4"/>
    <s v="Face Cream"/>
    <x v="21"/>
    <n v="3"/>
    <n v="670"/>
    <n v="0.05"/>
    <n v="300"/>
    <s v="Cash on Delivery"/>
    <s v="Cancelled"/>
    <n v="0"/>
    <s v="Returning"/>
    <n v="2010"/>
    <n v="100.5"/>
    <n v="1909.5"/>
    <n v="1609.5"/>
    <n v="0.84289080911233305"/>
    <n v="2028"/>
    <s v="Oct"/>
    <s v="Q4"/>
  </r>
  <r>
    <s v="ORD11289"/>
    <x v="1288"/>
    <s v="CUST1441"/>
    <s v="Rohan Reddy"/>
    <x v="130"/>
    <x v="1"/>
    <x v="19"/>
    <x v="8"/>
    <s v="Mysuru"/>
    <s v="Karnataka"/>
    <x v="2"/>
    <x v="2"/>
    <s v="Tablet"/>
    <x v="4"/>
    <n v="2"/>
    <n v="23360"/>
    <n v="0.05"/>
    <n v="15420"/>
    <s v="UPI"/>
    <s v="Delivered"/>
    <n v="3"/>
    <s v="New"/>
    <n v="46720"/>
    <n v="2336"/>
    <n v="44384"/>
    <n v="28964"/>
    <n v="0.65257750540735404"/>
    <n v="2028"/>
    <s v="Oct"/>
    <s v="Q4"/>
  </r>
  <r>
    <s v="ORD11290"/>
    <x v="1289"/>
    <s v="CUST1043"/>
    <s v="Ishita Iyer"/>
    <x v="69"/>
    <x v="1"/>
    <x v="9"/>
    <x v="13"/>
    <s v="Lucknow"/>
    <s v="Uttar Pradesh"/>
    <x v="3"/>
    <x v="4"/>
    <s v="Face Cream"/>
    <x v="21"/>
    <n v="3"/>
    <n v="650"/>
    <n v="0.15"/>
    <n v="300"/>
    <s v="Cash on Delivery"/>
    <s v="Delivered"/>
    <n v="1"/>
    <s v="Returning"/>
    <n v="1950"/>
    <n v="292.5"/>
    <n v="1657.5"/>
    <n v="1357.5"/>
    <n v="0.8190045248868778"/>
    <n v="2028"/>
    <s v="Oct"/>
    <s v="Q4"/>
  </r>
  <r>
    <s v="ORD11291"/>
    <x v="1290"/>
    <s v="CUST1116"/>
    <s v="Vikram Nair"/>
    <x v="80"/>
    <x v="1"/>
    <x v="31"/>
    <x v="9"/>
    <s v="Hyderabad"/>
    <s v="Telangana"/>
    <x v="2"/>
    <x v="5"/>
    <s v="Mixer Grinder"/>
    <x v="22"/>
    <n v="1"/>
    <n v="4030"/>
    <n v="0.1"/>
    <n v="2700"/>
    <s v="Cash on Delivery"/>
    <s v="Delivered"/>
    <n v="2"/>
    <s v="Returning"/>
    <n v="4030"/>
    <n v="403"/>
    <n v="3627"/>
    <n v="927"/>
    <n v="0.25558312655086851"/>
    <n v="2028"/>
    <s v="Oct"/>
    <s v="Q4"/>
  </r>
  <r>
    <s v="ORD11292"/>
    <x v="1291"/>
    <s v="CUST1134"/>
    <s v="Arjun Naidu"/>
    <x v="152"/>
    <x v="1"/>
    <x v="42"/>
    <x v="5"/>
    <s v="Bhubaneswar"/>
    <s v="Odisha"/>
    <x v="1"/>
    <x v="0"/>
    <s v="Sneakers"/>
    <x v="0"/>
    <n v="2"/>
    <n v="3500"/>
    <n v="0.3"/>
    <n v="2060"/>
    <s v="Debit Card"/>
    <s v="Delivered"/>
    <n v="3"/>
    <s v="Returning"/>
    <n v="7000"/>
    <n v="2100"/>
    <n v="4900"/>
    <n v="2840"/>
    <n v="0.57959183673469383"/>
    <n v="2028"/>
    <s v="Oct"/>
    <s v="Q4"/>
  </r>
  <r>
    <s v="ORD11293"/>
    <x v="1292"/>
    <s v="CUST1453"/>
    <s v="Diya Joshi"/>
    <x v="118"/>
    <x v="1"/>
    <x v="4"/>
    <x v="12"/>
    <s v="Delhi"/>
    <s v="Delhi"/>
    <x v="3"/>
    <x v="0"/>
    <s v="Handbag"/>
    <x v="12"/>
    <n v="1"/>
    <n v="2790"/>
    <n v="0.1"/>
    <n v="1640"/>
    <s v="Debit Card"/>
    <s v="Delivered"/>
    <n v="1"/>
    <s v="New"/>
    <n v="2790"/>
    <n v="279"/>
    <n v="2511"/>
    <n v="871"/>
    <n v="0.34687375547590599"/>
    <n v="2028"/>
    <s v="Oct"/>
    <s v="Q4"/>
  </r>
  <r>
    <s v="ORD11294"/>
    <x v="1293"/>
    <s v="CUST1128"/>
    <s v="Sneha Joshi"/>
    <x v="252"/>
    <x v="0"/>
    <x v="10"/>
    <x v="2"/>
    <s v="Kochi"/>
    <s v="Kerala"/>
    <x v="2"/>
    <x v="0"/>
    <s v="Jacket"/>
    <x v="25"/>
    <n v="2"/>
    <n v="4140"/>
    <n v="0.1"/>
    <n v="2610"/>
    <s v="Debit Card"/>
    <s v="Delivered"/>
    <n v="4"/>
    <s v="Returning"/>
    <n v="8280"/>
    <n v="828"/>
    <n v="7452"/>
    <n v="4842"/>
    <n v="0.64975845410628019"/>
    <n v="2028"/>
    <s v="Oct"/>
    <s v="Q4"/>
  </r>
  <r>
    <s v="ORD11295"/>
    <x v="1294"/>
    <s v="CUST1138"/>
    <s v="Rahul Shah"/>
    <x v="211"/>
    <x v="0"/>
    <x v="18"/>
    <x v="6"/>
    <s v="Guwahati"/>
    <s v="Assam"/>
    <x v="1"/>
    <x v="5"/>
    <s v="Mixer Grinder"/>
    <x v="22"/>
    <n v="1"/>
    <n v="4390"/>
    <n v="0.05"/>
    <n v="2760"/>
    <s v="Debit Card"/>
    <s v="Delivered"/>
    <n v="6"/>
    <s v="Returning"/>
    <n v="4390"/>
    <n v="219.5"/>
    <n v="4170.5"/>
    <n v="1410.5"/>
    <n v="0.33820884785996885"/>
    <n v="2028"/>
    <s v="Oct"/>
    <s v="Q4"/>
  </r>
  <r>
    <s v="ORD11296"/>
    <x v="1295"/>
    <s v="CUST1351"/>
    <s v="Rahul Naidu"/>
    <x v="215"/>
    <x v="1"/>
    <x v="16"/>
    <x v="9"/>
    <s v="Hyderabad"/>
    <s v="Telangana"/>
    <x v="2"/>
    <x v="2"/>
    <s v="Smartphone"/>
    <x v="13"/>
    <n v="2"/>
    <n v="18560"/>
    <n v="0.05"/>
    <n v="12730"/>
    <s v="Debit Card"/>
    <s v="Delivered"/>
    <n v="3"/>
    <s v="New"/>
    <n v="37120"/>
    <n v="1856"/>
    <n v="35264"/>
    <n v="22534"/>
    <n v="0.63900862068965514"/>
    <n v="2028"/>
    <s v="Oct"/>
    <s v="Q4"/>
  </r>
  <r>
    <s v="ORD11297"/>
    <x v="1296"/>
    <s v="CUST1193"/>
    <s v="Rohan Sharma"/>
    <x v="21"/>
    <x v="0"/>
    <x v="23"/>
    <x v="11"/>
    <s v="Chennai"/>
    <s v="Tamil Nadu"/>
    <x v="2"/>
    <x v="0"/>
    <s v="Jacket"/>
    <x v="25"/>
    <n v="1"/>
    <n v="4040"/>
    <n v="0.1"/>
    <n v="2540"/>
    <s v="UPI"/>
    <s v="Delivered"/>
    <n v="4"/>
    <s v="Returning"/>
    <n v="4040"/>
    <n v="404"/>
    <n v="3636"/>
    <n v="1096"/>
    <n v="0.30143014301430143"/>
    <n v="2028"/>
    <s v="Oct"/>
    <s v="Q4"/>
  </r>
  <r>
    <s v="ORD11298"/>
    <x v="1297"/>
    <s v="CUST1458"/>
    <s v="Kavya Shah"/>
    <x v="213"/>
    <x v="0"/>
    <x v="38"/>
    <x v="3"/>
    <s v="Bengaluru"/>
    <s v="Karnataka"/>
    <x v="2"/>
    <x v="5"/>
    <s v="Vacuum Cleaner"/>
    <x v="9"/>
    <n v="1"/>
    <n v="8040"/>
    <n v="0"/>
    <n v="5730"/>
    <s v="UPI"/>
    <s v="Delivered"/>
    <n v="5"/>
    <s v="New"/>
    <n v="8040"/>
    <n v="0"/>
    <n v="8040"/>
    <n v="2310"/>
    <n v="0.28731343283582089"/>
    <n v="2028"/>
    <s v="Oct"/>
    <s v="Q4"/>
  </r>
  <r>
    <s v="ORD11299"/>
    <x v="1298"/>
    <s v="CUST1103"/>
    <s v="Arjun Mehta"/>
    <x v="154"/>
    <x v="0"/>
    <x v="16"/>
    <x v="2"/>
    <s v="Kochi"/>
    <s v="Kerala"/>
    <x v="2"/>
    <x v="2"/>
    <s v="Tablet"/>
    <x v="4"/>
    <n v="4"/>
    <n v="21090"/>
    <n v="0.15"/>
    <n v="15900"/>
    <s v="UPI"/>
    <s v="Delivered"/>
    <n v="3"/>
    <s v="Returning"/>
    <n v="84360"/>
    <n v="12654"/>
    <n v="71706"/>
    <n v="55806"/>
    <n v="0.77826123336959252"/>
    <n v="2028"/>
    <s v="Nov"/>
    <s v="Q4"/>
  </r>
  <r>
    <s v="ORD11300"/>
    <x v="1299"/>
    <s v="CUST1163"/>
    <s v="Arjun Gupta"/>
    <x v="109"/>
    <x v="1"/>
    <x v="29"/>
    <x v="3"/>
    <s v="Bengaluru"/>
    <s v="Karnataka"/>
    <x v="2"/>
    <x v="2"/>
    <s v="Smartphone"/>
    <x v="13"/>
    <n v="2"/>
    <n v="16670"/>
    <n v="0.1"/>
    <n v="12060"/>
    <s v="Credit Card"/>
    <s v="Delivered"/>
    <n v="3"/>
    <s v="Returning"/>
    <n v="33340"/>
    <n v="3334"/>
    <n v="30006"/>
    <n v="17946"/>
    <n v="0.59808038392321539"/>
    <n v="2028"/>
    <s v="Nov"/>
    <s v="Q4"/>
  </r>
  <r>
    <s v="ORD11301"/>
    <x v="1300"/>
    <s v="CUST1088"/>
    <s v="Ishita Rao"/>
    <x v="137"/>
    <x v="0"/>
    <x v="4"/>
    <x v="8"/>
    <s v="Mysuru"/>
    <s v="Karnataka"/>
    <x v="2"/>
    <x v="2"/>
    <s v="Headphones"/>
    <x v="5"/>
    <n v="3"/>
    <n v="2570"/>
    <n v="0.05"/>
    <n v="1500"/>
    <s v="UPI"/>
    <s v="Delivered"/>
    <n v="2"/>
    <s v="Returning"/>
    <n v="7710"/>
    <n v="385.5"/>
    <n v="7324.5"/>
    <n v="5824.5"/>
    <n v="0.79520786401802168"/>
    <n v="2028"/>
    <s v="Nov"/>
    <s v="Q4"/>
  </r>
  <r>
    <s v="ORD11302"/>
    <x v="1301"/>
    <s v="CUST1483"/>
    <s v="Vivaan Nair"/>
    <x v="65"/>
    <x v="1"/>
    <x v="26"/>
    <x v="9"/>
    <s v="Hyderabad"/>
    <s v="Telangana"/>
    <x v="2"/>
    <x v="0"/>
    <s v="Handbag"/>
    <x v="12"/>
    <n v="1"/>
    <n v="2860"/>
    <n v="0"/>
    <n v="1530"/>
    <s v="Net Banking"/>
    <s v="Delivered"/>
    <n v="3"/>
    <s v="New"/>
    <n v="2860"/>
    <n v="0"/>
    <n v="2860"/>
    <n v="1330"/>
    <n v="0.46503496503496505"/>
    <n v="2028"/>
    <s v="Nov"/>
    <s v="Q4"/>
  </r>
  <r>
    <s v="ORD11303"/>
    <x v="1302"/>
    <s v="CUST1206"/>
    <s v="Vikram Iyer"/>
    <x v="119"/>
    <x v="0"/>
    <x v="18"/>
    <x v="8"/>
    <s v="Mysuru"/>
    <s v="Karnataka"/>
    <x v="2"/>
    <x v="4"/>
    <s v="Perfume"/>
    <x v="29"/>
    <n v="1"/>
    <n v="1900"/>
    <n v="0.3"/>
    <n v="880"/>
    <s v="Cash on Delivery"/>
    <s v="Delivered"/>
    <n v="5"/>
    <s v="Returning"/>
    <n v="1900"/>
    <n v="570"/>
    <n v="1330"/>
    <n v="450"/>
    <n v="0.33834586466165412"/>
    <n v="2028"/>
    <s v="Nov"/>
    <s v="Q4"/>
  </r>
  <r>
    <s v="ORD11304"/>
    <x v="1303"/>
    <s v="CUST1280"/>
    <s v="Vikram Das"/>
    <x v="198"/>
    <x v="0"/>
    <x v="24"/>
    <x v="4"/>
    <s v="Chandigarh"/>
    <s v="Chandigarh"/>
    <x v="3"/>
    <x v="2"/>
    <s v="Laptop"/>
    <x v="15"/>
    <n v="3"/>
    <n v="56640"/>
    <n v="0.1"/>
    <n v="41660"/>
    <s v="UPI"/>
    <s v="Delivered"/>
    <n v="4"/>
    <s v="Returning"/>
    <n v="169920"/>
    <n v="16992"/>
    <n v="152928"/>
    <n v="111268"/>
    <n v="0.72758422264071987"/>
    <n v="2028"/>
    <s v="Nov"/>
    <s v="Q4"/>
  </r>
  <r>
    <s v="ORD11305"/>
    <x v="1304"/>
    <s v="CUST1375"/>
    <s v="Rahul Verma"/>
    <x v="183"/>
    <x v="0"/>
    <x v="11"/>
    <x v="2"/>
    <s v="Kochi"/>
    <s v="Kerala"/>
    <x v="2"/>
    <x v="2"/>
    <s v="Laptop"/>
    <x v="15"/>
    <n v="1"/>
    <n v="52620"/>
    <n v="0.15"/>
    <n v="40180"/>
    <s v="Credit Card"/>
    <s v="Delivered"/>
    <n v="3"/>
    <s v="New"/>
    <n v="52620"/>
    <n v="7893"/>
    <n v="44727"/>
    <n v="4547"/>
    <n v="0.10166118899098978"/>
    <n v="2028"/>
    <s v="Nov"/>
    <s v="Q4"/>
  </r>
  <r>
    <s v="ORD11306"/>
    <x v="1305"/>
    <s v="CUST1143"/>
    <s v="Vivaan Patel"/>
    <x v="57"/>
    <x v="1"/>
    <x v="39"/>
    <x v="1"/>
    <s v="Kolkata"/>
    <s v="West Bengal"/>
    <x v="1"/>
    <x v="0"/>
    <s v="Sneakers"/>
    <x v="0"/>
    <n v="1"/>
    <n v="3420"/>
    <n v="0.2"/>
    <n v="2140"/>
    <s v="UPI"/>
    <s v="Delivered"/>
    <n v="6"/>
    <s v="Returning"/>
    <n v="3420"/>
    <n v="684"/>
    <n v="2736"/>
    <n v="596"/>
    <n v="0.21783625730994152"/>
    <n v="2028"/>
    <s v="Nov"/>
    <s v="Q4"/>
  </r>
  <r>
    <s v="ORD11307"/>
    <x v="1306"/>
    <s v="CUST1214"/>
    <s v="Aarav Patel"/>
    <x v="170"/>
    <x v="0"/>
    <x v="40"/>
    <x v="8"/>
    <s v="Mysuru"/>
    <s v="Karnataka"/>
    <x v="2"/>
    <x v="0"/>
    <s v="Jeans"/>
    <x v="19"/>
    <n v="3"/>
    <n v="2350"/>
    <n v="0.25"/>
    <n v="1140"/>
    <s v="Net Banking"/>
    <s v="Delivered"/>
    <n v="3"/>
    <s v="Returning"/>
    <n v="7050"/>
    <n v="1762.5"/>
    <n v="5287.5"/>
    <n v="4147.5"/>
    <n v="0.7843971631205674"/>
    <n v="2028"/>
    <s v="Nov"/>
    <s v="Q4"/>
  </r>
  <r>
    <s v="ORD11308"/>
    <x v="1307"/>
    <s v="CUST1255"/>
    <s v="Ananya Patel"/>
    <x v="29"/>
    <x v="0"/>
    <x v="40"/>
    <x v="5"/>
    <s v="Bhubaneswar"/>
    <s v="Odisha"/>
    <x v="1"/>
    <x v="5"/>
    <s v="Mixer Grinder"/>
    <x v="22"/>
    <n v="1"/>
    <n v="4480"/>
    <n v="0"/>
    <n v="2730"/>
    <s v="Debit Card"/>
    <s v="Delivered"/>
    <n v="4"/>
    <s v="Returning"/>
    <n v="4480"/>
    <n v="0"/>
    <n v="4480"/>
    <n v="1750"/>
    <n v="0.390625"/>
    <n v="2028"/>
    <s v="Nov"/>
    <s v="Q4"/>
  </r>
  <r>
    <s v="ORD11309"/>
    <x v="1308"/>
    <s v="CUST1080"/>
    <s v="Vivaan Rao"/>
    <x v="200"/>
    <x v="1"/>
    <x v="17"/>
    <x v="2"/>
    <s v="Kochi"/>
    <s v="Kerala"/>
    <x v="2"/>
    <x v="0"/>
    <s v="Handbag"/>
    <x v="12"/>
    <n v="4"/>
    <n v="2910"/>
    <n v="0.1"/>
    <n v="1670"/>
    <s v="Credit Card"/>
    <s v="Delivered"/>
    <n v="4"/>
    <s v="Returning"/>
    <n v="11640"/>
    <n v="1164"/>
    <n v="10476"/>
    <n v="8806"/>
    <n v="0.84058801069110345"/>
    <n v="2028"/>
    <s v="Nov"/>
    <s v="Q4"/>
  </r>
  <r>
    <s v="ORD11310"/>
    <x v="1309"/>
    <s v="CUST1084"/>
    <s v="Vikram Rao"/>
    <x v="15"/>
    <x v="1"/>
    <x v="35"/>
    <x v="6"/>
    <s v="Guwahati"/>
    <s v="Assam"/>
    <x v="1"/>
    <x v="4"/>
    <s v="Perfume"/>
    <x v="29"/>
    <n v="4"/>
    <n v="1920"/>
    <n v="0.15"/>
    <n v="920"/>
    <s v="UPI"/>
    <s v="Delivered"/>
    <n v="4"/>
    <s v="Returning"/>
    <n v="7680"/>
    <n v="1152"/>
    <n v="6528"/>
    <n v="5608"/>
    <n v="0.85906862745098034"/>
    <n v="2028"/>
    <s v="Nov"/>
    <s v="Q4"/>
  </r>
  <r>
    <s v="ORD11311"/>
    <x v="1310"/>
    <s v="CUST1281"/>
    <s v="Aarav Joshi"/>
    <x v="62"/>
    <x v="0"/>
    <x v="21"/>
    <x v="10"/>
    <s v="Jaipur"/>
    <s v="Rajasthan"/>
    <x v="3"/>
    <x v="1"/>
    <s v="Bedside Table"/>
    <x v="24"/>
    <n v="2"/>
    <n v="4700"/>
    <n v="0.1"/>
    <n v="3040"/>
    <s v="Credit Card"/>
    <s v="Delivered"/>
    <n v="5"/>
    <s v="Returning"/>
    <n v="9400"/>
    <n v="940"/>
    <n v="8460"/>
    <n v="5420"/>
    <n v="0.640661938534279"/>
    <n v="2028"/>
    <s v="Nov"/>
    <s v="Q4"/>
  </r>
  <r>
    <s v="ORD11312"/>
    <x v="1311"/>
    <s v="CUST1433"/>
    <s v="Ananya Das"/>
    <x v="54"/>
    <x v="0"/>
    <x v="2"/>
    <x v="8"/>
    <s v="Mysuru"/>
    <s v="Karnataka"/>
    <x v="2"/>
    <x v="0"/>
    <s v="T-Shirt"/>
    <x v="2"/>
    <n v="3"/>
    <n v="960"/>
    <n v="0.05"/>
    <n v="440"/>
    <s v="UPI"/>
    <s v="Delivered"/>
    <n v="8"/>
    <s v="New"/>
    <n v="2880"/>
    <n v="144"/>
    <n v="2736"/>
    <n v="2296"/>
    <n v="0.83918128654970758"/>
    <n v="2028"/>
    <s v="Nov"/>
    <s v="Q4"/>
  </r>
  <r>
    <s v="ORD11313"/>
    <x v="1312"/>
    <s v="CUST1464"/>
    <s v="Priya Patel"/>
    <x v="5"/>
    <x v="0"/>
    <x v="5"/>
    <x v="9"/>
    <s v="Hyderabad"/>
    <s v="Telangana"/>
    <x v="2"/>
    <x v="4"/>
    <s v="Makeup Kit"/>
    <x v="28"/>
    <n v="4"/>
    <n v="2300"/>
    <n v="0.15"/>
    <n v="1250"/>
    <s v="Wallet"/>
    <s v="Delivered"/>
    <n v="2"/>
    <s v="New"/>
    <n v="9200"/>
    <n v="1380"/>
    <n v="7820"/>
    <n v="6570"/>
    <n v="0.84015345268542196"/>
    <n v="2028"/>
    <s v="Nov"/>
    <s v="Q4"/>
  </r>
  <r>
    <s v="ORD11314"/>
    <x v="1313"/>
    <s v="CUST1202"/>
    <s v="Rahul Bhat"/>
    <x v="172"/>
    <x v="1"/>
    <x v="35"/>
    <x v="8"/>
    <s v="Mysuru"/>
    <s v="Karnataka"/>
    <x v="2"/>
    <x v="2"/>
    <s v="Laptop"/>
    <x v="15"/>
    <n v="1"/>
    <n v="51530"/>
    <n v="0.15"/>
    <n v="41250"/>
    <s v="UPI"/>
    <s v="Delivered"/>
    <n v="4"/>
    <s v="Returning"/>
    <n v="51530"/>
    <n v="7729.5"/>
    <n v="43800.5"/>
    <n v="2550.5"/>
    <n v="5.8229928882090387E-2"/>
    <n v="2028"/>
    <s v="Nov"/>
    <s v="Q4"/>
  </r>
  <r>
    <s v="ORD11315"/>
    <x v="1314"/>
    <s v="CUST1473"/>
    <s v="Aarav Verma"/>
    <x v="70"/>
    <x v="1"/>
    <x v="12"/>
    <x v="4"/>
    <s v="Chandigarh"/>
    <s v="Chandigarh"/>
    <x v="3"/>
    <x v="2"/>
    <s v="Smartphone"/>
    <x v="13"/>
    <n v="2"/>
    <n v="18980"/>
    <n v="0"/>
    <n v="12330"/>
    <s v="Cash on Delivery"/>
    <s v="Delivered"/>
    <n v="6"/>
    <s v="New"/>
    <n v="37960"/>
    <n v="0"/>
    <n v="37960"/>
    <n v="25630"/>
    <n v="0.67518440463645946"/>
    <n v="2028"/>
    <s v="Nov"/>
    <s v="Q4"/>
  </r>
  <r>
    <s v="ORD11316"/>
    <x v="1315"/>
    <s v="CUST1072"/>
    <s v="Ishita Das"/>
    <x v="182"/>
    <x v="1"/>
    <x v="8"/>
    <x v="10"/>
    <s v="Jaipur"/>
    <s v="Rajasthan"/>
    <x v="3"/>
    <x v="2"/>
    <s v="Smartwatch"/>
    <x v="3"/>
    <n v="2"/>
    <n v="7150"/>
    <n v="0.1"/>
    <n v="4610"/>
    <s v="Credit Card"/>
    <s v="Delivered"/>
    <n v="4"/>
    <s v="Returning"/>
    <n v="14300"/>
    <n v="1430"/>
    <n v="12870"/>
    <n v="8260"/>
    <n v="0.64180264180264179"/>
    <n v="2028"/>
    <s v="Nov"/>
    <s v="Q4"/>
  </r>
  <r>
    <s v="ORD11317"/>
    <x v="1316"/>
    <s v="CUST1462"/>
    <s v="Sneha Gupta"/>
    <x v="76"/>
    <x v="0"/>
    <x v="24"/>
    <x v="1"/>
    <s v="Kolkata"/>
    <s v="West Bengal"/>
    <x v="1"/>
    <x v="0"/>
    <s v="T-Shirt"/>
    <x v="2"/>
    <n v="4"/>
    <n v="860"/>
    <n v="0.05"/>
    <n v="460"/>
    <s v="Wallet"/>
    <s v="Delivered"/>
    <n v="3"/>
    <s v="New"/>
    <n v="3440"/>
    <n v="172"/>
    <n v="3268"/>
    <n v="2808"/>
    <n v="0.85924112607099146"/>
    <n v="2028"/>
    <s v="Nov"/>
    <s v="Q4"/>
  </r>
  <r>
    <s v="ORD11318"/>
    <x v="1317"/>
    <s v="CUST1479"/>
    <s v="Rohan Patel"/>
    <x v="39"/>
    <x v="0"/>
    <x v="33"/>
    <x v="2"/>
    <s v="Kochi"/>
    <s v="Kerala"/>
    <x v="2"/>
    <x v="0"/>
    <s v="T-Shirt"/>
    <x v="2"/>
    <n v="2"/>
    <n v="840"/>
    <n v="0"/>
    <n v="470"/>
    <s v="UPI"/>
    <s v="Delivered"/>
    <n v="2"/>
    <s v="New"/>
    <n v="1680"/>
    <n v="0"/>
    <n v="1680"/>
    <n v="1210"/>
    <n v="0.72023809523809523"/>
    <n v="2028"/>
    <s v="Nov"/>
    <s v="Q4"/>
  </r>
  <r>
    <s v="ORD11319"/>
    <x v="1318"/>
    <s v="CUST1301"/>
    <s v="Rahul Gupta"/>
    <x v="140"/>
    <x v="1"/>
    <x v="13"/>
    <x v="9"/>
    <s v="Hyderabad"/>
    <s v="Telangana"/>
    <x v="2"/>
    <x v="5"/>
    <s v="Electric Kettle"/>
    <x v="18"/>
    <n v="1"/>
    <n v="1940"/>
    <n v="0.05"/>
    <n v="930"/>
    <s v="Debit Card"/>
    <s v="Returned"/>
    <n v="2"/>
    <s v="New"/>
    <n v="1940"/>
    <n v="97"/>
    <n v="1843"/>
    <n v="913"/>
    <n v="0.49538795442213784"/>
    <n v="2028"/>
    <s v="Nov"/>
    <s v="Q4"/>
  </r>
  <r>
    <s v="ORD11320"/>
    <x v="1319"/>
    <s v="CUST1398"/>
    <s v="Sneha Sharma"/>
    <x v="49"/>
    <x v="1"/>
    <x v="24"/>
    <x v="12"/>
    <s v="Delhi"/>
    <s v="Delhi"/>
    <x v="3"/>
    <x v="0"/>
    <s v="Jeans"/>
    <x v="19"/>
    <n v="5"/>
    <n v="2250"/>
    <n v="0"/>
    <n v="1200"/>
    <s v="Credit Card"/>
    <s v="Delivered"/>
    <n v="4"/>
    <s v="New"/>
    <n v="11250"/>
    <n v="0"/>
    <n v="11250"/>
    <n v="10050"/>
    <n v="0.89333333333333331"/>
    <n v="2028"/>
    <s v="Nov"/>
    <s v="Q4"/>
  </r>
  <r>
    <s v="ORD11321"/>
    <x v="1320"/>
    <s v="CUST1170"/>
    <s v="Meera Patel"/>
    <x v="244"/>
    <x v="0"/>
    <x v="16"/>
    <x v="11"/>
    <s v="Chennai"/>
    <s v="Tamil Nadu"/>
    <x v="2"/>
    <x v="0"/>
    <s v="Jacket"/>
    <x v="25"/>
    <n v="2"/>
    <n v="4450"/>
    <n v="0.05"/>
    <n v="2600"/>
    <s v="Wallet"/>
    <s v="Delivered"/>
    <n v="2"/>
    <s v="Returning"/>
    <n v="8900"/>
    <n v="445"/>
    <n v="8455"/>
    <n v="5855"/>
    <n v="0.69248965109402716"/>
    <n v="2028"/>
    <s v="Nov"/>
    <s v="Q4"/>
  </r>
  <r>
    <s v="ORD11322"/>
    <x v="1321"/>
    <s v="CUST1416"/>
    <s v="Aarav Singh"/>
    <x v="36"/>
    <x v="0"/>
    <x v="23"/>
    <x v="3"/>
    <s v="Bengaluru"/>
    <s v="Karnataka"/>
    <x v="2"/>
    <x v="4"/>
    <s v="Makeup Kit"/>
    <x v="28"/>
    <n v="1"/>
    <n v="2050"/>
    <n v="0"/>
    <n v="1250"/>
    <s v="Cash on Delivery"/>
    <s v="Delivered"/>
    <n v="10"/>
    <s v="New"/>
    <n v="2050"/>
    <n v="0"/>
    <n v="2050"/>
    <n v="800"/>
    <n v="0.3902439024390244"/>
    <n v="2028"/>
    <s v="Nov"/>
    <s v="Q4"/>
  </r>
  <r>
    <s v="ORD11323"/>
    <x v="1322"/>
    <s v="CUST1315"/>
    <s v="Meera Naidu"/>
    <x v="38"/>
    <x v="1"/>
    <x v="31"/>
    <x v="4"/>
    <s v="Chandigarh"/>
    <s v="Chandigarh"/>
    <x v="3"/>
    <x v="0"/>
    <s v="Jacket"/>
    <x v="25"/>
    <n v="1"/>
    <n v="4380"/>
    <n v="0.1"/>
    <n v="2720"/>
    <s v="Cash on Delivery"/>
    <s v="Delivered"/>
    <n v="6"/>
    <s v="New"/>
    <n v="4380"/>
    <n v="438"/>
    <n v="3942"/>
    <n v="1222"/>
    <n v="0.30999492643328258"/>
    <n v="2028"/>
    <s v="Nov"/>
    <s v="Q4"/>
  </r>
  <r>
    <s v="ORD11324"/>
    <x v="1323"/>
    <s v="CUST1135"/>
    <s v="Rohan Naidu"/>
    <x v="162"/>
    <x v="0"/>
    <x v="32"/>
    <x v="12"/>
    <s v="Delhi"/>
    <s v="Delhi"/>
    <x v="3"/>
    <x v="1"/>
    <s v="Sofa"/>
    <x v="16"/>
    <n v="1"/>
    <n v="29230"/>
    <n v="0.2"/>
    <n v="20010"/>
    <s v="UPI"/>
    <s v="Delivered"/>
    <n v="5"/>
    <s v="Returning"/>
    <n v="29230"/>
    <n v="5846"/>
    <n v="23384"/>
    <n v="3374"/>
    <n v="0.14428669175504619"/>
    <n v="2028"/>
    <s v="Nov"/>
    <s v="Q4"/>
  </r>
  <r>
    <s v="ORD11325"/>
    <x v="1324"/>
    <s v="CUST1167"/>
    <s v="Rahul Iyer"/>
    <x v="181"/>
    <x v="1"/>
    <x v="0"/>
    <x v="4"/>
    <s v="Chandigarh"/>
    <s v="Chandigarh"/>
    <x v="3"/>
    <x v="5"/>
    <s v="Mixer Grinder"/>
    <x v="22"/>
    <n v="2"/>
    <n v="4280"/>
    <n v="0.1"/>
    <n v="2730"/>
    <s v="UPI"/>
    <s v="Delivered"/>
    <n v="4"/>
    <s v="Returning"/>
    <n v="8560"/>
    <n v="856"/>
    <n v="7704"/>
    <n v="4974"/>
    <n v="0.64563862928348914"/>
    <n v="2028"/>
    <s v="Nov"/>
    <s v="Q4"/>
  </r>
  <r>
    <s v="ORD11326"/>
    <x v="1325"/>
    <s v="CUST1124"/>
    <s v="Priya Mehta"/>
    <x v="46"/>
    <x v="1"/>
    <x v="20"/>
    <x v="11"/>
    <s v="Chennai"/>
    <s v="Tamil Nadu"/>
    <x v="2"/>
    <x v="1"/>
    <s v="Office Chair"/>
    <x v="1"/>
    <n v="1"/>
    <n v="6680"/>
    <n v="0.2"/>
    <n v="4140"/>
    <s v="UPI"/>
    <s v="Pending"/>
    <n v="3"/>
    <s v="Returning"/>
    <n v="6680"/>
    <n v="1336"/>
    <n v="5344"/>
    <n v="1204"/>
    <n v="0.2252994011976048"/>
    <n v="2028"/>
    <s v="Nov"/>
    <s v="Q4"/>
  </r>
  <r>
    <s v="ORD11327"/>
    <x v="1326"/>
    <s v="CUST1432"/>
    <s v="Diya Bhat"/>
    <x v="164"/>
    <x v="0"/>
    <x v="18"/>
    <x v="2"/>
    <s v="Kochi"/>
    <s v="Kerala"/>
    <x v="2"/>
    <x v="1"/>
    <s v="Bedside Table"/>
    <x v="24"/>
    <n v="1"/>
    <n v="4660"/>
    <n v="0.15"/>
    <n v="2790"/>
    <s v="UPI"/>
    <s v="Delivered"/>
    <n v="5"/>
    <s v="New"/>
    <n v="4660"/>
    <n v="699"/>
    <n v="3961"/>
    <n v="1171"/>
    <n v="0.29563241605655138"/>
    <n v="2028"/>
    <s v="Nov"/>
    <s v="Q4"/>
  </r>
  <r>
    <s v="ORD11328"/>
    <x v="1327"/>
    <s v="CUST1420"/>
    <s v="Aditya Patel"/>
    <x v="214"/>
    <x v="1"/>
    <x v="21"/>
    <x v="14"/>
    <s v="Ahmedabad"/>
    <s v="Gujarat"/>
    <x v="0"/>
    <x v="2"/>
    <s v="Headphones"/>
    <x v="5"/>
    <n v="1"/>
    <n v="2340"/>
    <n v="0.1"/>
    <n v="1520"/>
    <s v="UPI"/>
    <s v="Delivered"/>
    <n v="5"/>
    <s v="New"/>
    <n v="2340"/>
    <n v="234"/>
    <n v="2106"/>
    <n v="586"/>
    <n v="0.27825261158594494"/>
    <n v="2028"/>
    <s v="Nov"/>
    <s v="Q4"/>
  </r>
  <r>
    <s v="ORD11329"/>
    <x v="1328"/>
    <s v="CUST1377"/>
    <s v="Rahul Singh"/>
    <x v="167"/>
    <x v="1"/>
    <x v="11"/>
    <x v="13"/>
    <s v="Lucknow"/>
    <s v="Uttar Pradesh"/>
    <x v="3"/>
    <x v="0"/>
    <s v="T-Shirt"/>
    <x v="2"/>
    <n v="5"/>
    <n v="910"/>
    <n v="0.2"/>
    <n v="460"/>
    <s v="Net Banking"/>
    <s v="Delivered"/>
    <n v="2"/>
    <s v="New"/>
    <n v="4550"/>
    <n v="910"/>
    <n v="3640"/>
    <n v="3180"/>
    <n v="0.87362637362637363"/>
    <n v="2028"/>
    <s v="Dec"/>
    <s v="Q4"/>
  </r>
  <r>
    <s v="ORD11330"/>
    <x v="1329"/>
    <s v="CUST1263"/>
    <s v="Diya Sharma"/>
    <x v="220"/>
    <x v="0"/>
    <x v="31"/>
    <x v="7"/>
    <s v="Mumbai"/>
    <s v="Maharashtra"/>
    <x v="0"/>
    <x v="2"/>
    <s v="Headphones"/>
    <x v="5"/>
    <n v="2"/>
    <n v="2540"/>
    <n v="0.05"/>
    <n v="1540"/>
    <s v="Wallet"/>
    <s v="Cancelled"/>
    <n v="0"/>
    <s v="Returning"/>
    <n v="5080"/>
    <n v="254"/>
    <n v="4826"/>
    <n v="3286"/>
    <n v="0.6808951512639867"/>
    <n v="2028"/>
    <s v="Dec"/>
    <s v="Q4"/>
  </r>
  <r>
    <s v="ORD11331"/>
    <x v="1330"/>
    <s v="CUST1194"/>
    <s v="Priya Shah"/>
    <x v="228"/>
    <x v="1"/>
    <x v="3"/>
    <x v="12"/>
    <s v="Delhi"/>
    <s v="Delhi"/>
    <x v="3"/>
    <x v="2"/>
    <s v="Laptop"/>
    <x v="15"/>
    <n v="1"/>
    <n v="58340"/>
    <n v="0.05"/>
    <n v="40170"/>
    <s v="UPI"/>
    <s v="Delivered"/>
    <n v="2"/>
    <s v="Returning"/>
    <n v="58340"/>
    <n v="2917"/>
    <n v="55423"/>
    <n v="15253"/>
    <n v="0.2752106526171445"/>
    <n v="2028"/>
    <s v="Dec"/>
    <s v="Q4"/>
  </r>
  <r>
    <s v="ORD11332"/>
    <x v="1331"/>
    <s v="CUST1481"/>
    <s v="Nisha Iyer"/>
    <x v="9"/>
    <x v="0"/>
    <x v="32"/>
    <x v="10"/>
    <s v="Jaipur"/>
    <s v="Rajasthan"/>
    <x v="3"/>
    <x v="5"/>
    <s v="Microwave"/>
    <x v="27"/>
    <n v="2"/>
    <n v="12100"/>
    <n v="0.05"/>
    <n v="8440"/>
    <s v="UPI"/>
    <s v="Cancelled"/>
    <n v="0"/>
    <s v="New"/>
    <n v="24200"/>
    <n v="1210"/>
    <n v="22990"/>
    <n v="14550"/>
    <n v="0.63288386254893436"/>
    <n v="2028"/>
    <s v="Dec"/>
    <s v="Q4"/>
  </r>
  <r>
    <s v="ORD11333"/>
    <x v="1332"/>
    <s v="CUST1389"/>
    <s v="Vivaan Reddy"/>
    <x v="131"/>
    <x v="0"/>
    <x v="31"/>
    <x v="1"/>
    <s v="Kolkata"/>
    <s v="West Bengal"/>
    <x v="1"/>
    <x v="0"/>
    <s v="Sneakers"/>
    <x v="0"/>
    <n v="1"/>
    <n v="3250"/>
    <n v="0.1"/>
    <n v="2160"/>
    <s v="Cash on Delivery"/>
    <s v="Returned"/>
    <n v="1"/>
    <s v="New"/>
    <n v="3250"/>
    <n v="325"/>
    <n v="2925"/>
    <n v="765"/>
    <n v="0.26153846153846155"/>
    <n v="2028"/>
    <s v="Dec"/>
    <s v="Q4"/>
  </r>
  <r>
    <s v="ORD11334"/>
    <x v="1333"/>
    <s v="CUST1438"/>
    <s v="Vikram Shah"/>
    <x v="146"/>
    <x v="0"/>
    <x v="37"/>
    <x v="13"/>
    <s v="Lucknow"/>
    <s v="Uttar Pradesh"/>
    <x v="3"/>
    <x v="0"/>
    <s v="Jacket"/>
    <x v="25"/>
    <n v="2"/>
    <n v="4450"/>
    <n v="0.15"/>
    <n v="2530"/>
    <s v="Credit Card"/>
    <s v="Delivered"/>
    <n v="7"/>
    <s v="New"/>
    <n v="8900"/>
    <n v="1335"/>
    <n v="7565"/>
    <n v="5035"/>
    <n v="0.66556510244547262"/>
    <n v="2028"/>
    <s v="Dec"/>
    <s v="Q4"/>
  </r>
  <r>
    <s v="ORD11335"/>
    <x v="1334"/>
    <s v="CUST1064"/>
    <s v="Aditya Das"/>
    <x v="229"/>
    <x v="1"/>
    <x v="11"/>
    <x v="5"/>
    <s v="Bhubaneswar"/>
    <s v="Odisha"/>
    <x v="1"/>
    <x v="2"/>
    <s v="Laptop"/>
    <x v="15"/>
    <n v="4"/>
    <n v="52060"/>
    <n v="0.05"/>
    <n v="40540"/>
    <s v="Cash on Delivery"/>
    <s v="Delivered"/>
    <n v="2"/>
    <s v="Returning"/>
    <n v="208240"/>
    <n v="10412"/>
    <n v="197828"/>
    <n v="157288"/>
    <n v="0.79507450916958167"/>
    <n v="2028"/>
    <s v="Dec"/>
    <s v="Q4"/>
  </r>
  <r>
    <s v="ORD11336"/>
    <x v="1335"/>
    <s v="CUST1085"/>
    <s v="Vikram Gupta"/>
    <x v="177"/>
    <x v="1"/>
    <x v="2"/>
    <x v="10"/>
    <s v="Jaipur"/>
    <s v="Rajasthan"/>
    <x v="3"/>
    <x v="0"/>
    <s v="T-Shirt"/>
    <x v="2"/>
    <n v="1"/>
    <n v="930"/>
    <n v="0.1"/>
    <n v="440"/>
    <s v="UPI"/>
    <s v="Delivered"/>
    <n v="3"/>
    <s v="Returning"/>
    <n v="930"/>
    <n v="93"/>
    <n v="837"/>
    <n v="397"/>
    <n v="0.47431302270011949"/>
    <n v="2028"/>
    <s v="Dec"/>
    <s v="Q4"/>
  </r>
  <r>
    <s v="ORD11337"/>
    <x v="1336"/>
    <s v="CUST1238"/>
    <s v="Sneha Patel"/>
    <x v="191"/>
    <x v="1"/>
    <x v="28"/>
    <x v="12"/>
    <s v="Delhi"/>
    <s v="Delhi"/>
    <x v="3"/>
    <x v="0"/>
    <s v="Jacket"/>
    <x v="25"/>
    <n v="3"/>
    <n v="4080"/>
    <n v="0"/>
    <n v="2630"/>
    <s v="UPI"/>
    <s v="Delivered"/>
    <n v="7"/>
    <s v="Returning"/>
    <n v="12240"/>
    <n v="0"/>
    <n v="12240"/>
    <n v="9610"/>
    <n v="0.78513071895424835"/>
    <n v="2028"/>
    <s v="Dec"/>
    <s v="Q4"/>
  </r>
  <r>
    <s v="ORD11338"/>
    <x v="1337"/>
    <s v="CUST1406"/>
    <s v="Rohan Singh"/>
    <x v="47"/>
    <x v="0"/>
    <x v="35"/>
    <x v="9"/>
    <s v="Hyderabad"/>
    <s v="Telangana"/>
    <x v="2"/>
    <x v="2"/>
    <s v="Smartwatch"/>
    <x v="3"/>
    <n v="2"/>
    <n v="7430"/>
    <n v="0"/>
    <n v="4430"/>
    <s v="Credit Card"/>
    <s v="Cancelled"/>
    <n v="0"/>
    <s v="New"/>
    <n v="14860"/>
    <n v="0"/>
    <n v="14860"/>
    <n v="10430"/>
    <n v="0.70188425302826385"/>
    <n v="2028"/>
    <s v="Dec"/>
    <s v="Q4"/>
  </r>
  <r>
    <s v="ORD11339"/>
    <x v="1338"/>
    <s v="CUST1442"/>
    <s v="Aarav Nair"/>
    <x v="4"/>
    <x v="0"/>
    <x v="15"/>
    <x v="1"/>
    <s v="Kolkata"/>
    <s v="West Bengal"/>
    <x v="1"/>
    <x v="2"/>
    <s v="Tablet"/>
    <x v="4"/>
    <n v="1"/>
    <n v="20980"/>
    <n v="0.1"/>
    <n v="15980"/>
    <s v="UPI"/>
    <s v="Returned"/>
    <n v="1"/>
    <s v="New"/>
    <n v="20980"/>
    <n v="2098"/>
    <n v="18882"/>
    <n v="2902"/>
    <n v="0.15369134625569325"/>
    <n v="2028"/>
    <s v="Dec"/>
    <s v="Q4"/>
  </r>
  <r>
    <s v="ORD11340"/>
    <x v="1339"/>
    <s v="CUST1035"/>
    <s v="Nisha Nair"/>
    <x v="1"/>
    <x v="0"/>
    <x v="21"/>
    <x v="10"/>
    <s v="Jaipur"/>
    <s v="Rajasthan"/>
    <x v="3"/>
    <x v="5"/>
    <s v="Air Fryer"/>
    <x v="26"/>
    <n v="1"/>
    <n v="6390"/>
    <n v="0.2"/>
    <n v="4310"/>
    <s v="Credit Card"/>
    <s v="Delivered"/>
    <n v="2"/>
    <s v="Returning"/>
    <n v="6390"/>
    <n v="1278"/>
    <n v="5112"/>
    <n v="802"/>
    <n v="0.15688575899843504"/>
    <n v="2028"/>
    <s v="Dec"/>
    <s v="Q4"/>
  </r>
  <r>
    <s v="ORD11341"/>
    <x v="1340"/>
    <s v="CUST1129"/>
    <s v="Aarav Patel"/>
    <x v="170"/>
    <x v="0"/>
    <x v="42"/>
    <x v="14"/>
    <s v="Ahmedabad"/>
    <s v="Gujarat"/>
    <x v="0"/>
    <x v="4"/>
    <s v="Shampoo"/>
    <x v="8"/>
    <n v="2"/>
    <n v="490"/>
    <n v="0.15"/>
    <n v="230"/>
    <s v="Credit Card"/>
    <s v="Delivered"/>
    <n v="3"/>
    <s v="Returning"/>
    <n v="980"/>
    <n v="147"/>
    <n v="833"/>
    <n v="603"/>
    <n v="0.72388955582232895"/>
    <n v="2028"/>
    <s v="Dec"/>
    <s v="Q4"/>
  </r>
  <r>
    <s v="ORD11342"/>
    <x v="1341"/>
    <s v="CUST1219"/>
    <s v="Arjun Kumar"/>
    <x v="188"/>
    <x v="0"/>
    <x v="13"/>
    <x v="11"/>
    <s v="Chennai"/>
    <s v="Tamil Nadu"/>
    <x v="2"/>
    <x v="2"/>
    <s v="Smartwatch"/>
    <x v="3"/>
    <n v="3"/>
    <n v="7290"/>
    <n v="0.05"/>
    <n v="4700"/>
    <s v="UPI"/>
    <s v="Pending"/>
    <n v="2"/>
    <s v="Returning"/>
    <n v="21870"/>
    <n v="1093.5"/>
    <n v="20776.5"/>
    <n v="16076.5"/>
    <n v="0.77378287969581017"/>
    <n v="2028"/>
    <s v="Dec"/>
    <s v="Q4"/>
  </r>
  <r>
    <s v="ORD11343"/>
    <x v="1342"/>
    <s v="CUST1448"/>
    <s v="Aarav Reddy"/>
    <x v="31"/>
    <x v="0"/>
    <x v="11"/>
    <x v="10"/>
    <s v="Jaipur"/>
    <s v="Rajasthan"/>
    <x v="3"/>
    <x v="1"/>
    <s v="Sofa"/>
    <x v="16"/>
    <n v="1"/>
    <n v="25970"/>
    <n v="0.15"/>
    <n v="19610"/>
    <s v="Cash on Delivery"/>
    <s v="Delivered"/>
    <n v="2"/>
    <s v="New"/>
    <n v="25970"/>
    <n v="3895.5"/>
    <n v="22074.5"/>
    <n v="2464.5"/>
    <n v="0.11164465786314526"/>
    <n v="2028"/>
    <s v="Dec"/>
    <s v="Q4"/>
  </r>
  <r>
    <s v="ORD11344"/>
    <x v="1343"/>
    <s v="CUST1265"/>
    <s v="Ananya Bhat"/>
    <x v="206"/>
    <x v="1"/>
    <x v="5"/>
    <x v="14"/>
    <s v="Ahmedabad"/>
    <s v="Gujarat"/>
    <x v="0"/>
    <x v="2"/>
    <s v="Headphones"/>
    <x v="5"/>
    <n v="2"/>
    <n v="2370"/>
    <n v="0.15"/>
    <n v="1500"/>
    <s v="Credit Card"/>
    <s v="Returned"/>
    <n v="4"/>
    <s v="Returning"/>
    <n v="4740"/>
    <n v="711"/>
    <n v="4029"/>
    <n v="2529"/>
    <n v="0.6276991809381981"/>
    <n v="2028"/>
    <s v="Dec"/>
    <s v="Q4"/>
  </r>
  <r>
    <s v="ORD11345"/>
    <x v="1344"/>
    <s v="CUST1111"/>
    <s v="Ananya Mehta"/>
    <x v="125"/>
    <x v="1"/>
    <x v="25"/>
    <x v="12"/>
    <s v="Delhi"/>
    <s v="Delhi"/>
    <x v="3"/>
    <x v="4"/>
    <s v="Hair Dryer"/>
    <x v="14"/>
    <n v="2"/>
    <n v="1880"/>
    <n v="0.15"/>
    <n v="1020"/>
    <s v="Cash on Delivery"/>
    <s v="Delivered"/>
    <n v="3"/>
    <s v="Returning"/>
    <n v="3760"/>
    <n v="564"/>
    <n v="3196"/>
    <n v="2176"/>
    <n v="0.68085106382978722"/>
    <n v="2028"/>
    <s v="Dec"/>
    <s v="Q4"/>
  </r>
  <r>
    <s v="ORD11346"/>
    <x v="1345"/>
    <s v="CUST1435"/>
    <s v="Diya Rao"/>
    <x v="67"/>
    <x v="0"/>
    <x v="37"/>
    <x v="12"/>
    <s v="Delhi"/>
    <s v="Delhi"/>
    <x v="3"/>
    <x v="1"/>
    <s v="Office Chair"/>
    <x v="1"/>
    <n v="2"/>
    <n v="6170"/>
    <n v="0.15"/>
    <n v="4410"/>
    <s v="Cash on Delivery"/>
    <s v="Delivered"/>
    <n v="2"/>
    <s v="New"/>
    <n v="12340"/>
    <n v="1851"/>
    <n v="10489"/>
    <n v="6079"/>
    <n v="0.57955953856421016"/>
    <n v="2028"/>
    <s v="Dec"/>
    <s v="Q4"/>
  </r>
  <r>
    <s v="ORD11347"/>
    <x v="1346"/>
    <s v="CUST1229"/>
    <s v="Priya Kumar"/>
    <x v="127"/>
    <x v="0"/>
    <x v="25"/>
    <x v="4"/>
    <s v="Chandigarh"/>
    <s v="Chandigarh"/>
    <x v="3"/>
    <x v="1"/>
    <s v="Study Table"/>
    <x v="11"/>
    <n v="1"/>
    <n v="8190"/>
    <n v="0.25"/>
    <n v="5700"/>
    <s v="Net Banking"/>
    <s v="Returned"/>
    <n v="4"/>
    <s v="Returning"/>
    <n v="8190"/>
    <n v="2047.5"/>
    <n v="6142.5"/>
    <n v="442.5"/>
    <n v="7.2039072039072033E-2"/>
    <n v="2028"/>
    <s v="Dec"/>
    <s v="Q4"/>
  </r>
  <r>
    <s v="ORD11348"/>
    <x v="1347"/>
    <s v="CUST1142"/>
    <s v="Nisha Singh"/>
    <x v="114"/>
    <x v="0"/>
    <x v="12"/>
    <x v="8"/>
    <s v="Mysuru"/>
    <s v="Karnataka"/>
    <x v="2"/>
    <x v="2"/>
    <s v="Smartwatch"/>
    <x v="3"/>
    <n v="1"/>
    <n v="6980"/>
    <n v="0.2"/>
    <n v="4500"/>
    <s v="Debit Card"/>
    <s v="Delivered"/>
    <n v="5"/>
    <s v="Returning"/>
    <n v="6980"/>
    <n v="1396"/>
    <n v="5584"/>
    <n v="1084"/>
    <n v="0.19412607449856734"/>
    <n v="2028"/>
    <s v="Dec"/>
    <s v="Q4"/>
  </r>
  <r>
    <s v="ORD11349"/>
    <x v="1348"/>
    <s v="CUST1019"/>
    <s v="Aditya Verma"/>
    <x v="30"/>
    <x v="0"/>
    <x v="31"/>
    <x v="13"/>
    <s v="Lucknow"/>
    <s v="Uttar Pradesh"/>
    <x v="3"/>
    <x v="5"/>
    <s v="Vacuum Cleaner"/>
    <x v="9"/>
    <n v="1"/>
    <n v="9090"/>
    <n v="0"/>
    <n v="5770"/>
    <s v="Cash on Delivery"/>
    <s v="Delivered"/>
    <n v="2"/>
    <s v="Returning"/>
    <n v="9090"/>
    <n v="0"/>
    <n v="9090"/>
    <n v="3320"/>
    <n v="0.36523652365236525"/>
    <n v="2028"/>
    <s v="Dec"/>
    <s v="Q4"/>
  </r>
  <r>
    <s v="ORD11350"/>
    <x v="1349"/>
    <s v="CUST1422"/>
    <s v="Aarav Verma"/>
    <x v="70"/>
    <x v="0"/>
    <x v="35"/>
    <x v="2"/>
    <s v="Kochi"/>
    <s v="Kerala"/>
    <x v="2"/>
    <x v="2"/>
    <s v="Smartphone"/>
    <x v="13"/>
    <n v="1"/>
    <n v="17190"/>
    <n v="0.25"/>
    <n v="12770"/>
    <s v="Cash on Delivery"/>
    <s v="Delivered"/>
    <n v="3"/>
    <s v="New"/>
    <n v="17190"/>
    <n v="4297.5"/>
    <n v="12892.5"/>
    <n v="122.5"/>
    <n v="9.5016482451037425E-3"/>
    <n v="2028"/>
    <s v="Dec"/>
    <s v="Q4"/>
  </r>
  <r>
    <s v="ORD11351"/>
    <x v="1350"/>
    <s v="CUST1385"/>
    <s v="Ananya Gupta"/>
    <x v="61"/>
    <x v="0"/>
    <x v="42"/>
    <x v="9"/>
    <s v="Hyderabad"/>
    <s v="Telangana"/>
    <x v="2"/>
    <x v="5"/>
    <s v="Electric Kettle"/>
    <x v="18"/>
    <n v="1"/>
    <n v="1730"/>
    <n v="0.25"/>
    <n v="990"/>
    <s v="Credit Card"/>
    <s v="Delivered"/>
    <n v="3"/>
    <s v="New"/>
    <n v="1730"/>
    <n v="432.5"/>
    <n v="1297.5"/>
    <n v="307.5"/>
    <n v="0.23699421965317918"/>
    <n v="2028"/>
    <s v="Dec"/>
    <s v="Q4"/>
  </r>
  <r>
    <s v="ORD11352"/>
    <x v="1351"/>
    <s v="CUST1319"/>
    <s v="Nisha Sharma"/>
    <x v="11"/>
    <x v="1"/>
    <x v="36"/>
    <x v="9"/>
    <s v="Hyderabad"/>
    <s v="Telangana"/>
    <x v="2"/>
    <x v="3"/>
    <s v="Cricket Bat"/>
    <x v="23"/>
    <n v="1"/>
    <n v="3130"/>
    <n v="0"/>
    <n v="1990"/>
    <s v="Debit Card"/>
    <s v="Delivered"/>
    <n v="3"/>
    <s v="New"/>
    <n v="3130"/>
    <n v="0"/>
    <n v="3130"/>
    <n v="1140"/>
    <n v="0.36421725239616615"/>
    <n v="2028"/>
    <s v="Dec"/>
    <s v="Q4"/>
  </r>
  <r>
    <s v="ORD11353"/>
    <x v="1352"/>
    <s v="CUST1201"/>
    <s v="Aarav Reddy"/>
    <x v="31"/>
    <x v="1"/>
    <x v="27"/>
    <x v="14"/>
    <s v="Ahmedabad"/>
    <s v="Gujarat"/>
    <x v="0"/>
    <x v="2"/>
    <s v="Smartphone"/>
    <x v="13"/>
    <n v="2"/>
    <n v="17140"/>
    <n v="0.15"/>
    <n v="12550"/>
    <s v="Net Banking"/>
    <s v="Delivered"/>
    <n v="3"/>
    <s v="Returning"/>
    <n v="34280"/>
    <n v="5142"/>
    <n v="29138"/>
    <n v="16588"/>
    <n v="0.56929096025808223"/>
    <n v="2028"/>
    <s v="Dec"/>
    <s v="Q4"/>
  </r>
  <r>
    <s v="ORD11354"/>
    <x v="1353"/>
    <s v="CUST1168"/>
    <s v="Rahul Singh"/>
    <x v="167"/>
    <x v="1"/>
    <x v="17"/>
    <x v="13"/>
    <s v="Lucknow"/>
    <s v="Uttar Pradesh"/>
    <x v="3"/>
    <x v="2"/>
    <s v="Headphones"/>
    <x v="5"/>
    <n v="3"/>
    <n v="2670"/>
    <n v="0.1"/>
    <n v="1550"/>
    <s v="Credit Card"/>
    <s v="Returned"/>
    <n v="5"/>
    <s v="Returning"/>
    <n v="8010"/>
    <n v="801"/>
    <n v="7209"/>
    <n v="5659"/>
    <n v="0.78499098349285612"/>
    <n v="2028"/>
    <s v="Dec"/>
    <s v="Q4"/>
  </r>
  <r>
    <s v="ORD11355"/>
    <x v="1354"/>
    <s v="CUST1312"/>
    <s v="Meera Singh"/>
    <x v="163"/>
    <x v="0"/>
    <x v="24"/>
    <x v="0"/>
    <s v="Pune"/>
    <s v="Maharashtra"/>
    <x v="0"/>
    <x v="1"/>
    <s v="Sofa"/>
    <x v="16"/>
    <n v="2"/>
    <n v="26630"/>
    <n v="0.15"/>
    <n v="21140"/>
    <s v="Debit Card"/>
    <s v="Delivered"/>
    <n v="5"/>
    <s v="New"/>
    <n v="53260"/>
    <n v="7989"/>
    <n v="45271"/>
    <n v="24131"/>
    <n v="0.53303439287844312"/>
    <n v="2028"/>
    <s v="Dec"/>
    <s v="Q4"/>
  </r>
  <r>
    <s v="ORD11356"/>
    <x v="1355"/>
    <s v="CUST1321"/>
    <s v="Vivaan Shah"/>
    <x v="156"/>
    <x v="1"/>
    <x v="12"/>
    <x v="8"/>
    <s v="Mysuru"/>
    <s v="Karnataka"/>
    <x v="2"/>
    <x v="2"/>
    <s v="Headphones"/>
    <x v="5"/>
    <n v="1"/>
    <n v="2420"/>
    <n v="0.15"/>
    <n v="1470"/>
    <s v="UPI"/>
    <s v="Delivered"/>
    <n v="5"/>
    <s v="New"/>
    <n v="2420"/>
    <n v="363"/>
    <n v="2057"/>
    <n v="587"/>
    <n v="0.28536703937773455"/>
    <n v="2028"/>
    <s v="Dec"/>
    <s v="Q4"/>
  </r>
  <r>
    <s v="ORD11357"/>
    <x v="1356"/>
    <s v="CUST1140"/>
    <s v="Rohan Shah"/>
    <x v="199"/>
    <x v="0"/>
    <x v="39"/>
    <x v="14"/>
    <s v="Ahmedabad"/>
    <s v="Gujarat"/>
    <x v="0"/>
    <x v="5"/>
    <s v="Microwave"/>
    <x v="27"/>
    <n v="2"/>
    <n v="12410"/>
    <n v="0"/>
    <n v="8050"/>
    <s v="Cash on Delivery"/>
    <s v="Delivered"/>
    <n v="5"/>
    <s v="Returning"/>
    <n v="24820"/>
    <n v="0"/>
    <n v="24820"/>
    <n v="16770"/>
    <n v="0.67566478646253025"/>
    <n v="2028"/>
    <s v="Dec"/>
    <s v="Q4"/>
  </r>
  <r>
    <s v="ORD11358"/>
    <x v="1357"/>
    <s v="CUST1167"/>
    <s v="Arjun Nair"/>
    <x v="26"/>
    <x v="0"/>
    <x v="13"/>
    <x v="0"/>
    <s v="Pune"/>
    <s v="Maharashtra"/>
    <x v="0"/>
    <x v="3"/>
    <s v="Tennis Racket"/>
    <x v="17"/>
    <n v="1"/>
    <n v="4560"/>
    <n v="0"/>
    <n v="2680"/>
    <s v="Credit Card"/>
    <s v="Delivered"/>
    <n v="4"/>
    <s v="Returning"/>
    <n v="4560"/>
    <n v="0"/>
    <n v="4560"/>
    <n v="1880"/>
    <n v="0.41228070175438597"/>
    <n v="2028"/>
    <s v="Dec"/>
    <s v="Q4"/>
  </r>
  <r>
    <s v="ORD11359"/>
    <x v="1358"/>
    <s v="CUST1234"/>
    <s v="Meera Mehta"/>
    <x v="78"/>
    <x v="1"/>
    <x v="26"/>
    <x v="3"/>
    <s v="Bengaluru"/>
    <s v="Karnataka"/>
    <x v="2"/>
    <x v="5"/>
    <s v="Electric Kettle"/>
    <x v="18"/>
    <n v="1"/>
    <n v="1720"/>
    <n v="0.05"/>
    <n v="910"/>
    <s v="UPI"/>
    <s v="Delivered"/>
    <n v="2"/>
    <s v="Returning"/>
    <n v="1720"/>
    <n v="86"/>
    <n v="1634"/>
    <n v="724"/>
    <n v="0.44308445532435742"/>
    <n v="2028"/>
    <s v="Dec"/>
    <s v="Q4"/>
  </r>
  <r>
    <s v="ORD11360"/>
    <x v="1359"/>
    <s v="CUST1421"/>
    <s v="Rohan Joshi"/>
    <x v="235"/>
    <x v="0"/>
    <x v="13"/>
    <x v="3"/>
    <s v="Bengaluru"/>
    <s v="Karnataka"/>
    <x v="2"/>
    <x v="2"/>
    <s v="Headphones"/>
    <x v="5"/>
    <n v="2"/>
    <n v="2610"/>
    <n v="0.15"/>
    <n v="1530"/>
    <s v="Credit Card"/>
    <s v="Returned"/>
    <n v="4"/>
    <s v="New"/>
    <n v="5220"/>
    <n v="783"/>
    <n v="4437"/>
    <n v="2907"/>
    <n v="0.65517241379310343"/>
    <n v="2029"/>
    <s v="Jan"/>
    <s v="Q1"/>
  </r>
  <r>
    <s v="ORD11361"/>
    <x v="1360"/>
    <s v="CUST1486"/>
    <s v="Ananya Gupta"/>
    <x v="61"/>
    <x v="1"/>
    <x v="19"/>
    <x v="1"/>
    <s v="Kolkata"/>
    <s v="West Bengal"/>
    <x v="1"/>
    <x v="0"/>
    <s v="Jacket"/>
    <x v="25"/>
    <n v="1"/>
    <n v="4110"/>
    <n v="0.05"/>
    <n v="2610"/>
    <s v="Debit Card"/>
    <s v="Delivered"/>
    <n v="2"/>
    <s v="New"/>
    <n v="4110"/>
    <n v="205.5"/>
    <n v="3904.5"/>
    <n v="1294.5"/>
    <n v="0.33154053015751056"/>
    <n v="2029"/>
    <s v="Jan"/>
    <s v="Q1"/>
  </r>
  <r>
    <s v="ORD11362"/>
    <x v="1361"/>
    <s v="CUST1223"/>
    <s v="Rohan Verma"/>
    <x v="212"/>
    <x v="1"/>
    <x v="0"/>
    <x v="7"/>
    <s v="Mumbai"/>
    <s v="Maharashtra"/>
    <x v="0"/>
    <x v="2"/>
    <s v="Headphones"/>
    <x v="5"/>
    <n v="2"/>
    <n v="2630"/>
    <n v="0.2"/>
    <n v="1450"/>
    <s v="Credit Card"/>
    <s v="Delivered"/>
    <n v="5"/>
    <s v="Returning"/>
    <n v="5260"/>
    <n v="1052"/>
    <n v="4208"/>
    <n v="2758"/>
    <n v="0.65541825095057038"/>
    <n v="2029"/>
    <s v="Jan"/>
    <s v="Q1"/>
  </r>
  <r>
    <s v="ORD11363"/>
    <x v="1362"/>
    <s v="CUST1476"/>
    <s v="Sneha Gupta"/>
    <x v="76"/>
    <x v="1"/>
    <x v="1"/>
    <x v="11"/>
    <s v="Chennai"/>
    <s v="Tamil Nadu"/>
    <x v="2"/>
    <x v="4"/>
    <s v="Face Cream"/>
    <x v="21"/>
    <n v="1"/>
    <n v="670"/>
    <n v="0.05"/>
    <n v="290"/>
    <s v="UPI"/>
    <s v="Delivered"/>
    <n v="4"/>
    <s v="New"/>
    <n v="670"/>
    <n v="33.5"/>
    <n v="636.5"/>
    <n v="346.5"/>
    <n v="0.54438334642576591"/>
    <n v="2029"/>
    <s v="Jan"/>
    <s v="Q1"/>
  </r>
  <r>
    <s v="ORD11364"/>
    <x v="1363"/>
    <s v="CUST1071"/>
    <s v="Sneha Das"/>
    <x v="196"/>
    <x v="0"/>
    <x v="2"/>
    <x v="8"/>
    <s v="Mysuru"/>
    <s v="Karnataka"/>
    <x v="2"/>
    <x v="2"/>
    <s v="Smartwatch"/>
    <x v="3"/>
    <n v="1"/>
    <n v="6680"/>
    <n v="0.05"/>
    <n v="4310"/>
    <s v="Debit Card"/>
    <s v="Delivered"/>
    <n v="5"/>
    <s v="Returning"/>
    <n v="6680"/>
    <n v="334"/>
    <n v="6346"/>
    <n v="2036"/>
    <n v="0.32083202017018592"/>
    <n v="2029"/>
    <s v="Jan"/>
    <s v="Q1"/>
  </r>
  <r>
    <s v="ORD11365"/>
    <x v="1364"/>
    <s v="CUST1278"/>
    <s v="Vivaan Singh"/>
    <x v="159"/>
    <x v="1"/>
    <x v="33"/>
    <x v="13"/>
    <s v="Lucknow"/>
    <s v="Uttar Pradesh"/>
    <x v="3"/>
    <x v="1"/>
    <s v="Bedside Table"/>
    <x v="24"/>
    <n v="1"/>
    <n v="4200"/>
    <n v="0.25"/>
    <n v="2910"/>
    <s v="Cash on Delivery"/>
    <s v="Delivered"/>
    <n v="4"/>
    <s v="Returning"/>
    <n v="4200"/>
    <n v="1050"/>
    <n v="3150"/>
    <n v="240"/>
    <n v="7.6190476190476197E-2"/>
    <n v="2029"/>
    <s v="Jan"/>
    <s v="Q1"/>
  </r>
  <r>
    <s v="ORD11366"/>
    <x v="1365"/>
    <s v="CUST1392"/>
    <s v="Rohan Shah"/>
    <x v="199"/>
    <x v="1"/>
    <x v="10"/>
    <x v="2"/>
    <s v="Kochi"/>
    <s v="Kerala"/>
    <x v="2"/>
    <x v="5"/>
    <s v="Electric Kettle"/>
    <x v="18"/>
    <n v="2"/>
    <n v="1850"/>
    <n v="0"/>
    <n v="940"/>
    <s v="UPI"/>
    <s v="Delivered"/>
    <n v="7"/>
    <s v="New"/>
    <n v="3700"/>
    <n v="0"/>
    <n v="3700"/>
    <n v="2760"/>
    <n v="0.74594594594594599"/>
    <n v="2029"/>
    <s v="Jan"/>
    <s v="Q1"/>
  </r>
  <r>
    <s v="ORD11367"/>
    <x v="1366"/>
    <s v="CUST1262"/>
    <s v="Diya Rao"/>
    <x v="67"/>
    <x v="1"/>
    <x v="26"/>
    <x v="3"/>
    <s v="Bengaluru"/>
    <s v="Karnataka"/>
    <x v="2"/>
    <x v="0"/>
    <s v="Handbag"/>
    <x v="12"/>
    <n v="3"/>
    <n v="2830"/>
    <n v="0.05"/>
    <n v="1530"/>
    <s v="Debit Card"/>
    <s v="Delivered"/>
    <n v="3"/>
    <s v="Returning"/>
    <n v="8490"/>
    <n v="424.5"/>
    <n v="8065.5"/>
    <n v="6535.5"/>
    <n v="0.81030314301655193"/>
    <n v="2029"/>
    <s v="Jan"/>
    <s v="Q1"/>
  </r>
  <r>
    <s v="ORD11368"/>
    <x v="1367"/>
    <s v="CUST1286"/>
    <s v="Karan Patel"/>
    <x v="173"/>
    <x v="0"/>
    <x v="2"/>
    <x v="13"/>
    <s v="Lucknow"/>
    <s v="Uttar Pradesh"/>
    <x v="3"/>
    <x v="0"/>
    <s v="Jeans"/>
    <x v="19"/>
    <n v="2"/>
    <n v="2090"/>
    <n v="0.05"/>
    <n v="1240"/>
    <s v="Credit Card"/>
    <s v="Delivered"/>
    <n v="3"/>
    <s v="Returning"/>
    <n v="4180"/>
    <n v="209"/>
    <n v="3971"/>
    <n v="2731"/>
    <n v="0.68773608662805341"/>
    <n v="2029"/>
    <s v="Jan"/>
    <s v="Q1"/>
  </r>
  <r>
    <s v="ORD11369"/>
    <x v="1368"/>
    <s v="CUST1068"/>
    <s v="Aarav Iyer"/>
    <x v="37"/>
    <x v="1"/>
    <x v="34"/>
    <x v="13"/>
    <s v="Lucknow"/>
    <s v="Uttar Pradesh"/>
    <x v="3"/>
    <x v="0"/>
    <s v="Jacket"/>
    <x v="25"/>
    <n v="4"/>
    <n v="4400"/>
    <n v="0"/>
    <n v="2730"/>
    <s v="Debit Card"/>
    <s v="Delivered"/>
    <n v="2"/>
    <s v="Returning"/>
    <n v="17600"/>
    <n v="0"/>
    <n v="17600"/>
    <n v="14870"/>
    <n v="0.8448863636363636"/>
    <n v="2029"/>
    <s v="Jan"/>
    <s v="Q1"/>
  </r>
  <r>
    <s v="ORD11370"/>
    <x v="1369"/>
    <s v="CUST1285"/>
    <s v="Vivaan Reddy"/>
    <x v="131"/>
    <x v="1"/>
    <x v="10"/>
    <x v="4"/>
    <s v="Chandigarh"/>
    <s v="Chandigarh"/>
    <x v="3"/>
    <x v="2"/>
    <s v="Smartwatch"/>
    <x v="3"/>
    <n v="2"/>
    <n v="7310"/>
    <n v="0.1"/>
    <n v="4440"/>
    <s v="Credit Card"/>
    <s v="Delivered"/>
    <n v="7"/>
    <s v="Returning"/>
    <n v="14620"/>
    <n v="1462"/>
    <n v="13158"/>
    <n v="8718"/>
    <n v="0.66256269949840396"/>
    <n v="2029"/>
    <s v="Jan"/>
    <s v="Q1"/>
  </r>
  <r>
    <s v="ORD11371"/>
    <x v="1370"/>
    <s v="CUST1039"/>
    <s v="Aditya Verma"/>
    <x v="30"/>
    <x v="1"/>
    <x v="17"/>
    <x v="1"/>
    <s v="Kolkata"/>
    <s v="West Bengal"/>
    <x v="1"/>
    <x v="4"/>
    <s v="Face Cream"/>
    <x v="21"/>
    <n v="3"/>
    <n v="650"/>
    <n v="0.2"/>
    <n v="310"/>
    <s v="Cash on Delivery"/>
    <s v="Cancelled"/>
    <n v="0"/>
    <s v="Returning"/>
    <n v="1950"/>
    <n v="390"/>
    <n v="1560"/>
    <n v="1250"/>
    <n v="0.80128205128205132"/>
    <n v="2029"/>
    <s v="Jan"/>
    <s v="Q1"/>
  </r>
  <r>
    <s v="ORD11372"/>
    <x v="1371"/>
    <s v="CUST1026"/>
    <s v="Ananya Naidu"/>
    <x v="219"/>
    <x v="1"/>
    <x v="9"/>
    <x v="7"/>
    <s v="Mumbai"/>
    <s v="Maharashtra"/>
    <x v="0"/>
    <x v="4"/>
    <s v="Makeup Kit"/>
    <x v="28"/>
    <n v="1"/>
    <n v="2200"/>
    <n v="0"/>
    <n v="1160"/>
    <s v="UPI"/>
    <s v="Delivered"/>
    <n v="3"/>
    <s v="Returning"/>
    <n v="2200"/>
    <n v="0"/>
    <n v="2200"/>
    <n v="1040"/>
    <n v="0.47272727272727272"/>
    <n v="2029"/>
    <s v="Jan"/>
    <s v="Q1"/>
  </r>
  <r>
    <s v="ORD11373"/>
    <x v="1372"/>
    <s v="CUST1459"/>
    <s v="Ananya Gupta"/>
    <x v="61"/>
    <x v="1"/>
    <x v="2"/>
    <x v="14"/>
    <s v="Ahmedabad"/>
    <s v="Gujarat"/>
    <x v="0"/>
    <x v="0"/>
    <s v="T-Shirt"/>
    <x v="2"/>
    <n v="2"/>
    <n v="960"/>
    <n v="0.05"/>
    <n v="470"/>
    <s v="Net Banking"/>
    <s v="Delivered"/>
    <n v="4"/>
    <s v="New"/>
    <n v="1920"/>
    <n v="96"/>
    <n v="1824"/>
    <n v="1354"/>
    <n v="0.74232456140350878"/>
    <n v="2029"/>
    <s v="Jan"/>
    <s v="Q1"/>
  </r>
  <r>
    <s v="ORD11374"/>
    <x v="1373"/>
    <s v="CUST1244"/>
    <s v="Aditya Bhat"/>
    <x v="59"/>
    <x v="0"/>
    <x v="38"/>
    <x v="12"/>
    <s v="Delhi"/>
    <s v="Delhi"/>
    <x v="3"/>
    <x v="1"/>
    <s v="Sofa"/>
    <x v="16"/>
    <n v="1"/>
    <n v="29060"/>
    <n v="0.15"/>
    <n v="19810"/>
    <s v="Wallet"/>
    <s v="Delivered"/>
    <n v="3"/>
    <s v="Returning"/>
    <n v="29060"/>
    <n v="4359"/>
    <n v="24701"/>
    <n v="4891"/>
    <n v="0.19800817780656654"/>
    <n v="2029"/>
    <s v="Jan"/>
    <s v="Q1"/>
  </r>
  <r>
    <s v="ORD11375"/>
    <x v="1374"/>
    <s v="CUST1406"/>
    <s v="Nisha Naidu"/>
    <x v="3"/>
    <x v="1"/>
    <x v="38"/>
    <x v="8"/>
    <s v="Mysuru"/>
    <s v="Karnataka"/>
    <x v="2"/>
    <x v="2"/>
    <s v="Smartwatch"/>
    <x v="3"/>
    <n v="2"/>
    <n v="7540"/>
    <n v="0.1"/>
    <n v="4300"/>
    <s v="UPI"/>
    <s v="Returned"/>
    <n v="6"/>
    <s v="New"/>
    <n v="15080"/>
    <n v="1508"/>
    <n v="13572"/>
    <n v="9272"/>
    <n v="0.68317123489537279"/>
    <n v="2029"/>
    <s v="Jan"/>
    <s v="Q1"/>
  </r>
  <r>
    <s v="ORD11376"/>
    <x v="1375"/>
    <s v="CUST1123"/>
    <s v="Vikram Bhat"/>
    <x v="18"/>
    <x v="1"/>
    <x v="30"/>
    <x v="13"/>
    <s v="Lucknow"/>
    <s v="Uttar Pradesh"/>
    <x v="3"/>
    <x v="3"/>
    <s v="Tennis Racket"/>
    <x v="17"/>
    <n v="2"/>
    <n v="4690"/>
    <n v="0"/>
    <n v="2670"/>
    <s v="UPI"/>
    <s v="Delivered"/>
    <n v="5"/>
    <s v="Returning"/>
    <n v="9380"/>
    <n v="0"/>
    <n v="9380"/>
    <n v="6710"/>
    <n v="0.71535181236673773"/>
    <n v="2029"/>
    <s v="Jan"/>
    <s v="Q1"/>
  </r>
  <r>
    <s v="ORD11377"/>
    <x v="1376"/>
    <s v="CUST1365"/>
    <s v="Nisha Naidu"/>
    <x v="3"/>
    <x v="0"/>
    <x v="36"/>
    <x v="9"/>
    <s v="Hyderabad"/>
    <s v="Telangana"/>
    <x v="2"/>
    <x v="0"/>
    <s v="T-Shirt"/>
    <x v="2"/>
    <n v="1"/>
    <n v="930"/>
    <n v="0.05"/>
    <n v="460"/>
    <s v="UPI"/>
    <s v="Delivered"/>
    <n v="3"/>
    <s v="New"/>
    <n v="930"/>
    <n v="46.5"/>
    <n v="883.5"/>
    <n v="423.5"/>
    <n v="0.47934352009054898"/>
    <n v="2029"/>
    <s v="Jan"/>
    <s v="Q1"/>
  </r>
  <r>
    <s v="ORD11378"/>
    <x v="1377"/>
    <s v="CUST1103"/>
    <s v="Rahul Gupta"/>
    <x v="140"/>
    <x v="1"/>
    <x v="16"/>
    <x v="4"/>
    <s v="Chandigarh"/>
    <s v="Chandigarh"/>
    <x v="3"/>
    <x v="5"/>
    <s v="Mixer Grinder"/>
    <x v="22"/>
    <n v="5"/>
    <n v="4030"/>
    <n v="0.15"/>
    <n v="2600"/>
    <s v="Credit Card"/>
    <s v="Delivered"/>
    <n v="2"/>
    <s v="Returning"/>
    <n v="20150"/>
    <n v="3022.5"/>
    <n v="17127.5"/>
    <n v="14527.5"/>
    <n v="0.84819734345351039"/>
    <n v="2029"/>
    <s v="Jan"/>
    <s v="Q1"/>
  </r>
  <r>
    <s v="ORD11379"/>
    <x v="1378"/>
    <s v="CUST1034"/>
    <s v="Vikram Reddy"/>
    <x v="221"/>
    <x v="0"/>
    <x v="18"/>
    <x v="0"/>
    <s v="Pune"/>
    <s v="Maharashtra"/>
    <x v="0"/>
    <x v="2"/>
    <s v="Tablet"/>
    <x v="4"/>
    <n v="1"/>
    <n v="21030"/>
    <n v="0.15"/>
    <n v="15450"/>
    <s v="Credit Card"/>
    <s v="Delivered"/>
    <n v="5"/>
    <s v="Returning"/>
    <n v="21030"/>
    <n v="3154.5"/>
    <n v="17875.5"/>
    <n v="2425.5"/>
    <n v="0.13568851220944869"/>
    <n v="2029"/>
    <s v="Jan"/>
    <s v="Q1"/>
  </r>
  <r>
    <s v="ORD11380"/>
    <x v="1379"/>
    <s v="CUST1349"/>
    <s v="Ishita Bhat"/>
    <x v="107"/>
    <x v="1"/>
    <x v="0"/>
    <x v="8"/>
    <s v="Mysuru"/>
    <s v="Karnataka"/>
    <x v="2"/>
    <x v="3"/>
    <s v="Cricket Bat"/>
    <x v="23"/>
    <n v="1"/>
    <n v="3070"/>
    <n v="0.1"/>
    <n v="1970"/>
    <s v="Credit Card"/>
    <s v="Delivered"/>
    <n v="6"/>
    <s v="New"/>
    <n v="3070"/>
    <n v="307"/>
    <n v="2763"/>
    <n v="793"/>
    <n v="0.28700687658342383"/>
    <n v="2029"/>
    <s v="Jan"/>
    <s v="Q1"/>
  </r>
  <r>
    <s v="ORD11381"/>
    <x v="1380"/>
    <s v="CUST1038"/>
    <s v="Priya Singh"/>
    <x v="0"/>
    <x v="0"/>
    <x v="34"/>
    <x v="11"/>
    <s v="Chennai"/>
    <s v="Tamil Nadu"/>
    <x v="2"/>
    <x v="1"/>
    <s v="Bookshelf"/>
    <x v="6"/>
    <n v="5"/>
    <n v="5130"/>
    <n v="0.2"/>
    <n v="3050"/>
    <s v="Cash on Delivery"/>
    <s v="Delivered"/>
    <n v="2"/>
    <s v="Returning"/>
    <n v="25650"/>
    <n v="5130"/>
    <n v="20520"/>
    <n v="17470"/>
    <n v="0.85136452241715399"/>
    <n v="2029"/>
    <s v="Jan"/>
    <s v="Q1"/>
  </r>
  <r>
    <s v="ORD11382"/>
    <x v="1381"/>
    <s v="CUST1046"/>
    <s v="Karan Kumar"/>
    <x v="111"/>
    <x v="0"/>
    <x v="24"/>
    <x v="1"/>
    <s v="Kolkata"/>
    <s v="West Bengal"/>
    <x v="1"/>
    <x v="2"/>
    <s v="Laptop"/>
    <x v="15"/>
    <n v="3"/>
    <n v="59310"/>
    <n v="0"/>
    <n v="40450"/>
    <s v="UPI"/>
    <s v="Delivered"/>
    <n v="3"/>
    <s v="Returning"/>
    <n v="177930"/>
    <n v="0"/>
    <n v="177930"/>
    <n v="137480"/>
    <n v="0.77266340695779234"/>
    <n v="2029"/>
    <s v="Jan"/>
    <s v="Q1"/>
  </r>
  <r>
    <s v="ORD11383"/>
    <x v="1382"/>
    <s v="CUST1061"/>
    <s v="Priya Verma"/>
    <x v="190"/>
    <x v="0"/>
    <x v="34"/>
    <x v="3"/>
    <s v="Bengaluru"/>
    <s v="Karnataka"/>
    <x v="2"/>
    <x v="0"/>
    <s v="Handbag"/>
    <x v="12"/>
    <n v="2"/>
    <n v="2680"/>
    <n v="0.1"/>
    <n v="1650"/>
    <s v="Credit Card"/>
    <s v="Delivered"/>
    <n v="3"/>
    <s v="Returning"/>
    <n v="5360"/>
    <n v="536"/>
    <n v="4824"/>
    <n v="3174"/>
    <n v="0.65796019900497515"/>
    <n v="2029"/>
    <s v="Jan"/>
    <s v="Q1"/>
  </r>
  <r>
    <s v="ORD11384"/>
    <x v="1383"/>
    <s v="CUST1456"/>
    <s v="Diya Gupta"/>
    <x v="81"/>
    <x v="1"/>
    <x v="13"/>
    <x v="3"/>
    <s v="Bengaluru"/>
    <s v="Karnataka"/>
    <x v="2"/>
    <x v="1"/>
    <s v="Sofa"/>
    <x v="16"/>
    <n v="2"/>
    <n v="29550"/>
    <n v="0.2"/>
    <n v="20820"/>
    <s v="Cash on Delivery"/>
    <s v="Delivered"/>
    <n v="1"/>
    <s v="New"/>
    <n v="59100"/>
    <n v="11820"/>
    <n v="47280"/>
    <n v="26460"/>
    <n v="0.55964467005076146"/>
    <n v="2029"/>
    <s v="Jan"/>
    <s v="Q1"/>
  </r>
  <r>
    <s v="ORD11385"/>
    <x v="1384"/>
    <s v="CUST1417"/>
    <s v="Rohan Rao"/>
    <x v="23"/>
    <x v="1"/>
    <x v="19"/>
    <x v="2"/>
    <s v="Kochi"/>
    <s v="Kerala"/>
    <x v="2"/>
    <x v="4"/>
    <s v="Makeup Kit"/>
    <x v="28"/>
    <n v="3"/>
    <n v="2370"/>
    <n v="0.05"/>
    <n v="1180"/>
    <s v="Net Banking"/>
    <s v="Delivered"/>
    <n v="4"/>
    <s v="New"/>
    <n v="7110"/>
    <n v="355.5"/>
    <n v="6754.5"/>
    <n v="5574.5"/>
    <n v="0.82530165075135098"/>
    <n v="2029"/>
    <s v="Jan"/>
    <s v="Q1"/>
  </r>
  <r>
    <s v="ORD11386"/>
    <x v="1385"/>
    <s v="CUST1113"/>
    <s v="Meera Joshi"/>
    <x v="88"/>
    <x v="0"/>
    <x v="1"/>
    <x v="14"/>
    <s v="Ahmedabad"/>
    <s v="Gujarat"/>
    <x v="0"/>
    <x v="2"/>
    <s v="Laptop"/>
    <x v="15"/>
    <n v="3"/>
    <n v="58100"/>
    <n v="0.1"/>
    <n v="41960"/>
    <s v="Credit Card"/>
    <s v="Pending"/>
    <n v="2"/>
    <s v="Returning"/>
    <n v="174300"/>
    <n v="17430"/>
    <n v="156870"/>
    <n v="114910"/>
    <n v="0.73251737107158799"/>
    <n v="2029"/>
    <s v="Jan"/>
    <s v="Q1"/>
  </r>
  <r>
    <s v="ORD11387"/>
    <x v="1386"/>
    <s v="CUST1057"/>
    <s v="Kavya Mehta"/>
    <x v="166"/>
    <x v="0"/>
    <x v="15"/>
    <x v="9"/>
    <s v="Hyderabad"/>
    <s v="Telangana"/>
    <x v="2"/>
    <x v="2"/>
    <s v="Tablet"/>
    <x v="4"/>
    <n v="2"/>
    <n v="23110"/>
    <n v="0.2"/>
    <n v="15280"/>
    <s v="Credit Card"/>
    <s v="Returned"/>
    <n v="4"/>
    <s v="Returning"/>
    <n v="46220"/>
    <n v="9244"/>
    <n v="36976"/>
    <n v="21696"/>
    <n v="0.58675897879705752"/>
    <n v="2029"/>
    <s v="Jan"/>
    <s v="Q1"/>
  </r>
  <r>
    <s v="ORD11388"/>
    <x v="1387"/>
    <s v="CUST1093"/>
    <s v="Ishita Patel"/>
    <x v="209"/>
    <x v="0"/>
    <x v="1"/>
    <x v="4"/>
    <s v="Chandigarh"/>
    <s v="Chandigarh"/>
    <x v="3"/>
    <x v="4"/>
    <s v="Face Cream"/>
    <x v="21"/>
    <n v="2"/>
    <n v="660"/>
    <n v="0.15"/>
    <n v="300"/>
    <s v="Net Banking"/>
    <s v="Delivered"/>
    <n v="4"/>
    <s v="Returning"/>
    <n v="1320"/>
    <n v="198"/>
    <n v="1122"/>
    <n v="822"/>
    <n v="0.73262032085561501"/>
    <n v="2029"/>
    <s v="Jan"/>
    <s v="Q1"/>
  </r>
  <r>
    <s v="ORD11389"/>
    <x v="1388"/>
    <s v="CUST1438"/>
    <s v="Priya Patel"/>
    <x v="5"/>
    <x v="1"/>
    <x v="31"/>
    <x v="9"/>
    <s v="Hyderabad"/>
    <s v="Telangana"/>
    <x v="2"/>
    <x v="1"/>
    <s v="Bookshelf"/>
    <x v="6"/>
    <n v="1"/>
    <n v="4730"/>
    <n v="0.05"/>
    <n v="3160"/>
    <s v="Cash on Delivery"/>
    <s v="Delivered"/>
    <n v="7"/>
    <s v="New"/>
    <n v="4730"/>
    <n v="236.5"/>
    <n v="4493.5"/>
    <n v="1333.5"/>
    <n v="0.2967619895404473"/>
    <n v="2029"/>
    <s v="Jan"/>
    <s v="Q1"/>
  </r>
  <r>
    <s v="ORD11390"/>
    <x v="1389"/>
    <s v="CUST1189"/>
    <s v="Meera Naidu"/>
    <x v="38"/>
    <x v="0"/>
    <x v="0"/>
    <x v="12"/>
    <s v="Delhi"/>
    <s v="Delhi"/>
    <x v="3"/>
    <x v="0"/>
    <s v="Jacket"/>
    <x v="25"/>
    <n v="1"/>
    <n v="4200"/>
    <n v="0.1"/>
    <n v="2470"/>
    <s v="Credit Card"/>
    <s v="Delivered"/>
    <n v="4"/>
    <s v="Returning"/>
    <n v="4200"/>
    <n v="420"/>
    <n v="3780"/>
    <n v="1310"/>
    <n v="0.34656084656084657"/>
    <n v="2029"/>
    <s v="Jan"/>
    <s v="Q1"/>
  </r>
  <r>
    <s v="ORD11391"/>
    <x v="1390"/>
    <s v="CUST1098"/>
    <s v="Aarav Nair"/>
    <x v="4"/>
    <x v="1"/>
    <x v="17"/>
    <x v="5"/>
    <s v="Bhubaneswar"/>
    <s v="Odisha"/>
    <x v="1"/>
    <x v="0"/>
    <s v="Jacket"/>
    <x v="25"/>
    <n v="4"/>
    <n v="4120"/>
    <n v="0.05"/>
    <n v="2630"/>
    <s v="Debit Card"/>
    <s v="Delivered"/>
    <n v="3"/>
    <s v="Returning"/>
    <n v="16480"/>
    <n v="824"/>
    <n v="15656"/>
    <n v="13026"/>
    <n v="0.83201328564128774"/>
    <n v="2029"/>
    <s v="Feb"/>
    <s v="Q1"/>
  </r>
  <r>
    <s v="ORD11392"/>
    <x v="1391"/>
    <s v="CUST1003"/>
    <s v="Meera Shah"/>
    <x v="100"/>
    <x v="0"/>
    <x v="4"/>
    <x v="7"/>
    <s v="Mumbai"/>
    <s v="Maharashtra"/>
    <x v="0"/>
    <x v="1"/>
    <s v="Study Table"/>
    <x v="11"/>
    <n v="4"/>
    <n v="8230"/>
    <n v="0.15"/>
    <n v="5720"/>
    <s v="UPI"/>
    <s v="Delivered"/>
    <n v="4"/>
    <s v="Returning"/>
    <n v="32920"/>
    <n v="4938"/>
    <n v="27982"/>
    <n v="22262"/>
    <n v="0.79558287470516764"/>
    <n v="2029"/>
    <s v="Feb"/>
    <s v="Q1"/>
  </r>
  <r>
    <s v="ORD11393"/>
    <x v="1392"/>
    <s v="CUST1462"/>
    <s v="Sneha Verma"/>
    <x v="132"/>
    <x v="1"/>
    <x v="35"/>
    <x v="10"/>
    <s v="Jaipur"/>
    <s v="Rajasthan"/>
    <x v="3"/>
    <x v="2"/>
    <s v="Headphones"/>
    <x v="5"/>
    <n v="1"/>
    <n v="2630"/>
    <n v="0.1"/>
    <n v="1460"/>
    <s v="Credit Card"/>
    <s v="Delivered"/>
    <n v="4"/>
    <s v="New"/>
    <n v="2630"/>
    <n v="263"/>
    <n v="2367"/>
    <n v="907"/>
    <n v="0.38318546683565696"/>
    <n v="2029"/>
    <s v="Feb"/>
    <s v="Q1"/>
  </r>
  <r>
    <s v="ORD11394"/>
    <x v="1393"/>
    <s v="CUST1246"/>
    <s v="Aarav Bhat"/>
    <x v="56"/>
    <x v="0"/>
    <x v="19"/>
    <x v="6"/>
    <s v="Guwahati"/>
    <s v="Assam"/>
    <x v="1"/>
    <x v="1"/>
    <s v="Bookshelf"/>
    <x v="6"/>
    <n v="3"/>
    <n v="5210"/>
    <n v="0.1"/>
    <n v="3350"/>
    <s v="UPI"/>
    <s v="Cancelled"/>
    <n v="0"/>
    <s v="Returning"/>
    <n v="15630"/>
    <n v="1563"/>
    <n v="14067"/>
    <n v="10717"/>
    <n v="0.76185398450273689"/>
    <n v="2029"/>
    <s v="Feb"/>
    <s v="Q1"/>
  </r>
  <r>
    <s v="ORD11395"/>
    <x v="1394"/>
    <s v="CUST1011"/>
    <s v="Rahul Joshi"/>
    <x v="108"/>
    <x v="1"/>
    <x v="35"/>
    <x v="3"/>
    <s v="Bengaluru"/>
    <s v="Karnataka"/>
    <x v="2"/>
    <x v="2"/>
    <s v="Laptop"/>
    <x v="15"/>
    <n v="4"/>
    <n v="53670"/>
    <n v="0.3"/>
    <n v="41810"/>
    <s v="Net Banking"/>
    <s v="Delivered"/>
    <n v="3"/>
    <s v="Returning"/>
    <n v="214680"/>
    <n v="64404"/>
    <n v="150276"/>
    <n v="108466"/>
    <n v="0.721778594053608"/>
    <n v="2029"/>
    <s v="Feb"/>
    <s v="Q1"/>
  </r>
  <r>
    <s v="ORD11396"/>
    <x v="1395"/>
    <s v="CUST1487"/>
    <s v="Aditya Kumar"/>
    <x v="155"/>
    <x v="0"/>
    <x v="0"/>
    <x v="3"/>
    <s v="Bengaluru"/>
    <s v="Karnataka"/>
    <x v="2"/>
    <x v="4"/>
    <s v="Shampoo"/>
    <x v="8"/>
    <n v="1"/>
    <n v="540"/>
    <n v="0.15"/>
    <n v="240"/>
    <s v="UPI"/>
    <s v="Delivered"/>
    <n v="5"/>
    <s v="New"/>
    <n v="540"/>
    <n v="81"/>
    <n v="459"/>
    <n v="219"/>
    <n v="0.47712418300653597"/>
    <n v="2029"/>
    <s v="Feb"/>
    <s v="Q1"/>
  </r>
  <r>
    <s v="ORD11397"/>
    <x v="1396"/>
    <s v="CUST1191"/>
    <s v="Aditya Naidu"/>
    <x v="83"/>
    <x v="1"/>
    <x v="1"/>
    <x v="5"/>
    <s v="Bhubaneswar"/>
    <s v="Odisha"/>
    <x v="1"/>
    <x v="5"/>
    <s v="Microwave"/>
    <x v="27"/>
    <n v="1"/>
    <n v="12110"/>
    <n v="0.05"/>
    <n v="8400"/>
    <s v="Credit Card"/>
    <s v="Delivered"/>
    <n v="6"/>
    <s v="Returning"/>
    <n v="12110"/>
    <n v="605.5"/>
    <n v="11504.5"/>
    <n v="3104.5"/>
    <n v="0.26985092789777915"/>
    <n v="2029"/>
    <s v="Feb"/>
    <s v="Q1"/>
  </r>
  <r>
    <s v="ORD11398"/>
    <x v="1397"/>
    <s v="CUST1410"/>
    <s v="Rohan Rao"/>
    <x v="23"/>
    <x v="0"/>
    <x v="14"/>
    <x v="10"/>
    <s v="Jaipur"/>
    <s v="Rajasthan"/>
    <x v="3"/>
    <x v="5"/>
    <s v="Electric Kettle"/>
    <x v="18"/>
    <n v="3"/>
    <n v="1860"/>
    <n v="0.25"/>
    <n v="980"/>
    <s v="UPI"/>
    <s v="Delivered"/>
    <n v="4"/>
    <s v="New"/>
    <n v="5580"/>
    <n v="1395"/>
    <n v="4185"/>
    <n v="3205"/>
    <n v="0.76583034647550774"/>
    <n v="2029"/>
    <s v="Feb"/>
    <s v="Q1"/>
  </r>
  <r>
    <s v="ORD11399"/>
    <x v="1398"/>
    <s v="CUST1458"/>
    <s v="Ishita Patel"/>
    <x v="209"/>
    <x v="0"/>
    <x v="31"/>
    <x v="5"/>
    <s v="Bhubaneswar"/>
    <s v="Odisha"/>
    <x v="1"/>
    <x v="5"/>
    <s v="Microwave"/>
    <x v="27"/>
    <n v="3"/>
    <n v="11060"/>
    <n v="0.05"/>
    <n v="7820"/>
    <s v="UPI"/>
    <s v="Delivered"/>
    <n v="3"/>
    <s v="New"/>
    <n v="33180"/>
    <n v="1659"/>
    <n v="31521"/>
    <n v="23701"/>
    <n v="0.75191142412994516"/>
    <n v="2029"/>
    <s v="Feb"/>
    <s v="Q1"/>
  </r>
  <r>
    <s v="ORD11400"/>
    <x v="1399"/>
    <s v="CUST1100"/>
    <s v="Rohan Das"/>
    <x v="232"/>
    <x v="1"/>
    <x v="20"/>
    <x v="4"/>
    <s v="Chandigarh"/>
    <s v="Chandigarh"/>
    <x v="3"/>
    <x v="3"/>
    <s v="Dumbbells"/>
    <x v="7"/>
    <n v="1"/>
    <n v="2500"/>
    <n v="0.05"/>
    <n v="1520"/>
    <s v="Wallet"/>
    <s v="Delivered"/>
    <n v="6"/>
    <s v="Returning"/>
    <n v="2500"/>
    <n v="125"/>
    <n v="2375"/>
    <n v="855"/>
    <n v="0.36"/>
    <n v="2029"/>
    <s v="Feb"/>
    <s v="Q1"/>
  </r>
  <r>
    <s v="ORD11401"/>
    <x v="1400"/>
    <s v="CUST1414"/>
    <s v="Vikram Verma"/>
    <x v="149"/>
    <x v="1"/>
    <x v="38"/>
    <x v="14"/>
    <s v="Ahmedabad"/>
    <s v="Gujarat"/>
    <x v="0"/>
    <x v="2"/>
    <s v="Laptop"/>
    <x v="15"/>
    <n v="1"/>
    <n v="51780"/>
    <n v="0.15"/>
    <n v="40810"/>
    <s v="UPI"/>
    <s v="Delivered"/>
    <n v="4"/>
    <s v="New"/>
    <n v="51780"/>
    <n v="7767"/>
    <n v="44013"/>
    <n v="3203"/>
    <n v="7.2773953150205614E-2"/>
    <n v="2029"/>
    <s v="Feb"/>
    <s v="Q1"/>
  </r>
  <r>
    <s v="ORD11402"/>
    <x v="1401"/>
    <s v="CUST1192"/>
    <s v="Kavya Verma"/>
    <x v="97"/>
    <x v="1"/>
    <x v="13"/>
    <x v="8"/>
    <s v="Mysuru"/>
    <s v="Karnataka"/>
    <x v="2"/>
    <x v="1"/>
    <s v="Office Chair"/>
    <x v="1"/>
    <n v="4"/>
    <n v="6170"/>
    <n v="0.15"/>
    <n v="4010"/>
    <s v="UPI"/>
    <s v="Delivered"/>
    <n v="5"/>
    <s v="Returning"/>
    <n v="24680"/>
    <n v="3702"/>
    <n v="20978"/>
    <n v="16968"/>
    <n v="0.80884736390504341"/>
    <n v="2029"/>
    <s v="Feb"/>
    <s v="Q1"/>
  </r>
  <r>
    <s v="ORD11403"/>
    <x v="1402"/>
    <s v="CUST1107"/>
    <s v="Aarav Mehta"/>
    <x v="201"/>
    <x v="0"/>
    <x v="5"/>
    <x v="13"/>
    <s v="Lucknow"/>
    <s v="Uttar Pradesh"/>
    <x v="3"/>
    <x v="5"/>
    <s v="Vacuum Cleaner"/>
    <x v="9"/>
    <n v="3"/>
    <n v="8460"/>
    <n v="0.05"/>
    <n v="5380"/>
    <s v="Cash on Delivery"/>
    <s v="Returned"/>
    <n v="4"/>
    <s v="Returning"/>
    <n v="25380"/>
    <n v="1269"/>
    <n v="24111"/>
    <n v="18731"/>
    <n v="0.77686533117664136"/>
    <n v="2029"/>
    <s v="Feb"/>
    <s v="Q1"/>
  </r>
  <r>
    <s v="ORD11404"/>
    <x v="1403"/>
    <s v="CUST1200"/>
    <s v="Diya Iyer"/>
    <x v="91"/>
    <x v="0"/>
    <x v="39"/>
    <x v="11"/>
    <s v="Chennai"/>
    <s v="Tamil Nadu"/>
    <x v="2"/>
    <x v="0"/>
    <s v="Sneakers"/>
    <x v="0"/>
    <n v="1"/>
    <n v="3520"/>
    <n v="0"/>
    <n v="2090"/>
    <s v="UPI"/>
    <s v="Delivered"/>
    <n v="2"/>
    <s v="Returning"/>
    <n v="3520"/>
    <n v="0"/>
    <n v="3520"/>
    <n v="1430"/>
    <n v="0.40625"/>
    <n v="2029"/>
    <s v="Feb"/>
    <s v="Q1"/>
  </r>
  <r>
    <s v="ORD11405"/>
    <x v="1404"/>
    <s v="CUST1480"/>
    <s v="Kavya Joshi"/>
    <x v="68"/>
    <x v="0"/>
    <x v="25"/>
    <x v="5"/>
    <s v="Bhubaneswar"/>
    <s v="Odisha"/>
    <x v="1"/>
    <x v="2"/>
    <s v="Laptop"/>
    <x v="15"/>
    <n v="2"/>
    <n v="57030"/>
    <n v="0.1"/>
    <n v="40800"/>
    <s v="UPI"/>
    <s v="Delivered"/>
    <n v="4"/>
    <s v="New"/>
    <n v="114060"/>
    <n v="11406"/>
    <n v="102654"/>
    <n v="61854"/>
    <n v="0.60254836635688813"/>
    <n v="2029"/>
    <s v="Feb"/>
    <s v="Q1"/>
  </r>
  <r>
    <s v="ORD11406"/>
    <x v="1405"/>
    <s v="CUST1068"/>
    <s v="Ananya Nair"/>
    <x v="238"/>
    <x v="1"/>
    <x v="20"/>
    <x v="13"/>
    <s v="Lucknow"/>
    <s v="Uttar Pradesh"/>
    <x v="3"/>
    <x v="2"/>
    <s v="Tablet"/>
    <x v="4"/>
    <n v="1"/>
    <n v="20610"/>
    <n v="0.25"/>
    <n v="15160"/>
    <s v="Credit Card"/>
    <s v="Returned"/>
    <n v="4"/>
    <s v="Returning"/>
    <n v="20610"/>
    <n v="5152.5"/>
    <n v="15457.5"/>
    <n v="297.5"/>
    <n v="1.9246320556364223E-2"/>
    <n v="2029"/>
    <s v="Feb"/>
    <s v="Q1"/>
  </r>
  <r>
    <s v="ORD11407"/>
    <x v="1406"/>
    <s v="CUST1398"/>
    <s v="Meera Iyer"/>
    <x v="134"/>
    <x v="0"/>
    <x v="38"/>
    <x v="3"/>
    <s v="Bengaluru"/>
    <s v="Karnataka"/>
    <x v="2"/>
    <x v="0"/>
    <s v="Jacket"/>
    <x v="25"/>
    <n v="2"/>
    <n v="4050"/>
    <n v="0.2"/>
    <n v="2610"/>
    <s v="Net Banking"/>
    <s v="Delivered"/>
    <n v="3"/>
    <s v="New"/>
    <n v="8100"/>
    <n v="1620"/>
    <n v="6480"/>
    <n v="3870"/>
    <n v="0.59722222222222221"/>
    <n v="2029"/>
    <s v="Feb"/>
    <s v="Q1"/>
  </r>
  <r>
    <s v="ORD11408"/>
    <x v="1407"/>
    <s v="CUST1266"/>
    <s v="Meera Kumar"/>
    <x v="234"/>
    <x v="0"/>
    <x v="4"/>
    <x v="1"/>
    <s v="Kolkata"/>
    <s v="West Bengal"/>
    <x v="1"/>
    <x v="1"/>
    <s v="Office Chair"/>
    <x v="1"/>
    <n v="3"/>
    <n v="6790"/>
    <n v="0.15"/>
    <n v="4400"/>
    <s v="Debit Card"/>
    <s v="Pending"/>
    <n v="1"/>
    <s v="Returning"/>
    <n v="20370"/>
    <n v="3055.5"/>
    <n v="17314.5"/>
    <n v="12914.5"/>
    <n v="0.74587773253631351"/>
    <n v="2029"/>
    <s v="Feb"/>
    <s v="Q1"/>
  </r>
  <r>
    <s v="ORD11409"/>
    <x v="1408"/>
    <s v="CUST1298"/>
    <s v="Vivaan Naidu"/>
    <x v="144"/>
    <x v="1"/>
    <x v="25"/>
    <x v="5"/>
    <s v="Bhubaneswar"/>
    <s v="Odisha"/>
    <x v="1"/>
    <x v="2"/>
    <s v="Headphones"/>
    <x v="5"/>
    <n v="1"/>
    <n v="2680"/>
    <n v="0.1"/>
    <n v="1430"/>
    <s v="Credit Card"/>
    <s v="Pending"/>
    <n v="5"/>
    <s v="Returning"/>
    <n v="2680"/>
    <n v="268"/>
    <n v="2412"/>
    <n v="982"/>
    <n v="0.40713101160862353"/>
    <n v="2029"/>
    <s v="Feb"/>
    <s v="Q1"/>
  </r>
  <r>
    <s v="ORD11410"/>
    <x v="1409"/>
    <s v="CUST1152"/>
    <s v="Ishita Bhat"/>
    <x v="107"/>
    <x v="0"/>
    <x v="28"/>
    <x v="3"/>
    <s v="Bengaluru"/>
    <s v="Karnataka"/>
    <x v="2"/>
    <x v="2"/>
    <s v="Laptop"/>
    <x v="15"/>
    <n v="1"/>
    <n v="57400"/>
    <n v="0.1"/>
    <n v="41200"/>
    <s v="UPI"/>
    <s v="Delivered"/>
    <n v="4"/>
    <s v="Returning"/>
    <n v="57400"/>
    <n v="5740"/>
    <n v="51660"/>
    <n v="10460"/>
    <n v="0.20247773906310493"/>
    <n v="2029"/>
    <s v="Feb"/>
    <s v="Q1"/>
  </r>
  <r>
    <s v="ORD11411"/>
    <x v="1410"/>
    <s v="CUST1498"/>
    <s v="Diya Rao"/>
    <x v="67"/>
    <x v="0"/>
    <x v="4"/>
    <x v="5"/>
    <s v="Bhubaneswar"/>
    <s v="Odisha"/>
    <x v="1"/>
    <x v="1"/>
    <s v="Study Table"/>
    <x v="11"/>
    <n v="3"/>
    <n v="8060"/>
    <n v="0.05"/>
    <n v="5380"/>
    <s v="UPI"/>
    <s v="Delivered"/>
    <n v="1"/>
    <s v="New"/>
    <n v="24180"/>
    <n v="1209"/>
    <n v="22971"/>
    <n v="17591"/>
    <n v="0.76579165034173524"/>
    <n v="2029"/>
    <s v="Feb"/>
    <s v="Q1"/>
  </r>
  <r>
    <s v="ORD11412"/>
    <x v="1411"/>
    <s v="CUST1489"/>
    <s v="Ananya Naidu"/>
    <x v="219"/>
    <x v="0"/>
    <x v="3"/>
    <x v="11"/>
    <s v="Chennai"/>
    <s v="Tamil Nadu"/>
    <x v="2"/>
    <x v="4"/>
    <s v="Perfume"/>
    <x v="29"/>
    <n v="2"/>
    <n v="1690"/>
    <n v="0.1"/>
    <n v="890"/>
    <s v="Credit Card"/>
    <s v="Cancelled"/>
    <n v="0"/>
    <s v="New"/>
    <n v="3380"/>
    <n v="338"/>
    <n v="3042"/>
    <n v="2152"/>
    <n v="0.70742932281393822"/>
    <n v="2029"/>
    <s v="Feb"/>
    <s v="Q1"/>
  </r>
  <r>
    <s v="ORD11413"/>
    <x v="1412"/>
    <s v="CUST1163"/>
    <s v="Kavya Reddy"/>
    <x v="203"/>
    <x v="1"/>
    <x v="6"/>
    <x v="12"/>
    <s v="Delhi"/>
    <s v="Delhi"/>
    <x v="3"/>
    <x v="2"/>
    <s v="Laptop"/>
    <x v="15"/>
    <n v="2"/>
    <n v="52000"/>
    <n v="0.15"/>
    <n v="42800"/>
    <s v="Credit Card"/>
    <s v="Delivered"/>
    <n v="2"/>
    <s v="Returning"/>
    <n v="104000"/>
    <n v="15600"/>
    <n v="88400"/>
    <n v="45600"/>
    <n v="0.51583710407239824"/>
    <n v="2029"/>
    <s v="Feb"/>
    <s v="Q1"/>
  </r>
  <r>
    <s v="ORD11414"/>
    <x v="1413"/>
    <s v="CUST1136"/>
    <s v="Sneha Bhat"/>
    <x v="246"/>
    <x v="1"/>
    <x v="9"/>
    <x v="4"/>
    <s v="Chandigarh"/>
    <s v="Chandigarh"/>
    <x v="3"/>
    <x v="0"/>
    <s v="Jeans"/>
    <x v="19"/>
    <n v="1"/>
    <n v="2110"/>
    <n v="0.05"/>
    <n v="1230"/>
    <s v="Credit Card"/>
    <s v="Delivered"/>
    <n v="4"/>
    <s v="Returning"/>
    <n v="2110"/>
    <n v="105.5"/>
    <n v="2004.5"/>
    <n v="774.5"/>
    <n v="0.38638064355200796"/>
    <n v="2029"/>
    <s v="Feb"/>
    <s v="Q1"/>
  </r>
  <r>
    <s v="ORD11415"/>
    <x v="1414"/>
    <s v="CUST1184"/>
    <s v="Ananya Kumar"/>
    <x v="126"/>
    <x v="1"/>
    <x v="28"/>
    <x v="3"/>
    <s v="Bengaluru"/>
    <s v="Karnataka"/>
    <x v="2"/>
    <x v="5"/>
    <s v="Air Fryer"/>
    <x v="26"/>
    <n v="3"/>
    <n v="6930"/>
    <n v="0.25"/>
    <n v="4040"/>
    <s v="Credit Card"/>
    <s v="Delivered"/>
    <n v="3"/>
    <s v="Returning"/>
    <n v="20790"/>
    <n v="5197.5"/>
    <n v="15592.5"/>
    <n v="11552.5"/>
    <n v="0.74090107423440754"/>
    <n v="2029"/>
    <s v="Feb"/>
    <s v="Q1"/>
  </r>
  <r>
    <s v="ORD11416"/>
    <x v="1415"/>
    <s v="CUST1243"/>
    <s v="Diya Naidu"/>
    <x v="147"/>
    <x v="0"/>
    <x v="28"/>
    <x v="7"/>
    <s v="Mumbai"/>
    <s v="Maharashtra"/>
    <x v="0"/>
    <x v="2"/>
    <s v="Laptop"/>
    <x v="15"/>
    <n v="5"/>
    <n v="51740"/>
    <n v="0.2"/>
    <n v="42800"/>
    <s v="UPI"/>
    <s v="Cancelled"/>
    <n v="0"/>
    <s v="Returning"/>
    <n v="258700"/>
    <n v="51740"/>
    <n v="206960"/>
    <n v="164160"/>
    <n v="0.79319675299574799"/>
    <n v="2029"/>
    <s v="Feb"/>
    <s v="Q1"/>
  </r>
  <r>
    <s v="ORD11417"/>
    <x v="1416"/>
    <s v="CUST1050"/>
    <s v="Karan Mehta"/>
    <x v="139"/>
    <x v="1"/>
    <x v="5"/>
    <x v="13"/>
    <s v="Lucknow"/>
    <s v="Uttar Pradesh"/>
    <x v="3"/>
    <x v="4"/>
    <s v="Hair Dryer"/>
    <x v="14"/>
    <n v="1"/>
    <n v="1770"/>
    <n v="0.05"/>
    <n v="950"/>
    <s v="UPI"/>
    <s v="Delivered"/>
    <n v="3"/>
    <s v="Returning"/>
    <n v="1770"/>
    <n v="88.5"/>
    <n v="1681.5"/>
    <n v="731.5"/>
    <n v="0.43502824858757061"/>
    <n v="2029"/>
    <s v="Feb"/>
    <s v="Q1"/>
  </r>
  <r>
    <s v="ORD11418"/>
    <x v="1417"/>
    <s v="CUST1360"/>
    <s v="Sneha Verma"/>
    <x v="132"/>
    <x v="0"/>
    <x v="7"/>
    <x v="9"/>
    <s v="Hyderabad"/>
    <s v="Telangana"/>
    <x v="2"/>
    <x v="1"/>
    <s v="Bookshelf"/>
    <x v="6"/>
    <n v="2"/>
    <n v="5140"/>
    <n v="0.05"/>
    <n v="3210"/>
    <s v="Credit Card"/>
    <s v="Delivered"/>
    <n v="2"/>
    <s v="New"/>
    <n v="10280"/>
    <n v="514"/>
    <n v="9766"/>
    <n v="6556"/>
    <n v="0.67130862174892481"/>
    <n v="2029"/>
    <s v="Feb"/>
    <s v="Q1"/>
  </r>
  <r>
    <s v="ORD11419"/>
    <x v="1418"/>
    <s v="CUST1169"/>
    <s v="Kavya Iyer"/>
    <x v="128"/>
    <x v="1"/>
    <x v="4"/>
    <x v="1"/>
    <s v="Kolkata"/>
    <s v="West Bengal"/>
    <x v="1"/>
    <x v="2"/>
    <s v="Smartphone"/>
    <x v="13"/>
    <n v="1"/>
    <n v="16630"/>
    <n v="0.25"/>
    <n v="12890"/>
    <s v="Debit Card"/>
    <s v="Returned"/>
    <n v="5"/>
    <s v="Returning"/>
    <n v="16630"/>
    <n v="4157.5"/>
    <n v="12472.5"/>
    <n v="-417.5"/>
    <n v="-3.3473642012427342E-2"/>
    <n v="2029"/>
    <s v="Mar"/>
    <s v="Q1"/>
  </r>
  <r>
    <s v="ORD11420"/>
    <x v="1419"/>
    <s v="CUST1139"/>
    <s v="Diya Kumar"/>
    <x v="120"/>
    <x v="0"/>
    <x v="22"/>
    <x v="9"/>
    <s v="Hyderabad"/>
    <s v="Telangana"/>
    <x v="2"/>
    <x v="2"/>
    <s v="Headphones"/>
    <x v="5"/>
    <n v="3"/>
    <n v="2480"/>
    <n v="0.15"/>
    <n v="1530"/>
    <s v="UPI"/>
    <s v="Delivered"/>
    <n v="5"/>
    <s v="Returning"/>
    <n v="7440"/>
    <n v="1116"/>
    <n v="6324"/>
    <n v="4794"/>
    <n v="0.75806451612903225"/>
    <n v="2029"/>
    <s v="Mar"/>
    <s v="Q1"/>
  </r>
  <r>
    <s v="ORD11421"/>
    <x v="1420"/>
    <s v="CUST1337"/>
    <s v="Priya Reddy"/>
    <x v="64"/>
    <x v="1"/>
    <x v="18"/>
    <x v="8"/>
    <s v="Mysuru"/>
    <s v="Karnataka"/>
    <x v="2"/>
    <x v="1"/>
    <s v="Study Table"/>
    <x v="11"/>
    <n v="2"/>
    <n v="8470"/>
    <n v="0.05"/>
    <n v="5410"/>
    <s v="Cash on Delivery"/>
    <s v="Cancelled"/>
    <n v="0"/>
    <s v="New"/>
    <n v="16940"/>
    <n v="847"/>
    <n v="16093"/>
    <n v="10683"/>
    <n v="0.6638289939725347"/>
    <n v="2029"/>
    <s v="Mar"/>
    <s v="Q1"/>
  </r>
  <r>
    <s v="ORD11422"/>
    <x v="1421"/>
    <s v="CUST1160"/>
    <s v="Rohan Mehta"/>
    <x v="176"/>
    <x v="1"/>
    <x v="42"/>
    <x v="2"/>
    <s v="Kochi"/>
    <s v="Kerala"/>
    <x v="2"/>
    <x v="2"/>
    <s v="Smartwatch"/>
    <x v="3"/>
    <n v="2"/>
    <n v="7500"/>
    <n v="0.1"/>
    <n v="4610"/>
    <s v="Debit Card"/>
    <s v="Delivered"/>
    <n v="1"/>
    <s v="Returning"/>
    <n v="15000"/>
    <n v="1500"/>
    <n v="13500"/>
    <n v="8890"/>
    <n v="0.6585185185185185"/>
    <n v="2029"/>
    <s v="Mar"/>
    <s v="Q1"/>
  </r>
  <r>
    <s v="ORD11423"/>
    <x v="1422"/>
    <s v="CUST1426"/>
    <s v="Rohan Naidu"/>
    <x v="162"/>
    <x v="1"/>
    <x v="38"/>
    <x v="1"/>
    <s v="Kolkata"/>
    <s v="West Bengal"/>
    <x v="1"/>
    <x v="1"/>
    <s v="Bookshelf"/>
    <x v="6"/>
    <n v="1"/>
    <n v="5270"/>
    <n v="0.1"/>
    <n v="3350"/>
    <s v="Net Banking"/>
    <s v="Pending"/>
    <n v="7"/>
    <s v="New"/>
    <n v="5270"/>
    <n v="527"/>
    <n v="4743"/>
    <n v="1393"/>
    <n v="0.29369597301286104"/>
    <n v="2029"/>
    <s v="Mar"/>
    <s v="Q1"/>
  </r>
  <r>
    <s v="ORD11424"/>
    <x v="1423"/>
    <s v="CUST1023"/>
    <s v="Priya Kumar"/>
    <x v="127"/>
    <x v="1"/>
    <x v="32"/>
    <x v="8"/>
    <s v="Mysuru"/>
    <s v="Karnataka"/>
    <x v="2"/>
    <x v="3"/>
    <s v="Dumbbells"/>
    <x v="7"/>
    <n v="5"/>
    <n v="2570"/>
    <n v="0"/>
    <n v="1440"/>
    <s v="Net Banking"/>
    <s v="Delivered"/>
    <n v="6"/>
    <s v="Returning"/>
    <n v="12850"/>
    <n v="0"/>
    <n v="12850"/>
    <n v="11410"/>
    <n v="0.88793774319066143"/>
    <n v="2029"/>
    <s v="Mar"/>
    <s v="Q1"/>
  </r>
  <r>
    <s v="ORD11425"/>
    <x v="1424"/>
    <s v="CUST1070"/>
    <s v="Meera Shah"/>
    <x v="100"/>
    <x v="0"/>
    <x v="34"/>
    <x v="8"/>
    <s v="Mysuru"/>
    <s v="Karnataka"/>
    <x v="2"/>
    <x v="2"/>
    <s v="Smartwatch"/>
    <x v="3"/>
    <n v="1"/>
    <n v="6630"/>
    <n v="0.1"/>
    <n v="4430"/>
    <s v="Credit Card"/>
    <s v="Delivered"/>
    <n v="4"/>
    <s v="Returning"/>
    <n v="6630"/>
    <n v="663"/>
    <n v="5967"/>
    <n v="1537"/>
    <n v="0.25758337523043406"/>
    <n v="2029"/>
    <s v="Mar"/>
    <s v="Q1"/>
  </r>
  <r>
    <s v="ORD11426"/>
    <x v="1425"/>
    <s v="CUST1268"/>
    <s v="Aarav Patel"/>
    <x v="170"/>
    <x v="1"/>
    <x v="29"/>
    <x v="9"/>
    <s v="Hyderabad"/>
    <s v="Telangana"/>
    <x v="2"/>
    <x v="2"/>
    <s v="Laptop"/>
    <x v="15"/>
    <n v="1"/>
    <n v="58690"/>
    <n v="0.1"/>
    <n v="42860"/>
    <s v="Net Banking"/>
    <s v="Delivered"/>
    <n v="2"/>
    <s v="Returning"/>
    <n v="58690"/>
    <n v="5869"/>
    <n v="52821"/>
    <n v="9961"/>
    <n v="0.18858029950209196"/>
    <n v="2029"/>
    <s v="Mar"/>
    <s v="Q1"/>
  </r>
  <r>
    <s v="ORD11427"/>
    <x v="1426"/>
    <s v="CUST1195"/>
    <s v="Ishita Gupta"/>
    <x v="135"/>
    <x v="1"/>
    <x v="39"/>
    <x v="2"/>
    <s v="Kochi"/>
    <s v="Kerala"/>
    <x v="2"/>
    <x v="1"/>
    <s v="Sofa"/>
    <x v="16"/>
    <n v="2"/>
    <n v="28480"/>
    <n v="0"/>
    <n v="20820"/>
    <s v="Net Banking"/>
    <s v="Delivered"/>
    <n v="4"/>
    <s v="Returning"/>
    <n v="56960"/>
    <n v="0"/>
    <n v="56960"/>
    <n v="36140"/>
    <n v="0.6344803370786517"/>
    <n v="2029"/>
    <s v="Mar"/>
    <s v="Q1"/>
  </r>
  <r>
    <s v="ORD11428"/>
    <x v="1427"/>
    <s v="CUST1500"/>
    <s v="Diya Naidu"/>
    <x v="147"/>
    <x v="1"/>
    <x v="41"/>
    <x v="1"/>
    <s v="Kolkata"/>
    <s v="West Bengal"/>
    <x v="1"/>
    <x v="2"/>
    <s v="Smartwatch"/>
    <x v="3"/>
    <n v="1"/>
    <n v="7550"/>
    <n v="0.15"/>
    <n v="4460"/>
    <s v="Cash on Delivery"/>
    <s v="Delivered"/>
    <n v="3"/>
    <s v="New"/>
    <n v="7550"/>
    <n v="1132.5"/>
    <n v="6417.5"/>
    <n v="1957.5"/>
    <n v="0.30502532138683286"/>
    <n v="2029"/>
    <s v="Mar"/>
    <s v="Q1"/>
  </r>
  <r>
    <s v="ORD11429"/>
    <x v="1428"/>
    <s v="CUST1245"/>
    <s v="Aditya Bhat"/>
    <x v="59"/>
    <x v="1"/>
    <x v="1"/>
    <x v="11"/>
    <s v="Chennai"/>
    <s v="Tamil Nadu"/>
    <x v="2"/>
    <x v="2"/>
    <s v="Laptop"/>
    <x v="15"/>
    <n v="2"/>
    <n v="57980"/>
    <n v="0.15"/>
    <n v="43670"/>
    <s v="UPI"/>
    <s v="Delivered"/>
    <n v="3"/>
    <s v="Returning"/>
    <n v="115960"/>
    <n v="17394"/>
    <n v="98566"/>
    <n v="54896"/>
    <n v="0.55694661445123061"/>
    <n v="2029"/>
    <s v="Mar"/>
    <s v="Q1"/>
  </r>
  <r>
    <s v="ORD11430"/>
    <x v="1429"/>
    <s v="CUST1360"/>
    <s v="Priya Patel"/>
    <x v="5"/>
    <x v="0"/>
    <x v="27"/>
    <x v="11"/>
    <s v="Chennai"/>
    <s v="Tamil Nadu"/>
    <x v="2"/>
    <x v="1"/>
    <s v="Bookshelf"/>
    <x v="6"/>
    <n v="2"/>
    <n v="5080"/>
    <n v="0.05"/>
    <n v="3160"/>
    <s v="Debit Card"/>
    <s v="Cancelled"/>
    <n v="0"/>
    <s v="New"/>
    <n v="10160"/>
    <n v="508"/>
    <n v="9652"/>
    <n v="6492"/>
    <n v="0.67260671363447988"/>
    <n v="2029"/>
    <s v="Mar"/>
    <s v="Q1"/>
  </r>
  <r>
    <s v="ORD11431"/>
    <x v="1430"/>
    <s v="CUST1334"/>
    <s v="Meera Verma"/>
    <x v="77"/>
    <x v="0"/>
    <x v="38"/>
    <x v="6"/>
    <s v="Guwahati"/>
    <s v="Assam"/>
    <x v="1"/>
    <x v="5"/>
    <s v="Electric Kettle"/>
    <x v="18"/>
    <n v="2"/>
    <n v="1860"/>
    <n v="0.05"/>
    <n v="970"/>
    <s v="Credit Card"/>
    <s v="Delivered"/>
    <n v="5"/>
    <s v="New"/>
    <n v="3720"/>
    <n v="186"/>
    <n v="3534"/>
    <n v="2564"/>
    <n v="0.72552348613469153"/>
    <n v="2029"/>
    <s v="Mar"/>
    <s v="Q1"/>
  </r>
  <r>
    <s v="ORD11432"/>
    <x v="1431"/>
    <s v="CUST1059"/>
    <s v="Kavya Kumar"/>
    <x v="96"/>
    <x v="1"/>
    <x v="24"/>
    <x v="14"/>
    <s v="Ahmedabad"/>
    <s v="Gujarat"/>
    <x v="0"/>
    <x v="4"/>
    <s v="Shampoo"/>
    <x v="8"/>
    <n v="2"/>
    <n v="470"/>
    <n v="0.2"/>
    <n v="240"/>
    <s v="UPI"/>
    <s v="Delivered"/>
    <n v="1"/>
    <s v="Returning"/>
    <n v="940"/>
    <n v="188"/>
    <n v="752"/>
    <n v="512"/>
    <n v="0.68085106382978722"/>
    <n v="2029"/>
    <s v="Mar"/>
    <s v="Q1"/>
  </r>
  <r>
    <s v="ORD11433"/>
    <x v="1432"/>
    <s v="CUST1225"/>
    <s v="Kavya Patel"/>
    <x v="227"/>
    <x v="0"/>
    <x v="3"/>
    <x v="0"/>
    <s v="Pune"/>
    <s v="Maharashtra"/>
    <x v="0"/>
    <x v="0"/>
    <s v="Handbag"/>
    <x v="12"/>
    <n v="2"/>
    <n v="2780"/>
    <n v="0.15"/>
    <n v="1590"/>
    <s v="Credit Card"/>
    <s v="Delivered"/>
    <n v="6"/>
    <s v="Returning"/>
    <n v="5560"/>
    <n v="834"/>
    <n v="4726"/>
    <n v="3136"/>
    <n v="0.66356326703343205"/>
    <n v="2029"/>
    <s v="Mar"/>
    <s v="Q1"/>
  </r>
  <r>
    <s v="ORD11434"/>
    <x v="1433"/>
    <s v="CUST1342"/>
    <s v="Karan Das"/>
    <x v="45"/>
    <x v="0"/>
    <x v="37"/>
    <x v="7"/>
    <s v="Mumbai"/>
    <s v="Maharashtra"/>
    <x v="0"/>
    <x v="4"/>
    <s v="Hair Dryer"/>
    <x v="14"/>
    <n v="2"/>
    <n v="1710"/>
    <n v="0.15"/>
    <n v="1020"/>
    <s v="Wallet"/>
    <s v="Delivered"/>
    <n v="3"/>
    <s v="New"/>
    <n v="3420"/>
    <n v="513"/>
    <n v="2907"/>
    <n v="1887"/>
    <n v="0.64912280701754388"/>
    <n v="2029"/>
    <s v="Mar"/>
    <s v="Q1"/>
  </r>
  <r>
    <s v="ORD11435"/>
    <x v="1434"/>
    <s v="CUST1293"/>
    <s v="Aditya Rao"/>
    <x v="145"/>
    <x v="1"/>
    <x v="19"/>
    <x v="1"/>
    <s v="Kolkata"/>
    <s v="West Bengal"/>
    <x v="1"/>
    <x v="0"/>
    <s v="Jacket"/>
    <x v="25"/>
    <n v="2"/>
    <n v="4370"/>
    <n v="0"/>
    <n v="2690"/>
    <s v="Cash on Delivery"/>
    <s v="Delivered"/>
    <n v="1"/>
    <s v="Returning"/>
    <n v="8740"/>
    <n v="0"/>
    <n v="8740"/>
    <n v="6050"/>
    <n v="0.69221967963386732"/>
    <n v="2029"/>
    <s v="Mar"/>
    <s v="Q1"/>
  </r>
  <r>
    <s v="ORD11436"/>
    <x v="1435"/>
    <s v="CUST1423"/>
    <s v="Ananya Das"/>
    <x v="54"/>
    <x v="0"/>
    <x v="21"/>
    <x v="5"/>
    <s v="Bhubaneswar"/>
    <s v="Odisha"/>
    <x v="1"/>
    <x v="2"/>
    <s v="Tablet"/>
    <x v="4"/>
    <n v="2"/>
    <n v="23100"/>
    <n v="0.1"/>
    <n v="15250"/>
    <s v="Credit Card"/>
    <s v="Returned"/>
    <n v="3"/>
    <s v="New"/>
    <n v="46200"/>
    <n v="4620"/>
    <n v="41580"/>
    <n v="26330"/>
    <n v="0.63323713323713327"/>
    <n v="2029"/>
    <s v="Mar"/>
    <s v="Q1"/>
  </r>
  <r>
    <s v="ORD11437"/>
    <x v="1436"/>
    <s v="CUST1043"/>
    <s v="Sneha Mehta"/>
    <x v="226"/>
    <x v="1"/>
    <x v="10"/>
    <x v="10"/>
    <s v="Jaipur"/>
    <s v="Rajasthan"/>
    <x v="3"/>
    <x v="1"/>
    <s v="Bedside Table"/>
    <x v="24"/>
    <n v="1"/>
    <n v="4280"/>
    <n v="0.25"/>
    <n v="2930"/>
    <s v="Cash on Delivery"/>
    <s v="Delivered"/>
    <n v="6"/>
    <s v="Returning"/>
    <n v="4280"/>
    <n v="1070"/>
    <n v="3210"/>
    <n v="280"/>
    <n v="8.7227414330218064E-2"/>
    <n v="2029"/>
    <s v="Mar"/>
    <s v="Q1"/>
  </r>
  <r>
    <s v="ORD11438"/>
    <x v="1437"/>
    <s v="CUST1454"/>
    <s v="Rohan Verma"/>
    <x v="212"/>
    <x v="0"/>
    <x v="27"/>
    <x v="5"/>
    <s v="Bhubaneswar"/>
    <s v="Odisha"/>
    <x v="1"/>
    <x v="4"/>
    <s v="Makeup Kit"/>
    <x v="28"/>
    <n v="2"/>
    <n v="2030"/>
    <n v="0.1"/>
    <n v="1220"/>
    <s v="Wallet"/>
    <s v="Pending"/>
    <n v="6"/>
    <s v="New"/>
    <n v="4060"/>
    <n v="406"/>
    <n v="3654"/>
    <n v="2434"/>
    <n v="0.66611932129173512"/>
    <n v="2029"/>
    <s v="Mar"/>
    <s v="Q1"/>
  </r>
  <r>
    <s v="ORD11439"/>
    <x v="1438"/>
    <s v="CUST1309"/>
    <s v="Meera Nair"/>
    <x v="165"/>
    <x v="0"/>
    <x v="33"/>
    <x v="14"/>
    <s v="Ahmedabad"/>
    <s v="Gujarat"/>
    <x v="0"/>
    <x v="1"/>
    <s v="Office Chair"/>
    <x v="1"/>
    <n v="1"/>
    <n v="6720"/>
    <n v="0.1"/>
    <n v="4360"/>
    <s v="Credit Card"/>
    <s v="Delivered"/>
    <n v="4"/>
    <s v="New"/>
    <n v="6720"/>
    <n v="672"/>
    <n v="6048"/>
    <n v="1688"/>
    <n v="0.27910052910052913"/>
    <n v="2029"/>
    <s v="Mar"/>
    <s v="Q1"/>
  </r>
  <r>
    <s v="ORD11440"/>
    <x v="1439"/>
    <s v="CUST1372"/>
    <s v="Vikram Shah"/>
    <x v="146"/>
    <x v="0"/>
    <x v="5"/>
    <x v="0"/>
    <s v="Pune"/>
    <s v="Maharashtra"/>
    <x v="0"/>
    <x v="3"/>
    <s v="Tennis Racket"/>
    <x v="17"/>
    <n v="1"/>
    <n v="4290"/>
    <n v="0"/>
    <n v="2730"/>
    <s v="UPI"/>
    <s v="Pending"/>
    <n v="3"/>
    <s v="New"/>
    <n v="4290"/>
    <n v="0"/>
    <n v="4290"/>
    <n v="1560"/>
    <n v="0.36363636363636365"/>
    <n v="2029"/>
    <s v="Mar"/>
    <s v="Q1"/>
  </r>
  <r>
    <s v="ORD11441"/>
    <x v="1440"/>
    <s v="CUST1181"/>
    <s v="Priya Naidu"/>
    <x v="25"/>
    <x v="1"/>
    <x v="10"/>
    <x v="2"/>
    <s v="Kochi"/>
    <s v="Kerala"/>
    <x v="2"/>
    <x v="0"/>
    <s v="Jeans"/>
    <x v="19"/>
    <n v="1"/>
    <n v="2170"/>
    <n v="0.1"/>
    <n v="1260"/>
    <s v="Debit Card"/>
    <s v="Delivered"/>
    <n v="5"/>
    <s v="Returning"/>
    <n v="2170"/>
    <n v="217"/>
    <n v="1953"/>
    <n v="693"/>
    <n v="0.35483870967741937"/>
    <n v="2029"/>
    <s v="Mar"/>
    <s v="Q1"/>
  </r>
  <r>
    <s v="ORD11442"/>
    <x v="1441"/>
    <s v="CUST1244"/>
    <s v="Aarav Shah"/>
    <x v="240"/>
    <x v="0"/>
    <x v="32"/>
    <x v="7"/>
    <s v="Mumbai"/>
    <s v="Maharashtra"/>
    <x v="0"/>
    <x v="2"/>
    <s v="Smartphone"/>
    <x v="13"/>
    <n v="5"/>
    <n v="18870"/>
    <n v="0.2"/>
    <n v="13060"/>
    <s v="UPI"/>
    <s v="Delivered"/>
    <n v="4"/>
    <s v="Returning"/>
    <n v="94350"/>
    <n v="18870"/>
    <n v="75480"/>
    <n v="62420"/>
    <n v="0.82697403285638582"/>
    <n v="2029"/>
    <s v="Mar"/>
    <s v="Q1"/>
  </r>
  <r>
    <s v="ORD11443"/>
    <x v="1442"/>
    <s v="CUST1121"/>
    <s v="Kavya Das"/>
    <x v="121"/>
    <x v="0"/>
    <x v="37"/>
    <x v="3"/>
    <s v="Bengaluru"/>
    <s v="Karnataka"/>
    <x v="2"/>
    <x v="3"/>
    <s v="Cricket Bat"/>
    <x v="23"/>
    <n v="1"/>
    <n v="3370"/>
    <n v="0.25"/>
    <n v="1980"/>
    <s v="UPI"/>
    <s v="Delivered"/>
    <n v="3"/>
    <s v="Returning"/>
    <n v="3370"/>
    <n v="842.5"/>
    <n v="2527.5"/>
    <n v="547.5"/>
    <n v="0.21661721068249259"/>
    <n v="2029"/>
    <s v="Mar"/>
    <s v="Q1"/>
  </r>
  <r>
    <s v="ORD11444"/>
    <x v="1443"/>
    <s v="CUST1347"/>
    <s v="Meera Nair"/>
    <x v="165"/>
    <x v="0"/>
    <x v="18"/>
    <x v="12"/>
    <s v="Delhi"/>
    <s v="Delhi"/>
    <x v="3"/>
    <x v="5"/>
    <s v="Air Fryer"/>
    <x v="26"/>
    <n v="5"/>
    <n v="7020"/>
    <n v="0.1"/>
    <n v="4390"/>
    <s v="Credit Card"/>
    <s v="Delivered"/>
    <n v="2"/>
    <s v="New"/>
    <n v="35100"/>
    <n v="3510"/>
    <n v="31590"/>
    <n v="27200"/>
    <n v="0.86103197214308325"/>
    <n v="2029"/>
    <s v="Mar"/>
    <s v="Q1"/>
  </r>
  <r>
    <s v="ORD11445"/>
    <x v="1444"/>
    <s v="CUST1085"/>
    <s v="Meera Reddy"/>
    <x v="202"/>
    <x v="1"/>
    <x v="15"/>
    <x v="3"/>
    <s v="Bengaluru"/>
    <s v="Karnataka"/>
    <x v="2"/>
    <x v="2"/>
    <s v="Smartphone"/>
    <x v="13"/>
    <n v="2"/>
    <n v="18680"/>
    <n v="0.05"/>
    <n v="12500"/>
    <s v="Cash on Delivery"/>
    <s v="Delivered"/>
    <n v="2"/>
    <s v="Returning"/>
    <n v="37360"/>
    <n v="1868"/>
    <n v="35492"/>
    <n v="22992"/>
    <n v="0.64780795672264169"/>
    <n v="2029"/>
    <s v="Mar"/>
    <s v="Q1"/>
  </r>
  <r>
    <s v="ORD11446"/>
    <x v="1445"/>
    <s v="CUST1222"/>
    <s v="Vivaan Mehta"/>
    <x v="95"/>
    <x v="0"/>
    <x v="32"/>
    <x v="6"/>
    <s v="Guwahati"/>
    <s v="Assam"/>
    <x v="1"/>
    <x v="2"/>
    <s v="Laptop"/>
    <x v="15"/>
    <n v="2"/>
    <n v="53110"/>
    <n v="0.05"/>
    <n v="42380"/>
    <s v="Net Banking"/>
    <s v="Returned"/>
    <n v="2"/>
    <s v="Returning"/>
    <n v="106220"/>
    <n v="5311"/>
    <n v="100909"/>
    <n v="58529"/>
    <n v="0.58001763965553121"/>
    <n v="2029"/>
    <s v="Mar"/>
    <s v="Q1"/>
  </r>
  <r>
    <s v="ORD11447"/>
    <x v="1446"/>
    <s v="CUST1353"/>
    <s v="Ananya Mehta"/>
    <x v="125"/>
    <x v="1"/>
    <x v="33"/>
    <x v="4"/>
    <s v="Chandigarh"/>
    <s v="Chandigarh"/>
    <x v="3"/>
    <x v="3"/>
    <s v="Dumbbells"/>
    <x v="7"/>
    <n v="1"/>
    <n v="2320"/>
    <n v="0.2"/>
    <n v="1530"/>
    <s v="Debit Card"/>
    <s v="Delivered"/>
    <n v="3"/>
    <s v="New"/>
    <n v="2320"/>
    <n v="464"/>
    <n v="1856"/>
    <n v="326"/>
    <n v="0.17564655172413793"/>
    <n v="2029"/>
    <s v="Mar"/>
    <s v="Q1"/>
  </r>
  <r>
    <s v="ORD11448"/>
    <x v="1447"/>
    <s v="CUST1160"/>
    <s v="Kavya Naidu"/>
    <x v="28"/>
    <x v="0"/>
    <x v="27"/>
    <x v="13"/>
    <s v="Lucknow"/>
    <s v="Uttar Pradesh"/>
    <x v="3"/>
    <x v="2"/>
    <s v="Smartwatch"/>
    <x v="3"/>
    <n v="1"/>
    <n v="6960"/>
    <n v="0.05"/>
    <n v="4510"/>
    <s v="Credit Card"/>
    <s v="Delivered"/>
    <n v="5"/>
    <s v="Returning"/>
    <n v="6960"/>
    <n v="348"/>
    <n v="6612"/>
    <n v="2102"/>
    <n v="0.31790683605565639"/>
    <n v="2029"/>
    <s v="Mar"/>
    <s v="Q1"/>
  </r>
  <r>
    <s v="ORD11449"/>
    <x v="1448"/>
    <s v="CUST1342"/>
    <s v="Vikram Sharma"/>
    <x v="12"/>
    <x v="0"/>
    <x v="30"/>
    <x v="8"/>
    <s v="Mysuru"/>
    <s v="Karnataka"/>
    <x v="2"/>
    <x v="5"/>
    <s v="Vacuum Cleaner"/>
    <x v="9"/>
    <n v="4"/>
    <n v="8780"/>
    <n v="0.05"/>
    <n v="5500"/>
    <s v="Net Banking"/>
    <s v="Cancelled"/>
    <n v="0"/>
    <s v="New"/>
    <n v="35120"/>
    <n v="1756"/>
    <n v="33364"/>
    <n v="27864"/>
    <n v="0.83515166047236544"/>
    <n v="2029"/>
    <s v="Mar"/>
    <s v="Q1"/>
  </r>
  <r>
    <s v="ORD11450"/>
    <x v="1449"/>
    <s v="CUST1264"/>
    <s v="Vikram Reddy"/>
    <x v="221"/>
    <x v="0"/>
    <x v="36"/>
    <x v="4"/>
    <s v="Chandigarh"/>
    <s v="Chandigarh"/>
    <x v="3"/>
    <x v="5"/>
    <s v="Air Fryer"/>
    <x v="26"/>
    <n v="1"/>
    <n v="6570"/>
    <n v="0.05"/>
    <n v="4260"/>
    <s v="UPI"/>
    <s v="Delivered"/>
    <n v="3"/>
    <s v="Returning"/>
    <n v="6570"/>
    <n v="328.5"/>
    <n v="6241.5"/>
    <n v="1981.5"/>
    <n v="0.31747176159577023"/>
    <n v="2029"/>
    <s v="Apr"/>
    <s v="Q2"/>
  </r>
  <r>
    <s v="ORD11451"/>
    <x v="1450"/>
    <s v="CUST1145"/>
    <s v="Meera Sharma"/>
    <x v="48"/>
    <x v="0"/>
    <x v="41"/>
    <x v="7"/>
    <s v="Mumbai"/>
    <s v="Maharashtra"/>
    <x v="0"/>
    <x v="2"/>
    <s v="Tablet"/>
    <x v="4"/>
    <n v="1"/>
    <n v="22030"/>
    <n v="0.1"/>
    <n v="15550"/>
    <s v="Credit Card"/>
    <s v="Delivered"/>
    <n v="6"/>
    <s v="Returning"/>
    <n v="22030"/>
    <n v="2203"/>
    <n v="19827"/>
    <n v="4277"/>
    <n v="0.2157159429061381"/>
    <n v="2029"/>
    <s v="Apr"/>
    <s v="Q2"/>
  </r>
  <r>
    <s v="ORD11452"/>
    <x v="1451"/>
    <s v="CUST1149"/>
    <s v="Aarav Naidu"/>
    <x v="143"/>
    <x v="0"/>
    <x v="24"/>
    <x v="9"/>
    <s v="Hyderabad"/>
    <s v="Telangana"/>
    <x v="2"/>
    <x v="5"/>
    <s v="Microwave"/>
    <x v="27"/>
    <n v="3"/>
    <n v="12680"/>
    <n v="0.15"/>
    <n v="8470"/>
    <s v="UPI"/>
    <s v="Delivered"/>
    <n v="3"/>
    <s v="Returning"/>
    <n v="38040"/>
    <n v="5706"/>
    <n v="32334"/>
    <n v="23864"/>
    <n v="0.73804663821364513"/>
    <n v="2029"/>
    <s v="Apr"/>
    <s v="Q2"/>
  </r>
  <r>
    <s v="ORD11453"/>
    <x v="1452"/>
    <s v="CUST1397"/>
    <s v="Kavya Kumar"/>
    <x v="96"/>
    <x v="0"/>
    <x v="36"/>
    <x v="13"/>
    <s v="Lucknow"/>
    <s v="Uttar Pradesh"/>
    <x v="3"/>
    <x v="2"/>
    <s v="Smartphone"/>
    <x v="13"/>
    <n v="2"/>
    <n v="16640"/>
    <n v="0.15"/>
    <n v="12980"/>
    <s v="Credit Card"/>
    <s v="Delivered"/>
    <n v="2"/>
    <s v="New"/>
    <n v="33280"/>
    <n v="4992"/>
    <n v="28288"/>
    <n v="15308"/>
    <n v="0.54114819004524883"/>
    <n v="2029"/>
    <s v="Apr"/>
    <s v="Q2"/>
  </r>
  <r>
    <s v="ORD11454"/>
    <x v="1453"/>
    <s v="CUST1284"/>
    <s v="Ananya Singh"/>
    <x v="197"/>
    <x v="1"/>
    <x v="2"/>
    <x v="11"/>
    <s v="Chennai"/>
    <s v="Tamil Nadu"/>
    <x v="2"/>
    <x v="0"/>
    <s v="Sneakers"/>
    <x v="0"/>
    <n v="2"/>
    <n v="3420"/>
    <n v="0.2"/>
    <n v="2140"/>
    <s v="UPI"/>
    <s v="Delivered"/>
    <n v="4"/>
    <s v="Returning"/>
    <n v="6840"/>
    <n v="1368"/>
    <n v="5472"/>
    <n v="3332"/>
    <n v="0.60891812865497075"/>
    <n v="2029"/>
    <s v="Apr"/>
    <s v="Q2"/>
  </r>
  <r>
    <s v="ORD11455"/>
    <x v="1454"/>
    <s v="CUST1289"/>
    <s v="Aarav Patel"/>
    <x v="170"/>
    <x v="0"/>
    <x v="2"/>
    <x v="12"/>
    <s v="Delhi"/>
    <s v="Delhi"/>
    <x v="3"/>
    <x v="1"/>
    <s v="Study Table"/>
    <x v="11"/>
    <n v="2"/>
    <n v="8660"/>
    <n v="0.1"/>
    <n v="5800"/>
    <s v="Debit Card"/>
    <s v="Returned"/>
    <n v="3"/>
    <s v="Returning"/>
    <n v="17320"/>
    <n v="1732"/>
    <n v="15588"/>
    <n v="9788"/>
    <n v="0.62791891198357708"/>
    <n v="2029"/>
    <s v="Apr"/>
    <s v="Q2"/>
  </r>
  <r>
    <s v="ORD11456"/>
    <x v="1455"/>
    <s v="CUST1087"/>
    <s v="Nisha Kumar"/>
    <x v="186"/>
    <x v="1"/>
    <x v="14"/>
    <x v="11"/>
    <s v="Chennai"/>
    <s v="Tamil Nadu"/>
    <x v="2"/>
    <x v="0"/>
    <s v="Handbag"/>
    <x v="12"/>
    <n v="1"/>
    <n v="2640"/>
    <n v="0"/>
    <n v="1570"/>
    <s v="Net Banking"/>
    <s v="Delivered"/>
    <n v="2"/>
    <s v="Returning"/>
    <n v="2640"/>
    <n v="0"/>
    <n v="2640"/>
    <n v="1070"/>
    <n v="0.40530303030303028"/>
    <n v="2029"/>
    <s v="Apr"/>
    <s v="Q2"/>
  </r>
  <r>
    <s v="ORD11457"/>
    <x v="1456"/>
    <s v="CUST1436"/>
    <s v="Rohan Das"/>
    <x v="232"/>
    <x v="1"/>
    <x v="41"/>
    <x v="2"/>
    <s v="Kochi"/>
    <s v="Kerala"/>
    <x v="2"/>
    <x v="3"/>
    <s v="Dumbbells"/>
    <x v="7"/>
    <n v="1"/>
    <n v="2560"/>
    <n v="0.2"/>
    <n v="1490"/>
    <s v="Debit Card"/>
    <s v="Cancelled"/>
    <n v="0"/>
    <s v="New"/>
    <n v="2560"/>
    <n v="512"/>
    <n v="2048"/>
    <n v="558"/>
    <n v="0.2724609375"/>
    <n v="2029"/>
    <s v="Apr"/>
    <s v="Q2"/>
  </r>
  <r>
    <s v="ORD11458"/>
    <x v="1457"/>
    <s v="CUST1216"/>
    <s v="Diya Nair"/>
    <x v="248"/>
    <x v="0"/>
    <x v="17"/>
    <x v="5"/>
    <s v="Bhubaneswar"/>
    <s v="Odisha"/>
    <x v="1"/>
    <x v="4"/>
    <s v="Makeup Kit"/>
    <x v="28"/>
    <n v="2"/>
    <n v="2160"/>
    <n v="0.05"/>
    <n v="1250"/>
    <s v="Net Banking"/>
    <s v="Delivered"/>
    <n v="3"/>
    <s v="Returning"/>
    <n v="4320"/>
    <n v="216"/>
    <n v="4104"/>
    <n v="2854"/>
    <n v="0.69541910331384016"/>
    <n v="2029"/>
    <s v="Apr"/>
    <s v="Q2"/>
  </r>
  <r>
    <s v="ORD11459"/>
    <x v="1458"/>
    <s v="CUST1263"/>
    <s v="Arjun Reddy"/>
    <x v="157"/>
    <x v="1"/>
    <x v="36"/>
    <x v="3"/>
    <s v="Bengaluru"/>
    <s v="Karnataka"/>
    <x v="2"/>
    <x v="3"/>
    <s v="Football"/>
    <x v="10"/>
    <n v="2"/>
    <n v="1240"/>
    <n v="0.2"/>
    <n v="570"/>
    <s v="UPI"/>
    <s v="Delivered"/>
    <n v="6"/>
    <s v="Returning"/>
    <n v="2480"/>
    <n v="496"/>
    <n v="1984"/>
    <n v="1414"/>
    <n v="0.71270161290322576"/>
    <n v="2029"/>
    <s v="Apr"/>
    <s v="Q2"/>
  </r>
  <r>
    <s v="ORD11460"/>
    <x v="1459"/>
    <s v="CUST1239"/>
    <s v="Ishita Nair"/>
    <x v="194"/>
    <x v="1"/>
    <x v="31"/>
    <x v="4"/>
    <s v="Chandigarh"/>
    <s v="Chandigarh"/>
    <x v="3"/>
    <x v="0"/>
    <s v="Sneakers"/>
    <x v="0"/>
    <n v="4"/>
    <n v="3530"/>
    <n v="0.2"/>
    <n v="2040"/>
    <s v="Credit Card"/>
    <s v="Returned"/>
    <n v="1"/>
    <s v="Returning"/>
    <n v="14120"/>
    <n v="2824"/>
    <n v="11296"/>
    <n v="9256"/>
    <n v="0.81940509915014159"/>
    <n v="2029"/>
    <s v="Apr"/>
    <s v="Q2"/>
  </r>
  <r>
    <s v="ORD11461"/>
    <x v="1460"/>
    <s v="CUST1446"/>
    <s v="Aditya Shah"/>
    <x v="10"/>
    <x v="0"/>
    <x v="27"/>
    <x v="9"/>
    <s v="Hyderabad"/>
    <s v="Telangana"/>
    <x v="2"/>
    <x v="2"/>
    <s v="Smartwatch"/>
    <x v="3"/>
    <n v="2"/>
    <n v="6560"/>
    <n v="0.05"/>
    <n v="4720"/>
    <s v="UPI"/>
    <s v="Delivered"/>
    <n v="3"/>
    <s v="New"/>
    <n v="13120"/>
    <n v="656"/>
    <n v="12464"/>
    <n v="7744"/>
    <n v="0.62130937098844674"/>
    <n v="2029"/>
    <s v="Apr"/>
    <s v="Q2"/>
  </r>
  <r>
    <s v="ORD11462"/>
    <x v="1461"/>
    <s v="CUST1138"/>
    <s v="Nisha Nair"/>
    <x v="1"/>
    <x v="0"/>
    <x v="30"/>
    <x v="1"/>
    <s v="Kolkata"/>
    <s v="West Bengal"/>
    <x v="1"/>
    <x v="4"/>
    <s v="Hair Dryer"/>
    <x v="14"/>
    <n v="2"/>
    <n v="1850"/>
    <n v="0.25"/>
    <n v="1050"/>
    <s v="Credit Card"/>
    <s v="Delivered"/>
    <n v="6"/>
    <s v="Returning"/>
    <n v="3700"/>
    <n v="925"/>
    <n v="2775"/>
    <n v="1725"/>
    <n v="0.6216216216216216"/>
    <n v="2029"/>
    <s v="Apr"/>
    <s v="Q2"/>
  </r>
  <r>
    <s v="ORD11463"/>
    <x v="1462"/>
    <s v="CUST1453"/>
    <s v="Diya Patel"/>
    <x v="63"/>
    <x v="1"/>
    <x v="30"/>
    <x v="8"/>
    <s v="Mysuru"/>
    <s v="Karnataka"/>
    <x v="2"/>
    <x v="4"/>
    <s v="Perfume"/>
    <x v="29"/>
    <n v="4"/>
    <n v="1900"/>
    <n v="0.05"/>
    <n v="920"/>
    <s v="UPI"/>
    <s v="Delivered"/>
    <n v="4"/>
    <s v="New"/>
    <n v="7600"/>
    <n v="380"/>
    <n v="7220"/>
    <n v="6300"/>
    <n v="0.87257617728531855"/>
    <n v="2029"/>
    <s v="Apr"/>
    <s v="Q2"/>
  </r>
  <r>
    <s v="ORD11464"/>
    <x v="1463"/>
    <s v="CUST1160"/>
    <s v="Rohan Mehta"/>
    <x v="176"/>
    <x v="1"/>
    <x v="8"/>
    <x v="12"/>
    <s v="Delhi"/>
    <s v="Delhi"/>
    <x v="3"/>
    <x v="4"/>
    <s v="Hair Dryer"/>
    <x v="14"/>
    <n v="1"/>
    <n v="1720"/>
    <n v="0.2"/>
    <n v="980"/>
    <s v="UPI"/>
    <s v="Delivered"/>
    <n v="3"/>
    <s v="Returning"/>
    <n v="1720"/>
    <n v="344"/>
    <n v="1376"/>
    <n v="396"/>
    <n v="0.28779069767441862"/>
    <n v="2029"/>
    <s v="Apr"/>
    <s v="Q2"/>
  </r>
  <r>
    <s v="ORD11465"/>
    <x v="1464"/>
    <s v="CUST1078"/>
    <s v="Vikram Bhat"/>
    <x v="18"/>
    <x v="1"/>
    <x v="21"/>
    <x v="5"/>
    <s v="Bhubaneswar"/>
    <s v="Odisha"/>
    <x v="1"/>
    <x v="0"/>
    <s v="Sneakers"/>
    <x v="0"/>
    <n v="1"/>
    <n v="3490"/>
    <n v="0.3"/>
    <n v="2090"/>
    <s v="Cash on Delivery"/>
    <s v="Delivered"/>
    <n v="2"/>
    <s v="Returning"/>
    <n v="3490"/>
    <n v="1047"/>
    <n v="2443"/>
    <n v="353"/>
    <n v="0.14449447400736798"/>
    <n v="2029"/>
    <s v="Apr"/>
    <s v="Q2"/>
  </r>
  <r>
    <s v="ORD11466"/>
    <x v="1465"/>
    <s v="CUST1456"/>
    <s v="Rohan Patel"/>
    <x v="39"/>
    <x v="0"/>
    <x v="36"/>
    <x v="3"/>
    <s v="Bengaluru"/>
    <s v="Karnataka"/>
    <x v="2"/>
    <x v="5"/>
    <s v="Microwave"/>
    <x v="27"/>
    <n v="2"/>
    <n v="11350"/>
    <n v="0"/>
    <n v="8010"/>
    <s v="Debit Card"/>
    <s v="Cancelled"/>
    <n v="0"/>
    <s v="New"/>
    <n v="22700"/>
    <n v="0"/>
    <n v="22700"/>
    <n v="14690"/>
    <n v="0.64713656387665197"/>
    <n v="2029"/>
    <s v="Apr"/>
    <s v="Q2"/>
  </r>
  <r>
    <s v="ORD11467"/>
    <x v="1466"/>
    <s v="CUST1145"/>
    <s v="Nisha Singh"/>
    <x v="114"/>
    <x v="0"/>
    <x v="18"/>
    <x v="12"/>
    <s v="Delhi"/>
    <s v="Delhi"/>
    <x v="3"/>
    <x v="2"/>
    <s v="Smartwatch"/>
    <x v="3"/>
    <n v="3"/>
    <n v="7030"/>
    <n v="0.05"/>
    <n v="4640"/>
    <s v="UPI"/>
    <s v="Delivered"/>
    <n v="2"/>
    <s v="Returning"/>
    <n v="21090"/>
    <n v="1054.5"/>
    <n v="20035.5"/>
    <n v="15395.5"/>
    <n v="0.76841107035012857"/>
    <n v="2029"/>
    <s v="Apr"/>
    <s v="Q2"/>
  </r>
  <r>
    <s v="ORD11468"/>
    <x v="1467"/>
    <s v="CUST1090"/>
    <s v="Vikram Singh"/>
    <x v="192"/>
    <x v="0"/>
    <x v="2"/>
    <x v="7"/>
    <s v="Mumbai"/>
    <s v="Maharashtra"/>
    <x v="0"/>
    <x v="2"/>
    <s v="Headphones"/>
    <x v="5"/>
    <n v="2"/>
    <n v="2470"/>
    <n v="0.1"/>
    <n v="1480"/>
    <s v="UPI"/>
    <s v="Pending"/>
    <n v="6"/>
    <s v="Returning"/>
    <n v="4940"/>
    <n v="494"/>
    <n v="4446"/>
    <n v="2966"/>
    <n v="0.66711650922177235"/>
    <n v="2029"/>
    <s v="Apr"/>
    <s v="Q2"/>
  </r>
  <r>
    <s v="ORD11469"/>
    <x v="1468"/>
    <s v="CUST1013"/>
    <s v="Priya Gupta"/>
    <x v="102"/>
    <x v="0"/>
    <x v="4"/>
    <x v="9"/>
    <s v="Hyderabad"/>
    <s v="Telangana"/>
    <x v="2"/>
    <x v="0"/>
    <s v="Sneakers"/>
    <x v="0"/>
    <n v="1"/>
    <n v="3690"/>
    <n v="0.1"/>
    <n v="2030"/>
    <s v="UPI"/>
    <s v="Delivered"/>
    <n v="4"/>
    <s v="Returning"/>
    <n v="3690"/>
    <n v="369"/>
    <n v="3321"/>
    <n v="1291"/>
    <n v="0.38873833182776274"/>
    <n v="2029"/>
    <s v="Apr"/>
    <s v="Q2"/>
  </r>
  <r>
    <s v="ORD11470"/>
    <x v="1469"/>
    <s v="CUST1413"/>
    <s v="Priya Shah"/>
    <x v="228"/>
    <x v="0"/>
    <x v="5"/>
    <x v="9"/>
    <s v="Hyderabad"/>
    <s v="Telangana"/>
    <x v="2"/>
    <x v="5"/>
    <s v="Microwave"/>
    <x v="27"/>
    <n v="1"/>
    <n v="12620"/>
    <n v="0.1"/>
    <n v="8100"/>
    <s v="Cash on Delivery"/>
    <s v="Delivered"/>
    <n v="6"/>
    <s v="New"/>
    <n v="12620"/>
    <n v="1262"/>
    <n v="11358"/>
    <n v="3258"/>
    <n v="0.28684627575277338"/>
    <n v="2029"/>
    <s v="Apr"/>
    <s v="Q2"/>
  </r>
  <r>
    <s v="ORD11471"/>
    <x v="1470"/>
    <s v="CUST1017"/>
    <s v="Kavya Mehta"/>
    <x v="166"/>
    <x v="1"/>
    <x v="3"/>
    <x v="8"/>
    <s v="Mysuru"/>
    <s v="Karnataka"/>
    <x v="2"/>
    <x v="5"/>
    <s v="Air Fryer"/>
    <x v="26"/>
    <n v="2"/>
    <n v="6120"/>
    <n v="0.05"/>
    <n v="4130"/>
    <s v="UPI"/>
    <s v="Delivered"/>
    <n v="3"/>
    <s v="Returning"/>
    <n v="12240"/>
    <n v="612"/>
    <n v="11628"/>
    <n v="7498"/>
    <n v="0.64482284141726864"/>
    <n v="2029"/>
    <s v="Apr"/>
    <s v="Q2"/>
  </r>
  <r>
    <s v="ORD11472"/>
    <x v="1471"/>
    <s v="CUST1129"/>
    <s v="Kavya Shah"/>
    <x v="213"/>
    <x v="1"/>
    <x v="16"/>
    <x v="0"/>
    <s v="Pune"/>
    <s v="Maharashtra"/>
    <x v="0"/>
    <x v="4"/>
    <s v="Perfume"/>
    <x v="29"/>
    <n v="1"/>
    <n v="1760"/>
    <n v="0.2"/>
    <n v="910"/>
    <s v="Wallet"/>
    <s v="Cancelled"/>
    <n v="0"/>
    <s v="Returning"/>
    <n v="1760"/>
    <n v="352"/>
    <n v="1408"/>
    <n v="498"/>
    <n v="0.35369318181818182"/>
    <n v="2029"/>
    <s v="Apr"/>
    <s v="Q2"/>
  </r>
  <r>
    <s v="ORD11473"/>
    <x v="1472"/>
    <s v="CUST1351"/>
    <s v="Arjun Shah"/>
    <x v="185"/>
    <x v="1"/>
    <x v="8"/>
    <x v="13"/>
    <s v="Lucknow"/>
    <s v="Uttar Pradesh"/>
    <x v="3"/>
    <x v="4"/>
    <s v="Perfume"/>
    <x v="29"/>
    <n v="2"/>
    <n v="1790"/>
    <n v="0.05"/>
    <n v="910"/>
    <s v="Wallet"/>
    <s v="Delivered"/>
    <n v="3"/>
    <s v="New"/>
    <n v="3580"/>
    <n v="179"/>
    <n v="3401"/>
    <n v="2491"/>
    <n v="0.73243163775360187"/>
    <n v="2029"/>
    <s v="Apr"/>
    <s v="Q2"/>
  </r>
  <r>
    <s v="ORD11474"/>
    <x v="1473"/>
    <s v="CUST1375"/>
    <s v="Nisha Singh"/>
    <x v="114"/>
    <x v="0"/>
    <x v="1"/>
    <x v="4"/>
    <s v="Chandigarh"/>
    <s v="Chandigarh"/>
    <x v="3"/>
    <x v="2"/>
    <s v="Laptop"/>
    <x v="15"/>
    <n v="2"/>
    <n v="59310"/>
    <n v="0.15"/>
    <n v="41710"/>
    <s v="Credit Card"/>
    <s v="Delivered"/>
    <n v="4"/>
    <s v="New"/>
    <n v="118620"/>
    <n v="17793"/>
    <n v="100827"/>
    <n v="59117"/>
    <n v="0.58632112430202232"/>
    <n v="2029"/>
    <s v="Apr"/>
    <s v="Q2"/>
  </r>
  <r>
    <s v="ORD11475"/>
    <x v="1474"/>
    <s v="CUST1370"/>
    <s v="Rahul Rao"/>
    <x v="216"/>
    <x v="1"/>
    <x v="39"/>
    <x v="9"/>
    <s v="Hyderabad"/>
    <s v="Telangana"/>
    <x v="2"/>
    <x v="5"/>
    <s v="Microwave"/>
    <x v="27"/>
    <n v="2"/>
    <n v="11280"/>
    <n v="0"/>
    <n v="8420"/>
    <s v="Debit Card"/>
    <s v="Delivered"/>
    <n v="3"/>
    <s v="New"/>
    <n v="22560"/>
    <n v="0"/>
    <n v="22560"/>
    <n v="14140"/>
    <n v="0.62677304964539005"/>
    <n v="2029"/>
    <s v="Apr"/>
    <s v="Q2"/>
  </r>
  <r>
    <s v="ORD11476"/>
    <x v="1475"/>
    <s v="CUST1457"/>
    <s v="Vivaan Rao"/>
    <x v="200"/>
    <x v="1"/>
    <x v="19"/>
    <x v="2"/>
    <s v="Kochi"/>
    <s v="Kerala"/>
    <x v="2"/>
    <x v="0"/>
    <s v="Jacket"/>
    <x v="25"/>
    <n v="2"/>
    <n v="4030"/>
    <n v="0.05"/>
    <n v="2570"/>
    <s v="UPI"/>
    <s v="Delivered"/>
    <n v="5"/>
    <s v="New"/>
    <n v="8060"/>
    <n v="403"/>
    <n v="7657"/>
    <n v="5087"/>
    <n v="0.66435940969047935"/>
    <n v="2029"/>
    <s v="Apr"/>
    <s v="Q2"/>
  </r>
  <r>
    <s v="ORD11477"/>
    <x v="1476"/>
    <s v="CUST1380"/>
    <s v="Kavya Singh"/>
    <x v="150"/>
    <x v="1"/>
    <x v="11"/>
    <x v="9"/>
    <s v="Hyderabad"/>
    <s v="Telangana"/>
    <x v="2"/>
    <x v="0"/>
    <s v="Jacket"/>
    <x v="25"/>
    <n v="1"/>
    <n v="4080"/>
    <n v="0"/>
    <n v="2620"/>
    <s v="Debit Card"/>
    <s v="Delivered"/>
    <n v="3"/>
    <s v="New"/>
    <n v="4080"/>
    <n v="0"/>
    <n v="4080"/>
    <n v="1460"/>
    <n v="0.35784313725490197"/>
    <n v="2029"/>
    <s v="Apr"/>
    <s v="Q2"/>
  </r>
  <r>
    <s v="ORD11478"/>
    <x v="1477"/>
    <s v="CUST1163"/>
    <s v="Diya Rao"/>
    <x v="67"/>
    <x v="1"/>
    <x v="22"/>
    <x v="2"/>
    <s v="Kochi"/>
    <s v="Kerala"/>
    <x v="2"/>
    <x v="4"/>
    <s v="Shampoo"/>
    <x v="8"/>
    <n v="1"/>
    <n v="490"/>
    <n v="0"/>
    <n v="230"/>
    <s v="UPI"/>
    <s v="Delivered"/>
    <n v="6"/>
    <s v="Returning"/>
    <n v="490"/>
    <n v="0"/>
    <n v="490"/>
    <n v="260"/>
    <n v="0.53061224489795922"/>
    <n v="2029"/>
    <s v="Apr"/>
    <s v="Q2"/>
  </r>
  <r>
    <s v="ORD11479"/>
    <x v="1478"/>
    <s v="CUST1288"/>
    <s v="Rahul Kumar"/>
    <x v="44"/>
    <x v="0"/>
    <x v="11"/>
    <x v="14"/>
    <s v="Ahmedabad"/>
    <s v="Gujarat"/>
    <x v="0"/>
    <x v="5"/>
    <s v="Air Fryer"/>
    <x v="26"/>
    <n v="1"/>
    <n v="6520"/>
    <n v="0.05"/>
    <n v="4250"/>
    <s v="UPI"/>
    <s v="Delivered"/>
    <n v="3"/>
    <s v="Returning"/>
    <n v="6520"/>
    <n v="326"/>
    <n v="6194"/>
    <n v="1944"/>
    <n v="0.31385211494995158"/>
    <n v="2029"/>
    <s v="Apr"/>
    <s v="Q2"/>
  </r>
  <r>
    <s v="ORD11480"/>
    <x v="1479"/>
    <s v="CUST1017"/>
    <s v="Aditya Reddy"/>
    <x v="32"/>
    <x v="0"/>
    <x v="39"/>
    <x v="11"/>
    <s v="Chennai"/>
    <s v="Tamil Nadu"/>
    <x v="2"/>
    <x v="5"/>
    <s v="Electric Kettle"/>
    <x v="18"/>
    <n v="2"/>
    <n v="1690"/>
    <n v="0.1"/>
    <n v="950"/>
    <s v="UPI"/>
    <s v="Delivered"/>
    <n v="5"/>
    <s v="Returning"/>
    <n v="3380"/>
    <n v="338"/>
    <n v="3042"/>
    <n v="2092"/>
    <n v="0.6877054569362262"/>
    <n v="2029"/>
    <s v="May"/>
    <s v="Q2"/>
  </r>
  <r>
    <s v="ORD11481"/>
    <x v="1480"/>
    <s v="CUST1325"/>
    <s v="Vikram Verma"/>
    <x v="149"/>
    <x v="0"/>
    <x v="0"/>
    <x v="4"/>
    <s v="Chandigarh"/>
    <s v="Chandigarh"/>
    <x v="3"/>
    <x v="2"/>
    <s v="Smartphone"/>
    <x v="13"/>
    <n v="2"/>
    <n v="17270"/>
    <n v="0.15"/>
    <n v="12660"/>
    <s v="UPI"/>
    <s v="Delivered"/>
    <n v="3"/>
    <s v="New"/>
    <n v="34540"/>
    <n v="5181"/>
    <n v="29359"/>
    <n v="16699"/>
    <n v="0.56878640280663506"/>
    <n v="2029"/>
    <s v="May"/>
    <s v="Q2"/>
  </r>
  <r>
    <s v="ORD11482"/>
    <x v="1481"/>
    <s v="CUST1152"/>
    <s v="Priya Gupta"/>
    <x v="102"/>
    <x v="0"/>
    <x v="36"/>
    <x v="2"/>
    <s v="Kochi"/>
    <s v="Kerala"/>
    <x v="2"/>
    <x v="0"/>
    <s v="Sneakers"/>
    <x v="0"/>
    <n v="1"/>
    <n v="3700"/>
    <n v="0.05"/>
    <n v="2070"/>
    <s v="Debit Card"/>
    <s v="Delivered"/>
    <n v="3"/>
    <s v="Returning"/>
    <n v="3700"/>
    <n v="185"/>
    <n v="3515"/>
    <n v="1445"/>
    <n v="0.41109530583214793"/>
    <n v="2029"/>
    <s v="May"/>
    <s v="Q2"/>
  </r>
  <r>
    <s v="ORD11483"/>
    <x v="1482"/>
    <s v="CUST1053"/>
    <s v="Ishita Joshi"/>
    <x v="92"/>
    <x v="0"/>
    <x v="25"/>
    <x v="8"/>
    <s v="Mysuru"/>
    <s v="Karnataka"/>
    <x v="2"/>
    <x v="1"/>
    <s v="Sofa"/>
    <x v="16"/>
    <n v="2"/>
    <n v="29460"/>
    <n v="0.05"/>
    <n v="20590"/>
    <s v="Wallet"/>
    <s v="Delivered"/>
    <n v="2"/>
    <s v="Returning"/>
    <n v="58920"/>
    <n v="2946"/>
    <n v="55974"/>
    <n v="35384"/>
    <n v="0.63215064136920718"/>
    <n v="2029"/>
    <s v="May"/>
    <s v="Q2"/>
  </r>
  <r>
    <s v="ORD11484"/>
    <x v="1483"/>
    <s v="CUST1135"/>
    <s v="Diya Naidu"/>
    <x v="147"/>
    <x v="1"/>
    <x v="40"/>
    <x v="9"/>
    <s v="Hyderabad"/>
    <s v="Telangana"/>
    <x v="2"/>
    <x v="0"/>
    <s v="Jeans"/>
    <x v="19"/>
    <n v="3"/>
    <n v="2100"/>
    <n v="0.05"/>
    <n v="1210"/>
    <s v="Credit Card"/>
    <s v="Cancelled"/>
    <n v="0"/>
    <s v="Returning"/>
    <n v="6300"/>
    <n v="315"/>
    <n v="5985"/>
    <n v="4775"/>
    <n v="0.797827903091061"/>
    <n v="2029"/>
    <s v="May"/>
    <s v="Q2"/>
  </r>
  <r>
    <s v="ORD11485"/>
    <x v="1484"/>
    <s v="CUST1178"/>
    <s v="Rohan Verma"/>
    <x v="212"/>
    <x v="1"/>
    <x v="7"/>
    <x v="0"/>
    <s v="Pune"/>
    <s v="Maharashtra"/>
    <x v="0"/>
    <x v="2"/>
    <s v="Smartphone"/>
    <x v="13"/>
    <n v="1"/>
    <n v="18230"/>
    <n v="0.1"/>
    <n v="12610"/>
    <s v="UPI"/>
    <s v="Delivered"/>
    <n v="3"/>
    <s v="Returning"/>
    <n v="18230"/>
    <n v="1823"/>
    <n v="16407"/>
    <n v="3797"/>
    <n v="0.23142561101968673"/>
    <n v="2029"/>
    <s v="May"/>
    <s v="Q2"/>
  </r>
  <r>
    <s v="ORD11486"/>
    <x v="1485"/>
    <s v="CUST1333"/>
    <s v="Vivaan Kumar"/>
    <x v="43"/>
    <x v="0"/>
    <x v="37"/>
    <x v="8"/>
    <s v="Mysuru"/>
    <s v="Karnataka"/>
    <x v="2"/>
    <x v="2"/>
    <s v="Headphones"/>
    <x v="5"/>
    <n v="2"/>
    <n v="2550"/>
    <n v="0.15"/>
    <n v="1440"/>
    <s v="Credit Card"/>
    <s v="Delivered"/>
    <n v="3"/>
    <s v="New"/>
    <n v="5100"/>
    <n v="765"/>
    <n v="4335"/>
    <n v="2895"/>
    <n v="0.66782006920415227"/>
    <n v="2029"/>
    <s v="May"/>
    <s v="Q2"/>
  </r>
  <r>
    <s v="ORD11487"/>
    <x v="1486"/>
    <s v="CUST1312"/>
    <s v="Sneha Naidu"/>
    <x v="50"/>
    <x v="1"/>
    <x v="0"/>
    <x v="13"/>
    <s v="Lucknow"/>
    <s v="Uttar Pradesh"/>
    <x v="3"/>
    <x v="4"/>
    <s v="Shampoo"/>
    <x v="8"/>
    <n v="1"/>
    <n v="500"/>
    <n v="0.25"/>
    <n v="220"/>
    <s v="Cash on Delivery"/>
    <s v="Delivered"/>
    <n v="3"/>
    <s v="New"/>
    <n v="500"/>
    <n v="125"/>
    <n v="375"/>
    <n v="155"/>
    <n v="0.41333333333333333"/>
    <n v="2029"/>
    <s v="May"/>
    <s v="Q2"/>
  </r>
  <r>
    <s v="ORD11488"/>
    <x v="1487"/>
    <s v="CUST1099"/>
    <s v="Arjun Rao"/>
    <x v="101"/>
    <x v="1"/>
    <x v="20"/>
    <x v="8"/>
    <s v="Mysuru"/>
    <s v="Karnataka"/>
    <x v="2"/>
    <x v="2"/>
    <s v="Smartphone"/>
    <x v="13"/>
    <n v="4"/>
    <n v="17100"/>
    <n v="0"/>
    <n v="12500"/>
    <s v="UPI"/>
    <s v="Delivered"/>
    <n v="4"/>
    <s v="Returning"/>
    <n v="68400"/>
    <n v="0"/>
    <n v="68400"/>
    <n v="55900"/>
    <n v="0.81725146198830412"/>
    <n v="2029"/>
    <s v="May"/>
    <s v="Q2"/>
  </r>
  <r>
    <s v="ORD11489"/>
    <x v="1488"/>
    <s v="CUST1393"/>
    <s v="Nisha Sharma"/>
    <x v="11"/>
    <x v="0"/>
    <x v="8"/>
    <x v="9"/>
    <s v="Hyderabad"/>
    <s v="Telangana"/>
    <x v="2"/>
    <x v="2"/>
    <s v="Headphones"/>
    <x v="5"/>
    <n v="5"/>
    <n v="2340"/>
    <n v="0.05"/>
    <n v="1440"/>
    <s v="UPI"/>
    <s v="Delivered"/>
    <n v="3"/>
    <s v="New"/>
    <n v="11700"/>
    <n v="585"/>
    <n v="11115"/>
    <n v="9675"/>
    <n v="0.87044534412955465"/>
    <n v="2029"/>
    <s v="May"/>
    <s v="Q2"/>
  </r>
  <r>
    <s v="ORD11490"/>
    <x v="1489"/>
    <s v="CUST1244"/>
    <s v="Diya Gupta"/>
    <x v="81"/>
    <x v="1"/>
    <x v="25"/>
    <x v="0"/>
    <s v="Pune"/>
    <s v="Maharashtra"/>
    <x v="0"/>
    <x v="3"/>
    <s v="Dumbbells"/>
    <x v="7"/>
    <n v="2"/>
    <n v="2680"/>
    <n v="0.05"/>
    <n v="1560"/>
    <s v="Wallet"/>
    <s v="Delivered"/>
    <n v="5"/>
    <s v="Returning"/>
    <n v="5360"/>
    <n v="268"/>
    <n v="5092"/>
    <n v="3532"/>
    <n v="0.69363707776904948"/>
    <n v="2029"/>
    <s v="May"/>
    <s v="Q2"/>
  </r>
  <r>
    <s v="ORD11491"/>
    <x v="1490"/>
    <s v="CUST1491"/>
    <s v="Arjun Rao"/>
    <x v="101"/>
    <x v="1"/>
    <x v="34"/>
    <x v="5"/>
    <s v="Bhubaneswar"/>
    <s v="Odisha"/>
    <x v="1"/>
    <x v="1"/>
    <s v="Study Table"/>
    <x v="11"/>
    <n v="2"/>
    <n v="8200"/>
    <n v="0.3"/>
    <n v="5510"/>
    <s v="UPI"/>
    <s v="Delivered"/>
    <n v="3"/>
    <s v="New"/>
    <n v="16400"/>
    <n v="4920"/>
    <n v="11480"/>
    <n v="5970"/>
    <n v="0.52003484320557491"/>
    <n v="2029"/>
    <s v="May"/>
    <s v="Q2"/>
  </r>
  <r>
    <s v="ORD11492"/>
    <x v="1491"/>
    <s v="CUST1324"/>
    <s v="Diya Naidu"/>
    <x v="147"/>
    <x v="0"/>
    <x v="22"/>
    <x v="0"/>
    <s v="Pune"/>
    <s v="Maharashtra"/>
    <x v="0"/>
    <x v="3"/>
    <s v="Cricket Bat"/>
    <x v="23"/>
    <n v="1"/>
    <n v="3250"/>
    <n v="0.2"/>
    <n v="1920"/>
    <s v="Credit Card"/>
    <s v="Returned"/>
    <n v="8"/>
    <s v="New"/>
    <n v="3250"/>
    <n v="650"/>
    <n v="2600"/>
    <n v="680"/>
    <n v="0.26153846153846155"/>
    <n v="2029"/>
    <s v="May"/>
    <s v="Q2"/>
  </r>
  <r>
    <s v="ORD11493"/>
    <x v="1492"/>
    <s v="CUST1230"/>
    <s v="Rohan Joshi"/>
    <x v="235"/>
    <x v="0"/>
    <x v="10"/>
    <x v="11"/>
    <s v="Chennai"/>
    <s v="Tamil Nadu"/>
    <x v="2"/>
    <x v="2"/>
    <s v="Headphones"/>
    <x v="5"/>
    <n v="2"/>
    <n v="2410"/>
    <n v="0"/>
    <n v="1560"/>
    <s v="Credit Card"/>
    <s v="Delivered"/>
    <n v="6"/>
    <s v="Returning"/>
    <n v="4820"/>
    <n v="0"/>
    <n v="4820"/>
    <n v="3260"/>
    <n v="0.67634854771784236"/>
    <n v="2029"/>
    <s v="May"/>
    <s v="Q2"/>
  </r>
  <r>
    <s v="ORD11494"/>
    <x v="1493"/>
    <s v="CUST1207"/>
    <s v="Arjun Joshi"/>
    <x v="51"/>
    <x v="1"/>
    <x v="20"/>
    <x v="12"/>
    <s v="Delhi"/>
    <s v="Delhi"/>
    <x v="3"/>
    <x v="2"/>
    <s v="Smartwatch"/>
    <x v="3"/>
    <n v="1"/>
    <n v="6610"/>
    <n v="0.1"/>
    <n v="4610"/>
    <s v="unknown"/>
    <s v="Delivered"/>
    <n v="4"/>
    <s v="Returning"/>
    <n v="6610"/>
    <n v="661"/>
    <n v="5949"/>
    <n v="1339"/>
    <n v="0.22507984535216002"/>
    <n v="2029"/>
    <s v="May"/>
    <s v="Q2"/>
  </r>
  <r>
    <s v="ORD11495"/>
    <x v="1494"/>
    <s v="CUST1036"/>
    <s v="Sneha Verma"/>
    <x v="132"/>
    <x v="1"/>
    <x v="27"/>
    <x v="4"/>
    <s v="Chandigarh"/>
    <s v="Chandigarh"/>
    <x v="3"/>
    <x v="4"/>
    <s v="Hair Dryer"/>
    <x v="14"/>
    <n v="3"/>
    <n v="1680"/>
    <n v="0.1"/>
    <n v="1040"/>
    <s v="Net Banking"/>
    <s v="Delivered"/>
    <n v="3"/>
    <s v="Returning"/>
    <n v="5040"/>
    <n v="504"/>
    <n v="4536"/>
    <n v="3496"/>
    <n v="0.7707231040564374"/>
    <n v="2029"/>
    <s v="May"/>
    <s v="Q2"/>
  </r>
  <r>
    <s v="ORD11496"/>
    <x v="1495"/>
    <s v="CUST1388"/>
    <s v="Meera Nair"/>
    <x v="165"/>
    <x v="1"/>
    <x v="1"/>
    <x v="10"/>
    <s v="Jaipur"/>
    <s v="Rajasthan"/>
    <x v="3"/>
    <x v="4"/>
    <s v="Face Cream"/>
    <x v="21"/>
    <n v="2"/>
    <n v="660"/>
    <n v="0.15"/>
    <n v="290"/>
    <s v="Debit Card"/>
    <s v="Delivered"/>
    <n v="1"/>
    <s v="New"/>
    <n v="1320"/>
    <n v="198"/>
    <n v="1122"/>
    <n v="832"/>
    <n v="0.74153297682709451"/>
    <n v="2029"/>
    <s v="May"/>
    <s v="Q2"/>
  </r>
  <r>
    <s v="ORD11497"/>
    <x v="1496"/>
    <s v="CUST1440"/>
    <s v="Diya Nair"/>
    <x v="248"/>
    <x v="0"/>
    <x v="25"/>
    <x v="6"/>
    <s v="Guwahati"/>
    <s v="Assam"/>
    <x v="1"/>
    <x v="2"/>
    <s v="Smartphone"/>
    <x v="13"/>
    <n v="1"/>
    <n v="17500"/>
    <n v="0.05"/>
    <n v="12280"/>
    <s v="Debit Card"/>
    <s v="Delivered"/>
    <n v="3"/>
    <s v="New"/>
    <n v="17500"/>
    <n v="875"/>
    <n v="16625"/>
    <n v="4345"/>
    <n v="0.26135338345864662"/>
    <n v="2029"/>
    <s v="May"/>
    <s v="Q2"/>
  </r>
  <r>
    <s v="ORD11498"/>
    <x v="1497"/>
    <s v="CUST1392"/>
    <s v="Aarav Verma"/>
    <x v="70"/>
    <x v="1"/>
    <x v="31"/>
    <x v="0"/>
    <s v="Pune"/>
    <s v="Maharashtra"/>
    <x v="0"/>
    <x v="0"/>
    <s v="T-Shirt"/>
    <x v="2"/>
    <n v="2"/>
    <n v="850"/>
    <n v="0.15"/>
    <n v="460"/>
    <s v="UPI"/>
    <s v="Delivered"/>
    <n v="3"/>
    <s v="New"/>
    <n v="1700"/>
    <n v="255"/>
    <n v="1445"/>
    <n v="985"/>
    <n v="0.68166089965397925"/>
    <n v="2029"/>
    <s v="May"/>
    <s v="Q2"/>
  </r>
  <r>
    <s v="ORD11499"/>
    <x v="1498"/>
    <s v="CUST1312"/>
    <s v="Aarav Kumar"/>
    <x v="19"/>
    <x v="0"/>
    <x v="1"/>
    <x v="5"/>
    <s v="Bhubaneswar"/>
    <s v="Odisha"/>
    <x v="1"/>
    <x v="0"/>
    <s v="T-Shirt"/>
    <x v="2"/>
    <n v="1"/>
    <n v="870"/>
    <n v="0.2"/>
    <n v="440"/>
    <s v="Debit Card"/>
    <s v="Delivered"/>
    <n v="5"/>
    <s v="New"/>
    <n v="870"/>
    <n v="174"/>
    <n v="696"/>
    <n v="256"/>
    <n v="0.36781609195402298"/>
    <n v="2029"/>
    <s v="May"/>
    <s v="Q2"/>
  </r>
  <r>
    <s v="ORD11500"/>
    <x v="1499"/>
    <s v="CUST1443"/>
    <s v="Rohan Iyer"/>
    <x v="33"/>
    <x v="0"/>
    <x v="9"/>
    <x v="6"/>
    <s v="Guwahati"/>
    <s v="Assam"/>
    <x v="1"/>
    <x v="3"/>
    <s v="Dumbbells"/>
    <x v="7"/>
    <n v="4"/>
    <n v="2570"/>
    <n v="0.1"/>
    <n v="1510"/>
    <s v="Cash on Delivery"/>
    <s v="Delivered"/>
    <n v="6"/>
    <s v="New"/>
    <n v="10280"/>
    <n v="1028"/>
    <n v="9252"/>
    <n v="7742"/>
    <n v="0.83679204496325121"/>
    <n v="2029"/>
    <s v="May"/>
    <s v="Q2"/>
  </r>
  <r>
    <s v="ORD11501"/>
    <x v="1500"/>
    <s v="CUST1240"/>
    <s v="Ananya Gupta"/>
    <x v="61"/>
    <x v="0"/>
    <x v="16"/>
    <x v="4"/>
    <s v="Chandigarh"/>
    <s v="Chandigarh"/>
    <x v="3"/>
    <x v="0"/>
    <s v="Sneakers"/>
    <x v="0"/>
    <n v="1"/>
    <n v="3480"/>
    <n v="0.15"/>
    <n v="2160"/>
    <s v="Credit Card"/>
    <s v="Delivered"/>
    <n v="3"/>
    <s v="Returning"/>
    <n v="3480"/>
    <n v="522"/>
    <n v="2958"/>
    <n v="798"/>
    <n v="0.26977687626774849"/>
    <n v="2029"/>
    <s v="May"/>
    <s v="Q2"/>
  </r>
  <r>
    <s v="ORD11502"/>
    <x v="1501"/>
    <s v="CUST1315"/>
    <s v="Karan Reddy"/>
    <x v="104"/>
    <x v="0"/>
    <x v="27"/>
    <x v="2"/>
    <s v="Kochi"/>
    <s v="Kerala"/>
    <x v="2"/>
    <x v="5"/>
    <s v="Air Fryer"/>
    <x v="26"/>
    <n v="1"/>
    <n v="6050"/>
    <n v="0.1"/>
    <n v="4200"/>
    <s v="Debit Card"/>
    <s v="Delivered"/>
    <n v="5"/>
    <s v="New"/>
    <n v="6050"/>
    <n v="605"/>
    <n v="5445"/>
    <n v="1245"/>
    <n v="0.22865013774104684"/>
    <n v="2029"/>
    <s v="May"/>
    <s v="Q2"/>
  </r>
  <r>
    <s v="ORD11503"/>
    <x v="1502"/>
    <s v="CUST1398"/>
    <s v="Ananya Shah"/>
    <x v="169"/>
    <x v="1"/>
    <x v="16"/>
    <x v="9"/>
    <s v="Hyderabad"/>
    <s v="Telangana"/>
    <x v="2"/>
    <x v="3"/>
    <s v="Dumbbells"/>
    <x v="7"/>
    <n v="1"/>
    <n v="2610"/>
    <n v="0.15"/>
    <n v="1500"/>
    <s v="Debit Card"/>
    <s v="Delivered"/>
    <n v="6"/>
    <s v="New"/>
    <n v="2610"/>
    <n v="391.5"/>
    <n v="2218.5"/>
    <n v="718.5"/>
    <n v="0.32386747802569305"/>
    <n v="2029"/>
    <s v="May"/>
    <s v="Q2"/>
  </r>
  <r>
    <s v="ORD11504"/>
    <x v="1503"/>
    <s v="CUST1484"/>
    <s v="Ananya Naidu"/>
    <x v="219"/>
    <x v="1"/>
    <x v="7"/>
    <x v="13"/>
    <s v="Lucknow"/>
    <s v="Uttar Pradesh"/>
    <x v="3"/>
    <x v="5"/>
    <s v="Electric Kettle"/>
    <x v="18"/>
    <n v="3"/>
    <n v="1940"/>
    <n v="0"/>
    <n v="940"/>
    <s v="UPI"/>
    <s v="Delivered"/>
    <n v="7"/>
    <s v="New"/>
    <n v="5820"/>
    <n v="0"/>
    <n v="5820"/>
    <n v="4880"/>
    <n v="0.83848797250859108"/>
    <n v="2029"/>
    <s v="May"/>
    <s v="Q2"/>
  </r>
  <r>
    <s v="ORD11505"/>
    <x v="1504"/>
    <s v="CUST1340"/>
    <s v="Diya Gupta"/>
    <x v="81"/>
    <x v="0"/>
    <x v="5"/>
    <x v="7"/>
    <s v="Mumbai"/>
    <s v="Maharashtra"/>
    <x v="0"/>
    <x v="5"/>
    <s v="Vacuum Cleaner"/>
    <x v="9"/>
    <n v="1"/>
    <n v="8770"/>
    <n v="0"/>
    <n v="5480"/>
    <s v="Debit Card"/>
    <s v="Delivered"/>
    <n v="1"/>
    <s v="New"/>
    <n v="8770"/>
    <n v="0"/>
    <n v="8770"/>
    <n v="3290"/>
    <n v="0.37514253135689851"/>
    <n v="2029"/>
    <s v="May"/>
    <s v="Q2"/>
  </r>
  <r>
    <s v="ORD11506"/>
    <x v="1505"/>
    <s v="CUST1357"/>
    <s v="Aditya Patel"/>
    <x v="214"/>
    <x v="1"/>
    <x v="30"/>
    <x v="2"/>
    <s v="Kochi"/>
    <s v="Kerala"/>
    <x v="2"/>
    <x v="3"/>
    <s v="Dumbbells"/>
    <x v="7"/>
    <n v="3"/>
    <n v="2370"/>
    <n v="0.1"/>
    <n v="1530"/>
    <s v="Debit Card"/>
    <s v="Delivered"/>
    <n v="7"/>
    <s v="New"/>
    <n v="7110"/>
    <n v="711"/>
    <n v="6399"/>
    <n v="4869"/>
    <n v="0.76090014064697609"/>
    <n v="2029"/>
    <s v="May"/>
    <s v="Q2"/>
  </r>
  <r>
    <s v="ORD11507"/>
    <x v="1506"/>
    <s v="CUST1417"/>
    <s v="Kavya Naidu"/>
    <x v="28"/>
    <x v="0"/>
    <x v="39"/>
    <x v="14"/>
    <s v="Ahmedabad"/>
    <s v="Gujarat"/>
    <x v="0"/>
    <x v="1"/>
    <s v="Bookshelf"/>
    <x v="6"/>
    <n v="2"/>
    <n v="4810"/>
    <n v="0.05"/>
    <n v="3190"/>
    <s v="Debit Card"/>
    <s v="Delivered"/>
    <n v="3"/>
    <s v="New"/>
    <n v="9620"/>
    <n v="481"/>
    <n v="9139"/>
    <n v="5949"/>
    <n v="0.65094649305175623"/>
    <n v="2029"/>
    <s v="May"/>
    <s v="Q2"/>
  </r>
  <r>
    <s v="ORD11508"/>
    <x v="1507"/>
    <s v="CUST1358"/>
    <s v="Karan Naidu"/>
    <x v="168"/>
    <x v="0"/>
    <x v="13"/>
    <x v="2"/>
    <s v="Kochi"/>
    <s v="Kerala"/>
    <x v="2"/>
    <x v="2"/>
    <s v="Laptop"/>
    <x v="15"/>
    <n v="1"/>
    <n v="54680"/>
    <n v="0.05"/>
    <n v="42450"/>
    <s v="Cash on Delivery"/>
    <s v="Delivered"/>
    <n v="8"/>
    <s v="New"/>
    <n v="54680"/>
    <n v="2734"/>
    <n v="51946"/>
    <n v="9496"/>
    <n v="0.18280522080622186"/>
    <n v="2029"/>
    <s v="May"/>
    <s v="Q2"/>
  </r>
  <r>
    <s v="ORD11509"/>
    <x v="1508"/>
    <s v="CUST1011"/>
    <s v="Karan Sharma"/>
    <x v="236"/>
    <x v="0"/>
    <x v="37"/>
    <x v="6"/>
    <s v="Guwahati"/>
    <s v="Assam"/>
    <x v="1"/>
    <x v="3"/>
    <s v="Football"/>
    <x v="10"/>
    <n v="2"/>
    <n v="1180"/>
    <n v="0.2"/>
    <n v="590"/>
    <s v="Net Banking"/>
    <s v="Delivered"/>
    <n v="4"/>
    <s v="Returning"/>
    <n v="2360"/>
    <n v="472"/>
    <n v="1888"/>
    <n v="1298"/>
    <n v="0.6875"/>
    <n v="2029"/>
    <s v="May"/>
    <s v="Q2"/>
  </r>
  <r>
    <s v="ORD11510"/>
    <x v="1509"/>
    <s v="CUST1471"/>
    <s v="Karan Bhat"/>
    <x v="84"/>
    <x v="1"/>
    <x v="32"/>
    <x v="2"/>
    <s v="Kochi"/>
    <s v="Kerala"/>
    <x v="2"/>
    <x v="1"/>
    <s v="Bookshelf"/>
    <x v="6"/>
    <n v="3"/>
    <n v="5220"/>
    <n v="0.05"/>
    <n v="3360"/>
    <s v="Net Banking"/>
    <s v="Delivered"/>
    <n v="4"/>
    <s v="New"/>
    <n v="15660"/>
    <n v="783"/>
    <n v="14877"/>
    <n v="11517"/>
    <n v="0.77414801371244202"/>
    <n v="2029"/>
    <s v="May"/>
    <s v="Q2"/>
  </r>
  <r>
    <s v="ORD11511"/>
    <x v="1510"/>
    <s v="CUST1387"/>
    <s v="Nisha Patel"/>
    <x v="241"/>
    <x v="0"/>
    <x v="11"/>
    <x v="3"/>
    <s v="Bengaluru"/>
    <s v="Karnataka"/>
    <x v="2"/>
    <x v="2"/>
    <s v="Smartwatch"/>
    <x v="3"/>
    <n v="2"/>
    <n v="6660"/>
    <n v="0.05"/>
    <n v="4300"/>
    <s v="UPI"/>
    <s v="Delivered"/>
    <n v="5"/>
    <s v="New"/>
    <n v="13320"/>
    <n v="666"/>
    <n v="12654"/>
    <n v="8354"/>
    <n v="0.66018650229176545"/>
    <n v="2029"/>
    <s v="Jun"/>
    <s v="Q2"/>
  </r>
  <r>
    <s v="ORD11512"/>
    <x v="1511"/>
    <s v="CUST1475"/>
    <s v="Aarav Rao"/>
    <x v="253"/>
    <x v="1"/>
    <x v="42"/>
    <x v="13"/>
    <s v="Lucknow"/>
    <s v="Uttar Pradesh"/>
    <x v="3"/>
    <x v="2"/>
    <s v="Tablet"/>
    <x v="4"/>
    <n v="4"/>
    <n v="20520"/>
    <n v="0.2"/>
    <n v="15340"/>
    <s v="Debit Card"/>
    <s v="Delivered"/>
    <n v="5"/>
    <s v="New"/>
    <n v="82080"/>
    <n v="16416"/>
    <n v="65664"/>
    <n v="50324"/>
    <n v="0.76638645224171542"/>
    <n v="2029"/>
    <s v="Jun"/>
    <s v="Q2"/>
  </r>
  <r>
    <s v="ORD11513"/>
    <x v="1512"/>
    <s v="CUST1223"/>
    <s v="Sneha Rao"/>
    <x v="27"/>
    <x v="0"/>
    <x v="32"/>
    <x v="9"/>
    <s v="Hyderabad"/>
    <s v="Telangana"/>
    <x v="2"/>
    <x v="1"/>
    <s v="Bookshelf"/>
    <x v="6"/>
    <n v="3"/>
    <n v="5100"/>
    <n v="0.25"/>
    <n v="3160"/>
    <s v="UPI"/>
    <s v="Delivered"/>
    <n v="4"/>
    <s v="Returning"/>
    <n v="15300"/>
    <n v="3825"/>
    <n v="11475"/>
    <n v="8315"/>
    <n v="0.72461873638344232"/>
    <n v="2029"/>
    <s v="Jun"/>
    <s v="Q2"/>
  </r>
  <r>
    <s v="ORD11514"/>
    <x v="1513"/>
    <s v="CUST1469"/>
    <s v="Meera Shah"/>
    <x v="100"/>
    <x v="0"/>
    <x v="26"/>
    <x v="2"/>
    <s v="Kochi"/>
    <s v="Kerala"/>
    <x v="2"/>
    <x v="1"/>
    <s v="Office Chair"/>
    <x v="1"/>
    <n v="1"/>
    <n v="6210"/>
    <n v="0.15"/>
    <n v="4350"/>
    <s v="Debit Card"/>
    <s v="Delivered"/>
    <n v="6"/>
    <s v="New"/>
    <n v="6210"/>
    <n v="931.5"/>
    <n v="5278.5"/>
    <n v="928.5"/>
    <n v="0.17590224495595339"/>
    <n v="2029"/>
    <s v="Jun"/>
    <s v="Q2"/>
  </r>
  <r>
    <s v="ORD11515"/>
    <x v="1514"/>
    <s v="CUST1101"/>
    <s v="Kavya Das"/>
    <x v="121"/>
    <x v="0"/>
    <x v="9"/>
    <x v="7"/>
    <s v="Mumbai"/>
    <s v="Maharashtra"/>
    <x v="0"/>
    <x v="0"/>
    <s v="T-Shirt"/>
    <x v="2"/>
    <n v="2"/>
    <n v="880"/>
    <n v="0.1"/>
    <n v="430"/>
    <s v="UPI"/>
    <s v="Delivered"/>
    <n v="4"/>
    <s v="Returning"/>
    <n v="1760"/>
    <n v="176"/>
    <n v="1584"/>
    <n v="1154"/>
    <n v="0.72853535353535348"/>
    <n v="2029"/>
    <s v="Jun"/>
    <s v="Q2"/>
  </r>
  <r>
    <s v="ORD11516"/>
    <x v="1515"/>
    <s v="CUST1234"/>
    <s v="Ishita Nair"/>
    <x v="194"/>
    <x v="1"/>
    <x v="6"/>
    <x v="2"/>
    <s v="Kochi"/>
    <s v="Kerala"/>
    <x v="2"/>
    <x v="2"/>
    <s v="Tablet"/>
    <x v="4"/>
    <n v="3"/>
    <n v="20340"/>
    <n v="0.05"/>
    <n v="16130"/>
    <s v="Debit Card"/>
    <s v="Delivered"/>
    <n v="2"/>
    <s v="Returning"/>
    <n v="61020"/>
    <n v="3051"/>
    <n v="57969"/>
    <n v="41839"/>
    <n v="0.72174783073711812"/>
    <n v="2029"/>
    <s v="Jun"/>
    <s v="Q2"/>
  </r>
  <r>
    <s v="ORD11517"/>
    <x v="1516"/>
    <s v="CUST1060"/>
    <s v="Kavya Naidu"/>
    <x v="28"/>
    <x v="1"/>
    <x v="3"/>
    <x v="11"/>
    <s v="Chennai"/>
    <s v="Tamil Nadu"/>
    <x v="2"/>
    <x v="5"/>
    <s v="Vacuum Cleaner"/>
    <x v="9"/>
    <n v="2"/>
    <n v="8640"/>
    <n v="0.1"/>
    <n v="5450"/>
    <s v="Debit Card"/>
    <s v="Cancelled"/>
    <n v="0"/>
    <s v="Returning"/>
    <n v="17280"/>
    <n v="1728"/>
    <n v="15552"/>
    <n v="10102"/>
    <n v="0.64956275720164613"/>
    <n v="2029"/>
    <s v="Jun"/>
    <s v="Q2"/>
  </r>
  <r>
    <s v="ORD11518"/>
    <x v="1517"/>
    <s v="CUST1012"/>
    <s v="Karan Mehta"/>
    <x v="139"/>
    <x v="1"/>
    <x v="36"/>
    <x v="2"/>
    <s v="Kochi"/>
    <s v="Kerala"/>
    <x v="2"/>
    <x v="3"/>
    <s v="Tennis Racket"/>
    <x v="17"/>
    <n v="1"/>
    <n v="4580"/>
    <n v="0.15"/>
    <n v="2760"/>
    <s v="UPI"/>
    <s v="Delivered"/>
    <n v="5"/>
    <s v="Returning"/>
    <n v="4580"/>
    <n v="687"/>
    <n v="3893"/>
    <n v="1133"/>
    <n v="0.29103519136912409"/>
    <n v="2029"/>
    <s v="Jun"/>
    <s v="Q2"/>
  </r>
  <r>
    <s v="ORD11519"/>
    <x v="1518"/>
    <s v="CUST1239"/>
    <s v="Ananya Shah"/>
    <x v="169"/>
    <x v="0"/>
    <x v="6"/>
    <x v="7"/>
    <s v="Mumbai"/>
    <s v="Maharashtra"/>
    <x v="0"/>
    <x v="5"/>
    <s v="Mixer Grinder"/>
    <x v="22"/>
    <n v="5"/>
    <n v="4270"/>
    <n v="0.1"/>
    <n v="2670"/>
    <s v="Net Banking"/>
    <s v="Delivered"/>
    <n v="3"/>
    <s v="Returning"/>
    <n v="21350"/>
    <n v="2135"/>
    <n v="19215"/>
    <n v="16545"/>
    <n v="0.8610460577673692"/>
    <n v="2029"/>
    <s v="Jun"/>
    <s v="Q2"/>
  </r>
  <r>
    <s v="ORD11520"/>
    <x v="1519"/>
    <s v="CUST1100"/>
    <s v="Vivaan Iyer"/>
    <x v="179"/>
    <x v="0"/>
    <x v="27"/>
    <x v="6"/>
    <s v="Guwahati"/>
    <s v="Assam"/>
    <x v="1"/>
    <x v="2"/>
    <s v="Headphones"/>
    <x v="5"/>
    <n v="3"/>
    <n v="2440"/>
    <n v="0.2"/>
    <n v="1480"/>
    <s v="Cash on Delivery"/>
    <s v="Delivered"/>
    <n v="4"/>
    <s v="Returning"/>
    <n v="7320"/>
    <n v="1464"/>
    <n v="5856"/>
    <n v="4376"/>
    <n v="0.74726775956284153"/>
    <n v="2029"/>
    <s v="Jun"/>
    <s v="Q2"/>
  </r>
  <r>
    <s v="ORD11521"/>
    <x v="1520"/>
    <s v="CUST1030"/>
    <s v="Vikram Gupta"/>
    <x v="177"/>
    <x v="1"/>
    <x v="26"/>
    <x v="10"/>
    <s v="Jaipur"/>
    <s v="Rajasthan"/>
    <x v="3"/>
    <x v="2"/>
    <s v="Laptop"/>
    <x v="15"/>
    <n v="1"/>
    <n v="51590"/>
    <n v="0.25"/>
    <n v="42130"/>
    <s v="UPI"/>
    <s v="Delivered"/>
    <n v="3"/>
    <s v="Returning"/>
    <n v="51590"/>
    <n v="12897.5"/>
    <n v="38692.5"/>
    <n v="-3437.5"/>
    <n v="-8.8841506751954513E-2"/>
    <n v="2029"/>
    <s v="Jun"/>
    <s v="Q2"/>
  </r>
  <r>
    <s v="ORD11522"/>
    <x v="1521"/>
    <s v="CUST1493"/>
    <s v="Kavya Kumar"/>
    <x v="96"/>
    <x v="0"/>
    <x v="27"/>
    <x v="0"/>
    <s v="Pune"/>
    <s v="Maharashtra"/>
    <x v="0"/>
    <x v="5"/>
    <s v="Microwave"/>
    <x v="27"/>
    <n v="1"/>
    <n v="11910"/>
    <n v="0.25"/>
    <n v="8430"/>
    <s v="UPI"/>
    <s v="Returned"/>
    <n v="7"/>
    <s v="New"/>
    <n v="11910"/>
    <n v="2977.5"/>
    <n v="8932.5"/>
    <n v="502.5"/>
    <n v="5.6255247691015954E-2"/>
    <n v="2029"/>
    <s v="Jun"/>
    <s v="Q2"/>
  </r>
  <r>
    <s v="ORD11523"/>
    <x v="1522"/>
    <s v="CUST1294"/>
    <s v="Priya Joshi"/>
    <x v="122"/>
    <x v="1"/>
    <x v="10"/>
    <x v="9"/>
    <s v="Hyderabad"/>
    <s v="Telangana"/>
    <x v="2"/>
    <x v="1"/>
    <s v="Study Table"/>
    <x v="11"/>
    <n v="2"/>
    <n v="8410"/>
    <n v="0.1"/>
    <n v="5650"/>
    <s v="Net Banking"/>
    <s v="Delivered"/>
    <n v="5"/>
    <s v="Returning"/>
    <n v="16820"/>
    <n v="1682"/>
    <n v="15138"/>
    <n v="9488"/>
    <n v="0.6267670762319989"/>
    <n v="2029"/>
    <s v="Jun"/>
    <s v="Q2"/>
  </r>
  <r>
    <s v="ORD11524"/>
    <x v="1523"/>
    <s v="CUST1044"/>
    <s v="Nisha Bhat"/>
    <x v="24"/>
    <x v="1"/>
    <x v="38"/>
    <x v="10"/>
    <s v="Jaipur"/>
    <s v="Rajasthan"/>
    <x v="3"/>
    <x v="2"/>
    <s v="Smartwatch"/>
    <x v="3"/>
    <n v="3"/>
    <n v="6790"/>
    <n v="0.1"/>
    <n v="4600"/>
    <s v="Credit Card"/>
    <s v="Delivered"/>
    <n v="2"/>
    <s v="Returning"/>
    <n v="20370"/>
    <n v="2037"/>
    <n v="18333"/>
    <n v="13733"/>
    <n v="0.74908634702449139"/>
    <n v="2029"/>
    <s v="Jun"/>
    <s v="Q2"/>
  </r>
  <r>
    <s v="ORD11525"/>
    <x v="1524"/>
    <s v="CUST1016"/>
    <s v="Nisha Das"/>
    <x v="171"/>
    <x v="1"/>
    <x v="39"/>
    <x v="11"/>
    <s v="Chennai"/>
    <s v="Tamil Nadu"/>
    <x v="2"/>
    <x v="5"/>
    <s v="Vacuum Cleaner"/>
    <x v="9"/>
    <n v="3"/>
    <n v="8290"/>
    <n v="0.25"/>
    <n v="5720"/>
    <s v="Credit Card"/>
    <s v="Delivered"/>
    <n v="6"/>
    <s v="Returning"/>
    <n v="24870"/>
    <n v="6217.5"/>
    <n v="18652.5"/>
    <n v="12932.5"/>
    <n v="0.69333869454496722"/>
    <n v="2029"/>
    <s v="Jun"/>
    <s v="Q2"/>
  </r>
  <r>
    <s v="ORD11526"/>
    <x v="1525"/>
    <s v="CUST1489"/>
    <s v="Kavya Naidu"/>
    <x v="28"/>
    <x v="1"/>
    <x v="1"/>
    <x v="10"/>
    <s v="Jaipur"/>
    <s v="Rajasthan"/>
    <x v="3"/>
    <x v="4"/>
    <s v="Hair Dryer"/>
    <x v="14"/>
    <n v="2"/>
    <n v="1760"/>
    <n v="0.2"/>
    <n v="960"/>
    <s v="Credit Card"/>
    <s v="Delivered"/>
    <n v="3"/>
    <s v="New"/>
    <n v="3520"/>
    <n v="704"/>
    <n v="2816"/>
    <n v="1856"/>
    <n v="0.65909090909090906"/>
    <n v="2029"/>
    <s v="Jun"/>
    <s v="Q2"/>
  </r>
  <r>
    <s v="ORD11527"/>
    <x v="1526"/>
    <s v="CUST1140"/>
    <s v="Diya Kumar"/>
    <x v="120"/>
    <x v="0"/>
    <x v="38"/>
    <x v="4"/>
    <s v="Chandigarh"/>
    <s v="Chandigarh"/>
    <x v="3"/>
    <x v="3"/>
    <s v="Yoga Mat"/>
    <x v="20"/>
    <n v="2"/>
    <n v="950"/>
    <n v="0.1"/>
    <n v="410"/>
    <s v="UPI"/>
    <s v="Delivered"/>
    <n v="3"/>
    <s v="Returning"/>
    <n v="1900"/>
    <n v="190"/>
    <n v="1710"/>
    <n v="1300"/>
    <n v="0.76023391812865493"/>
    <n v="2029"/>
    <s v="Jun"/>
    <s v="Q2"/>
  </r>
  <r>
    <s v="ORD11528"/>
    <x v="1527"/>
    <s v="CUST1448"/>
    <s v="Vivaan Bhat"/>
    <x v="35"/>
    <x v="1"/>
    <x v="22"/>
    <x v="9"/>
    <s v="Hyderabad"/>
    <s v="Telangana"/>
    <x v="2"/>
    <x v="2"/>
    <s v="Tablet"/>
    <x v="4"/>
    <n v="1"/>
    <n v="20960"/>
    <n v="0.15"/>
    <n v="15960"/>
    <s v="UPI"/>
    <s v="Delivered"/>
    <n v="2"/>
    <s v="New"/>
    <n v="20960"/>
    <n v="3144"/>
    <n v="17816"/>
    <n v="1856"/>
    <n v="0.10417602155365963"/>
    <n v="2029"/>
    <s v="Jun"/>
    <s v="Q2"/>
  </r>
  <r>
    <s v="ORD11529"/>
    <x v="1528"/>
    <s v="CUST1331"/>
    <s v="Sneha Singh"/>
    <x v="16"/>
    <x v="1"/>
    <x v="41"/>
    <x v="11"/>
    <s v="Chennai"/>
    <s v="Tamil Nadu"/>
    <x v="2"/>
    <x v="2"/>
    <s v="Laptop"/>
    <x v="15"/>
    <n v="2"/>
    <n v="56100"/>
    <n v="0.15"/>
    <n v="40520"/>
    <s v="Credit Card"/>
    <s v="Delivered"/>
    <n v="3"/>
    <s v="New"/>
    <n v="112200"/>
    <n v="16830"/>
    <n v="95370"/>
    <n v="54850"/>
    <n v="0.57512844710076549"/>
    <n v="2029"/>
    <s v="Jun"/>
    <s v="Q2"/>
  </r>
  <r>
    <s v="ORD11530"/>
    <x v="1529"/>
    <s v="CUST1338"/>
    <s v="Kavya Sharma"/>
    <x v="106"/>
    <x v="1"/>
    <x v="42"/>
    <x v="14"/>
    <s v="Ahmedabad"/>
    <s v="Gujarat"/>
    <x v="0"/>
    <x v="4"/>
    <s v="Face Cream"/>
    <x v="21"/>
    <n v="4"/>
    <n v="650"/>
    <n v="0"/>
    <n v="300"/>
    <s v="UPI"/>
    <s v="Delivered"/>
    <n v="1"/>
    <s v="New"/>
    <n v="2600"/>
    <n v="0"/>
    <n v="2600"/>
    <n v="2300"/>
    <n v="0.88461538461538458"/>
    <n v="2029"/>
    <s v="Jun"/>
    <s v="Q2"/>
  </r>
  <r>
    <s v="ORD11531"/>
    <x v="1530"/>
    <s v="CUST1077"/>
    <s v="Kavya Mehta"/>
    <x v="166"/>
    <x v="0"/>
    <x v="19"/>
    <x v="0"/>
    <s v="Pune"/>
    <s v="Maharashtra"/>
    <x v="0"/>
    <x v="2"/>
    <s v="Laptop"/>
    <x v="15"/>
    <n v="1"/>
    <n v="57530"/>
    <n v="0.1"/>
    <n v="40390"/>
    <s v="Credit Card"/>
    <s v="Delivered"/>
    <n v="2"/>
    <s v="Returning"/>
    <n v="57530"/>
    <n v="5753"/>
    <n v="51777"/>
    <n v="11387"/>
    <n v="0.21992390443633272"/>
    <n v="2029"/>
    <s v="Jun"/>
    <s v="Q2"/>
  </r>
  <r>
    <s v="ORD11532"/>
    <x v="1531"/>
    <s v="CUST1316"/>
    <s v="Nisha Patel"/>
    <x v="241"/>
    <x v="0"/>
    <x v="39"/>
    <x v="7"/>
    <s v="Mumbai"/>
    <s v="Maharashtra"/>
    <x v="0"/>
    <x v="2"/>
    <s v="Tablet"/>
    <x v="4"/>
    <n v="3"/>
    <n v="23000"/>
    <n v="0"/>
    <n v="15750"/>
    <s v="Credit Card"/>
    <s v="Cancelled"/>
    <n v="0"/>
    <s v="New"/>
    <n v="69000"/>
    <n v="0"/>
    <n v="69000"/>
    <n v="53250"/>
    <n v="0.77173913043478259"/>
    <n v="2029"/>
    <s v="Jun"/>
    <s v="Q2"/>
  </r>
  <r>
    <s v="ORD11533"/>
    <x v="1532"/>
    <s v="CUST1481"/>
    <s v="Meera Mehta"/>
    <x v="78"/>
    <x v="1"/>
    <x v="39"/>
    <x v="8"/>
    <s v="Mysuru"/>
    <s v="Karnataka"/>
    <x v="2"/>
    <x v="4"/>
    <s v="Perfume"/>
    <x v="29"/>
    <n v="3"/>
    <n v="1730"/>
    <n v="0"/>
    <n v="900"/>
    <s v="Credit Card"/>
    <s v="Delivered"/>
    <n v="6"/>
    <s v="New"/>
    <n v="5190"/>
    <n v="0"/>
    <n v="5190"/>
    <n v="4290"/>
    <n v="0.82658959537572252"/>
    <n v="2029"/>
    <s v="Jun"/>
    <s v="Q2"/>
  </r>
  <r>
    <s v="ORD11534"/>
    <x v="1533"/>
    <s v="CUST1130"/>
    <s v="Kavya Verma"/>
    <x v="97"/>
    <x v="0"/>
    <x v="28"/>
    <x v="9"/>
    <s v="Hyderabad"/>
    <s v="Telangana"/>
    <x v="2"/>
    <x v="1"/>
    <s v="Bookshelf"/>
    <x v="6"/>
    <n v="5"/>
    <n v="5020"/>
    <n v="0.2"/>
    <n v="3090"/>
    <s v="Debit Card"/>
    <s v="Cancelled"/>
    <n v="0"/>
    <s v="Returning"/>
    <n v="25100"/>
    <n v="5020"/>
    <n v="20080"/>
    <n v="16990"/>
    <n v="0.8461155378486056"/>
    <n v="2029"/>
    <s v="Jun"/>
    <s v="Q2"/>
  </r>
  <r>
    <s v="ORD11535"/>
    <x v="1534"/>
    <s v="CUST1306"/>
    <s v="Aarav Iyer"/>
    <x v="37"/>
    <x v="1"/>
    <x v="20"/>
    <x v="5"/>
    <s v="Bhubaneswar"/>
    <s v="Odisha"/>
    <x v="1"/>
    <x v="2"/>
    <s v="Tablet"/>
    <x v="4"/>
    <n v="2"/>
    <n v="20490"/>
    <n v="0.05"/>
    <n v="14750"/>
    <s v="Cash on Delivery"/>
    <s v="Delivered"/>
    <n v="1"/>
    <s v="New"/>
    <n v="40980"/>
    <n v="2049"/>
    <n v="38931"/>
    <n v="24181"/>
    <n v="0.62112455369756747"/>
    <n v="2029"/>
    <s v="Jun"/>
    <s v="Q2"/>
  </r>
  <r>
    <s v="ORD11536"/>
    <x v="1535"/>
    <s v="CUST1001"/>
    <s v="Ishita Mehta"/>
    <x v="113"/>
    <x v="0"/>
    <x v="9"/>
    <x v="12"/>
    <s v="Delhi"/>
    <s v="Delhi"/>
    <x v="3"/>
    <x v="5"/>
    <s v="Electric Kettle"/>
    <x v="18"/>
    <n v="1"/>
    <n v="1870"/>
    <n v="0.15"/>
    <n v="940"/>
    <s v="Debit Card"/>
    <s v="Cancelled"/>
    <n v="0"/>
    <s v="Returning"/>
    <n v="1870"/>
    <n v="280.5"/>
    <n v="1589.5"/>
    <n v="649.5"/>
    <n v="0.40861906259830133"/>
    <n v="2029"/>
    <s v="Jun"/>
    <s v="Q2"/>
  </r>
  <r>
    <s v="ORD11537"/>
    <x v="1536"/>
    <s v="CUST1500"/>
    <s v="Aarav Bhat"/>
    <x v="56"/>
    <x v="0"/>
    <x v="3"/>
    <x v="12"/>
    <s v="Delhi"/>
    <s v="Delhi"/>
    <x v="3"/>
    <x v="2"/>
    <s v="Laptop"/>
    <x v="15"/>
    <n v="1"/>
    <n v="55810"/>
    <n v="0.05"/>
    <n v="43700"/>
    <s v="Credit Card"/>
    <s v="Delivered"/>
    <n v="4"/>
    <s v="New"/>
    <n v="55810"/>
    <n v="2790.5"/>
    <n v="53019.5"/>
    <n v="9319.5"/>
    <n v="0.17577495072567639"/>
    <n v="2029"/>
    <s v="Jun"/>
    <s v="Q2"/>
  </r>
  <r>
    <s v="ORD11538"/>
    <x v="1537"/>
    <s v="CUST1004"/>
    <s v="Meera Gupta"/>
    <x v="89"/>
    <x v="1"/>
    <x v="40"/>
    <x v="4"/>
    <s v="Chandigarh"/>
    <s v="Chandigarh"/>
    <x v="3"/>
    <x v="0"/>
    <s v="Handbag"/>
    <x v="12"/>
    <n v="2"/>
    <n v="2930"/>
    <n v="0.15"/>
    <n v="1600"/>
    <s v="Cash on Delivery"/>
    <s v="Returned"/>
    <n v="2"/>
    <s v="Returning"/>
    <n v="5860"/>
    <n v="879"/>
    <n v="4981"/>
    <n v="3381"/>
    <n v="0.67877936157398111"/>
    <n v="2029"/>
    <s v="Jun"/>
    <s v="Q2"/>
  </r>
  <r>
    <s v="ORD11539"/>
    <x v="1538"/>
    <s v="CUST1009"/>
    <s v="Ananya Singh"/>
    <x v="197"/>
    <x v="1"/>
    <x v="7"/>
    <x v="12"/>
    <s v="Delhi"/>
    <s v="Delhi"/>
    <x v="3"/>
    <x v="5"/>
    <s v="Microwave"/>
    <x v="27"/>
    <n v="3"/>
    <n v="12030"/>
    <n v="0.1"/>
    <n v="8500"/>
    <s v="Credit Card"/>
    <s v="Delivered"/>
    <n v="2"/>
    <s v="Returning"/>
    <n v="36090"/>
    <n v="3609"/>
    <n v="32481"/>
    <n v="23981"/>
    <n v="0.73830854961362025"/>
    <n v="2029"/>
    <s v="Jun"/>
    <s v="Q2"/>
  </r>
  <r>
    <s v="ORD11540"/>
    <x v="1539"/>
    <s v="CUST1219"/>
    <s v="Rohan Singh"/>
    <x v="47"/>
    <x v="1"/>
    <x v="30"/>
    <x v="5"/>
    <s v="Bhubaneswar"/>
    <s v="Odisha"/>
    <x v="1"/>
    <x v="5"/>
    <s v="Mixer Grinder"/>
    <x v="22"/>
    <n v="2"/>
    <n v="4480"/>
    <n v="0.15"/>
    <n v="2620"/>
    <s v="UPI"/>
    <s v="Delivered"/>
    <n v="3"/>
    <s v="Returning"/>
    <n v="8960"/>
    <n v="1344"/>
    <n v="7616"/>
    <n v="4996"/>
    <n v="0.65598739495798319"/>
    <n v="2029"/>
    <s v="Jun"/>
    <s v="Q2"/>
  </r>
  <r>
    <s v="ORD11541"/>
    <x v="1540"/>
    <s v="CUST1078"/>
    <s v="Priya Kumar"/>
    <x v="127"/>
    <x v="1"/>
    <x v="1"/>
    <x v="8"/>
    <s v="Mysuru"/>
    <s v="Karnataka"/>
    <x v="2"/>
    <x v="5"/>
    <s v="Mixer Grinder"/>
    <x v="22"/>
    <n v="1"/>
    <n v="4250"/>
    <n v="0.05"/>
    <n v="2630"/>
    <s v="Debit Card"/>
    <s v="Delivered"/>
    <n v="2"/>
    <s v="Returning"/>
    <n v="4250"/>
    <n v="212.5"/>
    <n v="4037.5"/>
    <n v="1407.5"/>
    <n v="0.34860681114551084"/>
    <n v="2029"/>
    <s v="Jul"/>
    <s v="Q3"/>
  </r>
  <r>
    <s v="ORD11542"/>
    <x v="1541"/>
    <s v="CUST1345"/>
    <s v="Ananya Das"/>
    <x v="54"/>
    <x v="0"/>
    <x v="15"/>
    <x v="3"/>
    <s v="Bengaluru"/>
    <s v="Karnataka"/>
    <x v="2"/>
    <x v="3"/>
    <s v="Yoga Mat"/>
    <x v="20"/>
    <n v="4"/>
    <n v="960"/>
    <n v="0.2"/>
    <n v="410"/>
    <s v="Net Banking"/>
    <s v="Delivered"/>
    <n v="2"/>
    <s v="New"/>
    <n v="3840"/>
    <n v="768"/>
    <n v="3072"/>
    <n v="2662"/>
    <n v="0.86653645833333337"/>
    <n v="2029"/>
    <s v="Jul"/>
    <s v="Q3"/>
  </r>
  <r>
    <s v="ORD11543"/>
    <x v="1542"/>
    <s v="CUST1140"/>
    <s v="Aditya Shah"/>
    <x v="10"/>
    <x v="0"/>
    <x v="42"/>
    <x v="11"/>
    <s v="Chennai"/>
    <s v="Tamil Nadu"/>
    <x v="2"/>
    <x v="5"/>
    <s v="Air Fryer"/>
    <x v="26"/>
    <n v="1"/>
    <n v="6030"/>
    <n v="0"/>
    <n v="4070"/>
    <s v="Net Banking"/>
    <s v="Delivered"/>
    <n v="3"/>
    <s v="Returning"/>
    <n v="6030"/>
    <n v="0"/>
    <n v="6030"/>
    <n v="1960"/>
    <n v="0.3250414593698176"/>
    <n v="2029"/>
    <s v="Jul"/>
    <s v="Q3"/>
  </r>
  <r>
    <s v="ORD11544"/>
    <x v="1543"/>
    <s v="CUST1416"/>
    <s v="Rahul Iyer"/>
    <x v="181"/>
    <x v="0"/>
    <x v="17"/>
    <x v="10"/>
    <s v="Jaipur"/>
    <s v="Rajasthan"/>
    <x v="3"/>
    <x v="2"/>
    <s v="Smartphone"/>
    <x v="13"/>
    <n v="2"/>
    <n v="16620"/>
    <n v="0.05"/>
    <n v="12800"/>
    <s v="Cash on Delivery"/>
    <s v="Pending"/>
    <n v="2"/>
    <s v="New"/>
    <n v="33240"/>
    <n v="1662"/>
    <n v="31578"/>
    <n v="18778"/>
    <n v="0.59465450630185568"/>
    <n v="2029"/>
    <s v="Jul"/>
    <s v="Q3"/>
  </r>
  <r>
    <s v="ORD11545"/>
    <x v="1544"/>
    <s v="CUST1026"/>
    <s v="Aarav Das"/>
    <x v="207"/>
    <x v="1"/>
    <x v="18"/>
    <x v="0"/>
    <s v="Pune"/>
    <s v="Maharashtra"/>
    <x v="0"/>
    <x v="5"/>
    <s v="Mixer Grinder"/>
    <x v="22"/>
    <n v="2"/>
    <n v="4320"/>
    <n v="0"/>
    <n v="2790"/>
    <s v="Debit Card"/>
    <s v="Delivered"/>
    <n v="4"/>
    <s v="Returning"/>
    <n v="8640"/>
    <n v="0"/>
    <n v="8640"/>
    <n v="5850"/>
    <n v="0.67708333333333337"/>
    <n v="2029"/>
    <s v="Jul"/>
    <s v="Q3"/>
  </r>
  <r>
    <s v="ORD11546"/>
    <x v="1545"/>
    <s v="CUST1004"/>
    <s v="Arjun Kumar"/>
    <x v="188"/>
    <x v="1"/>
    <x v="7"/>
    <x v="12"/>
    <s v="Delhi"/>
    <s v="Delhi"/>
    <x v="3"/>
    <x v="2"/>
    <s v="Smartphone"/>
    <x v="13"/>
    <n v="2"/>
    <n v="17920"/>
    <n v="0.15"/>
    <n v="13070"/>
    <s v="Debit Card"/>
    <s v="Delivered"/>
    <n v="6"/>
    <s v="Returning"/>
    <n v="35840"/>
    <n v="5376"/>
    <n v="30464"/>
    <n v="17394"/>
    <n v="0.57096901260504207"/>
    <n v="2029"/>
    <s v="Jul"/>
    <s v="Q3"/>
  </r>
  <r>
    <s v="ORD11547"/>
    <x v="1546"/>
    <s v="CUST1306"/>
    <s v="Ishita Patel"/>
    <x v="209"/>
    <x v="1"/>
    <x v="14"/>
    <x v="11"/>
    <s v="Chennai"/>
    <s v="Tamil Nadu"/>
    <x v="2"/>
    <x v="5"/>
    <s v="Vacuum Cleaner"/>
    <x v="9"/>
    <n v="2"/>
    <n v="9040"/>
    <n v="0"/>
    <n v="5640"/>
    <s v="Net Banking"/>
    <s v="Delivered"/>
    <n v="2"/>
    <s v="New"/>
    <n v="18080"/>
    <n v="0"/>
    <n v="18080"/>
    <n v="12440"/>
    <n v="0.68805309734513276"/>
    <n v="2029"/>
    <s v="Jul"/>
    <s v="Q3"/>
  </r>
  <r>
    <s v="ORD11548"/>
    <x v="1547"/>
    <s v="CUST1321"/>
    <s v="Sneha Iyer"/>
    <x v="2"/>
    <x v="1"/>
    <x v="1"/>
    <x v="5"/>
    <s v="Bhubaneswar"/>
    <s v="Odisha"/>
    <x v="1"/>
    <x v="2"/>
    <s v="Tablet"/>
    <x v="4"/>
    <n v="3"/>
    <n v="21820"/>
    <n v="0.1"/>
    <n v="16120"/>
    <s v="Debit Card"/>
    <s v="Delivered"/>
    <n v="3"/>
    <s v="New"/>
    <n v="65460"/>
    <n v="6546"/>
    <n v="58914"/>
    <n v="42794"/>
    <n v="0.72638082628916723"/>
    <n v="2029"/>
    <s v="Jul"/>
    <s v="Q3"/>
  </r>
  <r>
    <s v="ORD11549"/>
    <x v="1548"/>
    <s v="CUST1122"/>
    <s v="Karan Verma"/>
    <x v="66"/>
    <x v="0"/>
    <x v="2"/>
    <x v="9"/>
    <s v="Hyderabad"/>
    <s v="Telangana"/>
    <x v="2"/>
    <x v="1"/>
    <s v="Sofa"/>
    <x v="16"/>
    <n v="2"/>
    <n v="29530"/>
    <n v="0.05"/>
    <n v="21440"/>
    <s v="UPI"/>
    <s v="Delivered"/>
    <n v="6"/>
    <s v="Returning"/>
    <n v="59060"/>
    <n v="2953"/>
    <n v="56107"/>
    <n v="34667"/>
    <n v="0.61787299267471085"/>
    <n v="2029"/>
    <s v="Jul"/>
    <s v="Q3"/>
  </r>
  <r>
    <s v="ORD11550"/>
    <x v="1549"/>
    <s v="CUST1060"/>
    <s v="Vikram Naidu"/>
    <x v="187"/>
    <x v="0"/>
    <x v="14"/>
    <x v="11"/>
    <s v="Chennai"/>
    <s v="Tamil Nadu"/>
    <x v="2"/>
    <x v="3"/>
    <s v="Tennis Racket"/>
    <x v="17"/>
    <n v="2"/>
    <n v="4410"/>
    <n v="0.1"/>
    <n v="2740"/>
    <s v="Credit Card"/>
    <s v="Delivered"/>
    <n v="5"/>
    <s v="Returning"/>
    <n v="8820"/>
    <n v="882"/>
    <n v="7938"/>
    <n v="5198"/>
    <n v="0.65482489292013102"/>
    <n v="2029"/>
    <s v="Jul"/>
    <s v="Q3"/>
  </r>
  <r>
    <s v="ORD11551"/>
    <x v="1550"/>
    <s v="CUST1088"/>
    <s v="Meera Gupta"/>
    <x v="89"/>
    <x v="0"/>
    <x v="10"/>
    <x v="0"/>
    <s v="Pune"/>
    <s v="Maharashtra"/>
    <x v="0"/>
    <x v="0"/>
    <s v="Handbag"/>
    <x v="12"/>
    <n v="1"/>
    <n v="2960"/>
    <n v="0.2"/>
    <n v="1520"/>
    <s v="Credit Card"/>
    <s v="Cancelled"/>
    <n v="0"/>
    <s v="Returning"/>
    <n v="2960"/>
    <n v="592"/>
    <n v="2368"/>
    <n v="848"/>
    <n v="0.35810810810810811"/>
    <n v="2029"/>
    <s v="Jul"/>
    <s v="Q3"/>
  </r>
  <r>
    <s v="ORD11552"/>
    <x v="1551"/>
    <s v="CUST1164"/>
    <s v="Aditya Rao"/>
    <x v="145"/>
    <x v="1"/>
    <x v="20"/>
    <x v="10"/>
    <s v="Jaipur"/>
    <s v="Rajasthan"/>
    <x v="3"/>
    <x v="1"/>
    <s v="Sofa"/>
    <x v="16"/>
    <n v="1"/>
    <n v="27760"/>
    <n v="0.1"/>
    <n v="19720"/>
    <s v="Wallet"/>
    <s v="Returned"/>
    <n v="4"/>
    <s v="Returning"/>
    <n v="27760"/>
    <n v="2776"/>
    <n v="24984"/>
    <n v="5264"/>
    <n v="0.2106948447006084"/>
    <n v="2029"/>
    <s v="Jul"/>
    <s v="Q3"/>
  </r>
  <r>
    <s v="ORD11553"/>
    <x v="1552"/>
    <s v="CUST1442"/>
    <s v="Vivaan Shah"/>
    <x v="156"/>
    <x v="1"/>
    <x v="9"/>
    <x v="5"/>
    <s v="Bhubaneswar"/>
    <s v="Odisha"/>
    <x v="1"/>
    <x v="1"/>
    <s v="Study Table"/>
    <x v="11"/>
    <n v="3"/>
    <n v="9170"/>
    <n v="0.1"/>
    <n v="5570"/>
    <s v="Cash on Delivery"/>
    <s v="Cancelled"/>
    <n v="0"/>
    <s v="New"/>
    <n v="27510"/>
    <n v="2751"/>
    <n v="24759"/>
    <n v="19189"/>
    <n v="0.77503130174885904"/>
    <n v="2029"/>
    <s v="Jul"/>
    <s v="Q3"/>
  </r>
  <r>
    <s v="ORD11554"/>
    <x v="1553"/>
    <s v="CUST1062"/>
    <s v="Meera Joshi"/>
    <x v="88"/>
    <x v="0"/>
    <x v="28"/>
    <x v="4"/>
    <s v="Chandigarh"/>
    <s v="Chandigarh"/>
    <x v="3"/>
    <x v="5"/>
    <s v="Microwave"/>
    <x v="27"/>
    <n v="1"/>
    <n v="11370"/>
    <n v="0.1"/>
    <n v="7930"/>
    <s v="Debit Card"/>
    <s v="Delivered"/>
    <n v="2"/>
    <s v="Returning"/>
    <n v="11370"/>
    <n v="1137"/>
    <n v="10233"/>
    <n v="2303"/>
    <n v="0.2250561907553992"/>
    <n v="2029"/>
    <s v="Jul"/>
    <s v="Q3"/>
  </r>
  <r>
    <s v="ORD11555"/>
    <x v="1554"/>
    <s v="CUST1248"/>
    <s v="Kavya Shah"/>
    <x v="213"/>
    <x v="0"/>
    <x v="4"/>
    <x v="7"/>
    <s v="Mumbai"/>
    <s v="Maharashtra"/>
    <x v="0"/>
    <x v="2"/>
    <s v="Laptop"/>
    <x v="15"/>
    <n v="3"/>
    <n v="51710"/>
    <n v="0.1"/>
    <n v="41940"/>
    <s v="Credit Card"/>
    <s v="Delivered"/>
    <n v="2"/>
    <s v="Returning"/>
    <n v="155130"/>
    <n v="15513"/>
    <n v="139617"/>
    <n v="97677"/>
    <n v="0.69960678140914068"/>
    <n v="2029"/>
    <s v="Jul"/>
    <s v="Q3"/>
  </r>
  <r>
    <s v="ORD11556"/>
    <x v="1555"/>
    <s v="CUST1014"/>
    <s v="Rahul Patel"/>
    <x v="247"/>
    <x v="1"/>
    <x v="22"/>
    <x v="2"/>
    <s v="Kochi"/>
    <s v="Kerala"/>
    <x v="2"/>
    <x v="4"/>
    <s v="Makeup Kit"/>
    <x v="28"/>
    <n v="1"/>
    <n v="2190"/>
    <n v="0.05"/>
    <n v="1250"/>
    <s v="UPI"/>
    <s v="Returned"/>
    <n v="4"/>
    <s v="Returning"/>
    <n v="2190"/>
    <n v="109.5"/>
    <n v="2080.5"/>
    <n v="830.5"/>
    <n v="0.39918288872867097"/>
    <n v="2029"/>
    <s v="Jul"/>
    <s v="Q3"/>
  </r>
  <r>
    <s v="ORD11557"/>
    <x v="1556"/>
    <s v="CUST1468"/>
    <s v="Ananya Patel"/>
    <x v="29"/>
    <x v="0"/>
    <x v="33"/>
    <x v="14"/>
    <s v="Ahmedabad"/>
    <s v="Gujarat"/>
    <x v="0"/>
    <x v="3"/>
    <s v="Cricket Bat"/>
    <x v="23"/>
    <n v="1"/>
    <n v="3260"/>
    <n v="0.05"/>
    <n v="1870"/>
    <s v="Debit Card"/>
    <s v="Returned"/>
    <n v="3"/>
    <s v="New"/>
    <n v="3260"/>
    <n v="163"/>
    <n v="3097"/>
    <n v="1227"/>
    <n v="0.39618986115595739"/>
    <n v="2029"/>
    <s v="Jul"/>
    <s v="Q3"/>
  </r>
  <r>
    <s v="ORD11558"/>
    <x v="1557"/>
    <s v="CUST1034"/>
    <s v="Meera Reddy"/>
    <x v="202"/>
    <x v="1"/>
    <x v="0"/>
    <x v="10"/>
    <s v="Jaipur"/>
    <s v="Rajasthan"/>
    <x v="3"/>
    <x v="4"/>
    <s v="Perfume"/>
    <x v="29"/>
    <n v="4"/>
    <n v="1930"/>
    <n v="0.2"/>
    <n v="870"/>
    <s v="Credit Card"/>
    <s v="Delivered"/>
    <n v="2"/>
    <s v="Returning"/>
    <n v="7720"/>
    <n v="1544"/>
    <n v="6176"/>
    <n v="5306"/>
    <n v="0.85913212435233166"/>
    <n v="2029"/>
    <s v="Jul"/>
    <s v="Q3"/>
  </r>
  <r>
    <s v="ORD11559"/>
    <x v="1558"/>
    <s v="CUST1052"/>
    <s v="Sneha Naidu"/>
    <x v="50"/>
    <x v="0"/>
    <x v="38"/>
    <x v="6"/>
    <s v="Guwahati"/>
    <s v="Assam"/>
    <x v="1"/>
    <x v="1"/>
    <s v="Office Chair"/>
    <x v="1"/>
    <n v="2"/>
    <n v="6950"/>
    <n v="0.05"/>
    <n v="4310"/>
    <s v="Wallet"/>
    <s v="Delivered"/>
    <n v="4"/>
    <s v="Returning"/>
    <n v="13900"/>
    <n v="695"/>
    <n v="13205"/>
    <n v="8895"/>
    <n v="0.67360848163574405"/>
    <n v="2029"/>
    <s v="Jul"/>
    <s v="Q3"/>
  </r>
  <r>
    <s v="ORD11560"/>
    <x v="1559"/>
    <s v="CUST1413"/>
    <s v="Nisha Verma"/>
    <x v="34"/>
    <x v="0"/>
    <x v="21"/>
    <x v="7"/>
    <s v="Mumbai"/>
    <s v="Maharashtra"/>
    <x v="0"/>
    <x v="5"/>
    <s v="Mixer Grinder"/>
    <x v="22"/>
    <n v="2"/>
    <n v="4240"/>
    <n v="0"/>
    <n v="2730"/>
    <s v="UPI"/>
    <s v="Delivered"/>
    <n v="7"/>
    <s v="New"/>
    <n v="8480"/>
    <n v="0"/>
    <n v="8480"/>
    <n v="5750"/>
    <n v="0.67806603773584906"/>
    <n v="2029"/>
    <s v="Jul"/>
    <s v="Q3"/>
  </r>
  <r>
    <s v="ORD11561"/>
    <x v="1560"/>
    <s v="CUST1179"/>
    <s v="Nisha Mehta"/>
    <x v="103"/>
    <x v="1"/>
    <x v="12"/>
    <x v="14"/>
    <s v="Ahmedabad"/>
    <s v="Gujarat"/>
    <x v="0"/>
    <x v="0"/>
    <s v="Jeans"/>
    <x v="19"/>
    <n v="3"/>
    <n v="2040"/>
    <n v="0.25"/>
    <n v="1160"/>
    <s v="Net Banking"/>
    <s v="Delivered"/>
    <n v="5"/>
    <s v="Returning"/>
    <n v="6120"/>
    <n v="1530"/>
    <n v="4590"/>
    <n v="3430"/>
    <n v="0.74727668845315909"/>
    <n v="2029"/>
    <s v="Jul"/>
    <s v="Q3"/>
  </r>
  <r>
    <s v="ORD11562"/>
    <x v="1561"/>
    <s v="CUST1094"/>
    <s v="Diya Shah"/>
    <x v="53"/>
    <x v="0"/>
    <x v="34"/>
    <x v="3"/>
    <s v="Bengaluru"/>
    <s v="Karnataka"/>
    <x v="2"/>
    <x v="2"/>
    <s v="Smartwatch"/>
    <x v="3"/>
    <n v="2"/>
    <n v="7360"/>
    <n v="0.2"/>
    <n v="4520"/>
    <s v="Net Banking"/>
    <s v="Delivered"/>
    <n v="2"/>
    <s v="Returning"/>
    <n v="14720"/>
    <n v="2944"/>
    <n v="11776"/>
    <n v="7256"/>
    <n v="0.61616847826086951"/>
    <n v="2029"/>
    <s v="Jul"/>
    <s v="Q3"/>
  </r>
  <r>
    <s v="ORD11563"/>
    <x v="1562"/>
    <s v="CUST1361"/>
    <s v="Kavya Joshi"/>
    <x v="68"/>
    <x v="0"/>
    <x v="32"/>
    <x v="14"/>
    <s v="Ahmedabad"/>
    <s v="Gujarat"/>
    <x v="0"/>
    <x v="1"/>
    <s v="Bookshelf"/>
    <x v="6"/>
    <n v="1"/>
    <n v="4970"/>
    <n v="0.1"/>
    <n v="3070"/>
    <s v="UPI"/>
    <s v="Delivered"/>
    <n v="4"/>
    <s v="New"/>
    <n v="4970"/>
    <n v="497"/>
    <n v="4473"/>
    <n v="1403"/>
    <n v="0.31365973619494747"/>
    <n v="2029"/>
    <s v="Jul"/>
    <s v="Q3"/>
  </r>
  <r>
    <s v="ORD11564"/>
    <x v="1563"/>
    <s v="CUST1461"/>
    <s v="Kavya Patel"/>
    <x v="227"/>
    <x v="0"/>
    <x v="27"/>
    <x v="7"/>
    <s v="Mumbai"/>
    <s v="Maharashtra"/>
    <x v="0"/>
    <x v="2"/>
    <s v="Smartwatch"/>
    <x v="3"/>
    <n v="2"/>
    <n v="6450"/>
    <n v="0.05"/>
    <n v="4450"/>
    <s v="Credit Card"/>
    <s v="Delivered"/>
    <n v="4"/>
    <s v="New"/>
    <n v="12900"/>
    <n v="645"/>
    <n v="12255"/>
    <n v="7805"/>
    <n v="0.63688290493676047"/>
    <n v="2029"/>
    <s v="Jul"/>
    <s v="Q3"/>
  </r>
  <r>
    <s v="ORD11565"/>
    <x v="1564"/>
    <s v="CUST1389"/>
    <s v="Kavya Gupta"/>
    <x v="193"/>
    <x v="1"/>
    <x v="11"/>
    <x v="7"/>
    <s v="Mumbai"/>
    <s v="Maharashtra"/>
    <x v="0"/>
    <x v="5"/>
    <s v="Electric Kettle"/>
    <x v="18"/>
    <n v="1"/>
    <n v="1660"/>
    <n v="0.3"/>
    <n v="990"/>
    <s v="Debit Card"/>
    <s v="Pending"/>
    <n v="5"/>
    <s v="New"/>
    <n v="1660"/>
    <n v="498"/>
    <n v="1162"/>
    <n v="172"/>
    <n v="0.14802065404475043"/>
    <n v="2029"/>
    <s v="Jul"/>
    <s v="Q3"/>
  </r>
  <r>
    <s v="ORD11566"/>
    <x v="1565"/>
    <s v="CUST1082"/>
    <s v="Rohan Kumar"/>
    <x v="254"/>
    <x v="0"/>
    <x v="25"/>
    <x v="3"/>
    <s v="Bengaluru"/>
    <s v="Karnataka"/>
    <x v="2"/>
    <x v="5"/>
    <s v="Vacuum Cleaner"/>
    <x v="9"/>
    <n v="3"/>
    <n v="8680"/>
    <n v="0.1"/>
    <n v="5860"/>
    <s v="Debit Card"/>
    <s v="Cancelled"/>
    <n v="0"/>
    <s v="Returning"/>
    <n v="26040"/>
    <n v="2604"/>
    <n v="23436"/>
    <n v="17576"/>
    <n v="0.74995733060249192"/>
    <n v="2029"/>
    <s v="Jul"/>
    <s v="Q3"/>
  </r>
  <r>
    <s v="ORD11567"/>
    <x v="1566"/>
    <s v="CUST1292"/>
    <s v="Nisha Shah"/>
    <x v="14"/>
    <x v="0"/>
    <x v="36"/>
    <x v="3"/>
    <s v="Bengaluru"/>
    <s v="Karnataka"/>
    <x v="2"/>
    <x v="3"/>
    <s v="Football"/>
    <x v="10"/>
    <n v="4"/>
    <n v="1190"/>
    <n v="0.15"/>
    <n v="580"/>
    <s v="UPI"/>
    <s v="Returned"/>
    <n v="1"/>
    <s v="Returning"/>
    <n v="4760"/>
    <n v="714"/>
    <n v="4046"/>
    <n v="3466"/>
    <n v="0.856648541769649"/>
    <n v="2029"/>
    <s v="Jul"/>
    <s v="Q3"/>
  </r>
  <r>
    <s v="ORD11568"/>
    <x v="1567"/>
    <s v="CUST1042"/>
    <s v="Vikram Shah"/>
    <x v="146"/>
    <x v="1"/>
    <x v="14"/>
    <x v="14"/>
    <s v="Ahmedabad"/>
    <s v="Gujarat"/>
    <x v="0"/>
    <x v="5"/>
    <s v="Air Fryer"/>
    <x v="26"/>
    <n v="2"/>
    <n v="6410"/>
    <n v="0"/>
    <n v="4120"/>
    <s v="unknown"/>
    <s v="Delivered"/>
    <n v="1"/>
    <s v="Returning"/>
    <n v="12820"/>
    <n v="0"/>
    <n v="12820"/>
    <n v="8700"/>
    <n v="0.67862714508580346"/>
    <n v="2029"/>
    <s v="Jul"/>
    <s v="Q3"/>
  </r>
  <r>
    <s v="ORD11569"/>
    <x v="1568"/>
    <s v="CUST1180"/>
    <s v="Diya Rao"/>
    <x v="67"/>
    <x v="0"/>
    <x v="38"/>
    <x v="5"/>
    <s v="Bhubaneswar"/>
    <s v="Odisha"/>
    <x v="1"/>
    <x v="4"/>
    <s v="Perfume"/>
    <x v="29"/>
    <n v="2"/>
    <n v="1760"/>
    <n v="0"/>
    <n v="890"/>
    <s v="Credit Card"/>
    <s v="Delivered"/>
    <n v="6"/>
    <s v="Returning"/>
    <n v="3520"/>
    <n v="0"/>
    <n v="3520"/>
    <n v="2630"/>
    <n v="0.74715909090909094"/>
    <n v="2029"/>
    <s v="Jul"/>
    <s v="Q3"/>
  </r>
  <r>
    <s v="ORD11570"/>
    <x v="1569"/>
    <s v="CUST1094"/>
    <s v="Aarav Mehta"/>
    <x v="201"/>
    <x v="0"/>
    <x v="18"/>
    <x v="2"/>
    <s v="Kochi"/>
    <s v="Kerala"/>
    <x v="2"/>
    <x v="2"/>
    <s v="Headphones"/>
    <x v="5"/>
    <n v="4"/>
    <n v="2330"/>
    <n v="0"/>
    <n v="1450"/>
    <s v="Debit Card"/>
    <s v="Delivered"/>
    <n v="5"/>
    <s v="Returning"/>
    <n v="9320"/>
    <n v="0"/>
    <n v="9320"/>
    <n v="7870"/>
    <n v="0.84442060085836912"/>
    <n v="2029"/>
    <s v="Jul"/>
    <s v="Q3"/>
  </r>
  <r>
    <s v="ORD11571"/>
    <x v="1570"/>
    <s v="CUST1128"/>
    <s v="Karan Joshi"/>
    <x v="230"/>
    <x v="1"/>
    <x v="34"/>
    <x v="1"/>
    <s v="Kolkata"/>
    <s v="West Bengal"/>
    <x v="1"/>
    <x v="4"/>
    <s v="Face Cream"/>
    <x v="21"/>
    <n v="2"/>
    <n v="700"/>
    <n v="0"/>
    <n v="290"/>
    <s v="Net Banking"/>
    <s v="Returned"/>
    <n v="2"/>
    <s v="Returning"/>
    <n v="1400"/>
    <n v="0"/>
    <n v="1400"/>
    <n v="1110"/>
    <n v="0.79285714285714282"/>
    <n v="2029"/>
    <s v="Jul"/>
    <s v="Q3"/>
  </r>
  <r>
    <s v="ORD11572"/>
    <x v="1571"/>
    <s v="CUST1149"/>
    <s v="Ananya Das"/>
    <x v="54"/>
    <x v="1"/>
    <x v="18"/>
    <x v="6"/>
    <s v="Guwahati"/>
    <s v="Assam"/>
    <x v="1"/>
    <x v="4"/>
    <s v="Makeup Kit"/>
    <x v="28"/>
    <n v="1"/>
    <n v="2030"/>
    <n v="0.05"/>
    <n v="1160"/>
    <s v="Credit Card"/>
    <s v="Delivered"/>
    <n v="5"/>
    <s v="Returning"/>
    <n v="2030"/>
    <n v="101.5"/>
    <n v="1928.5"/>
    <n v="768.5"/>
    <n v="0.39849624060150374"/>
    <n v="2029"/>
    <s v="Aug"/>
    <s v="Q3"/>
  </r>
  <r>
    <s v="ORD11573"/>
    <x v="1572"/>
    <s v="CUST1456"/>
    <s v="Karan Patel"/>
    <x v="173"/>
    <x v="1"/>
    <x v="31"/>
    <x v="9"/>
    <s v="Hyderabad"/>
    <s v="Telangana"/>
    <x v="2"/>
    <x v="5"/>
    <s v="Air Fryer"/>
    <x v="26"/>
    <n v="1"/>
    <n v="6870"/>
    <n v="0.2"/>
    <n v="4000"/>
    <s v="UPI"/>
    <s v="Cancelled"/>
    <n v="0"/>
    <s v="New"/>
    <n v="6870"/>
    <n v="1374"/>
    <n v="5496"/>
    <n v="1496"/>
    <n v="0.27219796215429404"/>
    <n v="2029"/>
    <s v="Aug"/>
    <s v="Q3"/>
  </r>
  <r>
    <s v="ORD11574"/>
    <x v="1573"/>
    <s v="CUST1399"/>
    <s v="Sneha Sharma"/>
    <x v="49"/>
    <x v="0"/>
    <x v="37"/>
    <x v="4"/>
    <s v="Chandigarh"/>
    <s v="Chandigarh"/>
    <x v="3"/>
    <x v="1"/>
    <s v="Sofa"/>
    <x v="16"/>
    <n v="3"/>
    <n v="27190"/>
    <n v="0.1"/>
    <n v="20440"/>
    <s v="UPI"/>
    <s v="Delivered"/>
    <n v="4"/>
    <s v="New"/>
    <n v="81570"/>
    <n v="8157"/>
    <n v="73413"/>
    <n v="52973"/>
    <n v="0.7215751978532412"/>
    <n v="2029"/>
    <s v="Aug"/>
    <s v="Q3"/>
  </r>
  <r>
    <s v="ORD11575"/>
    <x v="1574"/>
    <s v="CUST1048"/>
    <s v="Karan Joshi"/>
    <x v="230"/>
    <x v="1"/>
    <x v="11"/>
    <x v="2"/>
    <s v="Kochi"/>
    <s v="Kerala"/>
    <x v="2"/>
    <x v="2"/>
    <s v="Tablet"/>
    <x v="4"/>
    <n v="1"/>
    <n v="21100"/>
    <n v="0"/>
    <n v="15110"/>
    <s v="Debit Card"/>
    <s v="Delivered"/>
    <n v="3"/>
    <s v="Returning"/>
    <n v="21100"/>
    <n v="0"/>
    <n v="21100"/>
    <n v="5990"/>
    <n v="0.28388625592417061"/>
    <n v="2029"/>
    <s v="Aug"/>
    <s v="Q3"/>
  </r>
  <r>
    <s v="ORD11576"/>
    <x v="1575"/>
    <s v="CUST1101"/>
    <s v="Karan Joshi"/>
    <x v="230"/>
    <x v="0"/>
    <x v="38"/>
    <x v="13"/>
    <s v="Lucknow"/>
    <s v="Uttar Pradesh"/>
    <x v="3"/>
    <x v="2"/>
    <s v="Smartphone"/>
    <x v="13"/>
    <n v="3"/>
    <n v="17900"/>
    <n v="0.15"/>
    <n v="12710"/>
    <s v="UPI"/>
    <s v="Delivered"/>
    <n v="3"/>
    <s v="Returning"/>
    <n v="53700"/>
    <n v="8055"/>
    <n v="45645"/>
    <n v="32935"/>
    <n v="0.72154671924635772"/>
    <n v="2029"/>
    <s v="Aug"/>
    <s v="Q3"/>
  </r>
  <r>
    <s v="ORD11577"/>
    <x v="1576"/>
    <s v="CUST1443"/>
    <s v="Ishita Singh"/>
    <x v="72"/>
    <x v="0"/>
    <x v="22"/>
    <x v="11"/>
    <s v="Chennai"/>
    <s v="Tamil Nadu"/>
    <x v="2"/>
    <x v="1"/>
    <s v="Bedside Table"/>
    <x v="24"/>
    <n v="1"/>
    <n v="4440"/>
    <n v="0.1"/>
    <n v="2770"/>
    <s v="UPI"/>
    <s v="Delivered"/>
    <n v="4"/>
    <s v="New"/>
    <n v="4440"/>
    <n v="444"/>
    <n v="3996"/>
    <n v="1226"/>
    <n v="0.30680680680680683"/>
    <n v="2029"/>
    <s v="Aug"/>
    <s v="Q3"/>
  </r>
  <r>
    <s v="ORD11578"/>
    <x v="1577"/>
    <s v="CUST1474"/>
    <s v="Kavya Reddy"/>
    <x v="203"/>
    <x v="0"/>
    <x v="33"/>
    <x v="11"/>
    <s v="Chennai"/>
    <s v="Tamil Nadu"/>
    <x v="2"/>
    <x v="2"/>
    <s v="Smartphone"/>
    <x v="13"/>
    <n v="2"/>
    <n v="17080"/>
    <n v="0.05"/>
    <n v="12650"/>
    <s v="UPI"/>
    <s v="Delivered"/>
    <n v="5"/>
    <s v="New"/>
    <n v="34160"/>
    <n v="1708"/>
    <n v="32452"/>
    <n v="19802"/>
    <n v="0.6101935165783311"/>
    <n v="2029"/>
    <s v="Aug"/>
    <s v="Q3"/>
  </r>
  <r>
    <s v="ORD11579"/>
    <x v="1578"/>
    <s v="CUST1007"/>
    <s v="Ishita Patel"/>
    <x v="209"/>
    <x v="1"/>
    <x v="7"/>
    <x v="1"/>
    <s v="Kolkata"/>
    <s v="West Bengal"/>
    <x v="1"/>
    <x v="1"/>
    <s v="Bookshelf"/>
    <x v="6"/>
    <n v="1"/>
    <n v="5190"/>
    <n v="0.25"/>
    <n v="3040"/>
    <s v="Credit Card"/>
    <s v="Delivered"/>
    <n v="4"/>
    <s v="Returning"/>
    <n v="5190"/>
    <n v="1297.5"/>
    <n v="3892.5"/>
    <n v="852.5"/>
    <n v="0.21901091843288376"/>
    <n v="2029"/>
    <s v="Aug"/>
    <s v="Q3"/>
  </r>
  <r>
    <s v="ORD11580"/>
    <x v="1579"/>
    <s v="CUST1143"/>
    <s v="Ishita Naidu"/>
    <x v="218"/>
    <x v="0"/>
    <x v="5"/>
    <x v="13"/>
    <s v="Lucknow"/>
    <s v="Uttar Pradesh"/>
    <x v="3"/>
    <x v="2"/>
    <s v="Headphones"/>
    <x v="5"/>
    <n v="1"/>
    <n v="2320"/>
    <n v="0"/>
    <n v="1450"/>
    <s v="Credit Card"/>
    <s v="Delivered"/>
    <n v="5"/>
    <s v="Returning"/>
    <n v="2320"/>
    <n v="0"/>
    <n v="2320"/>
    <n v="870"/>
    <n v="0.375"/>
    <n v="2029"/>
    <s v="Aug"/>
    <s v="Q3"/>
  </r>
  <r>
    <s v="ORD11581"/>
    <x v="1580"/>
    <s v="CUST1187"/>
    <s v="Karan Naidu"/>
    <x v="168"/>
    <x v="1"/>
    <x v="2"/>
    <x v="2"/>
    <s v="Kochi"/>
    <s v="Kerala"/>
    <x v="2"/>
    <x v="2"/>
    <s v="Smartwatch"/>
    <x v="3"/>
    <n v="2"/>
    <n v="6690"/>
    <n v="0.1"/>
    <n v="4530"/>
    <s v="Debit Card"/>
    <s v="Pending"/>
    <n v="1"/>
    <s v="Returning"/>
    <n v="13380"/>
    <n v="1338"/>
    <n v="12042"/>
    <n v="7512"/>
    <n v="0.62381664175386153"/>
    <n v="2029"/>
    <s v="Aug"/>
    <s v="Q3"/>
  </r>
  <r>
    <s v="ORD11582"/>
    <x v="1581"/>
    <s v="CUST1476"/>
    <s v="Kavya Mehta"/>
    <x v="166"/>
    <x v="0"/>
    <x v="6"/>
    <x v="10"/>
    <s v="Jaipur"/>
    <s v="Rajasthan"/>
    <x v="3"/>
    <x v="0"/>
    <s v="Handbag"/>
    <x v="12"/>
    <n v="1"/>
    <n v="2800"/>
    <n v="0.05"/>
    <n v="1660"/>
    <s v="Cash on Delivery"/>
    <s v="Delivered"/>
    <n v="2"/>
    <s v="New"/>
    <n v="2800"/>
    <n v="140"/>
    <n v="2660"/>
    <n v="1000"/>
    <n v="0.37593984962406013"/>
    <n v="2029"/>
    <s v="Aug"/>
    <s v="Q3"/>
  </r>
  <r>
    <s v="ORD11583"/>
    <x v="1582"/>
    <s v="CUST1157"/>
    <s v="Sneha Patel"/>
    <x v="191"/>
    <x v="0"/>
    <x v="22"/>
    <x v="14"/>
    <s v="Ahmedabad"/>
    <s v="Gujarat"/>
    <x v="0"/>
    <x v="0"/>
    <s v="Jacket"/>
    <x v="25"/>
    <n v="1"/>
    <n v="3970"/>
    <n v="0.2"/>
    <n v="2490"/>
    <s v="UPI"/>
    <s v="Delivered"/>
    <n v="2"/>
    <s v="Returning"/>
    <n v="3970"/>
    <n v="794"/>
    <n v="3176"/>
    <n v="686"/>
    <n v="0.21599496221662468"/>
    <n v="2029"/>
    <s v="Aug"/>
    <s v="Q3"/>
  </r>
  <r>
    <s v="ORD11584"/>
    <x v="1583"/>
    <s v="CUST1355"/>
    <s v="Aarav Gupta"/>
    <x v="204"/>
    <x v="0"/>
    <x v="37"/>
    <x v="6"/>
    <s v="Guwahati"/>
    <s v="Assam"/>
    <x v="1"/>
    <x v="2"/>
    <s v="Tablet"/>
    <x v="4"/>
    <n v="2"/>
    <n v="22220"/>
    <n v="0.2"/>
    <n v="15020"/>
    <s v="Net Banking"/>
    <s v="Delivered"/>
    <n v="5"/>
    <s v="New"/>
    <n v="44440"/>
    <n v="8888"/>
    <n v="35552"/>
    <n v="20532"/>
    <n v="0.57752025202520252"/>
    <n v="2029"/>
    <s v="Aug"/>
    <s v="Q3"/>
  </r>
  <r>
    <s v="ORD11585"/>
    <x v="1584"/>
    <s v="CUST1363"/>
    <s v="Vivaan Shah"/>
    <x v="156"/>
    <x v="1"/>
    <x v="15"/>
    <x v="1"/>
    <s v="Kolkata"/>
    <s v="West Bengal"/>
    <x v="1"/>
    <x v="2"/>
    <s v="Headphones"/>
    <x v="5"/>
    <n v="2"/>
    <n v="2590"/>
    <n v="0.05"/>
    <n v="1430"/>
    <s v="Credit Card"/>
    <s v="Delivered"/>
    <n v="4"/>
    <s v="New"/>
    <n v="5180"/>
    <n v="259"/>
    <n v="4921"/>
    <n v="3491"/>
    <n v="0.70940865677707787"/>
    <n v="2029"/>
    <s v="Aug"/>
    <s v="Q3"/>
  </r>
  <r>
    <s v="ORD11586"/>
    <x v="1585"/>
    <s v="CUST1319"/>
    <s v="Ananya Nair"/>
    <x v="238"/>
    <x v="1"/>
    <x v="12"/>
    <x v="6"/>
    <s v="Guwahati"/>
    <s v="Assam"/>
    <x v="1"/>
    <x v="3"/>
    <s v="Yoga Mat"/>
    <x v="20"/>
    <n v="2"/>
    <n v="910"/>
    <n v="0.1"/>
    <n v="390"/>
    <s v="Cash on Delivery"/>
    <s v="Delivered"/>
    <n v="4"/>
    <s v="New"/>
    <n v="1820"/>
    <n v="182"/>
    <n v="1638"/>
    <n v="1248"/>
    <n v="0.76190476190476186"/>
    <n v="2029"/>
    <s v="Aug"/>
    <s v="Q3"/>
  </r>
  <r>
    <s v="ORD11587"/>
    <x v="1586"/>
    <s v="CUST1357"/>
    <s v="Ananya Rao"/>
    <x v="189"/>
    <x v="1"/>
    <x v="5"/>
    <x v="0"/>
    <s v="Pune"/>
    <s v="Maharashtra"/>
    <x v="0"/>
    <x v="5"/>
    <s v="Vacuum Cleaner"/>
    <x v="9"/>
    <n v="2"/>
    <n v="8100"/>
    <n v="0.15"/>
    <n v="5330"/>
    <s v="Credit Card"/>
    <s v="Delivered"/>
    <n v="5"/>
    <s v="New"/>
    <n v="16200"/>
    <n v="2430"/>
    <n v="13770"/>
    <n v="8440"/>
    <n v="0.61292665214233844"/>
    <n v="2029"/>
    <s v="Aug"/>
    <s v="Q3"/>
  </r>
  <r>
    <s v="ORD11588"/>
    <x v="1587"/>
    <s v="CUST1488"/>
    <s v="Ananya Reddy"/>
    <x v="195"/>
    <x v="0"/>
    <x v="4"/>
    <x v="1"/>
    <s v="Kolkata"/>
    <s v="West Bengal"/>
    <x v="1"/>
    <x v="3"/>
    <s v="Football"/>
    <x v="10"/>
    <n v="2"/>
    <n v="1140"/>
    <n v="0.2"/>
    <n v="590"/>
    <s v="Debit Card"/>
    <s v="Delivered"/>
    <n v="4"/>
    <s v="New"/>
    <n v="2280"/>
    <n v="456"/>
    <n v="1824"/>
    <n v="1234"/>
    <n v="0.67653508771929827"/>
    <n v="2029"/>
    <s v="Aug"/>
    <s v="Q3"/>
  </r>
  <r>
    <s v="ORD11589"/>
    <x v="1588"/>
    <s v="CUST1055"/>
    <s v="Kavya Mehta"/>
    <x v="166"/>
    <x v="1"/>
    <x v="33"/>
    <x v="1"/>
    <s v="Kolkata"/>
    <s v="West Bengal"/>
    <x v="1"/>
    <x v="5"/>
    <s v="Vacuum Cleaner"/>
    <x v="9"/>
    <n v="1"/>
    <n v="8330"/>
    <n v="0.25"/>
    <n v="5810"/>
    <s v="Credit Card"/>
    <s v="Delivered"/>
    <n v="2"/>
    <s v="Returning"/>
    <n v="8330"/>
    <n v="2082.5"/>
    <n v="6247.5"/>
    <n v="437.5"/>
    <n v="7.0028011204481794E-2"/>
    <n v="2029"/>
    <s v="Aug"/>
    <s v="Q3"/>
  </r>
  <r>
    <s v="ORD11590"/>
    <x v="1589"/>
    <s v="CUST1068"/>
    <s v="Kavya Verma"/>
    <x v="97"/>
    <x v="1"/>
    <x v="37"/>
    <x v="7"/>
    <s v="Mumbai"/>
    <s v="Maharashtra"/>
    <x v="0"/>
    <x v="2"/>
    <s v="Tablet"/>
    <x v="4"/>
    <n v="2"/>
    <n v="20330"/>
    <n v="0.1"/>
    <n v="15650"/>
    <s v="UPI"/>
    <s v="Delivered"/>
    <n v="3"/>
    <s v="Returning"/>
    <n v="40660"/>
    <n v="4066"/>
    <n v="36594"/>
    <n v="20944"/>
    <n v="0.57233426244739571"/>
    <n v="2029"/>
    <s v="Aug"/>
    <s v="Q3"/>
  </r>
  <r>
    <s v="ORD11591"/>
    <x v="1590"/>
    <s v="CUST1165"/>
    <s v="Vikram Gupta"/>
    <x v="177"/>
    <x v="0"/>
    <x v="0"/>
    <x v="14"/>
    <s v="Ahmedabad"/>
    <s v="Gujarat"/>
    <x v="0"/>
    <x v="5"/>
    <s v="Vacuum Cleaner"/>
    <x v="9"/>
    <n v="3"/>
    <n v="7840"/>
    <n v="0.05"/>
    <n v="5510"/>
    <s v="UPI"/>
    <s v="Delivered"/>
    <n v="4"/>
    <s v="Returning"/>
    <n v="23520"/>
    <n v="1176"/>
    <n v="22344"/>
    <n v="16834"/>
    <n v="0.75340136054421769"/>
    <n v="2029"/>
    <s v="Aug"/>
    <s v="Q3"/>
  </r>
  <r>
    <s v="ORD11592"/>
    <x v="1591"/>
    <s v="CUST1206"/>
    <s v="Rohan Kumar"/>
    <x v="254"/>
    <x v="0"/>
    <x v="29"/>
    <x v="9"/>
    <s v="Hyderabad"/>
    <s v="Telangana"/>
    <x v="2"/>
    <x v="1"/>
    <s v="Study Table"/>
    <x v="11"/>
    <n v="1"/>
    <n v="8000"/>
    <n v="0.15"/>
    <n v="5350"/>
    <s v="UPI"/>
    <s v="Delivered"/>
    <n v="5"/>
    <s v="Returning"/>
    <n v="8000"/>
    <n v="1200"/>
    <n v="6800"/>
    <n v="1450"/>
    <n v="0.21323529411764705"/>
    <n v="2029"/>
    <s v="Aug"/>
    <s v="Q3"/>
  </r>
  <r>
    <s v="ORD11593"/>
    <x v="1592"/>
    <s v="CUST1110"/>
    <s v="Kavya Singh"/>
    <x v="150"/>
    <x v="1"/>
    <x v="3"/>
    <x v="0"/>
    <s v="Pune"/>
    <s v="Maharashtra"/>
    <x v="0"/>
    <x v="3"/>
    <s v="Football"/>
    <x v="10"/>
    <n v="3"/>
    <n v="1240"/>
    <n v="0.2"/>
    <n v="620"/>
    <s v="UPI"/>
    <s v="Delivered"/>
    <n v="8"/>
    <s v="Returning"/>
    <n v="3720"/>
    <n v="744"/>
    <n v="2976"/>
    <n v="2356"/>
    <n v="0.79166666666666663"/>
    <n v="2029"/>
    <s v="Aug"/>
    <s v="Q3"/>
  </r>
  <r>
    <s v="ORD11594"/>
    <x v="1593"/>
    <s v="CUST1398"/>
    <s v="Aarav Naidu"/>
    <x v="143"/>
    <x v="0"/>
    <x v="42"/>
    <x v="1"/>
    <s v="Kolkata"/>
    <s v="West Bengal"/>
    <x v="1"/>
    <x v="0"/>
    <s v="Handbag"/>
    <x v="12"/>
    <n v="4"/>
    <n v="2810"/>
    <n v="0.2"/>
    <n v="1580"/>
    <s v="UPI"/>
    <s v="Delivered"/>
    <n v="4"/>
    <s v="New"/>
    <n v="11240"/>
    <n v="2248"/>
    <n v="8992"/>
    <n v="7412"/>
    <n v="0.82428825622775803"/>
    <n v="2029"/>
    <s v="Aug"/>
    <s v="Q3"/>
  </r>
  <r>
    <s v="ORD11595"/>
    <x v="1594"/>
    <s v="CUST1037"/>
    <s v="Diya Das"/>
    <x v="237"/>
    <x v="0"/>
    <x v="12"/>
    <x v="8"/>
    <s v="Mysuru"/>
    <s v="Karnataka"/>
    <x v="2"/>
    <x v="2"/>
    <s v="Headphones"/>
    <x v="5"/>
    <n v="2"/>
    <n v="2520"/>
    <n v="0.1"/>
    <n v="1470"/>
    <s v="Debit Card"/>
    <s v="Returned"/>
    <n v="10"/>
    <s v="Returning"/>
    <n v="5040"/>
    <n v="504"/>
    <n v="4536"/>
    <n v="3066"/>
    <n v="0.67592592592592593"/>
    <n v="2029"/>
    <s v="Aug"/>
    <s v="Q3"/>
  </r>
  <r>
    <s v="ORD11596"/>
    <x v="1595"/>
    <s v="CUST1263"/>
    <s v="Arjun Rao"/>
    <x v="101"/>
    <x v="1"/>
    <x v="26"/>
    <x v="1"/>
    <s v="Kolkata"/>
    <s v="West Bengal"/>
    <x v="1"/>
    <x v="4"/>
    <s v="Makeup Kit"/>
    <x v="28"/>
    <n v="2"/>
    <n v="2080"/>
    <n v="0.05"/>
    <n v="1170"/>
    <s v="UPI"/>
    <s v="Pending"/>
    <n v="1"/>
    <s v="Returning"/>
    <n v="4160"/>
    <n v="208"/>
    <n v="3952"/>
    <n v="2782"/>
    <n v="0.70394736842105265"/>
    <n v="2029"/>
    <s v="Aug"/>
    <s v="Q3"/>
  </r>
  <r>
    <s v="ORD11597"/>
    <x v="1596"/>
    <s v="CUST1162"/>
    <s v="Rohan Gupta"/>
    <x v="42"/>
    <x v="1"/>
    <x v="42"/>
    <x v="10"/>
    <s v="Jaipur"/>
    <s v="Rajasthan"/>
    <x v="3"/>
    <x v="4"/>
    <s v="Makeup Kit"/>
    <x v="28"/>
    <n v="3"/>
    <n v="2260"/>
    <n v="0.05"/>
    <n v="1200"/>
    <s v="Net Banking"/>
    <s v="Delivered"/>
    <n v="1"/>
    <s v="Returning"/>
    <n v="6780"/>
    <n v="339"/>
    <n v="6441"/>
    <n v="5241"/>
    <n v="0.8136935258500233"/>
    <n v="2029"/>
    <s v="Aug"/>
    <s v="Q3"/>
  </r>
  <r>
    <s v="ORD11598"/>
    <x v="1597"/>
    <s v="CUST1179"/>
    <s v="Rahul Reddy"/>
    <x v="208"/>
    <x v="1"/>
    <x v="6"/>
    <x v="14"/>
    <s v="Ahmedabad"/>
    <s v="Gujarat"/>
    <x v="0"/>
    <x v="4"/>
    <s v="Makeup Kit"/>
    <x v="28"/>
    <n v="3"/>
    <n v="2060"/>
    <n v="0.15"/>
    <n v="1210"/>
    <s v="Net Banking"/>
    <s v="Delivered"/>
    <n v="3"/>
    <s v="Returning"/>
    <n v="6180"/>
    <n v="927"/>
    <n v="5253"/>
    <n v="4043"/>
    <n v="0.76965543498952982"/>
    <n v="2029"/>
    <s v="Aug"/>
    <s v="Q3"/>
  </r>
  <r>
    <s v="ORD11599"/>
    <x v="1598"/>
    <s v="CUST1201"/>
    <s v="Diya Sharma"/>
    <x v="220"/>
    <x v="0"/>
    <x v="35"/>
    <x v="5"/>
    <s v="Bhubaneswar"/>
    <s v="Odisha"/>
    <x v="1"/>
    <x v="5"/>
    <s v="Electric Kettle"/>
    <x v="18"/>
    <n v="2"/>
    <n v="1920"/>
    <n v="0"/>
    <n v="960"/>
    <s v="Credit Card"/>
    <s v="Delivered"/>
    <n v="6"/>
    <s v="Returning"/>
    <n v="3840"/>
    <n v="0"/>
    <n v="3840"/>
    <n v="2880"/>
    <n v="0.75"/>
    <n v="2029"/>
    <s v="Aug"/>
    <s v="Q3"/>
  </r>
  <r>
    <s v="ORD11600"/>
    <x v="1599"/>
    <s v="CUST1072"/>
    <s v="Arjun Gupta"/>
    <x v="109"/>
    <x v="0"/>
    <x v="17"/>
    <x v="1"/>
    <s v="Kolkata"/>
    <s v="West Bengal"/>
    <x v="1"/>
    <x v="3"/>
    <s v="Cricket Bat"/>
    <x v="23"/>
    <n v="3"/>
    <n v="3320"/>
    <n v="0.25"/>
    <n v="1870"/>
    <s v="Net Banking"/>
    <s v="Delivered"/>
    <n v="5"/>
    <s v="Returning"/>
    <n v="9960"/>
    <n v="2490"/>
    <n v="7470"/>
    <n v="5600"/>
    <n v="0.74966532797858099"/>
    <n v="2029"/>
    <s v="Aug"/>
    <s v="Q3"/>
  </r>
  <r>
    <s v="ORD11601"/>
    <x v="1600"/>
    <s v="CUST1497"/>
    <s v="Kavya Verma"/>
    <x v="97"/>
    <x v="1"/>
    <x v="12"/>
    <x v="6"/>
    <s v="Guwahati"/>
    <s v="Assam"/>
    <x v="1"/>
    <x v="3"/>
    <s v="Cricket Bat"/>
    <x v="23"/>
    <n v="3"/>
    <n v="3020"/>
    <n v="0.05"/>
    <n v="1890"/>
    <s v="UPI"/>
    <s v="Delivered"/>
    <n v="2"/>
    <s v="New"/>
    <n v="9060"/>
    <n v="453"/>
    <n v="8607"/>
    <n v="6717"/>
    <n v="0.780411293133496"/>
    <n v="2029"/>
    <s v="Aug"/>
    <s v="Q3"/>
  </r>
  <r>
    <s v="ORD11602"/>
    <x v="1601"/>
    <s v="CUST1317"/>
    <s v="Nisha Rao"/>
    <x v="249"/>
    <x v="0"/>
    <x v="6"/>
    <x v="5"/>
    <s v="Bhubaneswar"/>
    <s v="Odisha"/>
    <x v="1"/>
    <x v="3"/>
    <s v="Dumbbells"/>
    <x v="7"/>
    <n v="3"/>
    <n v="2650"/>
    <n v="0.1"/>
    <n v="1560"/>
    <s v="Debit Card"/>
    <s v="Delivered"/>
    <n v="3"/>
    <s v="New"/>
    <n v="7950"/>
    <n v="795"/>
    <n v="7155"/>
    <n v="5595"/>
    <n v="0.78197064989517817"/>
    <n v="2029"/>
    <s v="Aug"/>
    <s v="Q3"/>
  </r>
  <r>
    <s v="ORD11603"/>
    <x v="1602"/>
    <s v="CUST1250"/>
    <s v="Arjun Singh"/>
    <x v="148"/>
    <x v="1"/>
    <x v="15"/>
    <x v="2"/>
    <s v="Kochi"/>
    <s v="Kerala"/>
    <x v="2"/>
    <x v="0"/>
    <s v="Handbag"/>
    <x v="12"/>
    <n v="4"/>
    <n v="2680"/>
    <n v="0.1"/>
    <n v="1600"/>
    <s v="UPI"/>
    <s v="Delivered"/>
    <n v="4"/>
    <s v="Returning"/>
    <n v="10720"/>
    <n v="1072"/>
    <n v="9648"/>
    <n v="8048"/>
    <n v="0.83416252072968489"/>
    <n v="2029"/>
    <s v="Sep"/>
    <s v="Q3"/>
  </r>
  <r>
    <s v="ORD11604"/>
    <x v="1603"/>
    <s v="CUST1032"/>
    <s v="Ishita Das"/>
    <x v="182"/>
    <x v="1"/>
    <x v="40"/>
    <x v="3"/>
    <s v="Bengaluru"/>
    <s v="Karnataka"/>
    <x v="2"/>
    <x v="0"/>
    <s v="Jeans"/>
    <x v="19"/>
    <n v="3"/>
    <n v="2280"/>
    <n v="0.15"/>
    <n v="1230"/>
    <s v="Debit Card"/>
    <s v="Delivered"/>
    <n v="6"/>
    <s v="Returning"/>
    <n v="6840"/>
    <n v="1026"/>
    <n v="5814"/>
    <n v="4584"/>
    <n v="0.78844169246646023"/>
    <n v="2029"/>
    <s v="Sep"/>
    <s v="Q3"/>
  </r>
  <r>
    <s v="ORD11605"/>
    <x v="1604"/>
    <s v="CUST1341"/>
    <s v="Rohan Gupta"/>
    <x v="42"/>
    <x v="0"/>
    <x v="30"/>
    <x v="1"/>
    <s v="Kolkata"/>
    <s v="West Bengal"/>
    <x v="1"/>
    <x v="4"/>
    <s v="Shampoo"/>
    <x v="8"/>
    <n v="5"/>
    <n v="490"/>
    <n v="0.1"/>
    <n v="240"/>
    <s v="Net Banking"/>
    <s v="Delivered"/>
    <n v="4"/>
    <s v="New"/>
    <n v="2450"/>
    <n v="245"/>
    <n v="2205"/>
    <n v="1965"/>
    <n v="0.891156462585034"/>
    <n v="2029"/>
    <s v="Sep"/>
    <s v="Q3"/>
  </r>
  <r>
    <s v="ORD11606"/>
    <x v="1605"/>
    <s v="CUST1380"/>
    <s v="Vikram Reddy"/>
    <x v="221"/>
    <x v="0"/>
    <x v="28"/>
    <x v="7"/>
    <s v="Mumbai"/>
    <s v="Maharashtra"/>
    <x v="0"/>
    <x v="3"/>
    <s v="Tennis Racket"/>
    <x v="17"/>
    <n v="1"/>
    <n v="4550"/>
    <n v="0.25"/>
    <n v="2870"/>
    <s v="Debit Card"/>
    <s v="Delivered"/>
    <n v="3"/>
    <s v="New"/>
    <n v="4550"/>
    <n v="1137.5"/>
    <n v="3412.5"/>
    <n v="542.5"/>
    <n v="0.15897435897435896"/>
    <n v="2029"/>
    <s v="Sep"/>
    <s v="Q3"/>
  </r>
  <r>
    <s v="ORD11607"/>
    <x v="1606"/>
    <s v="CUST1036"/>
    <s v="Rahul Verma"/>
    <x v="183"/>
    <x v="0"/>
    <x v="9"/>
    <x v="2"/>
    <s v="Kochi"/>
    <s v="Kerala"/>
    <x v="2"/>
    <x v="1"/>
    <s v="Office Chair"/>
    <x v="1"/>
    <n v="1"/>
    <n v="6120"/>
    <n v="0.2"/>
    <n v="3990"/>
    <s v="Net Banking"/>
    <s v="Delivered"/>
    <n v="6"/>
    <s v="Returning"/>
    <n v="6120"/>
    <n v="1224"/>
    <n v="4896"/>
    <n v="906"/>
    <n v="0.18504901960784315"/>
    <n v="2029"/>
    <s v="Sep"/>
    <s v="Q3"/>
  </r>
  <r>
    <s v="ORD11608"/>
    <x v="1607"/>
    <s v="CUST1123"/>
    <s v="Rahul Singh"/>
    <x v="167"/>
    <x v="1"/>
    <x v="38"/>
    <x v="9"/>
    <s v="Hyderabad"/>
    <s v="Telangana"/>
    <x v="2"/>
    <x v="2"/>
    <s v="Smartwatch"/>
    <x v="3"/>
    <n v="1"/>
    <n v="7430"/>
    <n v="0"/>
    <n v="4320"/>
    <s v="Net Banking"/>
    <s v="Delivered"/>
    <n v="2"/>
    <s v="Returning"/>
    <n v="7430"/>
    <n v="0"/>
    <n v="7430"/>
    <n v="3110"/>
    <n v="0.41857335127860029"/>
    <n v="2029"/>
    <s v="Sep"/>
    <s v="Q3"/>
  </r>
  <r>
    <s v="ORD11609"/>
    <x v="1608"/>
    <s v="CUST1337"/>
    <s v="Rohan Sharma"/>
    <x v="21"/>
    <x v="0"/>
    <x v="24"/>
    <x v="13"/>
    <s v="Lucknow"/>
    <s v="Uttar Pradesh"/>
    <x v="3"/>
    <x v="0"/>
    <s v="Sneakers"/>
    <x v="0"/>
    <n v="2"/>
    <n v="3700"/>
    <n v="0"/>
    <n v="2160"/>
    <s v="Credit Card"/>
    <s v="Delivered"/>
    <n v="2"/>
    <s v="New"/>
    <n v="7400"/>
    <n v="0"/>
    <n v="7400"/>
    <n v="5240"/>
    <n v="0.70810810810810809"/>
    <n v="2029"/>
    <s v="Sep"/>
    <s v="Q3"/>
  </r>
  <r>
    <s v="ORD11610"/>
    <x v="1609"/>
    <s v="CUST1293"/>
    <s v="Karan Nair"/>
    <x v="129"/>
    <x v="0"/>
    <x v="21"/>
    <x v="4"/>
    <s v="Chandigarh"/>
    <s v="Chandigarh"/>
    <x v="3"/>
    <x v="3"/>
    <s v="Yoga Mat"/>
    <x v="20"/>
    <n v="2"/>
    <n v="900"/>
    <n v="0.2"/>
    <n v="380"/>
    <s v="Net Banking"/>
    <s v="Returned"/>
    <n v="4"/>
    <s v="Returning"/>
    <n v="1800"/>
    <n v="360"/>
    <n v="1440"/>
    <n v="1060"/>
    <n v="0.73611111111111116"/>
    <n v="2029"/>
    <s v="Sep"/>
    <s v="Q3"/>
  </r>
  <r>
    <s v="ORD11611"/>
    <x v="1610"/>
    <s v="CUST1058"/>
    <s v="Sneha Nair"/>
    <x v="180"/>
    <x v="1"/>
    <x v="11"/>
    <x v="4"/>
    <s v="Chandigarh"/>
    <s v="Chandigarh"/>
    <x v="3"/>
    <x v="5"/>
    <s v="Air Fryer"/>
    <x v="26"/>
    <n v="5"/>
    <n v="7020"/>
    <n v="0.05"/>
    <n v="4370"/>
    <s v="UPI"/>
    <s v="Delivered"/>
    <n v="2"/>
    <s v="Returning"/>
    <n v="35100"/>
    <n v="1755"/>
    <n v="33345"/>
    <n v="28975"/>
    <n v="0.86894586894586889"/>
    <n v="2029"/>
    <s v="Sep"/>
    <s v="Q3"/>
  </r>
  <r>
    <s v="ORD11612"/>
    <x v="1611"/>
    <s v="CUST1052"/>
    <s v="Karan Singh"/>
    <x v="74"/>
    <x v="1"/>
    <x v="5"/>
    <x v="9"/>
    <s v="Hyderabad"/>
    <s v="Telangana"/>
    <x v="2"/>
    <x v="2"/>
    <s v="Smartphone"/>
    <x v="13"/>
    <n v="2"/>
    <n v="17170"/>
    <n v="0.1"/>
    <n v="12950"/>
    <s v="UPI"/>
    <s v="Delivered"/>
    <n v="4"/>
    <s v="Returning"/>
    <n v="34340"/>
    <n v="3434"/>
    <n v="30906"/>
    <n v="17956"/>
    <n v="0.58098751051575748"/>
    <n v="2029"/>
    <s v="Sep"/>
    <s v="Q3"/>
  </r>
  <r>
    <s v="ORD11613"/>
    <x v="1612"/>
    <s v="CUST1351"/>
    <s v="Rahul Mehta"/>
    <x v="93"/>
    <x v="1"/>
    <x v="17"/>
    <x v="4"/>
    <s v="Chandigarh"/>
    <s v="Chandigarh"/>
    <x v="3"/>
    <x v="5"/>
    <s v="Mixer Grinder"/>
    <x v="22"/>
    <n v="1"/>
    <n v="4520"/>
    <n v="0.25"/>
    <n v="2800"/>
    <s v="Credit Card"/>
    <s v="Returned"/>
    <n v="2"/>
    <s v="New"/>
    <n v="4520"/>
    <n v="1130"/>
    <n v="3390"/>
    <n v="590"/>
    <n v="0.17404129793510326"/>
    <n v="2029"/>
    <s v="Sep"/>
    <s v="Q3"/>
  </r>
  <r>
    <s v="ORD11614"/>
    <x v="1613"/>
    <s v="CUST1424"/>
    <s v="Karan Das"/>
    <x v="45"/>
    <x v="0"/>
    <x v="8"/>
    <x v="10"/>
    <s v="Jaipur"/>
    <s v="Rajasthan"/>
    <x v="3"/>
    <x v="2"/>
    <s v="Smartphone"/>
    <x v="13"/>
    <n v="2"/>
    <n v="18450"/>
    <n v="0.05"/>
    <n v="12960"/>
    <s v="Credit Card"/>
    <s v="Delivered"/>
    <n v="4"/>
    <s v="New"/>
    <n v="36900"/>
    <n v="1845"/>
    <n v="35055"/>
    <n v="22095"/>
    <n v="0.63029525032092426"/>
    <n v="2029"/>
    <s v="Sep"/>
    <s v="Q3"/>
  </r>
  <r>
    <s v="ORD11615"/>
    <x v="1614"/>
    <s v="CUST1075"/>
    <s v="Priya Reddy"/>
    <x v="64"/>
    <x v="1"/>
    <x v="9"/>
    <x v="11"/>
    <s v="Chennai"/>
    <s v="Tamil Nadu"/>
    <x v="2"/>
    <x v="5"/>
    <s v="Vacuum Cleaner"/>
    <x v="9"/>
    <n v="3"/>
    <n v="8350"/>
    <n v="0.05"/>
    <n v="5610"/>
    <s v="Net Banking"/>
    <s v="Delivered"/>
    <n v="5"/>
    <s v="Returning"/>
    <n v="25050"/>
    <n v="1252.5"/>
    <n v="23797.5"/>
    <n v="18187.5"/>
    <n v="0.76426095178064923"/>
    <n v="2029"/>
    <s v="Sep"/>
    <s v="Q3"/>
  </r>
  <r>
    <s v="ORD11616"/>
    <x v="1615"/>
    <s v="CUST1399"/>
    <s v="Nisha Das"/>
    <x v="171"/>
    <x v="1"/>
    <x v="40"/>
    <x v="0"/>
    <s v="Pune"/>
    <s v="Maharashtra"/>
    <x v="0"/>
    <x v="2"/>
    <s v="Smartphone"/>
    <x v="13"/>
    <n v="3"/>
    <n v="18480"/>
    <n v="0.05"/>
    <n v="12020"/>
    <s v="Net Banking"/>
    <s v="Delivered"/>
    <n v="1"/>
    <s v="New"/>
    <n v="55440"/>
    <n v="2772"/>
    <n v="52668"/>
    <n v="40648"/>
    <n v="0.77177792967266656"/>
    <n v="2029"/>
    <s v="Sep"/>
    <s v="Q3"/>
  </r>
  <r>
    <s v="ORD11617"/>
    <x v="1616"/>
    <s v="CUST1218"/>
    <s v="Meera Sharma"/>
    <x v="48"/>
    <x v="0"/>
    <x v="17"/>
    <x v="7"/>
    <s v="Mumbai"/>
    <s v="Maharashtra"/>
    <x v="0"/>
    <x v="0"/>
    <s v="Sneakers"/>
    <x v="0"/>
    <n v="1"/>
    <n v="3260"/>
    <n v="0"/>
    <n v="2030"/>
    <s v="Net Banking"/>
    <s v="Delivered"/>
    <n v="8"/>
    <s v="Returning"/>
    <n v="3260"/>
    <n v="0"/>
    <n v="3260"/>
    <n v="1230"/>
    <n v="0.3773006134969325"/>
    <n v="2029"/>
    <s v="Sep"/>
    <s v="Q3"/>
  </r>
  <r>
    <s v="ORD11618"/>
    <x v="1617"/>
    <s v="CUST1399"/>
    <s v="Karan Naidu"/>
    <x v="168"/>
    <x v="1"/>
    <x v="27"/>
    <x v="1"/>
    <s v="Kolkata"/>
    <s v="West Bengal"/>
    <x v="1"/>
    <x v="3"/>
    <s v="Football"/>
    <x v="10"/>
    <n v="1"/>
    <n v="1220"/>
    <n v="0.1"/>
    <n v="600"/>
    <s v="Credit Card"/>
    <s v="Delivered"/>
    <n v="4"/>
    <s v="New"/>
    <n v="1220"/>
    <n v="122"/>
    <n v="1098"/>
    <n v="498"/>
    <n v="0.45355191256830601"/>
    <n v="2029"/>
    <s v="Sep"/>
    <s v="Q3"/>
  </r>
  <r>
    <s v="ORD11619"/>
    <x v="1618"/>
    <s v="CUST1014"/>
    <s v="Aarav Reddy"/>
    <x v="31"/>
    <x v="0"/>
    <x v="31"/>
    <x v="8"/>
    <s v="Mysuru"/>
    <s v="Karnataka"/>
    <x v="2"/>
    <x v="1"/>
    <s v="Sofa"/>
    <x v="16"/>
    <n v="3"/>
    <n v="27370"/>
    <n v="0.1"/>
    <n v="20050"/>
    <s v="Wallet"/>
    <s v="Cancelled"/>
    <n v="0"/>
    <s v="Returning"/>
    <n v="82110"/>
    <n v="8211"/>
    <n v="73899"/>
    <n v="53849"/>
    <n v="0.72868374402901259"/>
    <n v="2029"/>
    <s v="Sep"/>
    <s v="Q3"/>
  </r>
  <r>
    <s v="ORD11620"/>
    <x v="1619"/>
    <s v="CUST1329"/>
    <s v="Kavya Nair"/>
    <x v="251"/>
    <x v="0"/>
    <x v="6"/>
    <x v="6"/>
    <s v="Guwahati"/>
    <s v="Assam"/>
    <x v="1"/>
    <x v="0"/>
    <s v="Jacket"/>
    <x v="25"/>
    <n v="1"/>
    <n v="4020"/>
    <n v="0"/>
    <n v="2540"/>
    <s v="Credit Card"/>
    <s v="Returned"/>
    <n v="3"/>
    <s v="New"/>
    <n v="4020"/>
    <n v="0"/>
    <n v="4020"/>
    <n v="1480"/>
    <n v="0.36815920398009949"/>
    <n v="2029"/>
    <s v="Sep"/>
    <s v="Q3"/>
  </r>
  <r>
    <s v="ORD11621"/>
    <x v="1620"/>
    <s v="CUST1380"/>
    <s v="Diya Verma"/>
    <x v="87"/>
    <x v="1"/>
    <x v="9"/>
    <x v="14"/>
    <s v="Ahmedabad"/>
    <s v="Gujarat"/>
    <x v="0"/>
    <x v="2"/>
    <s v="Smartphone"/>
    <x v="13"/>
    <n v="4"/>
    <n v="18440"/>
    <n v="0.05"/>
    <n v="13040"/>
    <s v="Cash on Delivery"/>
    <s v="Delivered"/>
    <n v="3"/>
    <s v="New"/>
    <n v="73760"/>
    <n v="3688"/>
    <n v="70072"/>
    <n v="57032"/>
    <n v="0.81390569699737414"/>
    <n v="2029"/>
    <s v="Sep"/>
    <s v="Q3"/>
  </r>
  <r>
    <s v="ORD11622"/>
    <x v="1621"/>
    <s v="CUST1423"/>
    <s v="Priya Verma"/>
    <x v="190"/>
    <x v="1"/>
    <x v="40"/>
    <x v="8"/>
    <s v="Mysuru"/>
    <s v="Karnataka"/>
    <x v="2"/>
    <x v="1"/>
    <s v="Bedside Table"/>
    <x v="24"/>
    <n v="1"/>
    <n v="4400"/>
    <n v="0"/>
    <n v="2930"/>
    <s v="UPI"/>
    <s v="Returned"/>
    <n v="5"/>
    <s v="New"/>
    <n v="4400"/>
    <n v="0"/>
    <n v="4400"/>
    <n v="1470"/>
    <n v="0.33409090909090911"/>
    <n v="2029"/>
    <s v="Sep"/>
    <s v="Q3"/>
  </r>
  <r>
    <s v="ORD11623"/>
    <x v="1622"/>
    <s v="CUST1296"/>
    <s v="Aditya Rao"/>
    <x v="145"/>
    <x v="1"/>
    <x v="19"/>
    <x v="4"/>
    <s v="Chandigarh"/>
    <s v="Chandigarh"/>
    <x v="3"/>
    <x v="1"/>
    <s v="Office Chair"/>
    <x v="1"/>
    <n v="3"/>
    <n v="6030"/>
    <n v="0.15"/>
    <n v="4080"/>
    <s v="UPI"/>
    <s v="Delivered"/>
    <n v="3"/>
    <s v="Returning"/>
    <n v="18090"/>
    <n v="2713.5"/>
    <n v="15376.5"/>
    <n v="11296.5"/>
    <n v="0.73466003316749584"/>
    <n v="2029"/>
    <s v="Sep"/>
    <s v="Q3"/>
  </r>
  <r>
    <s v="ORD11624"/>
    <x v="1623"/>
    <s v="CUST1404"/>
    <s v="Aarav Joshi"/>
    <x v="62"/>
    <x v="1"/>
    <x v="15"/>
    <x v="14"/>
    <s v="Ahmedabad"/>
    <s v="Gujarat"/>
    <x v="0"/>
    <x v="5"/>
    <s v="Microwave"/>
    <x v="27"/>
    <n v="2"/>
    <n v="12280"/>
    <n v="0.2"/>
    <n v="8370"/>
    <s v="UPI"/>
    <s v="Returned"/>
    <n v="8"/>
    <s v="New"/>
    <n v="24560"/>
    <n v="4912"/>
    <n v="19648"/>
    <n v="11278"/>
    <n v="0.57400244299674263"/>
    <n v="2029"/>
    <s v="Sep"/>
    <s v="Q3"/>
  </r>
  <r>
    <s v="ORD11625"/>
    <x v="1624"/>
    <s v="CUST1150"/>
    <s v="Vivaan Reddy"/>
    <x v="131"/>
    <x v="1"/>
    <x v="17"/>
    <x v="0"/>
    <s v="Pune"/>
    <s v="Maharashtra"/>
    <x v="0"/>
    <x v="4"/>
    <s v="Makeup Kit"/>
    <x v="28"/>
    <n v="1"/>
    <n v="2030"/>
    <n v="0.05"/>
    <n v="1190"/>
    <s v="Debit Card"/>
    <s v="Delivered"/>
    <n v="8"/>
    <s v="Returning"/>
    <n v="2030"/>
    <n v="101.5"/>
    <n v="1928.5"/>
    <n v="738.5"/>
    <n v="0.38294010889292196"/>
    <n v="2029"/>
    <s v="Sep"/>
    <s v="Q3"/>
  </r>
  <r>
    <s v="ORD11626"/>
    <x v="1625"/>
    <s v="CUST1326"/>
    <s v="Diya Sharma"/>
    <x v="220"/>
    <x v="1"/>
    <x v="12"/>
    <x v="7"/>
    <s v="Mumbai"/>
    <s v="Maharashtra"/>
    <x v="0"/>
    <x v="0"/>
    <s v="Handbag"/>
    <x v="12"/>
    <n v="1"/>
    <n v="2740"/>
    <n v="0"/>
    <n v="1650"/>
    <s v="Cash on Delivery"/>
    <s v="Delivered"/>
    <n v="3"/>
    <s v="New"/>
    <n v="2740"/>
    <n v="0"/>
    <n v="2740"/>
    <n v="1090"/>
    <n v="0.3978102189781022"/>
    <n v="2029"/>
    <s v="Sep"/>
    <s v="Q3"/>
  </r>
  <r>
    <s v="ORD11627"/>
    <x v="1626"/>
    <s v="CUST1363"/>
    <s v="Sneha Verma"/>
    <x v="132"/>
    <x v="0"/>
    <x v="27"/>
    <x v="0"/>
    <s v="Pune"/>
    <s v="Maharashtra"/>
    <x v="0"/>
    <x v="0"/>
    <s v="T-Shirt"/>
    <x v="2"/>
    <n v="5"/>
    <n v="940"/>
    <n v="0.1"/>
    <n v="450"/>
    <s v="Credit Card"/>
    <s v="Pending"/>
    <n v="4"/>
    <s v="New"/>
    <n v="4700"/>
    <n v="470"/>
    <n v="4230"/>
    <n v="3780"/>
    <n v="0.8936170212765957"/>
    <n v="2029"/>
    <s v="Sep"/>
    <s v="Q3"/>
  </r>
  <r>
    <s v="ORD11628"/>
    <x v="1627"/>
    <s v="CUST1149"/>
    <s v="Arjun Rao"/>
    <x v="101"/>
    <x v="1"/>
    <x v="12"/>
    <x v="8"/>
    <s v="Mysuru"/>
    <s v="Karnataka"/>
    <x v="2"/>
    <x v="5"/>
    <s v="Mixer Grinder"/>
    <x v="22"/>
    <n v="1"/>
    <n v="4100"/>
    <n v="0.25"/>
    <n v="2830"/>
    <s v="Net Banking"/>
    <s v="Delivered"/>
    <n v="4"/>
    <s v="Returning"/>
    <n v="4100"/>
    <n v="1025"/>
    <n v="3075"/>
    <n v="245"/>
    <n v="7.9674796747967486E-2"/>
    <n v="2029"/>
    <s v="Sep"/>
    <s v="Q3"/>
  </r>
  <r>
    <s v="ORD11629"/>
    <x v="1628"/>
    <s v="CUST1094"/>
    <s v="Meera Verma"/>
    <x v="77"/>
    <x v="0"/>
    <x v="1"/>
    <x v="6"/>
    <s v="Guwahati"/>
    <s v="Assam"/>
    <x v="1"/>
    <x v="4"/>
    <s v="Shampoo"/>
    <x v="8"/>
    <n v="3"/>
    <n v="490"/>
    <n v="0.1"/>
    <n v="220"/>
    <s v="UPI"/>
    <s v="Delivered"/>
    <n v="4"/>
    <s v="Returning"/>
    <n v="1470"/>
    <n v="147"/>
    <n v="1323"/>
    <n v="1103"/>
    <n v="0.83371126228269088"/>
    <n v="2029"/>
    <s v="Sep"/>
    <s v="Q3"/>
  </r>
  <r>
    <s v="ORD11630"/>
    <x v="1629"/>
    <s v="CUST1421"/>
    <s v="Arjun Joshi"/>
    <x v="51"/>
    <x v="1"/>
    <x v="41"/>
    <x v="3"/>
    <s v="Bengaluru"/>
    <s v="Karnataka"/>
    <x v="2"/>
    <x v="2"/>
    <s v="Tablet"/>
    <x v="4"/>
    <n v="1"/>
    <n v="21350"/>
    <n v="0"/>
    <n v="15070"/>
    <s v="UPI"/>
    <s v="Delivered"/>
    <n v="3"/>
    <s v="New"/>
    <n v="21350"/>
    <n v="0"/>
    <n v="21350"/>
    <n v="6280"/>
    <n v="0.29414519906323183"/>
    <n v="2029"/>
    <s v="Sep"/>
    <s v="Q3"/>
  </r>
  <r>
    <s v="ORD11631"/>
    <x v="1630"/>
    <s v="CUST1212"/>
    <s v="Priya Sharma"/>
    <x v="85"/>
    <x v="1"/>
    <x v="22"/>
    <x v="14"/>
    <s v="Ahmedabad"/>
    <s v="Gujarat"/>
    <x v="0"/>
    <x v="0"/>
    <s v="Jacket"/>
    <x v="25"/>
    <n v="1"/>
    <n v="4310"/>
    <n v="0.2"/>
    <n v="2670"/>
    <s v="Credit Card"/>
    <s v="Delivered"/>
    <n v="2"/>
    <s v="Returning"/>
    <n v="4310"/>
    <n v="862"/>
    <n v="3448"/>
    <n v="778"/>
    <n v="0.22563805104408352"/>
    <n v="2029"/>
    <s v="Sep"/>
    <s v="Q3"/>
  </r>
  <r>
    <s v="ORD11632"/>
    <x v="1631"/>
    <s v="CUST1289"/>
    <s v="Sneha Mehta"/>
    <x v="226"/>
    <x v="1"/>
    <x v="42"/>
    <x v="10"/>
    <s v="Jaipur"/>
    <s v="Rajasthan"/>
    <x v="3"/>
    <x v="5"/>
    <s v="Air Fryer"/>
    <x v="26"/>
    <n v="1"/>
    <n v="6570"/>
    <n v="0.15"/>
    <n v="4020"/>
    <s v="Debit Card"/>
    <s v="Delivered"/>
    <n v="5"/>
    <s v="Returning"/>
    <n v="6570"/>
    <n v="985.5"/>
    <n v="5584.5"/>
    <n v="1564.5"/>
    <n v="0.28015041633091592"/>
    <n v="2029"/>
    <s v="Sep"/>
    <s v="Q3"/>
  </r>
  <r>
    <s v="ORD11633"/>
    <x v="1632"/>
    <s v="CUST1469"/>
    <s v="Priya Reddy"/>
    <x v="64"/>
    <x v="1"/>
    <x v="5"/>
    <x v="2"/>
    <s v="Kochi"/>
    <s v="Kerala"/>
    <x v="2"/>
    <x v="5"/>
    <s v="Microwave"/>
    <x v="27"/>
    <n v="1"/>
    <n v="11540"/>
    <n v="0.25"/>
    <n v="8190"/>
    <s v="UPI"/>
    <s v="Delivered"/>
    <n v="6"/>
    <s v="New"/>
    <n v="11540"/>
    <n v="2885"/>
    <n v="8655"/>
    <n v="465"/>
    <n v="5.3726169844020795E-2"/>
    <n v="2029"/>
    <s v="Oct"/>
    <s v="Q4"/>
  </r>
  <r>
    <s v="ORD11634"/>
    <x v="1633"/>
    <s v="CUST1174"/>
    <s v="Priya Reddy"/>
    <x v="64"/>
    <x v="0"/>
    <x v="41"/>
    <x v="5"/>
    <s v="Bhubaneswar"/>
    <s v="Odisha"/>
    <x v="1"/>
    <x v="2"/>
    <s v="Headphones"/>
    <x v="5"/>
    <n v="1"/>
    <n v="2540"/>
    <n v="0.2"/>
    <n v="1450"/>
    <s v="Net Banking"/>
    <s v="Delivered"/>
    <n v="3"/>
    <s v="Returning"/>
    <n v="2540"/>
    <n v="508"/>
    <n v="2032"/>
    <n v="582"/>
    <n v="0.28641732283464566"/>
    <n v="2029"/>
    <s v="Oct"/>
    <s v="Q4"/>
  </r>
  <r>
    <s v="ORD11635"/>
    <x v="1634"/>
    <s v="CUST1257"/>
    <s v="Nisha Joshi"/>
    <x v="13"/>
    <x v="0"/>
    <x v="27"/>
    <x v="11"/>
    <s v="Chennai"/>
    <s v="Tamil Nadu"/>
    <x v="2"/>
    <x v="0"/>
    <s v="Handbag"/>
    <x v="12"/>
    <n v="1"/>
    <n v="2920"/>
    <n v="0.15"/>
    <n v="1670"/>
    <s v="Credit Card"/>
    <s v="Pending"/>
    <n v="5"/>
    <s v="Returning"/>
    <n v="2920"/>
    <n v="438"/>
    <n v="2482"/>
    <n v="812"/>
    <n v="0.32715551974214341"/>
    <n v="2029"/>
    <s v="Oct"/>
    <s v="Q4"/>
  </r>
  <r>
    <s v="ORD11636"/>
    <x v="1635"/>
    <s v="CUST1495"/>
    <s v="Rohan Das"/>
    <x v="232"/>
    <x v="0"/>
    <x v="7"/>
    <x v="3"/>
    <s v="Bengaluru"/>
    <s v="Karnataka"/>
    <x v="2"/>
    <x v="1"/>
    <s v="Bedside Table"/>
    <x v="24"/>
    <n v="4"/>
    <n v="4450"/>
    <n v="0.05"/>
    <n v="2900"/>
    <s v="UPI"/>
    <s v="Delivered"/>
    <n v="4"/>
    <s v="New"/>
    <n v="17800"/>
    <n v="890"/>
    <n v="16910"/>
    <n v="14010"/>
    <n v="0.82850384387936138"/>
    <n v="2029"/>
    <s v="Oct"/>
    <s v="Q4"/>
  </r>
  <r>
    <s v="ORD11637"/>
    <x v="1636"/>
    <s v="CUST1085"/>
    <s v="Aarav Singh"/>
    <x v="36"/>
    <x v="0"/>
    <x v="4"/>
    <x v="0"/>
    <s v="Pune"/>
    <s v="Maharashtra"/>
    <x v="0"/>
    <x v="2"/>
    <s v="Smartphone"/>
    <x v="13"/>
    <n v="2"/>
    <n v="17890"/>
    <n v="0.05"/>
    <n v="12430"/>
    <s v="Wallet"/>
    <s v="Delivered"/>
    <n v="2"/>
    <s v="Returning"/>
    <n v="35780"/>
    <n v="1789"/>
    <n v="33991"/>
    <n v="21561"/>
    <n v="0.6343149657262217"/>
    <n v="2029"/>
    <s v="Oct"/>
    <s v="Q4"/>
  </r>
  <r>
    <s v="ORD11638"/>
    <x v="1637"/>
    <s v="CUST1401"/>
    <s v="Karan Bhat"/>
    <x v="84"/>
    <x v="0"/>
    <x v="36"/>
    <x v="1"/>
    <s v="Kolkata"/>
    <s v="West Bengal"/>
    <x v="1"/>
    <x v="0"/>
    <s v="Jeans"/>
    <x v="19"/>
    <n v="2"/>
    <n v="2280"/>
    <n v="0.25"/>
    <n v="1230"/>
    <s v="Credit Card"/>
    <s v="Delivered"/>
    <n v="5"/>
    <s v="New"/>
    <n v="4560"/>
    <n v="1140"/>
    <n v="3420"/>
    <n v="2190"/>
    <n v="0.64035087719298245"/>
    <n v="2029"/>
    <s v="Oct"/>
    <s v="Q4"/>
  </r>
  <r>
    <s v="ORD11639"/>
    <x v="1638"/>
    <s v="CUST1175"/>
    <s v="Rohan Reddy"/>
    <x v="130"/>
    <x v="0"/>
    <x v="21"/>
    <x v="12"/>
    <s v="Delhi"/>
    <s v="Delhi"/>
    <x v="3"/>
    <x v="2"/>
    <s v="Headphones"/>
    <x v="5"/>
    <n v="5"/>
    <n v="2390"/>
    <n v="0.05"/>
    <n v="1480"/>
    <s v="Net Banking"/>
    <s v="Delivered"/>
    <n v="7"/>
    <s v="Returning"/>
    <n v="11950"/>
    <n v="597.5"/>
    <n v="11352.5"/>
    <n v="9872.5"/>
    <n v="0.86963223959480296"/>
    <n v="2029"/>
    <s v="Oct"/>
    <s v="Q4"/>
  </r>
  <r>
    <s v="ORD11640"/>
    <x v="1639"/>
    <s v="CUST1201"/>
    <s v="Aarav Verma"/>
    <x v="70"/>
    <x v="1"/>
    <x v="18"/>
    <x v="6"/>
    <s v="Guwahati"/>
    <s v="Assam"/>
    <x v="1"/>
    <x v="1"/>
    <s v="Study Table"/>
    <x v="11"/>
    <n v="3"/>
    <n v="8290"/>
    <n v="0.15"/>
    <n v="5320"/>
    <s v="Net Banking"/>
    <s v="Delivered"/>
    <n v="4"/>
    <s v="Returning"/>
    <n v="24870"/>
    <n v="3730.5"/>
    <n v="21139.5"/>
    <n v="15819.5"/>
    <n v="0.74833841860025074"/>
    <n v="2029"/>
    <s v="Oct"/>
    <s v="Q4"/>
  </r>
  <r>
    <s v="ORD11641"/>
    <x v="1640"/>
    <s v="CUST1344"/>
    <s v="Karan Rao"/>
    <x v="136"/>
    <x v="1"/>
    <x v="31"/>
    <x v="5"/>
    <s v="Bhubaneswar"/>
    <s v="Odisha"/>
    <x v="1"/>
    <x v="0"/>
    <s v="Jeans"/>
    <x v="19"/>
    <n v="2"/>
    <n v="2250"/>
    <n v="0.05"/>
    <n v="1160"/>
    <s v="Credit Card"/>
    <s v="Delivered"/>
    <n v="8"/>
    <s v="New"/>
    <n v="4500"/>
    <n v="225"/>
    <n v="4275"/>
    <n v="3115"/>
    <n v="0.72865497076023389"/>
    <n v="2029"/>
    <s v="Oct"/>
    <s v="Q4"/>
  </r>
  <r>
    <s v="ORD11642"/>
    <x v="1641"/>
    <s v="CUST1231"/>
    <s v="Kavya Nair"/>
    <x v="251"/>
    <x v="1"/>
    <x v="1"/>
    <x v="4"/>
    <s v="Chandigarh"/>
    <s v="Chandigarh"/>
    <x v="3"/>
    <x v="0"/>
    <s v="Jeans"/>
    <x v="19"/>
    <n v="4"/>
    <n v="2260"/>
    <n v="0.05"/>
    <n v="1210"/>
    <s v="Wallet"/>
    <s v="Pending"/>
    <n v="4"/>
    <s v="Returning"/>
    <n v="9040"/>
    <n v="452"/>
    <n v="8588"/>
    <n v="7378"/>
    <n v="0.8591057289240801"/>
    <n v="2029"/>
    <s v="Oct"/>
    <s v="Q4"/>
  </r>
  <r>
    <s v="ORD11643"/>
    <x v="1642"/>
    <s v="CUST1382"/>
    <s v="Aditya Naidu"/>
    <x v="83"/>
    <x v="1"/>
    <x v="40"/>
    <x v="14"/>
    <s v="Ahmedabad"/>
    <s v="Gujarat"/>
    <x v="0"/>
    <x v="2"/>
    <s v="Smartwatch"/>
    <x v="3"/>
    <n v="1"/>
    <n v="7020"/>
    <n v="0.15"/>
    <n v="4500"/>
    <s v="Credit Card"/>
    <s v="Delivered"/>
    <n v="7"/>
    <s v="New"/>
    <n v="7020"/>
    <n v="1053"/>
    <n v="5967"/>
    <n v="1467"/>
    <n v="0.2458521870286576"/>
    <n v="2029"/>
    <s v="Oct"/>
    <s v="Q4"/>
  </r>
  <r>
    <s v="ORD11644"/>
    <x v="1643"/>
    <s v="CUST1416"/>
    <s v="Rohan Reddy"/>
    <x v="130"/>
    <x v="1"/>
    <x v="14"/>
    <x v="9"/>
    <s v="Hyderabad"/>
    <s v="Telangana"/>
    <x v="2"/>
    <x v="5"/>
    <s v="Vacuum Cleaner"/>
    <x v="9"/>
    <n v="2"/>
    <n v="8830"/>
    <n v="0.15"/>
    <n v="5530"/>
    <s v="Cash on Delivery"/>
    <s v="Delivered"/>
    <n v="3"/>
    <s v="New"/>
    <n v="17660"/>
    <n v="2649"/>
    <n v="15011"/>
    <n v="9481"/>
    <n v="0.63160349077343281"/>
    <n v="2029"/>
    <s v="Oct"/>
    <s v="Q4"/>
  </r>
  <r>
    <s v="ORD11645"/>
    <x v="1644"/>
    <s v="CUST1066"/>
    <s v="Aarav Iyer"/>
    <x v="37"/>
    <x v="1"/>
    <x v="20"/>
    <x v="4"/>
    <s v="Chandigarh"/>
    <s v="Chandigarh"/>
    <x v="3"/>
    <x v="0"/>
    <s v="Jacket"/>
    <x v="25"/>
    <n v="5"/>
    <n v="4340"/>
    <n v="0.1"/>
    <n v="2480"/>
    <s v="Credit Card"/>
    <s v="Delivered"/>
    <n v="5"/>
    <s v="Returning"/>
    <n v="21700"/>
    <n v="2170"/>
    <n v="19530"/>
    <n v="17050"/>
    <n v="0.87301587301587302"/>
    <n v="2029"/>
    <s v="Oct"/>
    <s v="Q4"/>
  </r>
  <r>
    <s v="ORD11646"/>
    <x v="1645"/>
    <s v="CUST1363"/>
    <s v="Sneha Sharma"/>
    <x v="49"/>
    <x v="0"/>
    <x v="2"/>
    <x v="10"/>
    <s v="Jaipur"/>
    <s v="Rajasthan"/>
    <x v="3"/>
    <x v="0"/>
    <s v="Sneakers"/>
    <x v="0"/>
    <n v="1"/>
    <n v="3510"/>
    <n v="0.1"/>
    <n v="2160"/>
    <s v="Wallet"/>
    <s v="Delivered"/>
    <n v="4"/>
    <s v="New"/>
    <n v="3510"/>
    <n v="351"/>
    <n v="3159"/>
    <n v="999"/>
    <n v="0.31623931623931623"/>
    <n v="2029"/>
    <s v="Oct"/>
    <s v="Q4"/>
  </r>
  <r>
    <s v="ORD11647"/>
    <x v="1646"/>
    <s v="CUST1059"/>
    <s v="Vikram Joshi"/>
    <x v="73"/>
    <x v="0"/>
    <x v="10"/>
    <x v="12"/>
    <s v="Delhi"/>
    <s v="Delhi"/>
    <x v="3"/>
    <x v="0"/>
    <s v="Jeans"/>
    <x v="19"/>
    <n v="1"/>
    <n v="2050"/>
    <n v="0.1"/>
    <n v="1260"/>
    <s v="Wallet"/>
    <s v="Delivered"/>
    <n v="5"/>
    <s v="Returning"/>
    <n v="2050"/>
    <n v="205"/>
    <n v="1845"/>
    <n v="585"/>
    <n v="0.31707317073170732"/>
    <n v="2029"/>
    <s v="Oct"/>
    <s v="Q4"/>
  </r>
  <r>
    <s v="ORD11648"/>
    <x v="1647"/>
    <s v="CUST1236"/>
    <s v="Aarav Naidu"/>
    <x v="143"/>
    <x v="0"/>
    <x v="14"/>
    <x v="11"/>
    <s v="Chennai"/>
    <s v="Tamil Nadu"/>
    <x v="2"/>
    <x v="2"/>
    <s v="Smartwatch"/>
    <x v="3"/>
    <n v="4"/>
    <n v="7100"/>
    <n v="0.05"/>
    <n v="4400"/>
    <s v="Net Banking"/>
    <s v="Delivered"/>
    <n v="4"/>
    <s v="Returning"/>
    <n v="28400"/>
    <n v="1420"/>
    <n v="26980"/>
    <n v="22580"/>
    <n v="0.83691623424759076"/>
    <n v="2029"/>
    <s v="Oct"/>
    <s v="Q4"/>
  </r>
  <r>
    <s v="ORD11649"/>
    <x v="1648"/>
    <s v="CUST1380"/>
    <s v="Sneha Mehta"/>
    <x v="226"/>
    <x v="1"/>
    <x v="14"/>
    <x v="2"/>
    <s v="Kochi"/>
    <s v="Kerala"/>
    <x v="2"/>
    <x v="4"/>
    <s v="Shampoo"/>
    <x v="8"/>
    <n v="2"/>
    <n v="520"/>
    <n v="0"/>
    <n v="230"/>
    <s v="Net Banking"/>
    <s v="Delivered"/>
    <n v="4"/>
    <s v="New"/>
    <n v="1040"/>
    <n v="0"/>
    <n v="1040"/>
    <n v="810"/>
    <n v="0.77884615384615385"/>
    <n v="2029"/>
    <s v="Oct"/>
    <s v="Q4"/>
  </r>
  <r>
    <s v="ORD11650"/>
    <x v="1649"/>
    <s v="CUST1498"/>
    <s v="Nisha Rao"/>
    <x v="249"/>
    <x v="1"/>
    <x v="0"/>
    <x v="5"/>
    <s v="Bhubaneswar"/>
    <s v="Odisha"/>
    <x v="1"/>
    <x v="5"/>
    <s v="Air Fryer"/>
    <x v="26"/>
    <n v="1"/>
    <n v="6910"/>
    <n v="0.15"/>
    <n v="4210"/>
    <s v="Credit Card"/>
    <s v="Delivered"/>
    <n v="4"/>
    <s v="New"/>
    <n v="6910"/>
    <n v="1036.5"/>
    <n v="5873.5"/>
    <n v="1663.5"/>
    <n v="0.28322124797820719"/>
    <n v="2029"/>
    <s v="Oct"/>
    <s v="Q4"/>
  </r>
  <r>
    <s v="ORD11651"/>
    <x v="1650"/>
    <s v="CUST1469"/>
    <s v="Ishita Rao"/>
    <x v="137"/>
    <x v="0"/>
    <x v="13"/>
    <x v="7"/>
    <s v="Mumbai"/>
    <s v="Maharashtra"/>
    <x v="0"/>
    <x v="2"/>
    <s v="Smartwatch"/>
    <x v="3"/>
    <n v="2"/>
    <n v="7100"/>
    <n v="0.15"/>
    <n v="4600"/>
    <s v="Credit Card"/>
    <s v="Delivered"/>
    <n v="5"/>
    <s v="New"/>
    <n v="14200"/>
    <n v="2130"/>
    <n v="12070"/>
    <n v="7470"/>
    <n v="0.61888980944490468"/>
    <n v="2029"/>
    <s v="Oct"/>
    <s v="Q4"/>
  </r>
  <r>
    <s v="ORD11652"/>
    <x v="1651"/>
    <s v="CUST1431"/>
    <s v="Vivaan Das"/>
    <x v="17"/>
    <x v="1"/>
    <x v="32"/>
    <x v="13"/>
    <s v="Lucknow"/>
    <s v="Uttar Pradesh"/>
    <x v="3"/>
    <x v="5"/>
    <s v="Mixer Grinder"/>
    <x v="22"/>
    <n v="2"/>
    <n v="4340"/>
    <n v="0.1"/>
    <n v="2830"/>
    <s v="UPI"/>
    <s v="Delivered"/>
    <n v="6"/>
    <s v="New"/>
    <n v="8680"/>
    <n v="868"/>
    <n v="7812"/>
    <n v="4982"/>
    <n v="0.63773681515616998"/>
    <n v="2029"/>
    <s v="Oct"/>
    <s v="Q4"/>
  </r>
  <r>
    <s v="ORD11653"/>
    <x v="1652"/>
    <s v="CUST1145"/>
    <s v="Rahul Shah"/>
    <x v="211"/>
    <x v="1"/>
    <x v="34"/>
    <x v="7"/>
    <s v="Mumbai"/>
    <s v="Maharashtra"/>
    <x v="0"/>
    <x v="0"/>
    <s v="Jeans"/>
    <x v="19"/>
    <n v="1"/>
    <n v="2030"/>
    <n v="0.1"/>
    <n v="1160"/>
    <s v="UPI"/>
    <s v="Delivered"/>
    <n v="3"/>
    <s v="Returning"/>
    <n v="2030"/>
    <n v="203"/>
    <n v="1827"/>
    <n v="667"/>
    <n v="0.36507936507936506"/>
    <n v="2029"/>
    <s v="Oct"/>
    <s v="Q4"/>
  </r>
  <r>
    <s v="ORD11654"/>
    <x v="1653"/>
    <s v="CUST1378"/>
    <s v="Ananya Rao"/>
    <x v="189"/>
    <x v="1"/>
    <x v="21"/>
    <x v="7"/>
    <s v="Mumbai"/>
    <s v="Maharashtra"/>
    <x v="0"/>
    <x v="1"/>
    <s v="Bookshelf"/>
    <x v="6"/>
    <n v="1"/>
    <n v="4740"/>
    <n v="0.15"/>
    <n v="3330"/>
    <s v="Credit Card"/>
    <s v="Delivered"/>
    <n v="2"/>
    <s v="New"/>
    <n v="4740"/>
    <n v="711"/>
    <n v="4029"/>
    <n v="699"/>
    <n v="0.1734921816827997"/>
    <n v="2029"/>
    <s v="Oct"/>
    <s v="Q4"/>
  </r>
  <r>
    <s v="ORD11655"/>
    <x v="1654"/>
    <s v="CUST1019"/>
    <s v="Aditya Verma"/>
    <x v="30"/>
    <x v="0"/>
    <x v="22"/>
    <x v="7"/>
    <s v="Mumbai"/>
    <s v="Maharashtra"/>
    <x v="0"/>
    <x v="0"/>
    <s v="T-Shirt"/>
    <x v="2"/>
    <n v="2"/>
    <n v="920"/>
    <n v="0.15"/>
    <n v="470"/>
    <s v="UPI"/>
    <s v="Pending"/>
    <n v="3"/>
    <s v="Returning"/>
    <n v="1840"/>
    <n v="276"/>
    <n v="1564"/>
    <n v="1094"/>
    <n v="0.69948849104859334"/>
    <n v="2029"/>
    <s v="Oct"/>
    <s v="Q4"/>
  </r>
  <r>
    <s v="ORD11656"/>
    <x v="1655"/>
    <s v="CUST1181"/>
    <s v="Vikram Gupta"/>
    <x v="177"/>
    <x v="1"/>
    <x v="19"/>
    <x v="0"/>
    <s v="Pune"/>
    <s v="Maharashtra"/>
    <x v="0"/>
    <x v="1"/>
    <s v="Office Chair"/>
    <x v="1"/>
    <n v="2"/>
    <n v="6520"/>
    <n v="0.05"/>
    <n v="4380"/>
    <s v="UPI"/>
    <s v="Delivered"/>
    <n v="2"/>
    <s v="Returning"/>
    <n v="13040"/>
    <n v="652"/>
    <n v="12388"/>
    <n v="8008"/>
    <n v="0.64643203099773971"/>
    <n v="2029"/>
    <s v="Oct"/>
    <s v="Q4"/>
  </r>
  <r>
    <s v="ORD11657"/>
    <x v="1656"/>
    <s v="CUST1387"/>
    <s v="Aarav Joshi"/>
    <x v="62"/>
    <x v="1"/>
    <x v="34"/>
    <x v="12"/>
    <s v="Delhi"/>
    <s v="Delhi"/>
    <x v="3"/>
    <x v="2"/>
    <s v="Headphones"/>
    <x v="5"/>
    <n v="2"/>
    <n v="2490"/>
    <n v="0.05"/>
    <n v="1560"/>
    <s v="Credit Card"/>
    <s v="Delivered"/>
    <n v="6"/>
    <s v="New"/>
    <n v="4980"/>
    <n v="249"/>
    <n v="4731"/>
    <n v="3171"/>
    <n v="0.67025998731769187"/>
    <n v="2029"/>
    <s v="Oct"/>
    <s v="Q4"/>
  </r>
  <r>
    <s v="ORD11658"/>
    <x v="1657"/>
    <s v="CUST1345"/>
    <s v="Aditya Rao"/>
    <x v="145"/>
    <x v="0"/>
    <x v="12"/>
    <x v="14"/>
    <s v="Ahmedabad"/>
    <s v="Gujarat"/>
    <x v="0"/>
    <x v="2"/>
    <s v="Tablet"/>
    <x v="4"/>
    <n v="4"/>
    <n v="22680"/>
    <n v="0.05"/>
    <n v="15010"/>
    <s v="UPI"/>
    <s v="Delivered"/>
    <n v="2"/>
    <s v="New"/>
    <n v="90720"/>
    <n v="4536"/>
    <n v="86184"/>
    <n v="71174"/>
    <n v="0.82583774250440922"/>
    <n v="2029"/>
    <s v="Oct"/>
    <s v="Q4"/>
  </r>
  <r>
    <s v="ORD11659"/>
    <x v="1658"/>
    <s v="CUST1121"/>
    <s v="Meera Singh"/>
    <x v="163"/>
    <x v="1"/>
    <x v="34"/>
    <x v="10"/>
    <s v="Jaipur"/>
    <s v="Rajasthan"/>
    <x v="3"/>
    <x v="1"/>
    <s v="Office Chair"/>
    <x v="1"/>
    <n v="2"/>
    <n v="6000"/>
    <n v="0.1"/>
    <n v="4310"/>
    <s v="UPI"/>
    <s v="Delivered"/>
    <n v="3"/>
    <s v="Returning"/>
    <n v="12000"/>
    <n v="1200"/>
    <n v="10800"/>
    <n v="6490"/>
    <n v="0.60092592592592597"/>
    <n v="2029"/>
    <s v="Oct"/>
    <s v="Q4"/>
  </r>
  <r>
    <s v="ORD11660"/>
    <x v="1659"/>
    <s v="CUST1094"/>
    <s v="Sneha Nair"/>
    <x v="180"/>
    <x v="1"/>
    <x v="18"/>
    <x v="1"/>
    <s v="Kolkata"/>
    <s v="West Bengal"/>
    <x v="1"/>
    <x v="1"/>
    <s v="Sofa"/>
    <x v="16"/>
    <n v="4"/>
    <n v="26020"/>
    <n v="0.15"/>
    <n v="20960"/>
    <s v="Net Banking"/>
    <s v="Delivered"/>
    <n v="5"/>
    <s v="Returning"/>
    <n v="104080"/>
    <n v="15612"/>
    <n v="88468"/>
    <n v="67508"/>
    <n v="0.7630781751593797"/>
    <n v="2029"/>
    <s v="Oct"/>
    <s v="Q4"/>
  </r>
  <r>
    <s v="ORD11661"/>
    <x v="1660"/>
    <s v="CUST1156"/>
    <s v="Arjun Sharma"/>
    <x v="225"/>
    <x v="1"/>
    <x v="7"/>
    <x v="1"/>
    <s v="Kolkata"/>
    <s v="West Bengal"/>
    <x v="1"/>
    <x v="5"/>
    <s v="Vacuum Cleaner"/>
    <x v="9"/>
    <n v="2"/>
    <n v="7980"/>
    <n v="0.1"/>
    <n v="5520"/>
    <s v="UPI"/>
    <s v="Returned"/>
    <n v="2"/>
    <s v="Returning"/>
    <n v="15960"/>
    <n v="1596"/>
    <n v="14364"/>
    <n v="8844"/>
    <n v="0.6157059314954052"/>
    <n v="2029"/>
    <s v="Oct"/>
    <s v="Q4"/>
  </r>
  <r>
    <s v="ORD11662"/>
    <x v="1661"/>
    <s v="CUST1248"/>
    <s v="Aarav Reddy"/>
    <x v="31"/>
    <x v="0"/>
    <x v="42"/>
    <x v="3"/>
    <s v="Bengaluru"/>
    <s v="Karnataka"/>
    <x v="2"/>
    <x v="2"/>
    <s v="Laptop"/>
    <x v="15"/>
    <n v="2"/>
    <n v="57350"/>
    <n v="0.1"/>
    <n v="41310"/>
    <s v="Net Banking"/>
    <s v="Delivered"/>
    <n v="3"/>
    <s v="Returning"/>
    <n v="114700"/>
    <n v="11470"/>
    <n v="103230"/>
    <n v="61920"/>
    <n v="0.59982563208369655"/>
    <n v="2029"/>
    <s v="Oct"/>
    <s v="Q4"/>
  </r>
  <r>
    <s v="ORD11663"/>
    <x v="1662"/>
    <s v="CUST1096"/>
    <s v="Ishita Shah"/>
    <x v="160"/>
    <x v="1"/>
    <x v="18"/>
    <x v="10"/>
    <s v="Jaipur"/>
    <s v="Rajasthan"/>
    <x v="3"/>
    <x v="0"/>
    <s v="Handbag"/>
    <x v="12"/>
    <n v="1"/>
    <n v="2930"/>
    <n v="0.1"/>
    <n v="1540"/>
    <s v="Cash on Delivery"/>
    <s v="Returned"/>
    <n v="4"/>
    <s v="Returning"/>
    <n v="2930"/>
    <n v="293"/>
    <n v="2637"/>
    <n v="1097"/>
    <n v="0.41600303375047404"/>
    <n v="2029"/>
    <s v="Oct"/>
    <s v="Q4"/>
  </r>
  <r>
    <s v="ORD11664"/>
    <x v="1663"/>
    <s v="CUST1269"/>
    <s v="Aarav Nair"/>
    <x v="4"/>
    <x v="0"/>
    <x v="33"/>
    <x v="10"/>
    <s v="Jaipur"/>
    <s v="Rajasthan"/>
    <x v="3"/>
    <x v="4"/>
    <s v="Face Cream"/>
    <x v="21"/>
    <n v="2"/>
    <n v="610"/>
    <n v="0.25"/>
    <n v="300"/>
    <s v="Debit Card"/>
    <s v="Cancelled"/>
    <n v="0"/>
    <s v="Returning"/>
    <n v="1220"/>
    <n v="305"/>
    <n v="915"/>
    <n v="615"/>
    <n v="0.67213114754098358"/>
    <n v="2029"/>
    <s v="Nov"/>
    <s v="Q4"/>
  </r>
  <r>
    <s v="ORD11665"/>
    <x v="1664"/>
    <s v="CUST1302"/>
    <s v="Sneha Shah"/>
    <x v="151"/>
    <x v="1"/>
    <x v="8"/>
    <x v="14"/>
    <s v="Ahmedabad"/>
    <s v="Gujarat"/>
    <x v="0"/>
    <x v="5"/>
    <s v="Mixer Grinder"/>
    <x v="22"/>
    <n v="1"/>
    <n v="4460"/>
    <n v="0.1"/>
    <n v="2790"/>
    <s v="Net Banking"/>
    <s v="Returned"/>
    <n v="5"/>
    <s v="New"/>
    <n v="4460"/>
    <n v="446"/>
    <n v="4014"/>
    <n v="1224"/>
    <n v="0.30493273542600896"/>
    <n v="2029"/>
    <s v="Nov"/>
    <s v="Q4"/>
  </r>
  <r>
    <s v="ORD11666"/>
    <x v="1665"/>
    <s v="CUST1298"/>
    <s v="Aditya Naidu"/>
    <x v="83"/>
    <x v="1"/>
    <x v="20"/>
    <x v="9"/>
    <s v="Hyderabad"/>
    <s v="Telangana"/>
    <x v="2"/>
    <x v="0"/>
    <s v="Jeans"/>
    <x v="19"/>
    <n v="2"/>
    <n v="2280"/>
    <n v="0.05"/>
    <n v="1220"/>
    <s v="Debit Card"/>
    <s v="Delivered"/>
    <n v="8"/>
    <s v="Returning"/>
    <n v="4560"/>
    <n v="228"/>
    <n v="4332"/>
    <n v="3112"/>
    <n v="0.71837488457987075"/>
    <n v="2029"/>
    <s v="Nov"/>
    <s v="Q4"/>
  </r>
  <r>
    <s v="ORD11667"/>
    <x v="1666"/>
    <s v="CUST1166"/>
    <s v="Arjun Das"/>
    <x v="123"/>
    <x v="0"/>
    <x v="25"/>
    <x v="6"/>
    <s v="Guwahati"/>
    <s v="Assam"/>
    <x v="1"/>
    <x v="5"/>
    <s v="Air Fryer"/>
    <x v="26"/>
    <n v="1"/>
    <n v="6460"/>
    <n v="0.15"/>
    <n v="4310"/>
    <s v="UPI"/>
    <s v="Pending"/>
    <n v="4"/>
    <s v="Returning"/>
    <n v="6460"/>
    <n v="969"/>
    <n v="5491"/>
    <n v="1181"/>
    <n v="0.21507922054270626"/>
    <n v="2029"/>
    <s v="Nov"/>
    <s v="Q4"/>
  </r>
  <r>
    <s v="ORD11668"/>
    <x v="1667"/>
    <s v="CUST1063"/>
    <s v="Ishita Joshi"/>
    <x v="92"/>
    <x v="1"/>
    <x v="1"/>
    <x v="1"/>
    <s v="Kolkata"/>
    <s v="West Bengal"/>
    <x v="1"/>
    <x v="1"/>
    <s v="Study Table"/>
    <x v="11"/>
    <n v="2"/>
    <n v="9150"/>
    <n v="0.05"/>
    <n v="5680"/>
    <s v="Debit Card"/>
    <s v="Delivered"/>
    <n v="4"/>
    <s v="Returning"/>
    <n v="18300"/>
    <n v="915"/>
    <n v="17385"/>
    <n v="11705"/>
    <n v="0.6732815645671556"/>
    <n v="2029"/>
    <s v="Nov"/>
    <s v="Q4"/>
  </r>
  <r>
    <s v="ORD11669"/>
    <x v="1668"/>
    <s v="CUST1205"/>
    <s v="Kavya Singh"/>
    <x v="150"/>
    <x v="1"/>
    <x v="11"/>
    <x v="6"/>
    <s v="Guwahati"/>
    <s v="Assam"/>
    <x v="1"/>
    <x v="1"/>
    <s v="Study Table"/>
    <x v="11"/>
    <n v="3"/>
    <n v="9150"/>
    <n v="0.25"/>
    <n v="5820"/>
    <s v="UPI"/>
    <s v="Cancelled"/>
    <n v="0"/>
    <s v="Returning"/>
    <n v="27450"/>
    <n v="6862.5"/>
    <n v="20587.5"/>
    <n v="14767.5"/>
    <n v="0.71730418943533703"/>
    <n v="2029"/>
    <s v="Nov"/>
    <s v="Q4"/>
  </r>
  <r>
    <s v="ORD11670"/>
    <x v="1669"/>
    <s v="CUST1221"/>
    <s v="Aarav Das"/>
    <x v="207"/>
    <x v="1"/>
    <x v="7"/>
    <x v="4"/>
    <s v="Chandigarh"/>
    <s v="Chandigarh"/>
    <x v="3"/>
    <x v="2"/>
    <s v="Smartwatch"/>
    <x v="3"/>
    <n v="1"/>
    <n v="6930"/>
    <n v="0.05"/>
    <n v="4620"/>
    <s v="UPI"/>
    <s v="Cancelled"/>
    <n v="0"/>
    <s v="Returning"/>
    <n v="6930"/>
    <n v="346.5"/>
    <n v="6583.5"/>
    <n v="1963.5"/>
    <n v="0.2982456140350877"/>
    <n v="2029"/>
    <s v="Nov"/>
    <s v="Q4"/>
  </r>
  <r>
    <s v="ORD11671"/>
    <x v="1670"/>
    <s v="CUST1341"/>
    <s v="Karan Nair"/>
    <x v="129"/>
    <x v="1"/>
    <x v="1"/>
    <x v="8"/>
    <s v="Mysuru"/>
    <s v="Karnataka"/>
    <x v="2"/>
    <x v="0"/>
    <s v="T-Shirt"/>
    <x v="2"/>
    <n v="1"/>
    <n v="910"/>
    <n v="0.15"/>
    <n v="470"/>
    <s v="Cash on Delivery"/>
    <s v="Delivered"/>
    <n v="3"/>
    <s v="New"/>
    <n v="910"/>
    <n v="136.5"/>
    <n v="773.5"/>
    <n v="303.5"/>
    <n v="0.39237233354880413"/>
    <n v="2029"/>
    <s v="Nov"/>
    <s v="Q4"/>
  </r>
  <r>
    <s v="ORD11672"/>
    <x v="1671"/>
    <s v="CUST1075"/>
    <s v="Arjun Bhat"/>
    <x v="52"/>
    <x v="0"/>
    <x v="1"/>
    <x v="3"/>
    <s v="Bengaluru"/>
    <s v="Karnataka"/>
    <x v="2"/>
    <x v="2"/>
    <s v="Tablet"/>
    <x v="4"/>
    <n v="2"/>
    <n v="23300"/>
    <n v="0.2"/>
    <n v="15990"/>
    <s v="UPI"/>
    <s v="Delivered"/>
    <n v="6"/>
    <s v="Returning"/>
    <n v="46600"/>
    <n v="9320"/>
    <n v="37280"/>
    <n v="21290"/>
    <n v="0.57108369098712441"/>
    <n v="2029"/>
    <s v="Nov"/>
    <s v="Q4"/>
  </r>
  <r>
    <s v="ORD11673"/>
    <x v="1672"/>
    <s v="CUST1047"/>
    <s v="Priya Reddy"/>
    <x v="64"/>
    <x v="1"/>
    <x v="25"/>
    <x v="5"/>
    <s v="Bhubaneswar"/>
    <s v="Odisha"/>
    <x v="1"/>
    <x v="5"/>
    <s v="Microwave"/>
    <x v="27"/>
    <n v="1"/>
    <n v="12310"/>
    <n v="0.05"/>
    <n v="8560"/>
    <s v="UPI"/>
    <s v="Delivered"/>
    <n v="3"/>
    <s v="Returning"/>
    <n v="12310"/>
    <n v="615.5"/>
    <n v="11694.5"/>
    <n v="3134.5"/>
    <n v="0.26803198084569668"/>
    <n v="2029"/>
    <s v="Nov"/>
    <s v="Q4"/>
  </r>
  <r>
    <s v="ORD11674"/>
    <x v="1673"/>
    <s v="CUST1048"/>
    <s v="Rohan Reddy"/>
    <x v="130"/>
    <x v="1"/>
    <x v="21"/>
    <x v="3"/>
    <s v="Bengaluru"/>
    <s v="Karnataka"/>
    <x v="2"/>
    <x v="5"/>
    <s v="Air Fryer"/>
    <x v="26"/>
    <n v="1"/>
    <n v="6130"/>
    <n v="0.05"/>
    <n v="4110"/>
    <s v="Cash on Delivery"/>
    <s v="Cancelled"/>
    <n v="0"/>
    <s v="Returning"/>
    <n v="6130"/>
    <n v="306.5"/>
    <n v="5823.5"/>
    <n v="1713.5"/>
    <n v="0.2942388597922212"/>
    <n v="2029"/>
    <s v="Nov"/>
    <s v="Q4"/>
  </r>
  <r>
    <s v="ORD11675"/>
    <x v="1674"/>
    <s v="CUST1334"/>
    <s v="Sneha Bhat"/>
    <x v="246"/>
    <x v="0"/>
    <x v="42"/>
    <x v="11"/>
    <s v="Chennai"/>
    <s v="Tamil Nadu"/>
    <x v="2"/>
    <x v="3"/>
    <s v="Cricket Bat"/>
    <x v="23"/>
    <n v="1"/>
    <n v="3400"/>
    <n v="0.1"/>
    <n v="1990"/>
    <s v="UPI"/>
    <s v="Pending"/>
    <n v="4"/>
    <s v="New"/>
    <n v="3400"/>
    <n v="340"/>
    <n v="3060"/>
    <n v="1070"/>
    <n v="0.34967320261437906"/>
    <n v="2029"/>
    <s v="Nov"/>
    <s v="Q4"/>
  </r>
  <r>
    <s v="ORD11676"/>
    <x v="1675"/>
    <s v="CUST1115"/>
    <s v="Diya Nair"/>
    <x v="248"/>
    <x v="1"/>
    <x v="41"/>
    <x v="4"/>
    <s v="Chandigarh"/>
    <s v="Chandigarh"/>
    <x v="3"/>
    <x v="4"/>
    <s v="Hair Dryer"/>
    <x v="14"/>
    <n v="2"/>
    <n v="1860"/>
    <n v="0.15"/>
    <n v="1030"/>
    <s v="Net Banking"/>
    <s v="Delivered"/>
    <n v="3"/>
    <s v="Returning"/>
    <n v="3720"/>
    <n v="558"/>
    <n v="3162"/>
    <n v="2132"/>
    <n v="0.6742567994939912"/>
    <n v="2029"/>
    <s v="Nov"/>
    <s v="Q4"/>
  </r>
  <r>
    <s v="ORD11677"/>
    <x v="1676"/>
    <s v="CUST1320"/>
    <s v="Ananya Singh"/>
    <x v="197"/>
    <x v="1"/>
    <x v="31"/>
    <x v="14"/>
    <s v="Ahmedabad"/>
    <s v="Gujarat"/>
    <x v="0"/>
    <x v="4"/>
    <s v="Perfume"/>
    <x v="29"/>
    <n v="1"/>
    <n v="1910"/>
    <n v="0.1"/>
    <n v="900"/>
    <s v="UPI"/>
    <s v="Delivered"/>
    <n v="6"/>
    <s v="New"/>
    <n v="1910"/>
    <n v="191"/>
    <n v="1719"/>
    <n v="819"/>
    <n v="0.47643979057591623"/>
    <n v="2029"/>
    <s v="Nov"/>
    <s v="Q4"/>
  </r>
  <r>
    <s v="ORD11678"/>
    <x v="1677"/>
    <s v="CUST1391"/>
    <s v="Vikram Mehta"/>
    <x v="94"/>
    <x v="0"/>
    <x v="41"/>
    <x v="9"/>
    <s v="Hyderabad"/>
    <s v="Telangana"/>
    <x v="2"/>
    <x v="5"/>
    <s v="Air Fryer"/>
    <x v="26"/>
    <n v="1"/>
    <n v="6380"/>
    <n v="0.2"/>
    <n v="4310"/>
    <s v="Debit Card"/>
    <s v="Delivered"/>
    <n v="7"/>
    <s v="New"/>
    <n v="6380"/>
    <n v="1276"/>
    <n v="5104"/>
    <n v="794"/>
    <n v="0.15556426332288401"/>
    <n v="2029"/>
    <s v="Nov"/>
    <s v="Q4"/>
  </r>
  <r>
    <s v="ORD11679"/>
    <x v="1678"/>
    <s v="CUST1073"/>
    <s v="Rohan Das"/>
    <x v="232"/>
    <x v="1"/>
    <x v="4"/>
    <x v="6"/>
    <s v="Guwahati"/>
    <s v="Assam"/>
    <x v="1"/>
    <x v="4"/>
    <s v="Makeup Kit"/>
    <x v="28"/>
    <n v="4"/>
    <n v="2030"/>
    <n v="0.15"/>
    <n v="1260"/>
    <s v="Credit Card"/>
    <s v="Delivered"/>
    <n v="4"/>
    <s v="Returning"/>
    <n v="8120"/>
    <n v="1218"/>
    <n v="6902"/>
    <n v="5642"/>
    <n v="0.81744421906693709"/>
    <n v="2029"/>
    <s v="Nov"/>
    <s v="Q4"/>
  </r>
  <r>
    <s v="ORD11680"/>
    <x v="1679"/>
    <s v="CUST1187"/>
    <s v="Priya Mehta"/>
    <x v="46"/>
    <x v="0"/>
    <x v="11"/>
    <x v="11"/>
    <s v="Chennai"/>
    <s v="Tamil Nadu"/>
    <x v="2"/>
    <x v="2"/>
    <s v="Headphones"/>
    <x v="5"/>
    <n v="2"/>
    <n v="2370"/>
    <n v="0.15"/>
    <n v="1480"/>
    <s v="Cash on Delivery"/>
    <s v="Delivered"/>
    <n v="4"/>
    <s v="Returning"/>
    <n v="4740"/>
    <n v="711"/>
    <n v="4029"/>
    <n v="2549"/>
    <n v="0.63266319185902209"/>
    <n v="2029"/>
    <s v="Nov"/>
    <s v="Q4"/>
  </r>
  <r>
    <s v="ORD11681"/>
    <x v="1680"/>
    <s v="CUST1474"/>
    <s v="Karan Rao"/>
    <x v="136"/>
    <x v="0"/>
    <x v="2"/>
    <x v="9"/>
    <s v="Hyderabad"/>
    <s v="Telangana"/>
    <x v="2"/>
    <x v="3"/>
    <s v="Dumbbells"/>
    <x v="7"/>
    <n v="3"/>
    <n v="2600"/>
    <n v="0.1"/>
    <n v="1530"/>
    <s v="Net Banking"/>
    <s v="Pending"/>
    <n v="7"/>
    <s v="New"/>
    <n v="7800"/>
    <n v="780"/>
    <n v="7020"/>
    <n v="5490"/>
    <n v="0.78205128205128205"/>
    <n v="2029"/>
    <s v="Nov"/>
    <s v="Q4"/>
  </r>
  <r>
    <s v="ORD11682"/>
    <x v="1681"/>
    <s v="CUST1146"/>
    <s v="Ishita Bhat"/>
    <x v="107"/>
    <x v="1"/>
    <x v="39"/>
    <x v="2"/>
    <s v="Kochi"/>
    <s v="Kerala"/>
    <x v="2"/>
    <x v="0"/>
    <s v="Jeans"/>
    <x v="19"/>
    <n v="1"/>
    <n v="2370"/>
    <n v="0.15"/>
    <n v="1190"/>
    <s v="UPI"/>
    <s v="Delivered"/>
    <n v="2"/>
    <s v="Returning"/>
    <n v="2370"/>
    <n v="355.5"/>
    <n v="2014.5"/>
    <n v="824.5"/>
    <n v="0.40928270042194093"/>
    <n v="2029"/>
    <s v="Nov"/>
    <s v="Q4"/>
  </r>
  <r>
    <s v="ORD11683"/>
    <x v="1682"/>
    <s v="CUST1088"/>
    <s v="Arjun Sharma"/>
    <x v="225"/>
    <x v="1"/>
    <x v="9"/>
    <x v="14"/>
    <s v="Ahmedabad"/>
    <s v="Gujarat"/>
    <x v="0"/>
    <x v="2"/>
    <s v="Smartwatch"/>
    <x v="3"/>
    <n v="3"/>
    <n v="6950"/>
    <n v="0"/>
    <n v="4400"/>
    <s v="Credit Card"/>
    <s v="Delivered"/>
    <n v="1"/>
    <s v="Returning"/>
    <n v="20850"/>
    <n v="0"/>
    <n v="20850"/>
    <n v="16450"/>
    <n v="0.78896882494004794"/>
    <n v="2029"/>
    <s v="Nov"/>
    <s v="Q4"/>
  </r>
  <r>
    <s v="ORD11684"/>
    <x v="1683"/>
    <s v="CUST1278"/>
    <s v="Kavya Rao"/>
    <x v="6"/>
    <x v="0"/>
    <x v="42"/>
    <x v="5"/>
    <s v="Bhubaneswar"/>
    <s v="Odisha"/>
    <x v="1"/>
    <x v="5"/>
    <s v="Electric Kettle"/>
    <x v="18"/>
    <n v="2"/>
    <n v="1830"/>
    <n v="0.15"/>
    <n v="930"/>
    <s v="Debit Card"/>
    <s v="Cancelled"/>
    <n v="0"/>
    <s v="Returning"/>
    <n v="3660"/>
    <n v="549"/>
    <n v="3111"/>
    <n v="2181"/>
    <n v="0.7010607521697203"/>
    <n v="2029"/>
    <s v="Nov"/>
    <s v="Q4"/>
  </r>
  <r>
    <s v="ORD11685"/>
    <x v="1684"/>
    <s v="CUST1400"/>
    <s v="Ananya Gupta"/>
    <x v="61"/>
    <x v="1"/>
    <x v="12"/>
    <x v="6"/>
    <s v="Guwahati"/>
    <s v="Assam"/>
    <x v="1"/>
    <x v="5"/>
    <s v="Mixer Grinder"/>
    <x v="22"/>
    <n v="2"/>
    <n v="4050"/>
    <n v="0.2"/>
    <n v="2680"/>
    <s v="UPI"/>
    <s v="Pending"/>
    <n v="3"/>
    <s v="New"/>
    <n v="8100"/>
    <n v="1620"/>
    <n v="6480"/>
    <n v="3800"/>
    <n v="0.5864197530864198"/>
    <n v="2029"/>
    <s v="Nov"/>
    <s v="Q4"/>
  </r>
  <r>
    <s v="ORD11686"/>
    <x v="1685"/>
    <s v="CUST1422"/>
    <s v="Arjun Shah"/>
    <x v="185"/>
    <x v="0"/>
    <x v="40"/>
    <x v="8"/>
    <s v="Mysuru"/>
    <s v="Karnataka"/>
    <x v="2"/>
    <x v="0"/>
    <s v="Jacket"/>
    <x v="25"/>
    <n v="1"/>
    <n v="4180"/>
    <n v="0.25"/>
    <n v="2660"/>
    <s v="UPI"/>
    <s v="Delivered"/>
    <n v="7"/>
    <s v="New"/>
    <n v="4180"/>
    <n v="1045"/>
    <n v="3135"/>
    <n v="475"/>
    <n v="0.15151515151515152"/>
    <n v="2029"/>
    <s v="Nov"/>
    <s v="Q4"/>
  </r>
  <r>
    <s v="ORD11687"/>
    <x v="1686"/>
    <s v="CUST1070"/>
    <s v="Nisha Verma"/>
    <x v="34"/>
    <x v="1"/>
    <x v="15"/>
    <x v="14"/>
    <s v="Ahmedabad"/>
    <s v="Gujarat"/>
    <x v="0"/>
    <x v="0"/>
    <s v="Jacket"/>
    <x v="25"/>
    <n v="2"/>
    <n v="4310"/>
    <n v="0.05"/>
    <n v="2550"/>
    <s v="Credit Card"/>
    <s v="Delivered"/>
    <n v="3"/>
    <s v="Returning"/>
    <n v="8620"/>
    <n v="431"/>
    <n v="8189"/>
    <n v="5639"/>
    <n v="0.68860666748076693"/>
    <n v="2029"/>
    <s v="Nov"/>
    <s v="Q4"/>
  </r>
  <r>
    <s v="ORD11688"/>
    <x v="1687"/>
    <s v="CUST1491"/>
    <s v="Vikram Iyer"/>
    <x v="119"/>
    <x v="0"/>
    <x v="23"/>
    <x v="3"/>
    <s v="Bengaluru"/>
    <s v="Karnataka"/>
    <x v="2"/>
    <x v="4"/>
    <s v="Perfume"/>
    <x v="29"/>
    <n v="2"/>
    <n v="1690"/>
    <n v="0"/>
    <n v="920"/>
    <s v="Cash on Delivery"/>
    <s v="Delivered"/>
    <n v="2"/>
    <s v="New"/>
    <n v="3380"/>
    <n v="0"/>
    <n v="3380"/>
    <n v="2460"/>
    <n v="0.72781065088757402"/>
    <n v="2029"/>
    <s v="Nov"/>
    <s v="Q4"/>
  </r>
  <r>
    <s v="ORD11689"/>
    <x v="1688"/>
    <s v="CUST1111"/>
    <s v="Ananya Das"/>
    <x v="54"/>
    <x v="0"/>
    <x v="5"/>
    <x v="13"/>
    <s v="Lucknow"/>
    <s v="Uttar Pradesh"/>
    <x v="3"/>
    <x v="3"/>
    <s v="Football"/>
    <x v="10"/>
    <n v="2"/>
    <n v="1220"/>
    <n v="0.3"/>
    <n v="590"/>
    <s v="Cash on Delivery"/>
    <s v="Delivered"/>
    <n v="8"/>
    <s v="Returning"/>
    <n v="2440"/>
    <n v="732"/>
    <n v="1708"/>
    <n v="1118"/>
    <n v="0.65456674473067911"/>
    <n v="2029"/>
    <s v="Nov"/>
    <s v="Q4"/>
  </r>
  <r>
    <s v="ORD11690"/>
    <x v="1689"/>
    <s v="CUST1013"/>
    <s v="Sneha Nair"/>
    <x v="180"/>
    <x v="0"/>
    <x v="20"/>
    <x v="10"/>
    <s v="Jaipur"/>
    <s v="Rajasthan"/>
    <x v="3"/>
    <x v="0"/>
    <s v="Sneakers"/>
    <x v="0"/>
    <n v="3"/>
    <n v="3600"/>
    <n v="0.1"/>
    <n v="2080"/>
    <s v="Net Banking"/>
    <s v="Delivered"/>
    <n v="3"/>
    <s v="Returning"/>
    <n v="10800"/>
    <n v="1080"/>
    <n v="9720"/>
    <n v="7640"/>
    <n v="0.78600823045267487"/>
    <n v="2029"/>
    <s v="Nov"/>
    <s v="Q4"/>
  </r>
  <r>
    <s v="ORD11691"/>
    <x v="1690"/>
    <s v="CUST1344"/>
    <s v="Ishita Rao"/>
    <x v="137"/>
    <x v="1"/>
    <x v="39"/>
    <x v="5"/>
    <s v="Bhubaneswar"/>
    <s v="Odisha"/>
    <x v="1"/>
    <x v="2"/>
    <s v="Tablet"/>
    <x v="4"/>
    <n v="1"/>
    <n v="21050"/>
    <n v="0.05"/>
    <n v="14780"/>
    <s v="UPI"/>
    <s v="Delivered"/>
    <n v="3"/>
    <s v="New"/>
    <n v="21050"/>
    <n v="1052.5"/>
    <n v="19997.5"/>
    <n v="5217.5"/>
    <n v="0.26090761345168145"/>
    <n v="2029"/>
    <s v="Nov"/>
    <s v="Q4"/>
  </r>
  <r>
    <s v="ORD11692"/>
    <x v="1691"/>
    <s v="CUST1224"/>
    <s v="Diya Verma"/>
    <x v="87"/>
    <x v="0"/>
    <x v="23"/>
    <x v="1"/>
    <s v="Kolkata"/>
    <s v="West Bengal"/>
    <x v="1"/>
    <x v="3"/>
    <s v="Tennis Racket"/>
    <x v="17"/>
    <n v="2"/>
    <n v="4540"/>
    <n v="0.05"/>
    <n v="2670"/>
    <s v="Cash on Delivery"/>
    <s v="Delivered"/>
    <n v="8"/>
    <s v="Returning"/>
    <n v="9080"/>
    <n v="454"/>
    <n v="8626"/>
    <n v="5956"/>
    <n v="0.69047067006723861"/>
    <n v="2029"/>
    <s v="Nov"/>
    <s v="Q4"/>
  </r>
  <r>
    <s v="ORD11693"/>
    <x v="1692"/>
    <s v="CUST1269"/>
    <s v="Priya Reddy"/>
    <x v="64"/>
    <x v="1"/>
    <x v="16"/>
    <x v="12"/>
    <s v="Delhi"/>
    <s v="Delhi"/>
    <x v="3"/>
    <x v="5"/>
    <s v="Vacuum Cleaner"/>
    <x v="9"/>
    <n v="3"/>
    <n v="7930"/>
    <n v="0.05"/>
    <n v="5490"/>
    <s v="UPI"/>
    <s v="Delivered"/>
    <n v="8"/>
    <s v="Returning"/>
    <n v="23790"/>
    <n v="1189.5"/>
    <n v="22600.5"/>
    <n v="17110.5"/>
    <n v="0.75708502024291502"/>
    <n v="2029"/>
    <s v="Nov"/>
    <s v="Q4"/>
  </r>
  <r>
    <s v="ORD11694"/>
    <x v="1693"/>
    <s v="CUST1259"/>
    <s v="Kavya Joshi"/>
    <x v="68"/>
    <x v="0"/>
    <x v="20"/>
    <x v="7"/>
    <s v="Mumbai"/>
    <s v="Maharashtra"/>
    <x v="0"/>
    <x v="4"/>
    <s v="Shampoo"/>
    <x v="8"/>
    <n v="3"/>
    <n v="460"/>
    <n v="0.15"/>
    <n v="240"/>
    <s v="Credit Card"/>
    <s v="Delivered"/>
    <n v="4"/>
    <s v="Returning"/>
    <n v="1380"/>
    <n v="207"/>
    <n v="1173"/>
    <n v="933"/>
    <n v="0.79539641943734019"/>
    <n v="2029"/>
    <s v="Dec"/>
    <s v="Q4"/>
  </r>
  <r>
    <s v="ORD11695"/>
    <x v="1694"/>
    <s v="CUST1197"/>
    <s v="Diya Sharma"/>
    <x v="220"/>
    <x v="1"/>
    <x v="20"/>
    <x v="10"/>
    <s v="Jaipur"/>
    <s v="Rajasthan"/>
    <x v="3"/>
    <x v="2"/>
    <s v="Tablet"/>
    <x v="4"/>
    <n v="3"/>
    <n v="22890"/>
    <n v="0.05"/>
    <n v="15400"/>
    <s v="Debit Card"/>
    <s v="Delivered"/>
    <n v="4"/>
    <s v="Returning"/>
    <n v="68670"/>
    <n v="3433.5"/>
    <n v="65236.5"/>
    <n v="49836.5"/>
    <n v="0.76393583346746075"/>
    <n v="2029"/>
    <s v="Dec"/>
    <s v="Q4"/>
  </r>
  <r>
    <s v="ORD11696"/>
    <x v="1695"/>
    <s v="CUST1493"/>
    <s v="Rahul Shah"/>
    <x v="211"/>
    <x v="0"/>
    <x v="35"/>
    <x v="8"/>
    <s v="Mysuru"/>
    <s v="Karnataka"/>
    <x v="2"/>
    <x v="0"/>
    <s v="Handbag"/>
    <x v="12"/>
    <n v="4"/>
    <n v="2610"/>
    <n v="0.25"/>
    <n v="1580"/>
    <s v="Net Banking"/>
    <s v="Delivered"/>
    <n v="5"/>
    <s v="New"/>
    <n v="10440"/>
    <n v="2610"/>
    <n v="7830"/>
    <n v="6250"/>
    <n v="0.79821200510855683"/>
    <n v="2029"/>
    <s v="Dec"/>
    <s v="Q4"/>
  </r>
  <r>
    <s v="ORD11697"/>
    <x v="1696"/>
    <s v="CUST1485"/>
    <s v="Diya Mehta"/>
    <x v="161"/>
    <x v="0"/>
    <x v="32"/>
    <x v="8"/>
    <s v="Mysuru"/>
    <s v="Karnataka"/>
    <x v="2"/>
    <x v="1"/>
    <s v="Sofa"/>
    <x v="16"/>
    <n v="1"/>
    <n v="29340"/>
    <n v="0.1"/>
    <n v="20920"/>
    <s v="Debit Card"/>
    <s v="Delivered"/>
    <n v="5"/>
    <s v="New"/>
    <n v="29340"/>
    <n v="2934"/>
    <n v="26406"/>
    <n v="5486"/>
    <n v="0.20775581307278648"/>
    <n v="2029"/>
    <s v="Dec"/>
    <s v="Q4"/>
  </r>
  <r>
    <s v="ORD11698"/>
    <x v="1697"/>
    <s v="CUST1335"/>
    <s v="Nisha Shah"/>
    <x v="14"/>
    <x v="1"/>
    <x v="34"/>
    <x v="11"/>
    <s v="Chennai"/>
    <s v="Tamil Nadu"/>
    <x v="2"/>
    <x v="2"/>
    <s v="Tablet"/>
    <x v="4"/>
    <n v="2"/>
    <n v="22150"/>
    <n v="0.05"/>
    <n v="15820"/>
    <s v="Cash on Delivery"/>
    <s v="Delivered"/>
    <n v="2"/>
    <s v="New"/>
    <n v="44300"/>
    <n v="2215"/>
    <n v="42085"/>
    <n v="26265"/>
    <n v="0.62409409528335513"/>
    <n v="2029"/>
    <s v="Dec"/>
    <s v="Q4"/>
  </r>
  <r>
    <s v="ORD11699"/>
    <x v="1698"/>
    <s v="CUST1343"/>
    <s v="Vivaan Sharma"/>
    <x v="40"/>
    <x v="1"/>
    <x v="28"/>
    <x v="13"/>
    <s v="Lucknow"/>
    <s v="Uttar Pradesh"/>
    <x v="3"/>
    <x v="5"/>
    <s v="Vacuum Cleaner"/>
    <x v="9"/>
    <n v="3"/>
    <n v="7860"/>
    <n v="0.1"/>
    <n v="5410"/>
    <s v="UPI"/>
    <s v="Returned"/>
    <n v="4"/>
    <s v="New"/>
    <n v="23580"/>
    <n v="2358"/>
    <n v="21222"/>
    <n v="15812"/>
    <n v="0.74507586466873998"/>
    <n v="2029"/>
    <s v="Dec"/>
    <s v="Q4"/>
  </r>
  <r>
    <s v="ORD11700"/>
    <x v="1699"/>
    <s v="CUST1358"/>
    <s v="Meera Das"/>
    <x v="116"/>
    <x v="0"/>
    <x v="26"/>
    <x v="2"/>
    <s v="Kochi"/>
    <s v="Kerala"/>
    <x v="2"/>
    <x v="1"/>
    <s v="Office Chair"/>
    <x v="1"/>
    <n v="1"/>
    <n v="6390"/>
    <n v="0.05"/>
    <n v="4310"/>
    <s v="Net Banking"/>
    <s v="Returned"/>
    <n v="5"/>
    <s v="New"/>
    <n v="6390"/>
    <n v="319.5"/>
    <n v="6070.5"/>
    <n v="1760.5"/>
    <n v="0.29000906020920847"/>
    <n v="2029"/>
    <s v="Dec"/>
    <s v="Q4"/>
  </r>
  <r>
    <s v="ORD11701"/>
    <x v="1700"/>
    <s v="CUST1231"/>
    <s v="Priya Kumar"/>
    <x v="127"/>
    <x v="0"/>
    <x v="27"/>
    <x v="6"/>
    <s v="Guwahati"/>
    <s v="Assam"/>
    <x v="1"/>
    <x v="2"/>
    <s v="Headphones"/>
    <x v="5"/>
    <n v="4"/>
    <n v="2650"/>
    <n v="0.2"/>
    <n v="1570"/>
    <s v="Credit Card"/>
    <s v="Delivered"/>
    <n v="1"/>
    <s v="Returning"/>
    <n v="10600"/>
    <n v="2120"/>
    <n v="8480"/>
    <n v="6910"/>
    <n v="0.81485849056603776"/>
    <n v="2029"/>
    <s v="Dec"/>
    <s v="Q4"/>
  </r>
  <r>
    <s v="ORD11702"/>
    <x v="1701"/>
    <s v="CUST1085"/>
    <s v="Arjun Naidu"/>
    <x v="152"/>
    <x v="0"/>
    <x v="3"/>
    <x v="2"/>
    <s v="Kochi"/>
    <s v="Kerala"/>
    <x v="2"/>
    <x v="2"/>
    <s v="Laptop"/>
    <x v="15"/>
    <n v="4"/>
    <n v="55000"/>
    <n v="0.1"/>
    <n v="43100"/>
    <s v="Debit Card"/>
    <s v="Delivered"/>
    <n v="2"/>
    <s v="Returning"/>
    <n v="220000"/>
    <n v="22000"/>
    <n v="198000"/>
    <n v="154900"/>
    <n v="0.78232323232323231"/>
    <n v="2029"/>
    <s v="Dec"/>
    <s v="Q4"/>
  </r>
  <r>
    <s v="ORD11703"/>
    <x v="1702"/>
    <s v="CUST1062"/>
    <s v="Vikram Bhat"/>
    <x v="18"/>
    <x v="1"/>
    <x v="31"/>
    <x v="14"/>
    <s v="Ahmedabad"/>
    <s v="Gujarat"/>
    <x v="0"/>
    <x v="1"/>
    <s v="Office Chair"/>
    <x v="1"/>
    <n v="3"/>
    <n v="6190"/>
    <n v="0.05"/>
    <n v="4280"/>
    <s v="Net Banking"/>
    <s v="Delivered"/>
    <n v="2"/>
    <s v="Returning"/>
    <n v="18570"/>
    <n v="928.5"/>
    <n v="17641.5"/>
    <n v="13361.5"/>
    <n v="0.75739024459371374"/>
    <n v="2029"/>
    <s v="Dec"/>
    <s v="Q4"/>
  </r>
  <r>
    <s v="ORD11704"/>
    <x v="1703"/>
    <s v="CUST1021"/>
    <s v="Karan Joshi"/>
    <x v="230"/>
    <x v="0"/>
    <x v="32"/>
    <x v="13"/>
    <s v="Lucknow"/>
    <s v="Uttar Pradesh"/>
    <x v="3"/>
    <x v="5"/>
    <s v="Mixer Grinder"/>
    <x v="22"/>
    <n v="3"/>
    <n v="4250"/>
    <n v="0.15"/>
    <n v="2820"/>
    <s v="UPI"/>
    <s v="Delivered"/>
    <n v="1"/>
    <s v="Returning"/>
    <n v="12750"/>
    <n v="1912.5"/>
    <n v="10837.5"/>
    <n v="8017.5"/>
    <n v="0.73979238754325261"/>
    <n v="2029"/>
    <s v="Dec"/>
    <s v="Q4"/>
  </r>
  <r>
    <s v="ORD11705"/>
    <x v="1704"/>
    <s v="CUST1132"/>
    <s v="Aarav Sharma"/>
    <x v="55"/>
    <x v="1"/>
    <x v="27"/>
    <x v="1"/>
    <s v="Kolkata"/>
    <s v="West Bengal"/>
    <x v="1"/>
    <x v="5"/>
    <s v="Microwave"/>
    <x v="27"/>
    <n v="2"/>
    <n v="11100"/>
    <n v="0.1"/>
    <n v="8250"/>
    <s v="UPI"/>
    <s v="Delivered"/>
    <n v="3"/>
    <s v="Returning"/>
    <n v="22200"/>
    <n v="2220"/>
    <n v="19980"/>
    <n v="11730"/>
    <n v="0.58708708708708712"/>
    <n v="2029"/>
    <s v="Dec"/>
    <s v="Q4"/>
  </r>
  <r>
    <s v="ORD11706"/>
    <x v="1705"/>
    <s v="CUST1345"/>
    <s v="Rohan Kumar"/>
    <x v="254"/>
    <x v="0"/>
    <x v="11"/>
    <x v="3"/>
    <s v="Bengaluru"/>
    <s v="Karnataka"/>
    <x v="2"/>
    <x v="0"/>
    <s v="Jeans"/>
    <x v="19"/>
    <n v="3"/>
    <n v="2300"/>
    <n v="0.1"/>
    <n v="1190"/>
    <s v="Debit Card"/>
    <s v="Delivered"/>
    <n v="5"/>
    <s v="New"/>
    <n v="6900"/>
    <n v="690"/>
    <n v="6210"/>
    <n v="5020"/>
    <n v="0.80837359098228667"/>
    <n v="2029"/>
    <s v="Dec"/>
    <s v="Q4"/>
  </r>
  <r>
    <s v="ORD11707"/>
    <x v="1706"/>
    <s v="CUST1425"/>
    <s v="Rohan Kumar"/>
    <x v="254"/>
    <x v="0"/>
    <x v="33"/>
    <x v="9"/>
    <s v="Hyderabad"/>
    <s v="Telangana"/>
    <x v="2"/>
    <x v="0"/>
    <s v="Jeans"/>
    <x v="19"/>
    <n v="2"/>
    <n v="2310"/>
    <n v="0.2"/>
    <n v="1170"/>
    <s v="Net Banking"/>
    <s v="Delivered"/>
    <n v="3"/>
    <s v="New"/>
    <n v="4620"/>
    <n v="924"/>
    <n v="3696"/>
    <n v="2526"/>
    <n v="0.68344155844155841"/>
    <n v="2029"/>
    <s v="Dec"/>
    <s v="Q4"/>
  </r>
  <r>
    <s v="ORD11708"/>
    <x v="1707"/>
    <s v="CUST1382"/>
    <s v="Diya Joshi"/>
    <x v="118"/>
    <x v="1"/>
    <x v="24"/>
    <x v="2"/>
    <s v="Kochi"/>
    <s v="Kerala"/>
    <x v="2"/>
    <x v="2"/>
    <s v="Laptop"/>
    <x v="15"/>
    <n v="2"/>
    <n v="52660"/>
    <n v="0"/>
    <n v="42540"/>
    <s v="Credit Card"/>
    <s v="Delivered"/>
    <n v="3"/>
    <s v="New"/>
    <n v="105320"/>
    <n v="0"/>
    <n v="105320"/>
    <n v="62780"/>
    <n v="0.5960881124192936"/>
    <n v="2029"/>
    <s v="Dec"/>
    <s v="Q4"/>
  </r>
  <r>
    <s v="ORD11709"/>
    <x v="1708"/>
    <s v="CUST1396"/>
    <s v="Aarav Verma"/>
    <x v="70"/>
    <x v="0"/>
    <x v="4"/>
    <x v="13"/>
    <s v="Lucknow"/>
    <s v="Uttar Pradesh"/>
    <x v="3"/>
    <x v="0"/>
    <s v="Sneakers"/>
    <x v="0"/>
    <n v="1"/>
    <n v="3460"/>
    <n v="0.1"/>
    <n v="2140"/>
    <s v="Debit Card"/>
    <s v="Delivered"/>
    <n v="4"/>
    <s v="New"/>
    <n v="3460"/>
    <n v="346"/>
    <n v="3114"/>
    <n v="974"/>
    <n v="0.3127809890815671"/>
    <n v="2029"/>
    <s v="Dec"/>
    <s v="Q4"/>
  </r>
  <r>
    <s v="ORD11710"/>
    <x v="1709"/>
    <s v="CUST1201"/>
    <s v="Vivaan Verma"/>
    <x v="210"/>
    <x v="0"/>
    <x v="39"/>
    <x v="10"/>
    <s v="Jaipur"/>
    <s v="Rajasthan"/>
    <x v="3"/>
    <x v="3"/>
    <s v="Yoga Mat"/>
    <x v="20"/>
    <n v="1"/>
    <n v="950"/>
    <n v="0.25"/>
    <n v="400"/>
    <s v="UPI"/>
    <s v="Delivered"/>
    <n v="2"/>
    <s v="Returning"/>
    <n v="950"/>
    <n v="237.5"/>
    <n v="712.5"/>
    <n v="312.5"/>
    <n v="0.43859649122807015"/>
    <n v="2029"/>
    <s v="Dec"/>
    <s v="Q4"/>
  </r>
  <r>
    <s v="ORD11711"/>
    <x v="1710"/>
    <s v="CUST1334"/>
    <s v="Priya Sharma"/>
    <x v="85"/>
    <x v="0"/>
    <x v="2"/>
    <x v="1"/>
    <s v="Kolkata"/>
    <s v="West Bengal"/>
    <x v="1"/>
    <x v="5"/>
    <s v="Electric Kettle"/>
    <x v="18"/>
    <n v="2"/>
    <n v="1740"/>
    <n v="0"/>
    <n v="960"/>
    <s v="UPI"/>
    <s v="Delivered"/>
    <n v="7"/>
    <s v="New"/>
    <n v="3480"/>
    <n v="0"/>
    <n v="3480"/>
    <n v="2520"/>
    <n v="0.72413793103448276"/>
    <n v="2029"/>
    <s v="Dec"/>
    <s v="Q4"/>
  </r>
  <r>
    <s v="ORD11712"/>
    <x v="1711"/>
    <s v="CUST1359"/>
    <s v="Rahul Kumar"/>
    <x v="44"/>
    <x v="0"/>
    <x v="42"/>
    <x v="6"/>
    <s v="Guwahati"/>
    <s v="Assam"/>
    <x v="1"/>
    <x v="5"/>
    <s v="Microwave"/>
    <x v="27"/>
    <n v="1"/>
    <n v="11690"/>
    <n v="0.15"/>
    <n v="8130"/>
    <s v="Debit Card"/>
    <s v="Delivered"/>
    <n v="8"/>
    <s v="New"/>
    <n v="11690"/>
    <n v="1753.5"/>
    <n v="9936.5"/>
    <n v="1806.5"/>
    <n v="0.18180445831027023"/>
    <n v="2029"/>
    <s v="Dec"/>
    <s v="Q4"/>
  </r>
  <r>
    <s v="ORD11713"/>
    <x v="1712"/>
    <s v="CUST1229"/>
    <s v="Rohan Singh"/>
    <x v="47"/>
    <x v="0"/>
    <x v="15"/>
    <x v="0"/>
    <s v="Pune"/>
    <s v="Maharashtra"/>
    <x v="0"/>
    <x v="0"/>
    <s v="T-Shirt"/>
    <x v="2"/>
    <n v="1"/>
    <n v="870"/>
    <n v="0.1"/>
    <n v="440"/>
    <s v="Credit Card"/>
    <s v="Delivered"/>
    <n v="3"/>
    <s v="Returning"/>
    <n v="870"/>
    <n v="87"/>
    <n v="783"/>
    <n v="343"/>
    <n v="0.438058748403576"/>
    <n v="2029"/>
    <s v="Dec"/>
    <s v="Q4"/>
  </r>
  <r>
    <s v="ORD11714"/>
    <x v="1713"/>
    <s v="CUST1488"/>
    <s v="Ishita Das"/>
    <x v="182"/>
    <x v="0"/>
    <x v="24"/>
    <x v="13"/>
    <s v="Lucknow"/>
    <s v="Uttar Pradesh"/>
    <x v="3"/>
    <x v="5"/>
    <s v="Air Fryer"/>
    <x v="26"/>
    <n v="3"/>
    <n v="6100"/>
    <n v="0.1"/>
    <n v="4130"/>
    <s v="Debit Card"/>
    <s v="Delivered"/>
    <n v="4"/>
    <s v="New"/>
    <n v="18300"/>
    <n v="1830"/>
    <n v="16470"/>
    <n v="12340"/>
    <n v="0.74924104432301153"/>
    <n v="2029"/>
    <s v="Dec"/>
    <s v="Q4"/>
  </r>
  <r>
    <s v="ORD11715"/>
    <x v="1714"/>
    <s v="CUST1424"/>
    <s v="Aditya Nair"/>
    <x v="117"/>
    <x v="1"/>
    <x v="28"/>
    <x v="8"/>
    <s v="Mysuru"/>
    <s v="Karnataka"/>
    <x v="2"/>
    <x v="2"/>
    <s v="Tablet"/>
    <x v="4"/>
    <n v="2"/>
    <n v="22520"/>
    <n v="0.05"/>
    <n v="15180"/>
    <s v="Credit Card"/>
    <s v="Delivered"/>
    <n v="3"/>
    <s v="New"/>
    <n v="45040"/>
    <n v="2252"/>
    <n v="42788"/>
    <n v="27608"/>
    <n v="0.6452276339160512"/>
    <n v="2029"/>
    <s v="Dec"/>
    <s v="Q4"/>
  </r>
  <r>
    <s v="ORD11716"/>
    <x v="1715"/>
    <s v="CUST1395"/>
    <s v="Aarav Gupta"/>
    <x v="204"/>
    <x v="1"/>
    <x v="24"/>
    <x v="10"/>
    <s v="Jaipur"/>
    <s v="Rajasthan"/>
    <x v="3"/>
    <x v="0"/>
    <s v="Handbag"/>
    <x v="12"/>
    <n v="1"/>
    <n v="2920"/>
    <n v="0.25"/>
    <n v="1560"/>
    <s v="Cash on Delivery"/>
    <s v="Delivered"/>
    <n v="4"/>
    <s v="New"/>
    <n v="2920"/>
    <n v="730"/>
    <n v="2190"/>
    <n v="630"/>
    <n v="0.28767123287671231"/>
    <n v="2029"/>
    <s v="Dec"/>
    <s v="Q4"/>
  </r>
  <r>
    <s v="ORD11717"/>
    <x v="1716"/>
    <s v="CUST1076"/>
    <s v="Vivaan Bhat"/>
    <x v="35"/>
    <x v="1"/>
    <x v="10"/>
    <x v="2"/>
    <s v="Kochi"/>
    <s v="Kerala"/>
    <x v="2"/>
    <x v="3"/>
    <s v="Dumbbells"/>
    <x v="7"/>
    <n v="3"/>
    <n v="2480"/>
    <n v="0.05"/>
    <n v="1510"/>
    <s v="Net Banking"/>
    <s v="Delivered"/>
    <n v="2"/>
    <s v="Returning"/>
    <n v="7440"/>
    <n v="372"/>
    <n v="7068"/>
    <n v="5558"/>
    <n v="0.78636106395019811"/>
    <n v="2029"/>
    <s v="Dec"/>
    <s v="Q4"/>
  </r>
  <r>
    <s v="ORD11718"/>
    <x v="1717"/>
    <s v="CUST1355"/>
    <s v="Aarav Gupta"/>
    <x v="204"/>
    <x v="1"/>
    <x v="25"/>
    <x v="12"/>
    <s v="Delhi"/>
    <s v="Delhi"/>
    <x v="3"/>
    <x v="1"/>
    <s v="Bedside Table"/>
    <x v="24"/>
    <n v="1"/>
    <n v="4820"/>
    <n v="0"/>
    <n v="2970"/>
    <s v="Net Banking"/>
    <s v="Delivered"/>
    <n v="2"/>
    <s v="New"/>
    <n v="4820"/>
    <n v="0"/>
    <n v="4820"/>
    <n v="1850"/>
    <n v="0.38381742738589214"/>
    <n v="2029"/>
    <s v="Dec"/>
    <s v="Q4"/>
  </r>
  <r>
    <s v="ORD11719"/>
    <x v="1718"/>
    <s v="CUST1378"/>
    <s v="Meera Sharma"/>
    <x v="48"/>
    <x v="1"/>
    <x v="29"/>
    <x v="4"/>
    <s v="Chandigarh"/>
    <s v="Chandigarh"/>
    <x v="3"/>
    <x v="0"/>
    <s v="Jacket"/>
    <x v="25"/>
    <n v="1"/>
    <n v="4460"/>
    <n v="0.15"/>
    <n v="2500"/>
    <s v="Cash on Delivery"/>
    <s v="Delivered"/>
    <n v="2"/>
    <s v="New"/>
    <n v="4460"/>
    <n v="669"/>
    <n v="3791"/>
    <n v="1291"/>
    <n v="0.3405433922447903"/>
    <n v="2029"/>
    <s v="Dec"/>
    <s v="Q4"/>
  </r>
  <r>
    <s v="ORD11720"/>
    <x v="1719"/>
    <s v="CUST1116"/>
    <s v="Arjun Das"/>
    <x v="123"/>
    <x v="1"/>
    <x v="22"/>
    <x v="6"/>
    <s v="Guwahati"/>
    <s v="Assam"/>
    <x v="1"/>
    <x v="5"/>
    <s v="Mixer Grinder"/>
    <x v="22"/>
    <n v="1"/>
    <n v="4300"/>
    <n v="0.15"/>
    <n v="2600"/>
    <s v="UPI"/>
    <s v="Delivered"/>
    <n v="3"/>
    <s v="Returning"/>
    <n v="4300"/>
    <n v="645"/>
    <n v="3655"/>
    <n v="1055"/>
    <n v="0.28864569083447333"/>
    <n v="2029"/>
    <s v="Dec"/>
    <s v="Q4"/>
  </r>
  <r>
    <s v="ORD11721"/>
    <x v="1720"/>
    <s v="CUST1485"/>
    <s v="Ishita Nair"/>
    <x v="194"/>
    <x v="1"/>
    <x v="12"/>
    <x v="2"/>
    <s v="Kochi"/>
    <s v="Kerala"/>
    <x v="2"/>
    <x v="2"/>
    <s v="Smartphone"/>
    <x v="13"/>
    <n v="1"/>
    <n v="18720"/>
    <n v="0.15"/>
    <n v="12590"/>
    <s v="UPI"/>
    <s v="Returned"/>
    <n v="8"/>
    <s v="New"/>
    <n v="18720"/>
    <n v="2808"/>
    <n v="15912"/>
    <n v="3322"/>
    <n v="0.20877325289089996"/>
    <n v="2029"/>
    <s v="Dec"/>
    <s v="Q4"/>
  </r>
  <r>
    <s v="ORD11722"/>
    <x v="1721"/>
    <s v="CUST1193"/>
    <s v="Vikram Bhat"/>
    <x v="18"/>
    <x v="0"/>
    <x v="26"/>
    <x v="1"/>
    <s v="Kolkata"/>
    <s v="West Bengal"/>
    <x v="1"/>
    <x v="0"/>
    <s v="Handbag"/>
    <x v="12"/>
    <n v="3"/>
    <n v="2940"/>
    <n v="0.2"/>
    <n v="1530"/>
    <s v="UPI"/>
    <s v="Delivered"/>
    <n v="2"/>
    <s v="Returning"/>
    <n v="8820"/>
    <n v="1764"/>
    <n v="7056"/>
    <n v="5526"/>
    <n v="0.78316326530612246"/>
    <n v="2029"/>
    <s v="Dec"/>
    <s v="Q4"/>
  </r>
  <r>
    <s v="ORD11723"/>
    <x v="1722"/>
    <s v="CUST1010"/>
    <s v="Ishita Reddy"/>
    <x v="153"/>
    <x v="0"/>
    <x v="39"/>
    <x v="4"/>
    <s v="Chandigarh"/>
    <s v="Chandigarh"/>
    <x v="3"/>
    <x v="0"/>
    <s v="Sneakers"/>
    <x v="0"/>
    <n v="2"/>
    <n v="3410"/>
    <n v="0.15"/>
    <n v="2010"/>
    <s v="UPI"/>
    <s v="Delivered"/>
    <n v="1"/>
    <s v="Returning"/>
    <n v="6820"/>
    <n v="1023"/>
    <n v="5797"/>
    <n v="3787"/>
    <n v="0.65326893220631366"/>
    <n v="2029"/>
    <s v="Dec"/>
    <s v="Q4"/>
  </r>
  <r>
    <s v="ORD11724"/>
    <x v="1723"/>
    <s v="CUST1091"/>
    <s v="Nisha Mehta"/>
    <x v="103"/>
    <x v="0"/>
    <x v="10"/>
    <x v="2"/>
    <s v="Kochi"/>
    <s v="Kerala"/>
    <x v="2"/>
    <x v="2"/>
    <s v="Headphones"/>
    <x v="5"/>
    <n v="2"/>
    <n v="2590"/>
    <n v="0.1"/>
    <n v="1510"/>
    <s v="Cash on Delivery"/>
    <s v="Delivered"/>
    <n v="4"/>
    <s v="Returning"/>
    <n v="5180"/>
    <n v="518"/>
    <n v="4662"/>
    <n v="3152"/>
    <n v="0.67610467610467606"/>
    <n v="2029"/>
    <s v="Dec"/>
    <s v="Q4"/>
  </r>
  <r>
    <s v="ORD11725"/>
    <x v="1724"/>
    <s v="CUST1133"/>
    <s v="Ishita Singh"/>
    <x v="72"/>
    <x v="1"/>
    <x v="12"/>
    <x v="7"/>
    <s v="Mumbai"/>
    <s v="Maharashtra"/>
    <x v="0"/>
    <x v="1"/>
    <s v="Study Table"/>
    <x v="11"/>
    <n v="4"/>
    <n v="7830"/>
    <n v="0.15"/>
    <n v="5680"/>
    <s v="UPI"/>
    <s v="Delivered"/>
    <n v="2"/>
    <s v="Returning"/>
    <n v="31320"/>
    <n v="4698"/>
    <n v="26622"/>
    <n v="20942"/>
    <n v="0.78664262639921867"/>
    <n v="2030"/>
    <s v="Jan"/>
    <s v="Q1"/>
  </r>
  <r>
    <s v="ORD11726"/>
    <x v="1725"/>
    <s v="CUST1132"/>
    <s v="Karan Mehta"/>
    <x v="139"/>
    <x v="0"/>
    <x v="7"/>
    <x v="2"/>
    <s v="Kochi"/>
    <s v="Kerala"/>
    <x v="2"/>
    <x v="1"/>
    <s v="Bookshelf"/>
    <x v="6"/>
    <n v="3"/>
    <n v="5300"/>
    <n v="0.1"/>
    <n v="3120"/>
    <s v="UPI"/>
    <s v="Returned"/>
    <n v="2"/>
    <s v="Returning"/>
    <n v="15900"/>
    <n v="1590"/>
    <n v="14310"/>
    <n v="11190"/>
    <n v="0.78197064989517817"/>
    <n v="2030"/>
    <s v="Jan"/>
    <s v="Q1"/>
  </r>
  <r>
    <s v="ORD11727"/>
    <x v="1726"/>
    <s v="CUST1304"/>
    <s v="Kavya Nair"/>
    <x v="251"/>
    <x v="0"/>
    <x v="12"/>
    <x v="1"/>
    <s v="Kolkata"/>
    <s v="West Bengal"/>
    <x v="1"/>
    <x v="2"/>
    <s v="Tablet"/>
    <x v="4"/>
    <n v="2"/>
    <n v="20980"/>
    <n v="0.2"/>
    <n v="15470"/>
    <s v="Credit Card"/>
    <s v="Delivered"/>
    <n v="3"/>
    <s v="New"/>
    <n v="41960"/>
    <n v="8392"/>
    <n v="33568"/>
    <n v="18098"/>
    <n v="0.53914442326024781"/>
    <n v="2030"/>
    <s v="Jan"/>
    <s v="Q1"/>
  </r>
  <r>
    <s v="ORD11728"/>
    <x v="1727"/>
    <s v="CUST1117"/>
    <s v="Priya Rao"/>
    <x v="158"/>
    <x v="1"/>
    <x v="37"/>
    <x v="9"/>
    <s v="Hyderabad"/>
    <s v="Telangana"/>
    <x v="2"/>
    <x v="2"/>
    <s v="Smartwatch"/>
    <x v="3"/>
    <n v="4"/>
    <n v="6740"/>
    <n v="0.1"/>
    <n v="4300"/>
    <s v="Debit Card"/>
    <s v="Delivered"/>
    <n v="7"/>
    <s v="Returning"/>
    <n v="26960"/>
    <n v="2696"/>
    <n v="24264"/>
    <n v="19964"/>
    <n v="0.82278272337619518"/>
    <n v="2030"/>
    <s v="Jan"/>
    <s v="Q1"/>
  </r>
  <r>
    <s v="ORD11729"/>
    <x v="1728"/>
    <s v="CUST1007"/>
    <s v="Meera Verma"/>
    <x v="77"/>
    <x v="0"/>
    <x v="27"/>
    <x v="11"/>
    <s v="Chennai"/>
    <s v="Tamil Nadu"/>
    <x v="2"/>
    <x v="3"/>
    <s v="Football"/>
    <x v="10"/>
    <n v="1"/>
    <n v="1180"/>
    <n v="0.1"/>
    <n v="620"/>
    <s v="Net Banking"/>
    <s v="Delivered"/>
    <n v="2"/>
    <s v="Returning"/>
    <n v="1180"/>
    <n v="118"/>
    <n v="1062"/>
    <n v="442"/>
    <n v="0.41619585687382299"/>
    <n v="2030"/>
    <s v="Jan"/>
    <s v="Q1"/>
  </r>
  <r>
    <s v="ORD11730"/>
    <x v="1729"/>
    <s v="CUST1182"/>
    <s v="Priya Singh"/>
    <x v="0"/>
    <x v="1"/>
    <x v="1"/>
    <x v="7"/>
    <s v="Mumbai"/>
    <s v="Maharashtra"/>
    <x v="0"/>
    <x v="5"/>
    <s v="Mixer Grinder"/>
    <x v="22"/>
    <n v="2"/>
    <n v="4440"/>
    <n v="0.1"/>
    <n v="2690"/>
    <s v="Credit Card"/>
    <s v="Delivered"/>
    <n v="7"/>
    <s v="Returning"/>
    <n v="8880"/>
    <n v="888"/>
    <n v="7992"/>
    <n v="5302"/>
    <n v="0.66341341341341342"/>
    <n v="2030"/>
    <s v="Jan"/>
    <s v="Q1"/>
  </r>
  <r>
    <s v="ORD11731"/>
    <x v="1730"/>
    <s v="CUST1294"/>
    <s v="Meera Joshi"/>
    <x v="88"/>
    <x v="0"/>
    <x v="42"/>
    <x v="13"/>
    <s v="Lucknow"/>
    <s v="Uttar Pradesh"/>
    <x v="3"/>
    <x v="0"/>
    <s v="T-Shirt"/>
    <x v="2"/>
    <n v="4"/>
    <n v="920"/>
    <n v="0"/>
    <n v="430"/>
    <s v="Credit Card"/>
    <s v="Delivered"/>
    <n v="3"/>
    <s v="Returning"/>
    <n v="3680"/>
    <n v="0"/>
    <n v="3680"/>
    <n v="3250"/>
    <n v="0.88315217391304346"/>
    <n v="2030"/>
    <s v="Jan"/>
    <s v="Q1"/>
  </r>
  <r>
    <s v="ORD11732"/>
    <x v="1731"/>
    <s v="CUST1047"/>
    <s v="Diya Singh"/>
    <x v="239"/>
    <x v="0"/>
    <x v="24"/>
    <x v="4"/>
    <s v="Chandigarh"/>
    <s v="Chandigarh"/>
    <x v="3"/>
    <x v="0"/>
    <s v="Jacket"/>
    <x v="25"/>
    <n v="2"/>
    <n v="4150"/>
    <n v="0.3"/>
    <n v="2600"/>
    <s v="Cash on Delivery"/>
    <s v="Delivered"/>
    <n v="3"/>
    <s v="Returning"/>
    <n v="8300"/>
    <n v="2490"/>
    <n v="5810"/>
    <n v="3210"/>
    <n v="0.55249569707401036"/>
    <n v="2030"/>
    <s v="Jan"/>
    <s v="Q1"/>
  </r>
  <r>
    <s v="ORD11733"/>
    <x v="1732"/>
    <s v="CUST1146"/>
    <s v="Aditya Das"/>
    <x v="229"/>
    <x v="1"/>
    <x v="28"/>
    <x v="14"/>
    <s v="Ahmedabad"/>
    <s v="Gujarat"/>
    <x v="0"/>
    <x v="3"/>
    <s v="Cricket Bat"/>
    <x v="23"/>
    <n v="1"/>
    <n v="3060"/>
    <n v="0.05"/>
    <n v="1940"/>
    <s v="Debit Card"/>
    <s v="Delivered"/>
    <n v="4"/>
    <s v="Returning"/>
    <n v="3060"/>
    <n v="153"/>
    <n v="2907"/>
    <n v="967"/>
    <n v="0.33264533883728931"/>
    <n v="2030"/>
    <s v="Jan"/>
    <s v="Q1"/>
  </r>
  <r>
    <s v="ORD11734"/>
    <x v="1733"/>
    <s v="CUST1147"/>
    <s v="Rohan Gupta"/>
    <x v="42"/>
    <x v="1"/>
    <x v="11"/>
    <x v="8"/>
    <s v="Mysuru"/>
    <s v="Karnataka"/>
    <x v="2"/>
    <x v="0"/>
    <s v="Handbag"/>
    <x v="12"/>
    <n v="1"/>
    <n v="2610"/>
    <n v="0.15"/>
    <n v="1520"/>
    <s v="Cash on Delivery"/>
    <s v="Delivered"/>
    <n v="2"/>
    <s v="Returning"/>
    <n v="2610"/>
    <n v="391.5"/>
    <n v="2218.5"/>
    <n v="698.5"/>
    <n v="0.31485237773270225"/>
    <n v="2030"/>
    <s v="Jan"/>
    <s v="Q1"/>
  </r>
  <r>
    <s v="ORD11735"/>
    <x v="1734"/>
    <s v="CUST1440"/>
    <s v="Kavya Patel"/>
    <x v="227"/>
    <x v="1"/>
    <x v="18"/>
    <x v="9"/>
    <s v="Hyderabad"/>
    <s v="Telangana"/>
    <x v="2"/>
    <x v="1"/>
    <s v="Study Table"/>
    <x v="11"/>
    <n v="1"/>
    <n v="8120"/>
    <n v="0.05"/>
    <n v="5840"/>
    <s v="Credit Card"/>
    <s v="Delivered"/>
    <n v="2"/>
    <s v="New"/>
    <n v="8120"/>
    <n v="406"/>
    <n v="7714"/>
    <n v="1874"/>
    <n v="0.24293492351568577"/>
    <n v="2030"/>
    <s v="Jan"/>
    <s v="Q1"/>
  </r>
  <r>
    <s v="ORD11736"/>
    <x v="1735"/>
    <s v="CUST1033"/>
    <s v="Priya Mehta"/>
    <x v="46"/>
    <x v="1"/>
    <x v="13"/>
    <x v="13"/>
    <s v="Lucknow"/>
    <s v="Uttar Pradesh"/>
    <x v="3"/>
    <x v="1"/>
    <s v="Sofa"/>
    <x v="16"/>
    <n v="1"/>
    <n v="27810"/>
    <n v="0.15"/>
    <n v="20360"/>
    <s v="Cash on Delivery"/>
    <s v="Delivered"/>
    <n v="3"/>
    <s v="Returning"/>
    <n v="27810"/>
    <n v="4171.5"/>
    <n v="23638.5"/>
    <n v="3278.5"/>
    <n v="0.13869323349620322"/>
    <n v="2030"/>
    <s v="Jan"/>
    <s v="Q1"/>
  </r>
  <r>
    <s v="ORD11737"/>
    <x v="1736"/>
    <s v="CUST1037"/>
    <s v="Sneha Shah"/>
    <x v="151"/>
    <x v="0"/>
    <x v="33"/>
    <x v="5"/>
    <s v="Bhubaneswar"/>
    <s v="Odisha"/>
    <x v="1"/>
    <x v="2"/>
    <s v="Laptop"/>
    <x v="15"/>
    <n v="3"/>
    <n v="58630"/>
    <n v="0"/>
    <n v="40790"/>
    <s v="Debit Card"/>
    <s v="Delivered"/>
    <n v="3"/>
    <s v="Returning"/>
    <n v="175890"/>
    <n v="0"/>
    <n v="175890"/>
    <n v="135100"/>
    <n v="0.7680936949229632"/>
    <n v="2030"/>
    <s v="Jan"/>
    <s v="Q1"/>
  </r>
  <r>
    <s v="ORD11738"/>
    <x v="1737"/>
    <s v="CUST1331"/>
    <s v="Arjun Verma"/>
    <x v="7"/>
    <x v="1"/>
    <x v="7"/>
    <x v="11"/>
    <s v="Chennai"/>
    <s v="Tamil Nadu"/>
    <x v="2"/>
    <x v="2"/>
    <s v="Smartphone"/>
    <x v="13"/>
    <n v="1"/>
    <n v="17890"/>
    <n v="0.05"/>
    <n v="12810"/>
    <s v="UPI"/>
    <s v="Delivered"/>
    <n v="2"/>
    <s v="New"/>
    <n v="17890"/>
    <n v="894.5"/>
    <n v="16995.5"/>
    <n v="4185.5"/>
    <n v="0.24627107175428789"/>
    <n v="2030"/>
    <s v="Jan"/>
    <s v="Q1"/>
  </r>
  <r>
    <s v="ORD11739"/>
    <x v="1738"/>
    <s v="CUST1067"/>
    <s v="Karan Shah"/>
    <x v="8"/>
    <x v="1"/>
    <x v="39"/>
    <x v="7"/>
    <s v="Mumbai"/>
    <s v="Maharashtra"/>
    <x v="0"/>
    <x v="5"/>
    <s v="Mixer Grinder"/>
    <x v="22"/>
    <n v="2"/>
    <n v="4530"/>
    <n v="0.05"/>
    <n v="2600"/>
    <s v="Debit Card"/>
    <s v="Delivered"/>
    <n v="4"/>
    <s v="Returning"/>
    <n v="9060"/>
    <n v="453"/>
    <n v="8607"/>
    <n v="6007"/>
    <n v="0.69792029743232253"/>
    <n v="2030"/>
    <s v="Jan"/>
    <s v="Q1"/>
  </r>
  <r>
    <s v="ORD11740"/>
    <x v="1739"/>
    <s v="CUST1400"/>
    <s v="Kavya Shah"/>
    <x v="213"/>
    <x v="0"/>
    <x v="32"/>
    <x v="5"/>
    <s v="Bhubaneswar"/>
    <s v="Odisha"/>
    <x v="1"/>
    <x v="4"/>
    <s v="Face Cream"/>
    <x v="21"/>
    <n v="1"/>
    <n v="690"/>
    <n v="0.05"/>
    <n v="300"/>
    <s v="Net Banking"/>
    <s v="Cancelled"/>
    <n v="0"/>
    <s v="New"/>
    <n v="690"/>
    <n v="34.5"/>
    <n v="655.5"/>
    <n v="355.5"/>
    <n v="0.54233409610983985"/>
    <n v="2030"/>
    <s v="Jan"/>
    <s v="Q1"/>
  </r>
  <r>
    <s v="ORD11741"/>
    <x v="1740"/>
    <s v="CUST1314"/>
    <s v="Aditya Sharma"/>
    <x v="124"/>
    <x v="1"/>
    <x v="38"/>
    <x v="14"/>
    <s v="Ahmedabad"/>
    <s v="Gujarat"/>
    <x v="0"/>
    <x v="2"/>
    <s v="Headphones"/>
    <x v="5"/>
    <n v="1"/>
    <n v="2580"/>
    <n v="0.2"/>
    <n v="1490"/>
    <s v="Net Banking"/>
    <s v="Returned"/>
    <n v="6"/>
    <s v="New"/>
    <n v="2580"/>
    <n v="516"/>
    <n v="2064"/>
    <n v="574"/>
    <n v="0.27810077519379844"/>
    <n v="2030"/>
    <s v="Jan"/>
    <s v="Q1"/>
  </r>
  <r>
    <s v="ORD11742"/>
    <x v="1741"/>
    <s v="CUST1113"/>
    <s v="Ishita Mehta"/>
    <x v="113"/>
    <x v="1"/>
    <x v="26"/>
    <x v="0"/>
    <s v="Pune"/>
    <s v="Maharashtra"/>
    <x v="0"/>
    <x v="2"/>
    <s v="Tablet"/>
    <x v="4"/>
    <n v="4"/>
    <n v="22640"/>
    <n v="0.15"/>
    <n v="15590"/>
    <s v="UPI"/>
    <s v="Delivered"/>
    <n v="3"/>
    <s v="Returning"/>
    <n v="90560"/>
    <n v="13584"/>
    <n v="76976"/>
    <n v="61386"/>
    <n v="0.79746934109332779"/>
    <n v="2030"/>
    <s v="Jan"/>
    <s v="Q1"/>
  </r>
  <r>
    <s v="ORD11743"/>
    <x v="1742"/>
    <s v="CUST1106"/>
    <s v="Aditya Naidu"/>
    <x v="83"/>
    <x v="1"/>
    <x v="26"/>
    <x v="3"/>
    <s v="Bengaluru"/>
    <s v="Karnataka"/>
    <x v="2"/>
    <x v="5"/>
    <s v="Vacuum Cleaner"/>
    <x v="9"/>
    <n v="3"/>
    <n v="7970"/>
    <n v="0.1"/>
    <n v="5770"/>
    <s v="UPI"/>
    <s v="Delivered"/>
    <n v="5"/>
    <s v="Returning"/>
    <n v="23910"/>
    <n v="2391"/>
    <n v="21519"/>
    <n v="15749"/>
    <n v="0.73186486360890379"/>
    <n v="2030"/>
    <s v="Jan"/>
    <s v="Q1"/>
  </r>
  <r>
    <s v="ORD11744"/>
    <x v="1743"/>
    <s v="CUST1491"/>
    <s v="Diya Joshi"/>
    <x v="118"/>
    <x v="1"/>
    <x v="9"/>
    <x v="2"/>
    <s v="Kochi"/>
    <s v="Kerala"/>
    <x v="2"/>
    <x v="0"/>
    <s v="Handbag"/>
    <x v="12"/>
    <n v="2"/>
    <n v="2980"/>
    <n v="0.15"/>
    <n v="1650"/>
    <s v="UPI"/>
    <s v="Delivered"/>
    <n v="2"/>
    <s v="New"/>
    <n v="5960"/>
    <n v="894"/>
    <n v="5066"/>
    <n v="3416"/>
    <n v="0.67429924990130286"/>
    <n v="2030"/>
    <s v="Jan"/>
    <s v="Q1"/>
  </r>
  <r>
    <s v="ORD11745"/>
    <x v="1744"/>
    <s v="CUST1198"/>
    <s v="Karan Nair"/>
    <x v="129"/>
    <x v="1"/>
    <x v="40"/>
    <x v="7"/>
    <s v="Mumbai"/>
    <s v="Maharashtra"/>
    <x v="0"/>
    <x v="2"/>
    <s v="Tablet"/>
    <x v="4"/>
    <n v="1"/>
    <n v="23150"/>
    <n v="0.3"/>
    <n v="15850"/>
    <s v="UPI"/>
    <s v="Delivered"/>
    <n v="8"/>
    <s v="Returning"/>
    <n v="23150"/>
    <n v="6945"/>
    <n v="16205"/>
    <n v="355"/>
    <n v="2.1906818883060782E-2"/>
    <n v="2030"/>
    <s v="Jan"/>
    <s v="Q1"/>
  </r>
  <r>
    <s v="ORD11746"/>
    <x v="1745"/>
    <s v="CUST1133"/>
    <s v="Arjun Iyer"/>
    <x v="184"/>
    <x v="1"/>
    <x v="21"/>
    <x v="9"/>
    <s v="Hyderabad"/>
    <s v="Telangana"/>
    <x v="2"/>
    <x v="2"/>
    <s v="Headphones"/>
    <x v="5"/>
    <n v="5"/>
    <n v="2370"/>
    <n v="0.15"/>
    <n v="1450"/>
    <s v="Credit Card"/>
    <s v="Delivered"/>
    <n v="5"/>
    <s v="Returning"/>
    <n v="11850"/>
    <n v="1777.5"/>
    <n v="10072.5"/>
    <n v="8622.5"/>
    <n v="0.85604368329610325"/>
    <n v="2030"/>
    <s v="Jan"/>
    <s v="Q1"/>
  </r>
  <r>
    <s v="ORD11747"/>
    <x v="1746"/>
    <s v="CUST1127"/>
    <s v="Vivaan Das"/>
    <x v="17"/>
    <x v="0"/>
    <x v="9"/>
    <x v="11"/>
    <s v="Chennai"/>
    <s v="Tamil Nadu"/>
    <x v="2"/>
    <x v="3"/>
    <s v="Football"/>
    <x v="10"/>
    <n v="3"/>
    <n v="1290"/>
    <n v="0.15"/>
    <n v="600"/>
    <s v="Net Banking"/>
    <s v="Pending"/>
    <n v="7"/>
    <s v="Returning"/>
    <n v="3870"/>
    <n v="580.5"/>
    <n v="3289.5"/>
    <n v="2689.5"/>
    <n v="0.8176014591883265"/>
    <n v="2030"/>
    <s v="Jan"/>
    <s v="Q1"/>
  </r>
  <r>
    <s v="ORD11748"/>
    <x v="1747"/>
    <s v="CUST1074"/>
    <s v="Aditya Sharma"/>
    <x v="124"/>
    <x v="0"/>
    <x v="30"/>
    <x v="3"/>
    <s v="Bengaluru"/>
    <s v="Karnataka"/>
    <x v="2"/>
    <x v="0"/>
    <s v="Handbag"/>
    <x v="12"/>
    <n v="2"/>
    <n v="2650"/>
    <n v="0.1"/>
    <n v="1600"/>
    <s v="Credit Card"/>
    <s v="Delivered"/>
    <n v="4"/>
    <s v="Returning"/>
    <n v="5300"/>
    <n v="530"/>
    <n v="4770"/>
    <n v="3170"/>
    <n v="0.66457023060796649"/>
    <n v="2030"/>
    <s v="Jan"/>
    <s v="Q1"/>
  </r>
  <r>
    <s v="ORD11749"/>
    <x v="1748"/>
    <s v="CUST1028"/>
    <s v="Ishita Das"/>
    <x v="182"/>
    <x v="0"/>
    <x v="15"/>
    <x v="13"/>
    <s v="Lucknow"/>
    <s v="Uttar Pradesh"/>
    <x v="3"/>
    <x v="4"/>
    <s v="Hair Dryer"/>
    <x v="14"/>
    <n v="1"/>
    <n v="1920"/>
    <n v="0.25"/>
    <n v="1010"/>
    <s v="Debit Card"/>
    <s v="Returned"/>
    <n v="7"/>
    <s v="Returning"/>
    <n v="1920"/>
    <n v="480"/>
    <n v="1440"/>
    <n v="430"/>
    <n v="0.2986111111111111"/>
    <n v="2030"/>
    <s v="Jan"/>
    <s v="Q1"/>
  </r>
  <r>
    <s v="ORD11750"/>
    <x v="1749"/>
    <s v="CUST1367"/>
    <s v="Karan Joshi"/>
    <x v="230"/>
    <x v="0"/>
    <x v="14"/>
    <x v="13"/>
    <s v="Lucknow"/>
    <s v="Uttar Pradesh"/>
    <x v="3"/>
    <x v="0"/>
    <s v="T-Shirt"/>
    <x v="2"/>
    <n v="3"/>
    <n v="960"/>
    <n v="0"/>
    <n v="450"/>
    <s v="UPI"/>
    <s v="Delivered"/>
    <n v="6"/>
    <s v="New"/>
    <n v="2880"/>
    <n v="0"/>
    <n v="2880"/>
    <n v="2430"/>
    <n v="0.84375"/>
    <n v="2030"/>
    <s v="Jan"/>
    <s v="Q1"/>
  </r>
  <r>
    <s v="ORD11751"/>
    <x v="1750"/>
    <s v="CUST1318"/>
    <s v="Karan Patel"/>
    <x v="173"/>
    <x v="1"/>
    <x v="4"/>
    <x v="13"/>
    <s v="Lucknow"/>
    <s v="Uttar Pradesh"/>
    <x v="3"/>
    <x v="4"/>
    <s v="Hair Dryer"/>
    <x v="14"/>
    <n v="3"/>
    <n v="1790"/>
    <n v="0.15"/>
    <n v="950"/>
    <s v="Net Banking"/>
    <s v="Delivered"/>
    <n v="3"/>
    <s v="New"/>
    <n v="5370"/>
    <n v="805.5"/>
    <n v="4564.5"/>
    <n v="3614.5"/>
    <n v="0.79187205608500388"/>
    <n v="2030"/>
    <s v="Jan"/>
    <s v="Q1"/>
  </r>
  <r>
    <s v="ORD11752"/>
    <x v="1751"/>
    <s v="CUST1203"/>
    <s v="Vikram Singh"/>
    <x v="192"/>
    <x v="0"/>
    <x v="4"/>
    <x v="10"/>
    <s v="Jaipur"/>
    <s v="Rajasthan"/>
    <x v="3"/>
    <x v="0"/>
    <s v="Handbag"/>
    <x v="12"/>
    <n v="1"/>
    <n v="3000"/>
    <n v="0"/>
    <n v="1680"/>
    <s v="Cash on Delivery"/>
    <s v="Delivered"/>
    <n v="4"/>
    <s v="Returning"/>
    <n v="3000"/>
    <n v="0"/>
    <n v="3000"/>
    <n v="1320"/>
    <n v="0.44"/>
    <n v="2030"/>
    <s v="Jan"/>
    <s v="Q1"/>
  </r>
  <r>
    <s v="ORD11753"/>
    <x v="1752"/>
    <s v="CUST1242"/>
    <s v="Priya Joshi"/>
    <x v="122"/>
    <x v="0"/>
    <x v="38"/>
    <x v="6"/>
    <s v="Guwahati"/>
    <s v="Assam"/>
    <x v="1"/>
    <x v="2"/>
    <s v="Headphones"/>
    <x v="5"/>
    <n v="1"/>
    <n v="2410"/>
    <n v="0"/>
    <n v="1500"/>
    <s v="Debit Card"/>
    <s v="Delivered"/>
    <n v="1"/>
    <s v="Returning"/>
    <n v="2410"/>
    <n v="0"/>
    <n v="2410"/>
    <n v="910"/>
    <n v="0.37759336099585061"/>
    <n v="2030"/>
    <s v="Jan"/>
    <s v="Q1"/>
  </r>
  <r>
    <s v="ORD11754"/>
    <x v="1753"/>
    <s v="CUST1018"/>
    <s v="Sneha Rao"/>
    <x v="27"/>
    <x v="0"/>
    <x v="4"/>
    <x v="2"/>
    <s v="Kochi"/>
    <s v="Kerala"/>
    <x v="2"/>
    <x v="1"/>
    <s v="Study Table"/>
    <x v="11"/>
    <n v="1"/>
    <n v="7930"/>
    <n v="0.1"/>
    <n v="5760"/>
    <s v="UPI"/>
    <s v="Delivered"/>
    <n v="4"/>
    <s v="Returning"/>
    <n v="7930"/>
    <n v="793"/>
    <n v="7137"/>
    <n v="1377"/>
    <n v="0.19293820933165196"/>
    <n v="2030"/>
    <s v="Jan"/>
    <s v="Q1"/>
  </r>
  <r>
    <s v="ORD11755"/>
    <x v="1754"/>
    <s v="CUST1401"/>
    <s v="Diya Singh"/>
    <x v="239"/>
    <x v="1"/>
    <x v="40"/>
    <x v="2"/>
    <s v="Kochi"/>
    <s v="Kerala"/>
    <x v="2"/>
    <x v="1"/>
    <s v="Office Chair"/>
    <x v="1"/>
    <n v="2"/>
    <n v="6770"/>
    <n v="0.2"/>
    <n v="4380"/>
    <s v="Credit Card"/>
    <s v="Pending"/>
    <n v="2"/>
    <s v="New"/>
    <n v="13540"/>
    <n v="2708"/>
    <n v="10832"/>
    <n v="6452"/>
    <n v="0.59564254062038402"/>
    <n v="2030"/>
    <s v="Jan"/>
    <s v="Q1"/>
  </r>
  <r>
    <s v="ORD11756"/>
    <x v="1755"/>
    <s v="CUST1371"/>
    <s v="Ananya Sharma"/>
    <x v="142"/>
    <x v="1"/>
    <x v="32"/>
    <x v="6"/>
    <s v="Guwahati"/>
    <s v="Assam"/>
    <x v="1"/>
    <x v="3"/>
    <s v="Tennis Racket"/>
    <x v="17"/>
    <n v="3"/>
    <n v="4190"/>
    <n v="0.05"/>
    <n v="2930"/>
    <s v="Debit Card"/>
    <s v="Delivered"/>
    <n v="3"/>
    <s v="New"/>
    <n v="12570"/>
    <n v="628.5"/>
    <n v="11941.5"/>
    <n v="9011.5"/>
    <n v="0.75463718963279325"/>
    <n v="2030"/>
    <s v="Feb"/>
    <s v="Q1"/>
  </r>
  <r>
    <s v="ORD11757"/>
    <x v="1756"/>
    <s v="CUST1217"/>
    <s v="Diya Nair"/>
    <x v="248"/>
    <x v="1"/>
    <x v="31"/>
    <x v="11"/>
    <s v="Chennai"/>
    <s v="Tamil Nadu"/>
    <x v="2"/>
    <x v="4"/>
    <s v="Hair Dryer"/>
    <x v="14"/>
    <n v="2"/>
    <n v="1730"/>
    <n v="0.1"/>
    <n v="1040"/>
    <s v="Credit Card"/>
    <s v="Returned"/>
    <n v="7"/>
    <s v="Returning"/>
    <n v="3460"/>
    <n v="346"/>
    <n v="3114"/>
    <n v="2074"/>
    <n v="0.66602440590879897"/>
    <n v="2030"/>
    <s v="Feb"/>
    <s v="Q1"/>
  </r>
  <r>
    <s v="ORD11758"/>
    <x v="1757"/>
    <s v="CUST1016"/>
    <s v="Meera Gupta"/>
    <x v="89"/>
    <x v="0"/>
    <x v="32"/>
    <x v="12"/>
    <s v="Delhi"/>
    <s v="Delhi"/>
    <x v="3"/>
    <x v="4"/>
    <s v="Hair Dryer"/>
    <x v="14"/>
    <n v="3"/>
    <n v="1740"/>
    <n v="0.25"/>
    <n v="960"/>
    <s v="Credit Card"/>
    <s v="Delivered"/>
    <n v="4"/>
    <s v="Returning"/>
    <n v="5220"/>
    <n v="1305"/>
    <n v="3915"/>
    <n v="2955"/>
    <n v="0.75478927203065138"/>
    <n v="2030"/>
    <s v="Feb"/>
    <s v="Q1"/>
  </r>
  <r>
    <s v="ORD11759"/>
    <x v="1758"/>
    <s v="CUST1089"/>
    <s v="Vikram Nair"/>
    <x v="80"/>
    <x v="1"/>
    <x v="37"/>
    <x v="7"/>
    <s v="Mumbai"/>
    <s v="Maharashtra"/>
    <x v="0"/>
    <x v="1"/>
    <s v="Sofa"/>
    <x v="16"/>
    <n v="4"/>
    <n v="27700"/>
    <n v="0.1"/>
    <n v="21460"/>
    <s v="Wallet"/>
    <s v="Delivered"/>
    <n v="6"/>
    <s v="Returning"/>
    <n v="110800"/>
    <n v="11080"/>
    <n v="99720"/>
    <n v="78260"/>
    <n v="0.7847974328118732"/>
    <n v="2030"/>
    <s v="Feb"/>
    <s v="Q1"/>
  </r>
  <r>
    <s v="ORD11760"/>
    <x v="1759"/>
    <s v="CUST1396"/>
    <s v="Aditya Joshi"/>
    <x v="231"/>
    <x v="1"/>
    <x v="39"/>
    <x v="12"/>
    <s v="Delhi"/>
    <s v="Delhi"/>
    <x v="3"/>
    <x v="0"/>
    <s v="Jeans"/>
    <x v="19"/>
    <n v="1"/>
    <n v="2130"/>
    <n v="0"/>
    <n v="1180"/>
    <s v="Credit Card"/>
    <s v="Delivered"/>
    <n v="5"/>
    <s v="New"/>
    <n v="2130"/>
    <n v="0"/>
    <n v="2130"/>
    <n v="950"/>
    <n v="0.4460093896713615"/>
    <n v="2030"/>
    <s v="Feb"/>
    <s v="Q1"/>
  </r>
  <r>
    <s v="ORD11761"/>
    <x v="1760"/>
    <s v="CUST1118"/>
    <s v="Vivaan Verma"/>
    <x v="210"/>
    <x v="1"/>
    <x v="29"/>
    <x v="14"/>
    <s v="Ahmedabad"/>
    <s v="Gujarat"/>
    <x v="0"/>
    <x v="1"/>
    <s v="Sofa"/>
    <x v="16"/>
    <n v="2"/>
    <n v="29960"/>
    <n v="0.25"/>
    <n v="20000"/>
    <s v="Credit Card"/>
    <s v="Delivered"/>
    <n v="4"/>
    <s v="Returning"/>
    <n v="59920"/>
    <n v="14980"/>
    <n v="44940"/>
    <n v="24940"/>
    <n v="0.55496217178460172"/>
    <n v="2030"/>
    <s v="Feb"/>
    <s v="Q1"/>
  </r>
  <r>
    <s v="ORD11762"/>
    <x v="1761"/>
    <s v="CUST1079"/>
    <s v="Meera Sharma"/>
    <x v="48"/>
    <x v="0"/>
    <x v="29"/>
    <x v="8"/>
    <s v="Mysuru"/>
    <s v="Karnataka"/>
    <x v="2"/>
    <x v="2"/>
    <s v="Smartphone"/>
    <x v="13"/>
    <n v="5"/>
    <n v="18040"/>
    <n v="0.1"/>
    <n v="12390"/>
    <s v="UPI"/>
    <s v="Delivered"/>
    <n v="2"/>
    <s v="Returning"/>
    <n v="90200"/>
    <n v="9020"/>
    <n v="81180"/>
    <n v="68790"/>
    <n v="0.84737620103473765"/>
    <n v="2030"/>
    <s v="Feb"/>
    <s v="Q1"/>
  </r>
  <r>
    <s v="ORD11763"/>
    <x v="1762"/>
    <s v="CUST1004"/>
    <s v="Karan Iyer"/>
    <x v="20"/>
    <x v="1"/>
    <x v="26"/>
    <x v="12"/>
    <s v="Delhi"/>
    <s v="Delhi"/>
    <x v="3"/>
    <x v="1"/>
    <s v="Study Table"/>
    <x v="11"/>
    <n v="3"/>
    <n v="9100"/>
    <n v="0"/>
    <n v="5750"/>
    <s v="Credit Card"/>
    <s v="Delivered"/>
    <n v="4"/>
    <s v="Returning"/>
    <n v="27300"/>
    <n v="0"/>
    <n v="27300"/>
    <n v="21550"/>
    <n v="0.78937728937728935"/>
    <n v="2030"/>
    <s v="Feb"/>
    <s v="Q1"/>
  </r>
  <r>
    <s v="ORD11764"/>
    <x v="1763"/>
    <s v="CUST1032"/>
    <s v="Aarav Joshi"/>
    <x v="62"/>
    <x v="0"/>
    <x v="39"/>
    <x v="5"/>
    <s v="Bhubaneswar"/>
    <s v="Odisha"/>
    <x v="1"/>
    <x v="0"/>
    <s v="Handbag"/>
    <x v="12"/>
    <n v="1"/>
    <n v="2780"/>
    <n v="0.1"/>
    <n v="1650"/>
    <s v="Cash on Delivery"/>
    <s v="Delivered"/>
    <n v="3"/>
    <s v="Returning"/>
    <n v="2780"/>
    <n v="278"/>
    <n v="2502"/>
    <n v="852"/>
    <n v="0.34052757793764987"/>
    <n v="2030"/>
    <s v="Feb"/>
    <s v="Q1"/>
  </r>
  <r>
    <s v="ORD11765"/>
    <x v="1764"/>
    <s v="CUST1363"/>
    <s v="Rahul Singh"/>
    <x v="167"/>
    <x v="0"/>
    <x v="33"/>
    <x v="8"/>
    <s v="Mysuru"/>
    <s v="Karnataka"/>
    <x v="2"/>
    <x v="0"/>
    <s v="Sneakers"/>
    <x v="0"/>
    <n v="2"/>
    <n v="3520"/>
    <n v="0"/>
    <n v="2090"/>
    <s v="Credit Card"/>
    <s v="Cancelled"/>
    <n v="0"/>
    <s v="New"/>
    <n v="7040"/>
    <n v="0"/>
    <n v="7040"/>
    <n v="4950"/>
    <n v="0.703125"/>
    <n v="2030"/>
    <s v="Feb"/>
    <s v="Q1"/>
  </r>
  <r>
    <s v="ORD11766"/>
    <x v="1765"/>
    <s v="CUST1292"/>
    <s v="Vivaan Verma"/>
    <x v="210"/>
    <x v="1"/>
    <x v="15"/>
    <x v="4"/>
    <s v="Chandigarh"/>
    <s v="Chandigarh"/>
    <x v="3"/>
    <x v="2"/>
    <s v="Tablet"/>
    <x v="4"/>
    <n v="3"/>
    <n v="22310"/>
    <n v="0.15"/>
    <n v="14920"/>
    <s v="Debit Card"/>
    <s v="Cancelled"/>
    <n v="0"/>
    <s v="Returning"/>
    <n v="66930"/>
    <n v="10039.5"/>
    <n v="56890.5"/>
    <n v="41970.5"/>
    <n v="0.73774180223411645"/>
    <n v="2030"/>
    <s v="Feb"/>
    <s v="Q1"/>
  </r>
  <r>
    <s v="ORD11767"/>
    <x v="1766"/>
    <s v="CUST1221"/>
    <s v="Ananya Sharma"/>
    <x v="142"/>
    <x v="0"/>
    <x v="37"/>
    <x v="9"/>
    <s v="Hyderabad"/>
    <s v="Telangana"/>
    <x v="2"/>
    <x v="0"/>
    <s v="Sneakers"/>
    <x v="0"/>
    <n v="1"/>
    <n v="3230"/>
    <n v="0.2"/>
    <n v="2080"/>
    <s v="Debit Card"/>
    <s v="Delivered"/>
    <n v="6"/>
    <s v="Returning"/>
    <n v="3230"/>
    <n v="646"/>
    <n v="2584"/>
    <n v="504"/>
    <n v="0.19504643962848298"/>
    <n v="2030"/>
    <s v="Feb"/>
    <s v="Q1"/>
  </r>
  <r>
    <s v="ORD11768"/>
    <x v="1767"/>
    <s v="CUST1492"/>
    <s v="Rahul Mehta"/>
    <x v="93"/>
    <x v="0"/>
    <x v="32"/>
    <x v="1"/>
    <s v="Kolkata"/>
    <s v="West Bengal"/>
    <x v="1"/>
    <x v="0"/>
    <s v="Handbag"/>
    <x v="12"/>
    <n v="1"/>
    <n v="2580"/>
    <n v="0.15"/>
    <n v="1600"/>
    <s v="Cash on Delivery"/>
    <s v="Delivered"/>
    <n v="8"/>
    <s v="New"/>
    <n v="2580"/>
    <n v="387"/>
    <n v="2193"/>
    <n v="593"/>
    <n v="0.27040583675330598"/>
    <n v="2030"/>
    <s v="Feb"/>
    <s v="Q1"/>
  </r>
  <r>
    <s v="ORD11769"/>
    <x v="1768"/>
    <s v="CUST1212"/>
    <s v="Vivaan Verma"/>
    <x v="210"/>
    <x v="1"/>
    <x v="30"/>
    <x v="14"/>
    <s v="Ahmedabad"/>
    <s v="Gujarat"/>
    <x v="0"/>
    <x v="0"/>
    <s v="Jacket"/>
    <x v="25"/>
    <n v="2"/>
    <n v="4420"/>
    <n v="0.05"/>
    <n v="2670"/>
    <s v="Cash on Delivery"/>
    <s v="Delivered"/>
    <n v="3"/>
    <s v="Returning"/>
    <n v="8840"/>
    <n v="442"/>
    <n v="8398"/>
    <n v="5728"/>
    <n v="0.68206715884734459"/>
    <n v="2030"/>
    <s v="Feb"/>
    <s v="Q1"/>
  </r>
  <r>
    <s v="ORD11770"/>
    <x v="1769"/>
    <s v="CUST1490"/>
    <s v="Rahul Verma"/>
    <x v="183"/>
    <x v="1"/>
    <x v="20"/>
    <x v="2"/>
    <s v="Kochi"/>
    <s v="Kerala"/>
    <x v="2"/>
    <x v="0"/>
    <s v="Jeans"/>
    <x v="19"/>
    <n v="2"/>
    <n v="2200"/>
    <n v="0.15"/>
    <n v="1230"/>
    <s v="Net Banking"/>
    <s v="Delivered"/>
    <n v="6"/>
    <s v="New"/>
    <n v="4400"/>
    <n v="660"/>
    <n v="3740"/>
    <n v="2510"/>
    <n v="0.67112299465240643"/>
    <n v="2030"/>
    <s v="Feb"/>
    <s v="Q1"/>
  </r>
  <r>
    <s v="ORD11771"/>
    <x v="1770"/>
    <s v="CUST1070"/>
    <s v="Karan Reddy"/>
    <x v="104"/>
    <x v="0"/>
    <x v="27"/>
    <x v="3"/>
    <s v="Bengaluru"/>
    <s v="Karnataka"/>
    <x v="2"/>
    <x v="3"/>
    <s v="Cricket Bat"/>
    <x v="23"/>
    <n v="5"/>
    <n v="2990"/>
    <n v="0.05"/>
    <n v="1890"/>
    <s v="Wallet"/>
    <s v="Delivered"/>
    <n v="4"/>
    <s v="Returning"/>
    <n v="14950"/>
    <n v="747.5"/>
    <n v="14202.5"/>
    <n v="12312.5"/>
    <n v="0.86692483717655344"/>
    <n v="2030"/>
    <s v="Feb"/>
    <s v="Q1"/>
  </r>
  <r>
    <s v="ORD11772"/>
    <x v="1771"/>
    <s v="CUST1398"/>
    <s v="Arjun Verma"/>
    <x v="7"/>
    <x v="0"/>
    <x v="38"/>
    <x v="13"/>
    <s v="Lucknow"/>
    <s v="Uttar Pradesh"/>
    <x v="3"/>
    <x v="1"/>
    <s v="Bedside Table"/>
    <x v="24"/>
    <n v="2"/>
    <n v="4230"/>
    <n v="0.05"/>
    <n v="2840"/>
    <s v="UPI"/>
    <s v="Delivered"/>
    <n v="2"/>
    <s v="New"/>
    <n v="8460"/>
    <n v="423"/>
    <n v="8037"/>
    <n v="5197"/>
    <n v="0.64663431628717183"/>
    <n v="2030"/>
    <s v="Feb"/>
    <s v="Q1"/>
  </r>
  <r>
    <s v="ORD11773"/>
    <x v="1772"/>
    <s v="CUST1233"/>
    <s v="Nisha Joshi"/>
    <x v="13"/>
    <x v="0"/>
    <x v="19"/>
    <x v="0"/>
    <s v="Pune"/>
    <s v="Maharashtra"/>
    <x v="0"/>
    <x v="5"/>
    <s v="Vacuum Cleaner"/>
    <x v="9"/>
    <n v="1"/>
    <n v="8880"/>
    <n v="0.15"/>
    <n v="5770"/>
    <s v="Wallet"/>
    <s v="Delivered"/>
    <n v="3"/>
    <s v="Returning"/>
    <n v="8880"/>
    <n v="1332"/>
    <n v="7548"/>
    <n v="1778"/>
    <n v="0.23555908850026497"/>
    <n v="2030"/>
    <s v="Feb"/>
    <s v="Q1"/>
  </r>
  <r>
    <s v="ORD11774"/>
    <x v="1773"/>
    <s v="CUST1454"/>
    <s v="Rohan Iyer"/>
    <x v="33"/>
    <x v="1"/>
    <x v="2"/>
    <x v="9"/>
    <s v="Hyderabad"/>
    <s v="Telangana"/>
    <x v="2"/>
    <x v="2"/>
    <s v="Headphones"/>
    <x v="5"/>
    <n v="4"/>
    <n v="2430"/>
    <n v="0.1"/>
    <n v="1570"/>
    <s v="Net Banking"/>
    <s v="Delivered"/>
    <n v="3"/>
    <s v="New"/>
    <n v="9720"/>
    <n v="972"/>
    <n v="8748"/>
    <n v="7178"/>
    <n v="0.82053040695016"/>
    <n v="2030"/>
    <s v="Feb"/>
    <s v="Q1"/>
  </r>
  <r>
    <s v="ORD11775"/>
    <x v="1774"/>
    <s v="CUST1331"/>
    <s v="Vivaan Gupta"/>
    <x v="243"/>
    <x v="0"/>
    <x v="18"/>
    <x v="0"/>
    <s v="Pune"/>
    <s v="Maharashtra"/>
    <x v="0"/>
    <x v="0"/>
    <s v="T-Shirt"/>
    <x v="2"/>
    <n v="1"/>
    <n v="840"/>
    <n v="0.05"/>
    <n v="440"/>
    <s v="Wallet"/>
    <s v="Delivered"/>
    <n v="2"/>
    <s v="New"/>
    <n v="840"/>
    <n v="42"/>
    <n v="798"/>
    <n v="358"/>
    <n v="0.44862155388471175"/>
    <n v="2030"/>
    <s v="Feb"/>
    <s v="Q1"/>
  </r>
  <r>
    <s v="ORD11776"/>
    <x v="1775"/>
    <s v="CUST1270"/>
    <s v="Diya Naidu"/>
    <x v="147"/>
    <x v="0"/>
    <x v="3"/>
    <x v="5"/>
    <s v="Bhubaneswar"/>
    <s v="Odisha"/>
    <x v="1"/>
    <x v="0"/>
    <s v="Handbag"/>
    <x v="12"/>
    <n v="2"/>
    <n v="2680"/>
    <n v="0.15"/>
    <n v="1580"/>
    <s v="Credit Card"/>
    <s v="Delivered"/>
    <n v="4"/>
    <s v="Returning"/>
    <n v="5360"/>
    <n v="804"/>
    <n v="4556"/>
    <n v="2976"/>
    <n v="0.65320456540825289"/>
    <n v="2030"/>
    <s v="Feb"/>
    <s v="Q1"/>
  </r>
  <r>
    <s v="ORD11777"/>
    <x v="1776"/>
    <s v="CUST1194"/>
    <s v="Kavya Kumar"/>
    <x v="96"/>
    <x v="0"/>
    <x v="17"/>
    <x v="10"/>
    <s v="Jaipur"/>
    <s v="Rajasthan"/>
    <x v="3"/>
    <x v="4"/>
    <s v="Shampoo"/>
    <x v="8"/>
    <n v="2"/>
    <n v="470"/>
    <n v="0.1"/>
    <n v="220"/>
    <s v="Credit Card"/>
    <s v="Delivered"/>
    <n v="5"/>
    <s v="Returning"/>
    <n v="940"/>
    <n v="94"/>
    <n v="846"/>
    <n v="626"/>
    <n v="0.73995271867612289"/>
    <n v="2030"/>
    <s v="Feb"/>
    <s v="Q1"/>
  </r>
  <r>
    <s v="ORD11778"/>
    <x v="1777"/>
    <s v="CUST1309"/>
    <s v="Diya Reddy"/>
    <x v="79"/>
    <x v="1"/>
    <x v="18"/>
    <x v="9"/>
    <s v="Hyderabad"/>
    <s v="Telangana"/>
    <x v="2"/>
    <x v="5"/>
    <s v="Electric Kettle"/>
    <x v="18"/>
    <n v="5"/>
    <n v="1910"/>
    <n v="0"/>
    <n v="940"/>
    <s v="Credit Card"/>
    <s v="Delivered"/>
    <n v="5"/>
    <s v="New"/>
    <n v="9550"/>
    <n v="0"/>
    <n v="9550"/>
    <n v="8610"/>
    <n v="0.90157068062827228"/>
    <n v="2030"/>
    <s v="Feb"/>
    <s v="Q1"/>
  </r>
  <r>
    <s v="ORD11779"/>
    <x v="1778"/>
    <s v="CUST1325"/>
    <s v="Meera Singh"/>
    <x v="163"/>
    <x v="1"/>
    <x v="10"/>
    <x v="0"/>
    <s v="Pune"/>
    <s v="Maharashtra"/>
    <x v="0"/>
    <x v="0"/>
    <s v="T-Shirt"/>
    <x v="2"/>
    <n v="1"/>
    <n v="910"/>
    <n v="0.15"/>
    <n v="460"/>
    <s v="Credit Card"/>
    <s v="Delivered"/>
    <n v="1"/>
    <s v="New"/>
    <n v="910"/>
    <n v="136.5"/>
    <n v="773.5"/>
    <n v="313.5"/>
    <n v="0.40530058177117001"/>
    <n v="2030"/>
    <s v="Feb"/>
    <s v="Q1"/>
  </r>
  <r>
    <s v="ORD11780"/>
    <x v="1779"/>
    <s v="CUST1137"/>
    <s v="Sneha Mehta"/>
    <x v="226"/>
    <x v="1"/>
    <x v="23"/>
    <x v="2"/>
    <s v="Kochi"/>
    <s v="Kerala"/>
    <x v="2"/>
    <x v="5"/>
    <s v="Electric Kettle"/>
    <x v="18"/>
    <n v="3"/>
    <n v="1880"/>
    <n v="0.15"/>
    <n v="970"/>
    <s v="Wallet"/>
    <s v="Delivered"/>
    <n v="1"/>
    <s v="Returning"/>
    <n v="5640"/>
    <n v="846"/>
    <n v="4794"/>
    <n v="3824"/>
    <n v="0.79766374634960369"/>
    <n v="2030"/>
    <s v="Feb"/>
    <s v="Q1"/>
  </r>
  <r>
    <s v="ORD11781"/>
    <x v="1780"/>
    <s v="CUST1363"/>
    <s v="Priya Singh"/>
    <x v="0"/>
    <x v="1"/>
    <x v="21"/>
    <x v="13"/>
    <s v="Lucknow"/>
    <s v="Uttar Pradesh"/>
    <x v="3"/>
    <x v="5"/>
    <s v="Mixer Grinder"/>
    <x v="22"/>
    <n v="1"/>
    <n v="4340"/>
    <n v="0.25"/>
    <n v="2610"/>
    <s v="UPI"/>
    <s v="Delivered"/>
    <n v="5"/>
    <s v="New"/>
    <n v="4340"/>
    <n v="1085"/>
    <n v="3255"/>
    <n v="645"/>
    <n v="0.19815668202764977"/>
    <n v="2030"/>
    <s v="Feb"/>
    <s v="Q1"/>
  </r>
  <r>
    <s v="ORD11782"/>
    <x v="1781"/>
    <s v="CUST1385"/>
    <s v="Aarav Iyer"/>
    <x v="37"/>
    <x v="0"/>
    <x v="41"/>
    <x v="8"/>
    <s v="Mysuru"/>
    <s v="Karnataka"/>
    <x v="2"/>
    <x v="2"/>
    <s v="Laptop"/>
    <x v="15"/>
    <n v="1"/>
    <n v="55200"/>
    <n v="0.15"/>
    <n v="40220"/>
    <s v="Debit Card"/>
    <s v="Delivered"/>
    <n v="4"/>
    <s v="New"/>
    <n v="55200"/>
    <n v="8280"/>
    <n v="46920"/>
    <n v="6700"/>
    <n v="0.14279624893435636"/>
    <n v="2030"/>
    <s v="Feb"/>
    <s v="Q1"/>
  </r>
  <r>
    <s v="ORD11783"/>
    <x v="1782"/>
    <s v="CUST1211"/>
    <s v="Vikram Joshi"/>
    <x v="73"/>
    <x v="1"/>
    <x v="32"/>
    <x v="8"/>
    <s v="Mysuru"/>
    <s v="Karnataka"/>
    <x v="2"/>
    <x v="5"/>
    <s v="Mixer Grinder"/>
    <x v="22"/>
    <n v="2"/>
    <n v="4430"/>
    <n v="0.1"/>
    <n v="2690"/>
    <s v="Debit Card"/>
    <s v="Delivered"/>
    <n v="3"/>
    <s v="Returning"/>
    <n v="8860"/>
    <n v="886"/>
    <n v="7974"/>
    <n v="5284"/>
    <n v="0.66265362427890639"/>
    <n v="2030"/>
    <s v="Feb"/>
    <s v="Q1"/>
  </r>
  <r>
    <s v="ORD11784"/>
    <x v="1783"/>
    <s v="CUST1044"/>
    <s v="Rohan Reddy"/>
    <x v="130"/>
    <x v="1"/>
    <x v="4"/>
    <x v="12"/>
    <s v="Delhi"/>
    <s v="Delhi"/>
    <x v="3"/>
    <x v="0"/>
    <s v="Jeans"/>
    <x v="19"/>
    <n v="2"/>
    <n v="2260"/>
    <n v="0.1"/>
    <n v="1240"/>
    <s v="UPI"/>
    <s v="Returned"/>
    <n v="3"/>
    <s v="Returning"/>
    <n v="4520"/>
    <n v="452"/>
    <n v="4068"/>
    <n v="2828"/>
    <n v="0.69518190757128806"/>
    <n v="2030"/>
    <s v="Mar"/>
    <s v="Q1"/>
  </r>
  <r>
    <s v="ORD11785"/>
    <x v="1784"/>
    <s v="CUST1345"/>
    <s v="Meera Reddy"/>
    <x v="202"/>
    <x v="1"/>
    <x v="4"/>
    <x v="3"/>
    <s v="Bengaluru"/>
    <s v="Karnataka"/>
    <x v="2"/>
    <x v="5"/>
    <s v="Mixer Grinder"/>
    <x v="22"/>
    <n v="1"/>
    <n v="4000"/>
    <n v="0.1"/>
    <n v="2730"/>
    <s v="Debit Card"/>
    <s v="Delivered"/>
    <n v="8"/>
    <s v="New"/>
    <n v="4000"/>
    <n v="400"/>
    <n v="3600"/>
    <n v="870"/>
    <n v="0.24166666666666667"/>
    <n v="2030"/>
    <s v="Mar"/>
    <s v="Q1"/>
  </r>
  <r>
    <s v="ORD11786"/>
    <x v="1785"/>
    <s v="CUST1191"/>
    <s v="Rohan Nair"/>
    <x v="178"/>
    <x v="1"/>
    <x v="31"/>
    <x v="6"/>
    <s v="Guwahati"/>
    <s v="Assam"/>
    <x v="1"/>
    <x v="1"/>
    <s v="Bookshelf"/>
    <x v="6"/>
    <n v="1"/>
    <n v="5180"/>
    <n v="0.05"/>
    <n v="3040"/>
    <s v="Credit Card"/>
    <s v="Delivered"/>
    <n v="8"/>
    <s v="Returning"/>
    <n v="5180"/>
    <n v="259"/>
    <n v="4921"/>
    <n v="1881"/>
    <n v="0.38223938223938225"/>
    <n v="2030"/>
    <s v="Mar"/>
    <s v="Q1"/>
  </r>
  <r>
    <s v="ORD11787"/>
    <x v="1786"/>
    <s v="CUST1054"/>
    <s v="Aarav Patel"/>
    <x v="170"/>
    <x v="1"/>
    <x v="16"/>
    <x v="4"/>
    <s v="Chandigarh"/>
    <s v="Chandigarh"/>
    <x v="3"/>
    <x v="2"/>
    <s v="Headphones"/>
    <x v="5"/>
    <n v="2"/>
    <n v="2320"/>
    <n v="0.05"/>
    <n v="1550"/>
    <s v="Credit Card"/>
    <s v="Delivered"/>
    <n v="4"/>
    <s v="Returning"/>
    <n v="4640"/>
    <n v="232"/>
    <n v="4408"/>
    <n v="2858"/>
    <n v="0.64836660617059894"/>
    <n v="2030"/>
    <s v="Mar"/>
    <s v="Q1"/>
  </r>
  <r>
    <s v="ORD11788"/>
    <x v="1787"/>
    <s v="CUST1331"/>
    <s v="Aarav Rao"/>
    <x v="253"/>
    <x v="0"/>
    <x v="36"/>
    <x v="12"/>
    <s v="Delhi"/>
    <s v="Delhi"/>
    <x v="3"/>
    <x v="2"/>
    <s v="Tablet"/>
    <x v="4"/>
    <n v="1"/>
    <n v="22990"/>
    <n v="0"/>
    <n v="15200"/>
    <s v="Debit Card"/>
    <s v="Delivered"/>
    <n v="3"/>
    <s v="New"/>
    <n v="22990"/>
    <n v="0"/>
    <n v="22990"/>
    <n v="7790"/>
    <n v="0.33884297520661155"/>
    <n v="2030"/>
    <s v="Mar"/>
    <s v="Q1"/>
  </r>
  <r>
    <s v="ORD11789"/>
    <x v="1788"/>
    <s v="CUST1336"/>
    <s v="Arjun Singh"/>
    <x v="148"/>
    <x v="1"/>
    <x v="29"/>
    <x v="2"/>
    <s v="Kochi"/>
    <s v="Kerala"/>
    <x v="2"/>
    <x v="0"/>
    <s v="Sneakers"/>
    <x v="0"/>
    <n v="2"/>
    <n v="3660"/>
    <n v="0.15"/>
    <n v="2190"/>
    <s v="Net Banking"/>
    <s v="Delivered"/>
    <n v="3"/>
    <s v="New"/>
    <n v="7320"/>
    <n v="1098"/>
    <n v="6222"/>
    <n v="4032"/>
    <n v="0.64802314368370295"/>
    <n v="2030"/>
    <s v="Mar"/>
    <s v="Q1"/>
  </r>
  <r>
    <s v="ORD11790"/>
    <x v="1789"/>
    <s v="CUST1054"/>
    <s v="Arjun Bhat"/>
    <x v="52"/>
    <x v="0"/>
    <x v="4"/>
    <x v="1"/>
    <s v="Kolkata"/>
    <s v="West Bengal"/>
    <x v="1"/>
    <x v="4"/>
    <s v="Face Cream"/>
    <x v="21"/>
    <n v="2"/>
    <n v="640"/>
    <n v="0.25"/>
    <n v="310"/>
    <s v="Credit Card"/>
    <s v="Delivered"/>
    <n v="5"/>
    <s v="Returning"/>
    <n v="1280"/>
    <n v="320"/>
    <n v="960"/>
    <n v="650"/>
    <n v="0.67708333333333337"/>
    <n v="2030"/>
    <s v="Mar"/>
    <s v="Q1"/>
  </r>
  <r>
    <s v="ORD11791"/>
    <x v="1790"/>
    <s v="CUST1314"/>
    <s v="Sneha Kumar"/>
    <x v="110"/>
    <x v="1"/>
    <x v="17"/>
    <x v="8"/>
    <s v="Mysuru"/>
    <s v="Karnataka"/>
    <x v="2"/>
    <x v="0"/>
    <s v="T-Shirt"/>
    <x v="2"/>
    <n v="1"/>
    <n v="920"/>
    <n v="0.05"/>
    <n v="460"/>
    <s v="Credit Card"/>
    <s v="Pending"/>
    <n v="4"/>
    <s v="New"/>
    <n v="920"/>
    <n v="46"/>
    <n v="874"/>
    <n v="414"/>
    <n v="0.47368421052631576"/>
    <n v="2030"/>
    <s v="Mar"/>
    <s v="Q1"/>
  </r>
  <r>
    <s v="ORD11792"/>
    <x v="1791"/>
    <s v="CUST1405"/>
    <s v="Aditya Nair"/>
    <x v="117"/>
    <x v="1"/>
    <x v="3"/>
    <x v="3"/>
    <s v="Bengaluru"/>
    <s v="Karnataka"/>
    <x v="2"/>
    <x v="1"/>
    <s v="Sofa"/>
    <x v="16"/>
    <n v="2"/>
    <n v="28490"/>
    <n v="0.2"/>
    <n v="19860"/>
    <s v="Credit Card"/>
    <s v="Returned"/>
    <n v="3"/>
    <s v="New"/>
    <n v="56980"/>
    <n v="11396"/>
    <n v="45584"/>
    <n v="25724"/>
    <n v="0.56432081432081427"/>
    <n v="2030"/>
    <s v="Mar"/>
    <s v="Q1"/>
  </r>
  <r>
    <s v="ORD11793"/>
    <x v="1792"/>
    <s v="CUST1389"/>
    <s v="Rohan Sharma"/>
    <x v="21"/>
    <x v="1"/>
    <x v="33"/>
    <x v="12"/>
    <s v="Delhi"/>
    <s v="Delhi"/>
    <x v="3"/>
    <x v="2"/>
    <s v="Laptop"/>
    <x v="15"/>
    <n v="3"/>
    <n v="56360"/>
    <n v="0.05"/>
    <n v="43990"/>
    <s v="Debit Card"/>
    <s v="Cancelled"/>
    <n v="0"/>
    <s v="New"/>
    <n v="169080"/>
    <n v="8454"/>
    <n v="160626"/>
    <n v="116636"/>
    <n v="0.72613400072217449"/>
    <n v="2030"/>
    <s v="Mar"/>
    <s v="Q1"/>
  </r>
  <r>
    <s v="ORD11794"/>
    <x v="1793"/>
    <s v="CUST1328"/>
    <s v="Vikram Patel"/>
    <x v="60"/>
    <x v="1"/>
    <x v="8"/>
    <x v="13"/>
    <s v="Lucknow"/>
    <s v="Uttar Pradesh"/>
    <x v="3"/>
    <x v="0"/>
    <s v="Jacket"/>
    <x v="25"/>
    <n v="1"/>
    <n v="4330"/>
    <n v="0.05"/>
    <n v="2530"/>
    <s v="Cash on Delivery"/>
    <s v="Delivered"/>
    <n v="2"/>
    <s v="New"/>
    <n v="4330"/>
    <n v="216.5"/>
    <n v="4113.5"/>
    <n v="1583.5"/>
    <n v="0.38495198735869696"/>
    <n v="2030"/>
    <s v="Mar"/>
    <s v="Q1"/>
  </r>
  <r>
    <s v="ORD11795"/>
    <x v="1794"/>
    <s v="CUST1286"/>
    <s v="Priya Das"/>
    <x v="141"/>
    <x v="0"/>
    <x v="10"/>
    <x v="14"/>
    <s v="Ahmedabad"/>
    <s v="Gujarat"/>
    <x v="0"/>
    <x v="1"/>
    <s v="Office Chair"/>
    <x v="1"/>
    <n v="1"/>
    <n v="6680"/>
    <n v="0.1"/>
    <n v="4050"/>
    <s v="UPI"/>
    <s v="Delivered"/>
    <n v="5"/>
    <s v="Returning"/>
    <n v="6680"/>
    <n v="668"/>
    <n v="6012"/>
    <n v="1962"/>
    <n v="0.32634730538922158"/>
    <n v="2030"/>
    <s v="Mar"/>
    <s v="Q1"/>
  </r>
  <r>
    <s v="ORD11796"/>
    <x v="1795"/>
    <s v="CUST1003"/>
    <s v="Kavya Patel"/>
    <x v="227"/>
    <x v="0"/>
    <x v="40"/>
    <x v="11"/>
    <s v="Chennai"/>
    <s v="Tamil Nadu"/>
    <x v="2"/>
    <x v="2"/>
    <s v="Laptop"/>
    <x v="15"/>
    <n v="1"/>
    <n v="53740"/>
    <n v="0.3"/>
    <n v="42130"/>
    <s v="Credit Card"/>
    <s v="Delivered"/>
    <n v="2"/>
    <s v="Returning"/>
    <n v="53740"/>
    <n v="16122"/>
    <n v="37618"/>
    <n v="-4512"/>
    <n v="-0.11994258067946197"/>
    <n v="2030"/>
    <s v="Mar"/>
    <s v="Q1"/>
  </r>
  <r>
    <s v="ORD11797"/>
    <x v="1796"/>
    <s v="CUST1100"/>
    <s v="Rahul Rao"/>
    <x v="216"/>
    <x v="1"/>
    <x v="27"/>
    <x v="9"/>
    <s v="Hyderabad"/>
    <s v="Telangana"/>
    <x v="2"/>
    <x v="0"/>
    <s v="Handbag"/>
    <x v="12"/>
    <n v="1"/>
    <n v="2670"/>
    <n v="0.05"/>
    <n v="1660"/>
    <s v="Credit Card"/>
    <s v="Delivered"/>
    <n v="5"/>
    <s v="Returning"/>
    <n v="2670"/>
    <n v="133.5"/>
    <n v="2536.5"/>
    <n v="876.5"/>
    <n v="0.34555489848216048"/>
    <n v="2030"/>
    <s v="Mar"/>
    <s v="Q1"/>
  </r>
  <r>
    <s v="ORD11798"/>
    <x v="1797"/>
    <s v="CUST1148"/>
    <s v="Aditya Naidu"/>
    <x v="83"/>
    <x v="0"/>
    <x v="23"/>
    <x v="13"/>
    <s v="Lucknow"/>
    <s v="Uttar Pradesh"/>
    <x v="3"/>
    <x v="2"/>
    <s v="Laptop"/>
    <x v="15"/>
    <n v="2"/>
    <n v="55150"/>
    <n v="0"/>
    <n v="40230"/>
    <s v="Cash on Delivery"/>
    <s v="Delivered"/>
    <n v="5"/>
    <s v="Returning"/>
    <n v="110300"/>
    <n v="0"/>
    <n v="110300"/>
    <n v="70070"/>
    <n v="0.63526745240253857"/>
    <n v="2030"/>
    <s v="Mar"/>
    <s v="Q1"/>
  </r>
  <r>
    <s v="ORD11799"/>
    <x v="1798"/>
    <s v="CUST1419"/>
    <s v="Rahul Singh"/>
    <x v="167"/>
    <x v="0"/>
    <x v="22"/>
    <x v="10"/>
    <s v="Jaipur"/>
    <s v="Rajasthan"/>
    <x v="3"/>
    <x v="2"/>
    <s v="Tablet"/>
    <x v="4"/>
    <n v="2"/>
    <n v="23700"/>
    <n v="0.2"/>
    <n v="15640"/>
    <s v="Net Banking"/>
    <s v="Delivered"/>
    <n v="3"/>
    <s v="New"/>
    <n v="47400"/>
    <n v="9480"/>
    <n v="37920"/>
    <n v="22280"/>
    <n v="0.58755274261603374"/>
    <n v="2030"/>
    <s v="Mar"/>
    <s v="Q1"/>
  </r>
  <r>
    <s v="ORD11800"/>
    <x v="1799"/>
    <s v="CUST1455"/>
    <s v="Kavya Rao"/>
    <x v="6"/>
    <x v="1"/>
    <x v="39"/>
    <x v="11"/>
    <s v="Chennai"/>
    <s v="Tamil Nadu"/>
    <x v="2"/>
    <x v="4"/>
    <s v="Hair Dryer"/>
    <x v="14"/>
    <n v="3"/>
    <n v="1880"/>
    <n v="0.1"/>
    <n v="1040"/>
    <s v="UPI"/>
    <s v="Delivered"/>
    <n v="4"/>
    <s v="New"/>
    <n v="5640"/>
    <n v="564"/>
    <n v="5076"/>
    <n v="4036"/>
    <n v="0.79511426319936962"/>
    <n v="2030"/>
    <s v="Mar"/>
    <s v="Q1"/>
  </r>
  <r>
    <s v="ORD11801"/>
    <x v="1800"/>
    <s v="CUST1176"/>
    <s v="Aditya Iyer"/>
    <x v="242"/>
    <x v="1"/>
    <x v="26"/>
    <x v="12"/>
    <s v="Delhi"/>
    <s v="Delhi"/>
    <x v="3"/>
    <x v="5"/>
    <s v="Air Fryer"/>
    <x v="26"/>
    <n v="1"/>
    <n v="6450"/>
    <n v="0.05"/>
    <n v="4370"/>
    <s v="Credit Card"/>
    <s v="Delivered"/>
    <n v="3"/>
    <s v="Returning"/>
    <n v="6450"/>
    <n v="322.5"/>
    <n v="6127.5"/>
    <n v="1757.5"/>
    <n v="0.2868217054263566"/>
    <n v="2030"/>
    <s v="Mar"/>
    <s v="Q1"/>
  </r>
  <r>
    <s v="ORD11802"/>
    <x v="1801"/>
    <s v="CUST1073"/>
    <s v="Vivaan Das"/>
    <x v="17"/>
    <x v="0"/>
    <x v="18"/>
    <x v="9"/>
    <s v="Hyderabad"/>
    <s v="Telangana"/>
    <x v="2"/>
    <x v="5"/>
    <s v="Mixer Grinder"/>
    <x v="22"/>
    <n v="1"/>
    <n v="4290"/>
    <n v="0.15"/>
    <n v="2730"/>
    <s v="UPI"/>
    <s v="Delivered"/>
    <n v="3"/>
    <s v="Returning"/>
    <n v="4290"/>
    <n v="643.5"/>
    <n v="3646.5"/>
    <n v="916.5"/>
    <n v="0.25133689839572193"/>
    <n v="2030"/>
    <s v="Mar"/>
    <s v="Q1"/>
  </r>
  <r>
    <s v="ORD11803"/>
    <x v="1802"/>
    <s v="CUST1293"/>
    <s v="Kavya Bhat"/>
    <x v="224"/>
    <x v="1"/>
    <x v="1"/>
    <x v="5"/>
    <s v="Bhubaneswar"/>
    <s v="Odisha"/>
    <x v="1"/>
    <x v="2"/>
    <s v="Headphones"/>
    <x v="5"/>
    <n v="1"/>
    <n v="2350"/>
    <n v="0"/>
    <n v="1570"/>
    <s v="Cash on Delivery"/>
    <s v="Delivered"/>
    <n v="2"/>
    <s v="Returning"/>
    <n v="2350"/>
    <n v="0"/>
    <n v="2350"/>
    <n v="780"/>
    <n v="0.33191489361702126"/>
    <n v="2030"/>
    <s v="Mar"/>
    <s v="Q1"/>
  </r>
  <r>
    <s v="ORD11804"/>
    <x v="1803"/>
    <s v="CUST1198"/>
    <s v="Vikram Sharma"/>
    <x v="12"/>
    <x v="0"/>
    <x v="27"/>
    <x v="13"/>
    <s v="Lucknow"/>
    <s v="Uttar Pradesh"/>
    <x v="3"/>
    <x v="1"/>
    <s v="Bedside Table"/>
    <x v="24"/>
    <n v="2"/>
    <n v="4170"/>
    <n v="0"/>
    <n v="2790"/>
    <s v="Debit Card"/>
    <s v="Delivered"/>
    <n v="2"/>
    <s v="Returning"/>
    <n v="8340"/>
    <n v="0"/>
    <n v="8340"/>
    <n v="5550"/>
    <n v="0.66546762589928055"/>
    <n v="2030"/>
    <s v="Mar"/>
    <s v="Q1"/>
  </r>
  <r>
    <s v="ORD11805"/>
    <x v="1804"/>
    <s v="CUST1026"/>
    <s v="Aarav Kumar"/>
    <x v="19"/>
    <x v="1"/>
    <x v="7"/>
    <x v="8"/>
    <s v="Mysuru"/>
    <s v="Karnataka"/>
    <x v="2"/>
    <x v="2"/>
    <s v="Smartwatch"/>
    <x v="3"/>
    <n v="1"/>
    <n v="7070"/>
    <n v="0.2"/>
    <n v="4380"/>
    <s v="Net Banking"/>
    <s v="Cancelled"/>
    <n v="0"/>
    <s v="Returning"/>
    <n v="7070"/>
    <n v="1414"/>
    <n v="5656"/>
    <n v="1276"/>
    <n v="0.22560113154172559"/>
    <n v="2030"/>
    <s v="Mar"/>
    <s v="Q1"/>
  </r>
  <r>
    <s v="ORD11806"/>
    <x v="1805"/>
    <s v="CUST1193"/>
    <s v="Aditya Nair"/>
    <x v="117"/>
    <x v="0"/>
    <x v="29"/>
    <x v="13"/>
    <s v="Lucknow"/>
    <s v="Uttar Pradesh"/>
    <x v="3"/>
    <x v="0"/>
    <s v="Jeans"/>
    <x v="19"/>
    <n v="1"/>
    <n v="2190"/>
    <n v="0.15"/>
    <n v="1250"/>
    <s v="Debit Card"/>
    <s v="Returned"/>
    <n v="6"/>
    <s v="Returning"/>
    <n v="2190"/>
    <n v="328.5"/>
    <n v="1861.5"/>
    <n v="611.5"/>
    <n v="0.32849852269674995"/>
    <n v="2030"/>
    <s v="Mar"/>
    <s v="Q1"/>
  </r>
  <r>
    <s v="ORD11807"/>
    <x v="1806"/>
    <s v="CUST1304"/>
    <s v="Rohan Patel"/>
    <x v="39"/>
    <x v="1"/>
    <x v="5"/>
    <x v="10"/>
    <s v="Jaipur"/>
    <s v="Rajasthan"/>
    <x v="3"/>
    <x v="2"/>
    <s v="Smartphone"/>
    <x v="13"/>
    <n v="3"/>
    <n v="19370"/>
    <n v="0"/>
    <n v="12890"/>
    <s v="Net Banking"/>
    <s v="Delivered"/>
    <n v="3"/>
    <s v="New"/>
    <n v="58110"/>
    <n v="0"/>
    <n v="58110"/>
    <n v="45220"/>
    <n v="0.77817931509206673"/>
    <n v="2030"/>
    <s v="Mar"/>
    <s v="Q1"/>
  </r>
  <r>
    <s v="ORD11808"/>
    <x v="1807"/>
    <s v="CUST1215"/>
    <s v="Aditya Joshi"/>
    <x v="231"/>
    <x v="1"/>
    <x v="22"/>
    <x v="13"/>
    <s v="Lucknow"/>
    <s v="Uttar Pradesh"/>
    <x v="3"/>
    <x v="4"/>
    <s v="Shampoo"/>
    <x v="8"/>
    <n v="4"/>
    <n v="520"/>
    <n v="0"/>
    <n v="240"/>
    <s v="Cash on Delivery"/>
    <s v="Delivered"/>
    <n v="4"/>
    <s v="Returning"/>
    <n v="2080"/>
    <n v="0"/>
    <n v="2080"/>
    <n v="1840"/>
    <n v="0.88461538461538458"/>
    <n v="2030"/>
    <s v="Mar"/>
    <s v="Q1"/>
  </r>
  <r>
    <s v="ORD11809"/>
    <x v="1808"/>
    <s v="CUST1086"/>
    <s v="Priya Singh"/>
    <x v="0"/>
    <x v="1"/>
    <x v="39"/>
    <x v="14"/>
    <s v="Ahmedabad"/>
    <s v="Gujarat"/>
    <x v="0"/>
    <x v="0"/>
    <s v="Jeans"/>
    <x v="19"/>
    <n v="1"/>
    <n v="2150"/>
    <n v="0"/>
    <n v="1180"/>
    <s v="UPI"/>
    <s v="Cancelled"/>
    <n v="0"/>
    <s v="Returning"/>
    <n v="2150"/>
    <n v="0"/>
    <n v="2150"/>
    <n v="970"/>
    <n v="0.4511627906976744"/>
    <n v="2030"/>
    <s v="Mar"/>
    <s v="Q1"/>
  </r>
  <r>
    <s v="ORD11810"/>
    <x v="1809"/>
    <s v="CUST1214"/>
    <s v="Nisha Patel"/>
    <x v="241"/>
    <x v="1"/>
    <x v="29"/>
    <x v="9"/>
    <s v="Hyderabad"/>
    <s v="Telangana"/>
    <x v="2"/>
    <x v="1"/>
    <s v="Bookshelf"/>
    <x v="6"/>
    <n v="3"/>
    <n v="5050"/>
    <n v="0.2"/>
    <n v="3170"/>
    <s v="Credit Card"/>
    <s v="Delivered"/>
    <n v="1"/>
    <s v="Returning"/>
    <n v="15150"/>
    <n v="3030"/>
    <n v="12120"/>
    <n v="8950"/>
    <n v="0.73844884488448848"/>
    <n v="2030"/>
    <s v="Mar"/>
    <s v="Q1"/>
  </r>
  <r>
    <s v="ORD11811"/>
    <x v="1810"/>
    <s v="CUST1068"/>
    <s v="Vivaan Das"/>
    <x v="17"/>
    <x v="0"/>
    <x v="10"/>
    <x v="12"/>
    <s v="Delhi"/>
    <s v="Delhi"/>
    <x v="3"/>
    <x v="1"/>
    <s v="Sofa"/>
    <x v="16"/>
    <n v="1"/>
    <n v="28210"/>
    <n v="0.1"/>
    <n v="20960"/>
    <s v="UPI"/>
    <s v="Cancelled"/>
    <n v="0"/>
    <s v="Returning"/>
    <n v="28210"/>
    <n v="2821"/>
    <n v="25389"/>
    <n v="4429"/>
    <n v="0.17444562605852929"/>
    <n v="2030"/>
    <s v="Mar"/>
    <s v="Q1"/>
  </r>
  <r>
    <s v="ORD11812"/>
    <x v="1811"/>
    <s v="CUST1236"/>
    <s v="Aarav Patel"/>
    <x v="170"/>
    <x v="1"/>
    <x v="11"/>
    <x v="6"/>
    <s v="Guwahati"/>
    <s v="Assam"/>
    <x v="1"/>
    <x v="0"/>
    <s v="T-Shirt"/>
    <x v="2"/>
    <n v="3"/>
    <n v="890"/>
    <n v="0.05"/>
    <n v="440"/>
    <s v="Credit Card"/>
    <s v="Delivered"/>
    <n v="6"/>
    <s v="Returning"/>
    <n v="2670"/>
    <n v="133.5"/>
    <n v="2536.5"/>
    <n v="2096.5"/>
    <n v="0.82653262369406666"/>
    <n v="2030"/>
    <s v="Mar"/>
    <s v="Q1"/>
  </r>
  <r>
    <s v="ORD11813"/>
    <x v="1812"/>
    <s v="CUST1384"/>
    <s v="Rahul Singh"/>
    <x v="167"/>
    <x v="1"/>
    <x v="23"/>
    <x v="6"/>
    <s v="Guwahati"/>
    <s v="Assam"/>
    <x v="1"/>
    <x v="0"/>
    <s v="Jacket"/>
    <x v="25"/>
    <n v="1"/>
    <n v="4360"/>
    <n v="0.2"/>
    <n v="2610"/>
    <s v="Credit Card"/>
    <s v="Returned"/>
    <n v="2"/>
    <s v="New"/>
    <n v="4360"/>
    <n v="872"/>
    <n v="3488"/>
    <n v="878"/>
    <n v="0.25172018348623854"/>
    <n v="2030"/>
    <s v="Mar"/>
    <s v="Q1"/>
  </r>
  <r>
    <s v="ORD11814"/>
    <x v="1813"/>
    <s v="CUST1209"/>
    <s v="Karan Patel"/>
    <x v="173"/>
    <x v="1"/>
    <x v="29"/>
    <x v="14"/>
    <s v="Ahmedabad"/>
    <s v="Gujarat"/>
    <x v="0"/>
    <x v="0"/>
    <s v="Jeans"/>
    <x v="19"/>
    <n v="2"/>
    <n v="2320"/>
    <n v="0.1"/>
    <n v="1140"/>
    <s v="Net Banking"/>
    <s v="Delivered"/>
    <n v="3"/>
    <s v="Returning"/>
    <n v="4640"/>
    <n v="464"/>
    <n v="4176"/>
    <n v="3036"/>
    <n v="0.72701149425287359"/>
    <n v="2030"/>
    <s v="Mar"/>
    <s v="Q1"/>
  </r>
  <r>
    <s v="ORD11815"/>
    <x v="1814"/>
    <s v="CUST1249"/>
    <s v="Rohan Naidu"/>
    <x v="162"/>
    <x v="1"/>
    <x v="29"/>
    <x v="9"/>
    <s v="Hyderabad"/>
    <s v="Telangana"/>
    <x v="2"/>
    <x v="1"/>
    <s v="Study Table"/>
    <x v="11"/>
    <n v="1"/>
    <n v="8870"/>
    <n v="0.2"/>
    <n v="5350"/>
    <s v="Debit Card"/>
    <s v="Delivered"/>
    <n v="4"/>
    <s v="Returning"/>
    <n v="8870"/>
    <n v="1774"/>
    <n v="7096"/>
    <n v="1746"/>
    <n v="0.24605411499436303"/>
    <n v="2030"/>
    <s v="Apr"/>
    <s v="Q2"/>
  </r>
  <r>
    <s v="ORD11816"/>
    <x v="1815"/>
    <s v="CUST1453"/>
    <s v="Arjun Verma"/>
    <x v="7"/>
    <x v="1"/>
    <x v="26"/>
    <x v="1"/>
    <s v="Kolkata"/>
    <s v="West Bengal"/>
    <x v="1"/>
    <x v="2"/>
    <s v="Laptop"/>
    <x v="15"/>
    <n v="1"/>
    <n v="51430"/>
    <n v="0.1"/>
    <n v="43040"/>
    <s v="Credit Card"/>
    <s v="Delivered"/>
    <n v="3"/>
    <s v="New"/>
    <n v="51430"/>
    <n v="5143"/>
    <n v="46287"/>
    <n v="3247"/>
    <n v="7.0149285976624107E-2"/>
    <n v="2030"/>
    <s v="Apr"/>
    <s v="Q2"/>
  </r>
  <r>
    <s v="ORD11817"/>
    <x v="1816"/>
    <s v="CUST1312"/>
    <s v="Arjun Das"/>
    <x v="123"/>
    <x v="1"/>
    <x v="4"/>
    <x v="12"/>
    <s v="Delhi"/>
    <s v="Delhi"/>
    <x v="3"/>
    <x v="3"/>
    <s v="Dumbbells"/>
    <x v="7"/>
    <n v="2"/>
    <n v="2600"/>
    <n v="0.1"/>
    <n v="1510"/>
    <s v="UPI"/>
    <s v="Delivered"/>
    <n v="1"/>
    <s v="New"/>
    <n v="5200"/>
    <n v="520"/>
    <n v="4680"/>
    <n v="3170"/>
    <n v="0.67735042735042739"/>
    <n v="2030"/>
    <s v="Apr"/>
    <s v="Q2"/>
  </r>
  <r>
    <s v="ORD11818"/>
    <x v="1817"/>
    <s v="CUST1430"/>
    <s v="Vikram Gupta"/>
    <x v="177"/>
    <x v="1"/>
    <x v="18"/>
    <x v="1"/>
    <s v="Kolkata"/>
    <s v="West Bengal"/>
    <x v="1"/>
    <x v="5"/>
    <s v="Electric Kettle"/>
    <x v="18"/>
    <n v="2"/>
    <n v="1850"/>
    <n v="0.05"/>
    <n v="940"/>
    <s v="Debit Card"/>
    <s v="Delivered"/>
    <n v="5"/>
    <s v="New"/>
    <n v="3700"/>
    <n v="185"/>
    <n v="3515"/>
    <n v="2575"/>
    <n v="0.73257467994310099"/>
    <n v="2030"/>
    <s v="Apr"/>
    <s v="Q2"/>
  </r>
  <r>
    <s v="ORD11819"/>
    <x v="1818"/>
    <s v="CUST1317"/>
    <s v="Rohan Bhat"/>
    <x v="175"/>
    <x v="1"/>
    <x v="30"/>
    <x v="2"/>
    <s v="Kochi"/>
    <s v="Kerala"/>
    <x v="2"/>
    <x v="0"/>
    <s v="Sneakers"/>
    <x v="0"/>
    <n v="1"/>
    <n v="3600"/>
    <n v="0.1"/>
    <n v="2030"/>
    <s v="UPI"/>
    <s v="Delivered"/>
    <n v="2"/>
    <s v="New"/>
    <n v="3600"/>
    <n v="360"/>
    <n v="3240"/>
    <n v="1210"/>
    <n v="0.37345679012345678"/>
    <n v="2030"/>
    <s v="Apr"/>
    <s v="Q2"/>
  </r>
  <r>
    <s v="ORD11820"/>
    <x v="1819"/>
    <s v="CUST1092"/>
    <s v="Rohan Reddy"/>
    <x v="130"/>
    <x v="0"/>
    <x v="9"/>
    <x v="12"/>
    <s v="Delhi"/>
    <s v="Delhi"/>
    <x v="3"/>
    <x v="5"/>
    <s v="Microwave"/>
    <x v="27"/>
    <n v="3"/>
    <n v="12440"/>
    <n v="0.2"/>
    <n v="7960"/>
    <s v="Debit Card"/>
    <s v="Delivered"/>
    <n v="1"/>
    <s v="Returning"/>
    <n v="37320"/>
    <n v="7464"/>
    <n v="29856"/>
    <n v="21896"/>
    <n v="0.73338692390139337"/>
    <n v="2030"/>
    <s v="Apr"/>
    <s v="Q2"/>
  </r>
  <r>
    <s v="ORD11821"/>
    <x v="1820"/>
    <s v="CUST1038"/>
    <s v="Ananya Reddy"/>
    <x v="195"/>
    <x v="0"/>
    <x v="30"/>
    <x v="7"/>
    <s v="Mumbai"/>
    <s v="Maharashtra"/>
    <x v="0"/>
    <x v="1"/>
    <s v="Study Table"/>
    <x v="11"/>
    <n v="2"/>
    <n v="8950"/>
    <n v="0.1"/>
    <n v="5780"/>
    <s v="Cash on Delivery"/>
    <s v="Cancelled"/>
    <n v="0"/>
    <s v="Returning"/>
    <n v="17900"/>
    <n v="1790"/>
    <n v="16110"/>
    <n v="10330"/>
    <n v="0.6412166356300435"/>
    <n v="2030"/>
    <s v="Apr"/>
    <s v="Q2"/>
  </r>
  <r>
    <s v="ORD11822"/>
    <x v="1821"/>
    <s v="CUST1118"/>
    <s v="Sneha Naidu"/>
    <x v="50"/>
    <x v="1"/>
    <x v="6"/>
    <x v="5"/>
    <s v="Bhubaneswar"/>
    <s v="Odisha"/>
    <x v="1"/>
    <x v="4"/>
    <s v="Hair Dryer"/>
    <x v="14"/>
    <n v="1"/>
    <n v="1860"/>
    <n v="0"/>
    <n v="980"/>
    <s v="UPI"/>
    <s v="Delivered"/>
    <n v="6"/>
    <s v="Returning"/>
    <n v="1860"/>
    <n v="0"/>
    <n v="1860"/>
    <n v="880"/>
    <n v="0.4731182795698925"/>
    <n v="2030"/>
    <s v="Apr"/>
    <s v="Q2"/>
  </r>
  <r>
    <s v="ORD11823"/>
    <x v="1822"/>
    <s v="CUST1294"/>
    <s v="Nisha Reddy"/>
    <x v="22"/>
    <x v="1"/>
    <x v="31"/>
    <x v="10"/>
    <s v="Jaipur"/>
    <s v="Rajasthan"/>
    <x v="3"/>
    <x v="0"/>
    <s v="Sneakers"/>
    <x v="0"/>
    <n v="4"/>
    <n v="3670"/>
    <n v="0"/>
    <n v="2050"/>
    <s v="Cash on Delivery"/>
    <s v="Delivered"/>
    <n v="7"/>
    <s v="Returning"/>
    <n v="14680"/>
    <n v="0"/>
    <n v="14680"/>
    <n v="12630"/>
    <n v="0.86035422343324253"/>
    <n v="2030"/>
    <s v="Apr"/>
    <s v="Q2"/>
  </r>
  <r>
    <s v="ORD11824"/>
    <x v="1823"/>
    <s v="CUST1015"/>
    <s v="Nisha Das"/>
    <x v="171"/>
    <x v="1"/>
    <x v="11"/>
    <x v="3"/>
    <s v="Bengaluru"/>
    <s v="Karnataka"/>
    <x v="2"/>
    <x v="4"/>
    <s v="Shampoo"/>
    <x v="8"/>
    <n v="3"/>
    <n v="500"/>
    <n v="0.2"/>
    <n v="220"/>
    <s v="Credit Card"/>
    <s v="Delivered"/>
    <n v="7"/>
    <s v="Returning"/>
    <n v="1500"/>
    <n v="300"/>
    <n v="1200"/>
    <n v="980"/>
    <n v="0.81666666666666665"/>
    <n v="2030"/>
    <s v="Apr"/>
    <s v="Q2"/>
  </r>
  <r>
    <s v="ORD11825"/>
    <x v="1824"/>
    <s v="CUST1111"/>
    <s v="Aarav Reddy"/>
    <x v="31"/>
    <x v="0"/>
    <x v="20"/>
    <x v="14"/>
    <s v="Ahmedabad"/>
    <s v="Gujarat"/>
    <x v="0"/>
    <x v="5"/>
    <s v="Mixer Grinder"/>
    <x v="22"/>
    <n v="1"/>
    <n v="4450"/>
    <n v="0.15"/>
    <n v="2620"/>
    <s v="Debit Card"/>
    <s v="Delivered"/>
    <n v="2"/>
    <s v="Returning"/>
    <n v="4450"/>
    <n v="667.5"/>
    <n v="3782.5"/>
    <n v="1162.5"/>
    <n v="0.30733641771315268"/>
    <n v="2030"/>
    <s v="Apr"/>
    <s v="Q2"/>
  </r>
  <r>
    <s v="ORD11826"/>
    <x v="1825"/>
    <s v="CUST1350"/>
    <s v="Diya Nair"/>
    <x v="248"/>
    <x v="1"/>
    <x v="28"/>
    <x v="0"/>
    <s v="Pune"/>
    <s v="Maharashtra"/>
    <x v="0"/>
    <x v="0"/>
    <s v="Jacket"/>
    <x v="25"/>
    <n v="3"/>
    <n v="4050"/>
    <n v="0.1"/>
    <n v="2640"/>
    <s v="Net Banking"/>
    <s v="Cancelled"/>
    <n v="0"/>
    <s v="New"/>
    <n v="12150"/>
    <n v="1215"/>
    <n v="10935"/>
    <n v="8295"/>
    <n v="0.75857338820301778"/>
    <n v="2030"/>
    <s v="Apr"/>
    <s v="Q2"/>
  </r>
  <r>
    <s v="ORD11827"/>
    <x v="1826"/>
    <s v="CUST1486"/>
    <s v="Diya Gupta"/>
    <x v="81"/>
    <x v="0"/>
    <x v="31"/>
    <x v="12"/>
    <s v="Delhi"/>
    <s v="Delhi"/>
    <x v="3"/>
    <x v="0"/>
    <s v="T-Shirt"/>
    <x v="2"/>
    <n v="1"/>
    <n v="850"/>
    <n v="0.1"/>
    <n v="450"/>
    <s v="UPI"/>
    <s v="Delivered"/>
    <n v="3"/>
    <s v="New"/>
    <n v="850"/>
    <n v="85"/>
    <n v="765"/>
    <n v="315"/>
    <n v="0.41176470588235292"/>
    <n v="2030"/>
    <s v="Apr"/>
    <s v="Q2"/>
  </r>
  <r>
    <s v="ORD11828"/>
    <x v="1827"/>
    <s v="CUST1431"/>
    <s v="Karan Iyer"/>
    <x v="20"/>
    <x v="0"/>
    <x v="38"/>
    <x v="0"/>
    <s v="Pune"/>
    <s v="Maharashtra"/>
    <x v="0"/>
    <x v="1"/>
    <s v="Study Table"/>
    <x v="11"/>
    <n v="1"/>
    <n v="8770"/>
    <n v="0.1"/>
    <n v="5370"/>
    <s v="Debit Card"/>
    <s v="Delivered"/>
    <n v="3"/>
    <s v="New"/>
    <n v="8770"/>
    <n v="877"/>
    <n v="7893"/>
    <n v="2523"/>
    <n v="0.31965032307107566"/>
    <n v="2030"/>
    <s v="Apr"/>
    <s v="Q2"/>
  </r>
  <r>
    <s v="ORD11829"/>
    <x v="1828"/>
    <s v="CUST1174"/>
    <s v="Meera Sharma"/>
    <x v="48"/>
    <x v="0"/>
    <x v="35"/>
    <x v="7"/>
    <s v="Mumbai"/>
    <s v="Maharashtra"/>
    <x v="0"/>
    <x v="4"/>
    <s v="Hair Dryer"/>
    <x v="14"/>
    <n v="2"/>
    <n v="1810"/>
    <n v="0.1"/>
    <n v="1030"/>
    <s v="Credit Card"/>
    <s v="Pending"/>
    <n v="7"/>
    <s v="Returning"/>
    <n v="3620"/>
    <n v="362"/>
    <n v="3258"/>
    <n v="2228"/>
    <n v="0.68385512584407615"/>
    <n v="2030"/>
    <s v="Apr"/>
    <s v="Q2"/>
  </r>
  <r>
    <s v="ORD11830"/>
    <x v="1829"/>
    <s v="CUST1381"/>
    <s v="Kavya Mehta"/>
    <x v="166"/>
    <x v="0"/>
    <x v="1"/>
    <x v="10"/>
    <s v="Jaipur"/>
    <s v="Rajasthan"/>
    <x v="3"/>
    <x v="0"/>
    <s v="T-Shirt"/>
    <x v="2"/>
    <n v="4"/>
    <n v="910"/>
    <n v="0.05"/>
    <n v="460"/>
    <s v="UPI"/>
    <s v="Delivered"/>
    <n v="5"/>
    <s v="New"/>
    <n v="3640"/>
    <n v="182"/>
    <n v="3458"/>
    <n v="2998"/>
    <n v="0.86697513013302485"/>
    <n v="2030"/>
    <s v="Apr"/>
    <s v="Q2"/>
  </r>
  <r>
    <s v="ORD11831"/>
    <x v="1830"/>
    <s v="CUST1359"/>
    <s v="Rahul Mehta"/>
    <x v="93"/>
    <x v="0"/>
    <x v="12"/>
    <x v="5"/>
    <s v="Bhubaneswar"/>
    <s v="Odisha"/>
    <x v="1"/>
    <x v="2"/>
    <s v="Laptop"/>
    <x v="15"/>
    <n v="4"/>
    <n v="57160"/>
    <n v="0.1"/>
    <n v="42420"/>
    <s v="UPI"/>
    <s v="Delivered"/>
    <n v="4"/>
    <s v="New"/>
    <n v="228640"/>
    <n v="22864"/>
    <n v="205776"/>
    <n v="163356"/>
    <n v="0.79385351061348264"/>
    <n v="2030"/>
    <s v="Apr"/>
    <s v="Q2"/>
  </r>
  <r>
    <s v="ORD11832"/>
    <x v="1831"/>
    <s v="CUST1076"/>
    <s v="Meera Shah"/>
    <x v="100"/>
    <x v="1"/>
    <x v="31"/>
    <x v="4"/>
    <s v="Chandigarh"/>
    <s v="Chandigarh"/>
    <x v="3"/>
    <x v="3"/>
    <s v="Yoga Mat"/>
    <x v="20"/>
    <n v="2"/>
    <n v="970"/>
    <n v="0.2"/>
    <n v="420"/>
    <s v="Cash on Delivery"/>
    <s v="Delivered"/>
    <n v="5"/>
    <s v="Returning"/>
    <n v="1940"/>
    <n v="388"/>
    <n v="1552"/>
    <n v="1132"/>
    <n v="0.72938144329896903"/>
    <n v="2030"/>
    <s v="Apr"/>
    <s v="Q2"/>
  </r>
  <r>
    <s v="ORD11833"/>
    <x v="1832"/>
    <s v="CUST1413"/>
    <s v="Karan Naidu"/>
    <x v="168"/>
    <x v="0"/>
    <x v="34"/>
    <x v="13"/>
    <s v="Lucknow"/>
    <s v="Uttar Pradesh"/>
    <x v="3"/>
    <x v="2"/>
    <s v="Smartwatch"/>
    <x v="3"/>
    <n v="1"/>
    <n v="7110"/>
    <n v="0.2"/>
    <n v="4450"/>
    <s v="Cash on Delivery"/>
    <s v="Delivered"/>
    <n v="2"/>
    <s v="New"/>
    <n v="7110"/>
    <n v="1422"/>
    <n v="5688"/>
    <n v="1238"/>
    <n v="0.21765119549929676"/>
    <n v="2030"/>
    <s v="Apr"/>
    <s v="Q2"/>
  </r>
  <r>
    <s v="ORD11834"/>
    <x v="1833"/>
    <s v="CUST1484"/>
    <s v="Vikram Kumar"/>
    <x v="233"/>
    <x v="1"/>
    <x v="22"/>
    <x v="0"/>
    <s v="Pune"/>
    <s v="Maharashtra"/>
    <x v="0"/>
    <x v="1"/>
    <s v="Bedside Table"/>
    <x v="24"/>
    <n v="2"/>
    <n v="4660"/>
    <n v="0.2"/>
    <n v="2880"/>
    <s v="Credit Card"/>
    <s v="Pending"/>
    <n v="8"/>
    <s v="New"/>
    <n v="9320"/>
    <n v="1864"/>
    <n v="7456"/>
    <n v="4576"/>
    <n v="0.61373390557939911"/>
    <n v="2030"/>
    <s v="Apr"/>
    <s v="Q2"/>
  </r>
  <r>
    <s v="ORD11835"/>
    <x v="1834"/>
    <s v="CUST1372"/>
    <s v="Ishita Patel"/>
    <x v="209"/>
    <x v="1"/>
    <x v="5"/>
    <x v="6"/>
    <s v="Guwahati"/>
    <s v="Assam"/>
    <x v="1"/>
    <x v="1"/>
    <s v="Bookshelf"/>
    <x v="6"/>
    <n v="1"/>
    <n v="5210"/>
    <n v="0.25"/>
    <n v="3340"/>
    <s v="Debit Card"/>
    <s v="Delivered"/>
    <n v="2"/>
    <s v="New"/>
    <n v="5210"/>
    <n v="1302.5"/>
    <n v="3907.5"/>
    <n v="567.5"/>
    <n v="0.14523352527191299"/>
    <n v="2030"/>
    <s v="Apr"/>
    <s v="Q2"/>
  </r>
  <r>
    <s v="ORD11836"/>
    <x v="1835"/>
    <s v="CUST1396"/>
    <s v="Rohan Mehta"/>
    <x v="176"/>
    <x v="0"/>
    <x v="5"/>
    <x v="6"/>
    <s v="Guwahati"/>
    <s v="Assam"/>
    <x v="1"/>
    <x v="1"/>
    <s v="Bedside Table"/>
    <x v="24"/>
    <n v="5"/>
    <n v="4300"/>
    <n v="0"/>
    <n v="2830"/>
    <s v="Credit Card"/>
    <s v="Delivered"/>
    <n v="4"/>
    <s v="New"/>
    <n v="21500"/>
    <n v="0"/>
    <n v="21500"/>
    <n v="18670"/>
    <n v="0.8683720930232558"/>
    <n v="2030"/>
    <s v="Apr"/>
    <s v="Q2"/>
  </r>
  <r>
    <s v="ORD11837"/>
    <x v="1836"/>
    <s v="CUST1151"/>
    <s v="Diya Gupta"/>
    <x v="81"/>
    <x v="0"/>
    <x v="0"/>
    <x v="2"/>
    <s v="Kochi"/>
    <s v="Kerala"/>
    <x v="2"/>
    <x v="2"/>
    <s v="Laptop"/>
    <x v="15"/>
    <n v="1"/>
    <n v="51150"/>
    <n v="0.1"/>
    <n v="41440"/>
    <s v="Credit Card"/>
    <s v="Delivered"/>
    <n v="10"/>
    <s v="Returning"/>
    <n v="51150"/>
    <n v="5115"/>
    <n v="46035"/>
    <n v="4595"/>
    <n v="9.9815357879874014E-2"/>
    <n v="2030"/>
    <s v="Apr"/>
    <s v="Q2"/>
  </r>
  <r>
    <s v="ORD11838"/>
    <x v="1837"/>
    <s v="CUST1052"/>
    <s v="Sneha Verma"/>
    <x v="132"/>
    <x v="0"/>
    <x v="25"/>
    <x v="4"/>
    <s v="Chandigarh"/>
    <s v="Chandigarh"/>
    <x v="3"/>
    <x v="5"/>
    <s v="Microwave"/>
    <x v="27"/>
    <n v="3"/>
    <n v="11410"/>
    <n v="0.15"/>
    <n v="8200"/>
    <s v="Cash on Delivery"/>
    <s v="Delivered"/>
    <n v="2"/>
    <s v="Returning"/>
    <n v="34230"/>
    <n v="5134.5"/>
    <n v="29095.5"/>
    <n v="20895.5"/>
    <n v="0.7181694763795089"/>
    <n v="2030"/>
    <s v="Apr"/>
    <s v="Q2"/>
  </r>
  <r>
    <s v="ORD11839"/>
    <x v="1838"/>
    <s v="CUST1409"/>
    <s v="Ishita Das"/>
    <x v="182"/>
    <x v="1"/>
    <x v="34"/>
    <x v="2"/>
    <s v="Kochi"/>
    <s v="Kerala"/>
    <x v="2"/>
    <x v="5"/>
    <s v="Microwave"/>
    <x v="27"/>
    <n v="1"/>
    <n v="11340"/>
    <n v="0"/>
    <n v="8140"/>
    <s v="UPI"/>
    <s v="Delivered"/>
    <n v="3"/>
    <s v="New"/>
    <n v="11340"/>
    <n v="0"/>
    <n v="11340"/>
    <n v="3200"/>
    <n v="0.2821869488536155"/>
    <n v="2030"/>
    <s v="Apr"/>
    <s v="Q2"/>
  </r>
  <r>
    <s v="ORD11840"/>
    <x v="1839"/>
    <s v="CUST1393"/>
    <s v="Aditya Patel"/>
    <x v="214"/>
    <x v="0"/>
    <x v="24"/>
    <x v="5"/>
    <s v="Bhubaneswar"/>
    <s v="Odisha"/>
    <x v="1"/>
    <x v="5"/>
    <s v="Air Fryer"/>
    <x v="26"/>
    <n v="1"/>
    <n v="6040"/>
    <n v="0.2"/>
    <n v="4130"/>
    <s v="Net Banking"/>
    <s v="Delivered"/>
    <n v="1"/>
    <s v="New"/>
    <n v="6040"/>
    <n v="1208"/>
    <n v="4832"/>
    <n v="702"/>
    <n v="0.14528145695364239"/>
    <n v="2030"/>
    <s v="Apr"/>
    <s v="Q2"/>
  </r>
  <r>
    <s v="ORD11841"/>
    <x v="1840"/>
    <s v="CUST1060"/>
    <s v="Ananya Joshi"/>
    <x v="205"/>
    <x v="0"/>
    <x v="10"/>
    <x v="9"/>
    <s v="Hyderabad"/>
    <s v="Telangana"/>
    <x v="2"/>
    <x v="1"/>
    <s v="Bookshelf"/>
    <x v="6"/>
    <n v="1"/>
    <n v="4850"/>
    <n v="0"/>
    <n v="3060"/>
    <s v="Debit Card"/>
    <s v="Delivered"/>
    <n v="1"/>
    <s v="Returning"/>
    <n v="4850"/>
    <n v="0"/>
    <n v="4850"/>
    <n v="1790"/>
    <n v="0.36907216494845363"/>
    <n v="2030"/>
    <s v="Apr"/>
    <s v="Q2"/>
  </r>
  <r>
    <s v="ORD11842"/>
    <x v="1841"/>
    <s v="CUST1048"/>
    <s v="Kavya Das"/>
    <x v="121"/>
    <x v="0"/>
    <x v="6"/>
    <x v="8"/>
    <s v="Mysuru"/>
    <s v="Karnataka"/>
    <x v="2"/>
    <x v="3"/>
    <s v="Dumbbells"/>
    <x v="7"/>
    <n v="3"/>
    <n v="2650"/>
    <n v="0.05"/>
    <n v="1570"/>
    <s v="Cash on Delivery"/>
    <s v="Delivered"/>
    <n v="3"/>
    <s v="Returning"/>
    <n v="7950"/>
    <n v="397.5"/>
    <n v="7552.5"/>
    <n v="5982.5"/>
    <n v="0.79212181396888448"/>
    <n v="2030"/>
    <s v="Apr"/>
    <s v="Q2"/>
  </r>
  <r>
    <s v="ORD11843"/>
    <x v="1842"/>
    <s v="CUST1221"/>
    <s v="Nisha Gupta"/>
    <x v="138"/>
    <x v="1"/>
    <x v="33"/>
    <x v="14"/>
    <s v="Ahmedabad"/>
    <s v="Gujarat"/>
    <x v="0"/>
    <x v="1"/>
    <s v="Study Table"/>
    <x v="11"/>
    <n v="2"/>
    <n v="9150"/>
    <n v="0.1"/>
    <n v="5850"/>
    <s v="Credit Card"/>
    <s v="Delivered"/>
    <n v="3"/>
    <s v="Returning"/>
    <n v="18300"/>
    <n v="1830"/>
    <n v="16470"/>
    <n v="10620"/>
    <n v="0.64480874316939896"/>
    <n v="2030"/>
    <s v="Apr"/>
    <s v="Q2"/>
  </r>
  <r>
    <s v="ORD11844"/>
    <x v="1843"/>
    <s v="CUST1026"/>
    <s v="Nisha Iyer"/>
    <x v="9"/>
    <x v="0"/>
    <x v="5"/>
    <x v="7"/>
    <s v="Mumbai"/>
    <s v="Maharashtra"/>
    <x v="0"/>
    <x v="1"/>
    <s v="Office Chair"/>
    <x v="1"/>
    <n v="1"/>
    <n v="6860"/>
    <n v="0.2"/>
    <n v="4190"/>
    <s v="Wallet"/>
    <s v="Delivered"/>
    <n v="8"/>
    <s v="Returning"/>
    <n v="6860"/>
    <n v="1372"/>
    <n v="5488"/>
    <n v="1298"/>
    <n v="0.23651603498542273"/>
    <n v="2030"/>
    <s v="Apr"/>
    <s v="Q2"/>
  </r>
  <r>
    <s v="ORD11845"/>
    <x v="1844"/>
    <s v="CUST1178"/>
    <s v="Priya Naidu"/>
    <x v="25"/>
    <x v="1"/>
    <x v="6"/>
    <x v="10"/>
    <s v="Jaipur"/>
    <s v="Rajasthan"/>
    <x v="3"/>
    <x v="1"/>
    <s v="Office Chair"/>
    <x v="1"/>
    <n v="1"/>
    <n v="6450"/>
    <n v="0.2"/>
    <n v="4320"/>
    <s v="Net Banking"/>
    <s v="Delivered"/>
    <n v="4"/>
    <s v="Returning"/>
    <n v="6450"/>
    <n v="1290"/>
    <n v="5160"/>
    <n v="840"/>
    <n v="0.16279069767441862"/>
    <n v="2030"/>
    <s v="May"/>
    <s v="Q2"/>
  </r>
  <r>
    <s v="ORD11846"/>
    <x v="1845"/>
    <s v="CUST1288"/>
    <s v="Vikram Patel"/>
    <x v="60"/>
    <x v="0"/>
    <x v="12"/>
    <x v="14"/>
    <s v="Ahmedabad"/>
    <s v="Gujarat"/>
    <x v="0"/>
    <x v="0"/>
    <s v="Handbag"/>
    <x v="12"/>
    <n v="3"/>
    <n v="2640"/>
    <n v="0.15"/>
    <n v="1680"/>
    <s v="Net Banking"/>
    <s v="Delivered"/>
    <n v="4"/>
    <s v="Returning"/>
    <n v="7920"/>
    <n v="1188"/>
    <n v="6732"/>
    <n v="5052"/>
    <n v="0.75044563279857401"/>
    <n v="2030"/>
    <s v="May"/>
    <s v="Q2"/>
  </r>
  <r>
    <s v="ORD11847"/>
    <x v="1846"/>
    <s v="CUST1273"/>
    <s v="Rohan Das"/>
    <x v="232"/>
    <x v="0"/>
    <x v="10"/>
    <x v="3"/>
    <s v="Bengaluru"/>
    <s v="Karnataka"/>
    <x v="2"/>
    <x v="0"/>
    <s v="Jeans"/>
    <x v="19"/>
    <n v="1"/>
    <n v="2160"/>
    <n v="0"/>
    <n v="1190"/>
    <s v="Cash on Delivery"/>
    <s v="Delivered"/>
    <n v="1"/>
    <s v="Returning"/>
    <n v="2160"/>
    <n v="0"/>
    <n v="2160"/>
    <n v="970"/>
    <n v="0.44907407407407407"/>
    <n v="2030"/>
    <s v="May"/>
    <s v="Q2"/>
  </r>
  <r>
    <s v="ORD11848"/>
    <x v="1847"/>
    <s v="CUST1318"/>
    <s v="Vivaan Gupta"/>
    <x v="243"/>
    <x v="0"/>
    <x v="26"/>
    <x v="2"/>
    <s v="Kochi"/>
    <s v="Kerala"/>
    <x v="2"/>
    <x v="1"/>
    <s v="Study Table"/>
    <x v="11"/>
    <n v="3"/>
    <n v="8120"/>
    <n v="0.1"/>
    <n v="5730"/>
    <s v="Credit Card"/>
    <s v="Delivered"/>
    <n v="3"/>
    <s v="New"/>
    <n v="24360"/>
    <n v="2436"/>
    <n v="21924"/>
    <n v="16194"/>
    <n v="0.73864258347016964"/>
    <n v="2030"/>
    <s v="May"/>
    <s v="Q2"/>
  </r>
  <r>
    <s v="ORD11849"/>
    <x v="1848"/>
    <s v="CUST1377"/>
    <s v="Arjun Das"/>
    <x v="123"/>
    <x v="1"/>
    <x v="14"/>
    <x v="6"/>
    <s v="Guwahati"/>
    <s v="Assam"/>
    <x v="1"/>
    <x v="0"/>
    <s v="Jacket"/>
    <x v="25"/>
    <n v="2"/>
    <n v="3970"/>
    <n v="0.05"/>
    <n v="2670"/>
    <s v="Credit Card"/>
    <s v="Pending"/>
    <n v="3"/>
    <s v="New"/>
    <n v="7940"/>
    <n v="397"/>
    <n v="7543"/>
    <n v="4873"/>
    <n v="0.64602943126077161"/>
    <n v="2030"/>
    <s v="May"/>
    <s v="Q2"/>
  </r>
  <r>
    <s v="ORD11850"/>
    <x v="1849"/>
    <s v="CUST1325"/>
    <s v="Ananya Mehta"/>
    <x v="125"/>
    <x v="0"/>
    <x v="23"/>
    <x v="7"/>
    <s v="Mumbai"/>
    <s v="Maharashtra"/>
    <x v="0"/>
    <x v="1"/>
    <s v="Bookshelf"/>
    <x v="6"/>
    <n v="2"/>
    <n v="5370"/>
    <n v="0"/>
    <n v="3120"/>
    <s v="UPI"/>
    <s v="Returned"/>
    <n v="2"/>
    <s v="New"/>
    <n v="10740"/>
    <n v="0"/>
    <n v="10740"/>
    <n v="7620"/>
    <n v="0.70949720670391059"/>
    <n v="2030"/>
    <s v="May"/>
    <s v="Q2"/>
  </r>
  <r>
    <s v="ORD11851"/>
    <x v="1850"/>
    <s v="CUST1228"/>
    <s v="Ishita Rao"/>
    <x v="137"/>
    <x v="0"/>
    <x v="18"/>
    <x v="1"/>
    <s v="Kolkata"/>
    <s v="West Bengal"/>
    <x v="1"/>
    <x v="1"/>
    <s v="Office Chair"/>
    <x v="1"/>
    <n v="4"/>
    <n v="6290"/>
    <n v="0.05"/>
    <n v="4290"/>
    <s v="Cash on Delivery"/>
    <s v="Delivered"/>
    <n v="2"/>
    <s v="Returning"/>
    <n v="25160"/>
    <n v="1258"/>
    <n v="23902"/>
    <n v="19612"/>
    <n v="0.82051711153878337"/>
    <n v="2030"/>
    <s v="May"/>
    <s v="Q2"/>
  </r>
  <r>
    <s v="ORD11852"/>
    <x v="1851"/>
    <s v="CUST1482"/>
    <s v="Sneha Kumar"/>
    <x v="110"/>
    <x v="0"/>
    <x v="5"/>
    <x v="5"/>
    <s v="Bhubaneswar"/>
    <s v="Odisha"/>
    <x v="1"/>
    <x v="4"/>
    <s v="Hair Dryer"/>
    <x v="14"/>
    <n v="3"/>
    <n v="1820"/>
    <n v="0.15"/>
    <n v="960"/>
    <s v="UPI"/>
    <s v="Delivered"/>
    <n v="5"/>
    <s v="New"/>
    <n v="5460"/>
    <n v="819"/>
    <n v="4641"/>
    <n v="3681"/>
    <n v="0.79314802844214605"/>
    <n v="2030"/>
    <s v="May"/>
    <s v="Q2"/>
  </r>
  <r>
    <s v="ORD11853"/>
    <x v="1852"/>
    <s v="CUST1195"/>
    <s v="Ishita Gupta"/>
    <x v="135"/>
    <x v="0"/>
    <x v="28"/>
    <x v="2"/>
    <s v="Kochi"/>
    <s v="Kerala"/>
    <x v="2"/>
    <x v="5"/>
    <s v="Vacuum Cleaner"/>
    <x v="9"/>
    <n v="2"/>
    <n v="8780"/>
    <n v="0.1"/>
    <n v="5820"/>
    <s v="Wallet"/>
    <s v="Delivered"/>
    <n v="6"/>
    <s v="Returning"/>
    <n v="17560"/>
    <n v="1756"/>
    <n v="15804"/>
    <n v="9984"/>
    <n v="0.63173880030372054"/>
    <n v="2030"/>
    <s v="May"/>
    <s v="Q2"/>
  </r>
  <r>
    <s v="ORD11854"/>
    <x v="1853"/>
    <s v="CUST1058"/>
    <s v="Ishita Iyer"/>
    <x v="69"/>
    <x v="0"/>
    <x v="3"/>
    <x v="6"/>
    <s v="Guwahati"/>
    <s v="Assam"/>
    <x v="1"/>
    <x v="0"/>
    <s v="Sneakers"/>
    <x v="0"/>
    <n v="1"/>
    <n v="3420"/>
    <n v="0.15"/>
    <n v="2010"/>
    <s v="Debit Card"/>
    <s v="Delivered"/>
    <n v="3"/>
    <s v="Returning"/>
    <n v="3420"/>
    <n v="513"/>
    <n v="2907"/>
    <n v="897"/>
    <n v="0.30856553147574817"/>
    <n v="2030"/>
    <s v="May"/>
    <s v="Q2"/>
  </r>
  <r>
    <s v="ORD11855"/>
    <x v="1854"/>
    <s v="CUST1043"/>
    <s v="Rohan Bhat"/>
    <x v="175"/>
    <x v="0"/>
    <x v="29"/>
    <x v="7"/>
    <s v="Mumbai"/>
    <s v="Maharashtra"/>
    <x v="0"/>
    <x v="0"/>
    <s v="Jacket"/>
    <x v="25"/>
    <n v="1"/>
    <n v="3930"/>
    <n v="0.1"/>
    <n v="2550"/>
    <s v="Debit Card"/>
    <s v="Delivered"/>
    <n v="3"/>
    <s v="Returning"/>
    <n v="3930"/>
    <n v="393"/>
    <n v="3537"/>
    <n v="987"/>
    <n v="0.27905004240882103"/>
    <n v="2030"/>
    <s v="May"/>
    <s v="Q2"/>
  </r>
  <r>
    <s v="ORD11856"/>
    <x v="1855"/>
    <s v="CUST1197"/>
    <s v="Aarav Naidu"/>
    <x v="143"/>
    <x v="1"/>
    <x v="18"/>
    <x v="9"/>
    <s v="Hyderabad"/>
    <s v="Telangana"/>
    <x v="2"/>
    <x v="0"/>
    <s v="Jeans"/>
    <x v="19"/>
    <n v="1"/>
    <n v="2100"/>
    <n v="0.15"/>
    <n v="1150"/>
    <s v="Credit Card"/>
    <s v="Delivered"/>
    <n v="2"/>
    <s v="Returning"/>
    <n v="2100"/>
    <n v="315"/>
    <n v="1785"/>
    <n v="635"/>
    <n v="0.35574229691876752"/>
    <n v="2030"/>
    <s v="May"/>
    <s v="Q2"/>
  </r>
  <r>
    <s v="ORD11857"/>
    <x v="1856"/>
    <s v="CUST1383"/>
    <s v="Vikram Nair"/>
    <x v="80"/>
    <x v="1"/>
    <x v="13"/>
    <x v="10"/>
    <s v="Jaipur"/>
    <s v="Rajasthan"/>
    <x v="3"/>
    <x v="4"/>
    <s v="Hair Dryer"/>
    <x v="14"/>
    <n v="1"/>
    <n v="1880"/>
    <n v="0.1"/>
    <n v="1050"/>
    <s v="Credit Card"/>
    <s v="Returned"/>
    <n v="5"/>
    <s v="New"/>
    <n v="1880"/>
    <n v="188"/>
    <n v="1692"/>
    <n v="642"/>
    <n v="0.37943262411347517"/>
    <n v="2030"/>
    <s v="May"/>
    <s v="Q2"/>
  </r>
  <r>
    <s v="ORD11858"/>
    <x v="1857"/>
    <s v="CUST1408"/>
    <s v="Diya Gupta"/>
    <x v="81"/>
    <x v="0"/>
    <x v="6"/>
    <x v="14"/>
    <s v="Ahmedabad"/>
    <s v="Gujarat"/>
    <x v="0"/>
    <x v="0"/>
    <s v="T-Shirt"/>
    <x v="2"/>
    <n v="3"/>
    <n v="830"/>
    <n v="0.2"/>
    <n v="430"/>
    <s v="UPI"/>
    <s v="Pending"/>
    <n v="1"/>
    <s v="New"/>
    <n v="2490"/>
    <n v="498"/>
    <n v="1992"/>
    <n v="1562"/>
    <n v="0.78413654618473894"/>
    <n v="2030"/>
    <s v="May"/>
    <s v="Q2"/>
  </r>
  <r>
    <s v="ORD11859"/>
    <x v="1858"/>
    <s v="CUST1059"/>
    <s v="Ananya Rao"/>
    <x v="189"/>
    <x v="0"/>
    <x v="5"/>
    <x v="5"/>
    <s v="Bhubaneswar"/>
    <s v="Odisha"/>
    <x v="1"/>
    <x v="5"/>
    <s v="Vacuum Cleaner"/>
    <x v="9"/>
    <n v="1"/>
    <n v="7820"/>
    <n v="0.05"/>
    <n v="5610"/>
    <s v="Debit Card"/>
    <s v="Delivered"/>
    <n v="2"/>
    <s v="Returning"/>
    <n v="7820"/>
    <n v="391"/>
    <n v="7429"/>
    <n v="1819"/>
    <n v="0.24485125858123569"/>
    <n v="2030"/>
    <s v="May"/>
    <s v="Q2"/>
  </r>
  <r>
    <s v="ORD11860"/>
    <x v="1859"/>
    <s v="CUST1395"/>
    <s v="Aditya Verma"/>
    <x v="30"/>
    <x v="1"/>
    <x v="35"/>
    <x v="10"/>
    <s v="Jaipur"/>
    <s v="Rajasthan"/>
    <x v="3"/>
    <x v="2"/>
    <s v="Headphones"/>
    <x v="5"/>
    <n v="1"/>
    <n v="2390"/>
    <n v="0"/>
    <n v="1570"/>
    <s v="Debit Card"/>
    <s v="Delivered"/>
    <n v="4"/>
    <s v="New"/>
    <n v="2390"/>
    <n v="0"/>
    <n v="2390"/>
    <n v="820"/>
    <n v="0.34309623430962344"/>
    <n v="2030"/>
    <s v="May"/>
    <s v="Q2"/>
  </r>
  <r>
    <s v="ORD11861"/>
    <x v="1860"/>
    <s v="CUST1472"/>
    <s v="Ananya Nair"/>
    <x v="238"/>
    <x v="0"/>
    <x v="7"/>
    <x v="13"/>
    <s v="Lucknow"/>
    <s v="Uttar Pradesh"/>
    <x v="3"/>
    <x v="1"/>
    <s v="Office Chair"/>
    <x v="1"/>
    <n v="1"/>
    <n v="6020"/>
    <n v="0.2"/>
    <n v="4290"/>
    <s v="UPI"/>
    <s v="Delivered"/>
    <n v="6"/>
    <s v="New"/>
    <n v="6020"/>
    <n v="1204"/>
    <n v="4816"/>
    <n v="526"/>
    <n v="0.10921926910299003"/>
    <n v="2030"/>
    <s v="May"/>
    <s v="Q2"/>
  </r>
  <r>
    <s v="ORD11862"/>
    <x v="1861"/>
    <s v="CUST1423"/>
    <s v="Nisha Das"/>
    <x v="171"/>
    <x v="1"/>
    <x v="10"/>
    <x v="5"/>
    <s v="Bhubaneswar"/>
    <s v="Odisha"/>
    <x v="1"/>
    <x v="2"/>
    <s v="Laptop"/>
    <x v="15"/>
    <n v="4"/>
    <n v="55430"/>
    <n v="0.1"/>
    <n v="40460"/>
    <s v="Cash on Delivery"/>
    <s v="Delivered"/>
    <n v="4"/>
    <s v="New"/>
    <n v="221720"/>
    <n v="22172"/>
    <n v="199548"/>
    <n v="159088"/>
    <n v="0.79724176639204603"/>
    <n v="2030"/>
    <s v="May"/>
    <s v="Q2"/>
  </r>
  <r>
    <s v="ORD11863"/>
    <x v="1862"/>
    <s v="CUST1260"/>
    <s v="Kavya Das"/>
    <x v="121"/>
    <x v="1"/>
    <x v="38"/>
    <x v="12"/>
    <s v="Delhi"/>
    <s v="Delhi"/>
    <x v="3"/>
    <x v="5"/>
    <s v="Electric Kettle"/>
    <x v="18"/>
    <n v="1"/>
    <n v="1800"/>
    <n v="0.1"/>
    <n v="930"/>
    <s v="Debit Card"/>
    <s v="Delivered"/>
    <n v="3"/>
    <s v="Returning"/>
    <n v="1800"/>
    <n v="180"/>
    <n v="1620"/>
    <n v="690"/>
    <n v="0.42592592592592593"/>
    <n v="2030"/>
    <s v="May"/>
    <s v="Q2"/>
  </r>
  <r>
    <s v="ORD11864"/>
    <x v="1863"/>
    <s v="CUST1206"/>
    <s v="Arjun Joshi"/>
    <x v="51"/>
    <x v="0"/>
    <x v="9"/>
    <x v="7"/>
    <s v="Mumbai"/>
    <s v="Maharashtra"/>
    <x v="0"/>
    <x v="2"/>
    <s v="Laptop"/>
    <x v="15"/>
    <n v="1"/>
    <n v="52020"/>
    <n v="0.1"/>
    <n v="43980"/>
    <s v="Credit Card"/>
    <s v="Cancelled"/>
    <n v="0"/>
    <s v="Returning"/>
    <n v="52020"/>
    <n v="5202"/>
    <n v="46818"/>
    <n v="2838"/>
    <n v="6.0617711136742282E-2"/>
    <n v="2030"/>
    <s v="May"/>
    <s v="Q2"/>
  </r>
  <r>
    <s v="ORD11865"/>
    <x v="1864"/>
    <s v="CUST1288"/>
    <s v="Meera Joshi"/>
    <x v="88"/>
    <x v="1"/>
    <x v="14"/>
    <x v="11"/>
    <s v="Chennai"/>
    <s v="Tamil Nadu"/>
    <x v="2"/>
    <x v="5"/>
    <s v="Microwave"/>
    <x v="27"/>
    <n v="1"/>
    <n v="12350"/>
    <n v="0.1"/>
    <n v="8410"/>
    <s v="Cash on Delivery"/>
    <s v="Delivered"/>
    <n v="5"/>
    <s v="Returning"/>
    <n v="12350"/>
    <n v="1235"/>
    <n v="11115"/>
    <n v="2705"/>
    <n v="0.24336482231219073"/>
    <n v="2030"/>
    <s v="May"/>
    <s v="Q2"/>
  </r>
  <r>
    <s v="ORD11866"/>
    <x v="1865"/>
    <s v="CUST1433"/>
    <s v="Aditya Kumar"/>
    <x v="155"/>
    <x v="0"/>
    <x v="4"/>
    <x v="9"/>
    <s v="Hyderabad"/>
    <s v="Telangana"/>
    <x v="2"/>
    <x v="1"/>
    <s v="Study Table"/>
    <x v="11"/>
    <n v="1"/>
    <n v="7830"/>
    <n v="0.2"/>
    <n v="5630"/>
    <s v="Credit Card"/>
    <s v="Delivered"/>
    <n v="3"/>
    <s v="New"/>
    <n v="7830"/>
    <n v="1566"/>
    <n v="6264"/>
    <n v="634"/>
    <n v="0.101213282247765"/>
    <n v="2030"/>
    <s v="May"/>
    <s v="Q2"/>
  </r>
  <r>
    <s v="ORD11867"/>
    <x v="1866"/>
    <s v="CUST1249"/>
    <s v="Kavya Bhat"/>
    <x v="224"/>
    <x v="1"/>
    <x v="34"/>
    <x v="7"/>
    <s v="Mumbai"/>
    <s v="Maharashtra"/>
    <x v="0"/>
    <x v="0"/>
    <s v="Jeans"/>
    <x v="19"/>
    <n v="3"/>
    <n v="2280"/>
    <n v="0.1"/>
    <n v="1240"/>
    <s v="Net Banking"/>
    <s v="Delivered"/>
    <n v="2"/>
    <s v="Returning"/>
    <n v="6840"/>
    <n v="684"/>
    <n v="6156"/>
    <n v="4916"/>
    <n v="0.7985705003248863"/>
    <n v="2030"/>
    <s v="May"/>
    <s v="Q2"/>
  </r>
  <r>
    <s v="ORD11868"/>
    <x v="1867"/>
    <s v="CUST1160"/>
    <s v="Nisha Sharma"/>
    <x v="11"/>
    <x v="1"/>
    <x v="8"/>
    <x v="2"/>
    <s v="Kochi"/>
    <s v="Kerala"/>
    <x v="2"/>
    <x v="2"/>
    <s v="Headphones"/>
    <x v="5"/>
    <n v="4"/>
    <n v="2340"/>
    <n v="0"/>
    <n v="1520"/>
    <s v="Wallet"/>
    <s v="Delivered"/>
    <n v="1"/>
    <s v="Returning"/>
    <n v="9360"/>
    <n v="0"/>
    <n v="9360"/>
    <n v="7840"/>
    <n v="0.83760683760683763"/>
    <n v="2030"/>
    <s v="May"/>
    <s v="Q2"/>
  </r>
  <r>
    <s v="ORD11869"/>
    <x v="1868"/>
    <s v="CUST1204"/>
    <s v="Vivaan Mehta"/>
    <x v="95"/>
    <x v="1"/>
    <x v="41"/>
    <x v="10"/>
    <s v="Jaipur"/>
    <s v="Rajasthan"/>
    <x v="3"/>
    <x v="1"/>
    <s v="Study Table"/>
    <x v="11"/>
    <n v="2"/>
    <n v="7910"/>
    <n v="0"/>
    <n v="5650"/>
    <s v="Net Banking"/>
    <s v="Delivered"/>
    <n v="6"/>
    <s v="Returning"/>
    <n v="15820"/>
    <n v="0"/>
    <n v="15820"/>
    <n v="10170"/>
    <n v="0.6428571428571429"/>
    <n v="2030"/>
    <s v="May"/>
    <s v="Q2"/>
  </r>
  <r>
    <s v="ORD11870"/>
    <x v="1869"/>
    <s v="CUST1330"/>
    <s v="Priya Reddy"/>
    <x v="64"/>
    <x v="1"/>
    <x v="25"/>
    <x v="14"/>
    <s v="Ahmedabad"/>
    <s v="Gujarat"/>
    <x v="0"/>
    <x v="3"/>
    <s v="Football"/>
    <x v="10"/>
    <n v="1"/>
    <n v="1190"/>
    <n v="0.25"/>
    <n v="580"/>
    <s v="UPI"/>
    <s v="Delivered"/>
    <n v="4"/>
    <s v="New"/>
    <n v="1190"/>
    <n v="297.5"/>
    <n v="892.5"/>
    <n v="312.5"/>
    <n v="0.35014005602240894"/>
    <n v="2030"/>
    <s v="May"/>
    <s v="Q2"/>
  </r>
  <r>
    <s v="ORD11871"/>
    <x v="1870"/>
    <s v="CUST1194"/>
    <s v="Arjun Das"/>
    <x v="123"/>
    <x v="0"/>
    <x v="0"/>
    <x v="0"/>
    <s v="Pune"/>
    <s v="Maharashtra"/>
    <x v="0"/>
    <x v="2"/>
    <s v="Smartphone"/>
    <x v="13"/>
    <n v="2"/>
    <n v="18080"/>
    <n v="0"/>
    <n v="11970"/>
    <s v="UPI"/>
    <s v="Delivered"/>
    <n v="3"/>
    <s v="Returning"/>
    <n v="36160"/>
    <n v="0"/>
    <n v="36160"/>
    <n v="24190"/>
    <n v="0.6689712389380531"/>
    <n v="2030"/>
    <s v="May"/>
    <s v="Q2"/>
  </r>
  <r>
    <s v="ORD11872"/>
    <x v="1871"/>
    <s v="CUST1124"/>
    <s v="Vikram Das"/>
    <x v="198"/>
    <x v="0"/>
    <x v="33"/>
    <x v="9"/>
    <s v="Hyderabad"/>
    <s v="Telangana"/>
    <x v="2"/>
    <x v="5"/>
    <s v="Vacuum Cleaner"/>
    <x v="9"/>
    <n v="4"/>
    <n v="7940"/>
    <n v="0.25"/>
    <n v="5490"/>
    <s v="Credit Card"/>
    <s v="Delivered"/>
    <n v="1"/>
    <s v="Returning"/>
    <n v="31760"/>
    <n v="7940"/>
    <n v="23820"/>
    <n v="18330"/>
    <n v="0.76952141057934509"/>
    <n v="2030"/>
    <s v="May"/>
    <s v="Q2"/>
  </r>
  <r>
    <s v="ORD11873"/>
    <x v="1872"/>
    <s v="CUST1092"/>
    <s v="Sneha Rao"/>
    <x v="27"/>
    <x v="1"/>
    <x v="12"/>
    <x v="1"/>
    <s v="Kolkata"/>
    <s v="West Bengal"/>
    <x v="1"/>
    <x v="2"/>
    <s v="Smartphone"/>
    <x v="13"/>
    <n v="1"/>
    <n v="17380"/>
    <n v="0.05"/>
    <n v="12940"/>
    <s v="Net Banking"/>
    <s v="Delivered"/>
    <n v="4"/>
    <s v="Returning"/>
    <n v="17380"/>
    <n v="869"/>
    <n v="16511"/>
    <n v="3571"/>
    <n v="0.2162800557204288"/>
    <n v="2030"/>
    <s v="May"/>
    <s v="Q2"/>
  </r>
  <r>
    <s v="ORD11874"/>
    <x v="1873"/>
    <s v="CUST1061"/>
    <s v="Meera Sharma"/>
    <x v="48"/>
    <x v="1"/>
    <x v="39"/>
    <x v="11"/>
    <s v="Chennai"/>
    <s v="Tamil Nadu"/>
    <x v="2"/>
    <x v="3"/>
    <s v="Football"/>
    <x v="10"/>
    <n v="1"/>
    <n v="1140"/>
    <n v="0.25"/>
    <n v="570"/>
    <s v="Debit Card"/>
    <s v="Returned"/>
    <n v="2"/>
    <s v="Returning"/>
    <n v="1140"/>
    <n v="285"/>
    <n v="855"/>
    <n v="285"/>
    <n v="0.33333333333333331"/>
    <n v="2030"/>
    <s v="May"/>
    <s v="Q2"/>
  </r>
  <r>
    <s v="ORD11875"/>
    <x v="1874"/>
    <s v="CUST1067"/>
    <s v="Priya Mehta"/>
    <x v="46"/>
    <x v="0"/>
    <x v="15"/>
    <x v="12"/>
    <s v="Delhi"/>
    <s v="Delhi"/>
    <x v="3"/>
    <x v="2"/>
    <s v="Tablet"/>
    <x v="4"/>
    <n v="1"/>
    <n v="21990"/>
    <n v="0.2"/>
    <n v="15680"/>
    <s v="Net Banking"/>
    <s v="Delivered"/>
    <n v="6"/>
    <s v="Returning"/>
    <n v="21990"/>
    <n v="4398"/>
    <n v="17592"/>
    <n v="1912"/>
    <n v="0.10868576625738972"/>
    <n v="2030"/>
    <s v="May"/>
    <s v="Q2"/>
  </r>
  <r>
    <s v="ORD11876"/>
    <x v="1875"/>
    <s v="CUST1320"/>
    <s v="Arjun Reddy"/>
    <x v="157"/>
    <x v="0"/>
    <x v="17"/>
    <x v="6"/>
    <s v="Guwahati"/>
    <s v="Assam"/>
    <x v="1"/>
    <x v="3"/>
    <s v="Dumbbells"/>
    <x v="7"/>
    <n v="1"/>
    <n v="2490"/>
    <n v="0.1"/>
    <n v="1520"/>
    <s v="Wallet"/>
    <s v="Cancelled"/>
    <n v="0"/>
    <s v="New"/>
    <n v="2490"/>
    <n v="249"/>
    <n v="2241"/>
    <n v="721"/>
    <n v="0.32173136992414103"/>
    <n v="2030"/>
    <s v="Jun"/>
    <s v="Q2"/>
  </r>
  <r>
    <s v="ORD11877"/>
    <x v="1876"/>
    <s v="CUST1297"/>
    <s v="Priya Kumar"/>
    <x v="127"/>
    <x v="1"/>
    <x v="23"/>
    <x v="14"/>
    <s v="Ahmedabad"/>
    <s v="Gujarat"/>
    <x v="0"/>
    <x v="1"/>
    <s v="Bedside Table"/>
    <x v="24"/>
    <n v="2"/>
    <n v="4270"/>
    <n v="0.1"/>
    <n v="3010"/>
    <s v="Cash on Delivery"/>
    <s v="Delivered"/>
    <n v="6"/>
    <s v="Returning"/>
    <n v="8540"/>
    <n v="854"/>
    <n v="7686"/>
    <n v="4676"/>
    <n v="0.60837887067395269"/>
    <n v="2030"/>
    <s v="Jun"/>
    <s v="Q2"/>
  </r>
  <r>
    <s v="ORD11878"/>
    <x v="1877"/>
    <s v="CUST1132"/>
    <s v="Kavya Gupta"/>
    <x v="193"/>
    <x v="1"/>
    <x v="3"/>
    <x v="4"/>
    <s v="Chandigarh"/>
    <s v="Chandigarh"/>
    <x v="3"/>
    <x v="2"/>
    <s v="Headphones"/>
    <x v="5"/>
    <n v="2"/>
    <n v="2400"/>
    <n v="0.25"/>
    <n v="1430"/>
    <s v="Net Banking"/>
    <s v="Delivered"/>
    <n v="5"/>
    <s v="Returning"/>
    <n v="4800"/>
    <n v="1200"/>
    <n v="3600"/>
    <n v="2170"/>
    <n v="0.60277777777777775"/>
    <n v="2030"/>
    <s v="Jun"/>
    <s v="Q2"/>
  </r>
  <r>
    <s v="ORD11879"/>
    <x v="1878"/>
    <s v="CUST1424"/>
    <s v="Arjun Naidu"/>
    <x v="152"/>
    <x v="1"/>
    <x v="11"/>
    <x v="1"/>
    <s v="Kolkata"/>
    <s v="West Bengal"/>
    <x v="1"/>
    <x v="2"/>
    <s v="Laptop"/>
    <x v="15"/>
    <n v="1"/>
    <n v="53700"/>
    <n v="0.15"/>
    <n v="42120"/>
    <s v="Net Banking"/>
    <s v="Delivered"/>
    <n v="3"/>
    <s v="New"/>
    <n v="53700"/>
    <n v="8055"/>
    <n v="45645"/>
    <n v="3525"/>
    <n v="7.7226421294774888E-2"/>
    <n v="2030"/>
    <s v="Jun"/>
    <s v="Q2"/>
  </r>
  <r>
    <s v="ORD11880"/>
    <x v="1879"/>
    <s v="CUST1249"/>
    <s v="Rohan Joshi"/>
    <x v="235"/>
    <x v="1"/>
    <x v="40"/>
    <x v="10"/>
    <s v="Jaipur"/>
    <s v="Rajasthan"/>
    <x v="3"/>
    <x v="4"/>
    <s v="Face Cream"/>
    <x v="21"/>
    <n v="2"/>
    <n v="640"/>
    <n v="0"/>
    <n v="310"/>
    <s v="Cash on Delivery"/>
    <s v="Delivered"/>
    <n v="2"/>
    <s v="Returning"/>
    <n v="1280"/>
    <n v="0"/>
    <n v="1280"/>
    <n v="970"/>
    <n v="0.7578125"/>
    <n v="2030"/>
    <s v="Jun"/>
    <s v="Q2"/>
  </r>
  <r>
    <s v="ORD11881"/>
    <x v="1880"/>
    <s v="CUST1402"/>
    <s v="Sneha Mehta"/>
    <x v="226"/>
    <x v="1"/>
    <x v="21"/>
    <x v="13"/>
    <s v="Lucknow"/>
    <s v="Uttar Pradesh"/>
    <x v="3"/>
    <x v="3"/>
    <s v="Football"/>
    <x v="10"/>
    <n v="1"/>
    <n v="1140"/>
    <n v="0"/>
    <n v="590"/>
    <s v="Credit Card"/>
    <s v="Delivered"/>
    <n v="2"/>
    <s v="New"/>
    <n v="1140"/>
    <n v="0"/>
    <n v="1140"/>
    <n v="550"/>
    <n v="0.48245614035087719"/>
    <n v="2030"/>
    <s v="Jun"/>
    <s v="Q2"/>
  </r>
  <r>
    <s v="ORD11882"/>
    <x v="1881"/>
    <s v="CUST1191"/>
    <s v="Ananya Reddy"/>
    <x v="195"/>
    <x v="0"/>
    <x v="1"/>
    <x v="13"/>
    <s v="Lucknow"/>
    <s v="Uttar Pradesh"/>
    <x v="3"/>
    <x v="2"/>
    <s v="Smartphone"/>
    <x v="13"/>
    <n v="2"/>
    <n v="19180"/>
    <n v="0.25"/>
    <n v="12160"/>
    <s v="UPI"/>
    <s v="Delivered"/>
    <n v="3"/>
    <s v="Returning"/>
    <n v="38360"/>
    <n v="9590"/>
    <n v="28770"/>
    <n v="16610"/>
    <n v="0.57733750434480358"/>
    <n v="2030"/>
    <s v="Jun"/>
    <s v="Q2"/>
  </r>
  <r>
    <s v="ORD11883"/>
    <x v="1882"/>
    <s v="CUST1140"/>
    <s v="Kavya Das"/>
    <x v="121"/>
    <x v="0"/>
    <x v="7"/>
    <x v="10"/>
    <s v="Jaipur"/>
    <s v="Rajasthan"/>
    <x v="3"/>
    <x v="4"/>
    <s v="Hair Dryer"/>
    <x v="14"/>
    <n v="1"/>
    <n v="1660"/>
    <n v="0.05"/>
    <n v="980"/>
    <s v="Wallet"/>
    <s v="Cancelled"/>
    <n v="0"/>
    <s v="Returning"/>
    <n v="1660"/>
    <n v="83"/>
    <n v="1577"/>
    <n v="597"/>
    <n v="0.37856689917564995"/>
    <n v="2030"/>
    <s v="Jun"/>
    <s v="Q2"/>
  </r>
  <r>
    <s v="ORD11884"/>
    <x v="1883"/>
    <s v="CUST1476"/>
    <s v="Kavya Das"/>
    <x v="121"/>
    <x v="1"/>
    <x v="4"/>
    <x v="6"/>
    <s v="Guwahati"/>
    <s v="Assam"/>
    <x v="1"/>
    <x v="0"/>
    <s v="T-Shirt"/>
    <x v="2"/>
    <n v="2"/>
    <n v="940"/>
    <n v="0.05"/>
    <n v="450"/>
    <s v="Net Banking"/>
    <s v="Cancelled"/>
    <n v="0"/>
    <s v="New"/>
    <n v="1880"/>
    <n v="94"/>
    <n v="1786"/>
    <n v="1336"/>
    <n v="0.74804031354983203"/>
    <n v="2030"/>
    <s v="Jun"/>
    <s v="Q2"/>
  </r>
  <r>
    <s v="ORD11885"/>
    <x v="1884"/>
    <s v="CUST1488"/>
    <s v="Karan Mehta"/>
    <x v="139"/>
    <x v="0"/>
    <x v="15"/>
    <x v="8"/>
    <s v="Mysuru"/>
    <s v="Karnataka"/>
    <x v="2"/>
    <x v="5"/>
    <s v="Mixer Grinder"/>
    <x v="22"/>
    <n v="2"/>
    <n v="4400"/>
    <n v="0.05"/>
    <n v="2600"/>
    <s v="Credit Card"/>
    <s v="Cancelled"/>
    <n v="0"/>
    <s v="New"/>
    <n v="8800"/>
    <n v="440"/>
    <n v="8360"/>
    <n v="5760"/>
    <n v="0.68899521531100483"/>
    <n v="2030"/>
    <s v="Jun"/>
    <s v="Q2"/>
  </r>
  <r>
    <s v="ORD11886"/>
    <x v="1885"/>
    <s v="CUST1074"/>
    <s v="Rohan Patel"/>
    <x v="39"/>
    <x v="1"/>
    <x v="32"/>
    <x v="8"/>
    <s v="Mysuru"/>
    <s v="Karnataka"/>
    <x v="2"/>
    <x v="5"/>
    <s v="Vacuum Cleaner"/>
    <x v="9"/>
    <n v="1"/>
    <n v="8380"/>
    <n v="0"/>
    <n v="5460"/>
    <s v="Credit Card"/>
    <s v="Delivered"/>
    <n v="2"/>
    <s v="Returning"/>
    <n v="8380"/>
    <n v="0"/>
    <n v="8380"/>
    <n v="2920"/>
    <n v="0.34844868735083534"/>
    <n v="2030"/>
    <s v="Jun"/>
    <s v="Q2"/>
  </r>
  <r>
    <s v="ORD11887"/>
    <x v="1886"/>
    <s v="CUST1348"/>
    <s v="Rahul Joshi"/>
    <x v="108"/>
    <x v="1"/>
    <x v="27"/>
    <x v="0"/>
    <s v="Pune"/>
    <s v="Maharashtra"/>
    <x v="0"/>
    <x v="2"/>
    <s v="Headphones"/>
    <x v="5"/>
    <n v="1"/>
    <n v="2680"/>
    <n v="0.15"/>
    <n v="1510"/>
    <s v="UPI"/>
    <s v="Delivered"/>
    <n v="2"/>
    <s v="New"/>
    <n v="2680"/>
    <n v="402"/>
    <n v="2278"/>
    <n v="768"/>
    <n v="0.33713784021071114"/>
    <n v="2030"/>
    <s v="Jun"/>
    <s v="Q2"/>
  </r>
  <r>
    <s v="ORD11888"/>
    <x v="1887"/>
    <s v="CUST1372"/>
    <s v="Vivaan Reddy"/>
    <x v="131"/>
    <x v="1"/>
    <x v="5"/>
    <x v="6"/>
    <s v="Guwahati"/>
    <s v="Assam"/>
    <x v="1"/>
    <x v="2"/>
    <s v="Smartphone"/>
    <x v="13"/>
    <n v="4"/>
    <n v="18970"/>
    <n v="0.05"/>
    <n v="12230"/>
    <s v="Net Banking"/>
    <s v="Returned"/>
    <n v="4"/>
    <s v="New"/>
    <n v="75880"/>
    <n v="3794"/>
    <n v="72086"/>
    <n v="59856"/>
    <n v="0.83034153649807174"/>
    <n v="2030"/>
    <s v="Jun"/>
    <s v="Q2"/>
  </r>
  <r>
    <s v="ORD11889"/>
    <x v="1888"/>
    <s v="CUST1084"/>
    <s v="Karan Singh"/>
    <x v="74"/>
    <x v="0"/>
    <x v="0"/>
    <x v="7"/>
    <s v="Mumbai"/>
    <s v="Maharashtra"/>
    <x v="0"/>
    <x v="1"/>
    <s v="Bedside Table"/>
    <x v="24"/>
    <n v="1"/>
    <n v="4140"/>
    <n v="0.05"/>
    <n v="2960"/>
    <s v="Cash on Delivery"/>
    <s v="Delivered"/>
    <n v="3"/>
    <s v="Returning"/>
    <n v="4140"/>
    <n v="207"/>
    <n v="3933"/>
    <n v="973"/>
    <n v="0.24739384693618102"/>
    <n v="2030"/>
    <s v="Jun"/>
    <s v="Q2"/>
  </r>
  <r>
    <s v="ORD11890"/>
    <x v="1889"/>
    <s v="CUST1033"/>
    <s v="Aditya Verma"/>
    <x v="30"/>
    <x v="1"/>
    <x v="33"/>
    <x v="0"/>
    <s v="Pune"/>
    <s v="Maharashtra"/>
    <x v="0"/>
    <x v="4"/>
    <s v="Makeup Kit"/>
    <x v="28"/>
    <n v="2"/>
    <n v="2290"/>
    <n v="0.05"/>
    <n v="1210"/>
    <s v="Net Banking"/>
    <s v="Delivered"/>
    <n v="2"/>
    <s v="Returning"/>
    <n v="4580"/>
    <n v="229"/>
    <n v="4351"/>
    <n v="3141"/>
    <n v="0.7219030108021145"/>
    <n v="2030"/>
    <s v="Jun"/>
    <s v="Q2"/>
  </r>
  <r>
    <s v="ORD11891"/>
    <x v="1890"/>
    <s v="CUST1119"/>
    <s v="Vikram Das"/>
    <x v="198"/>
    <x v="1"/>
    <x v="40"/>
    <x v="2"/>
    <s v="Kochi"/>
    <s v="Kerala"/>
    <x v="2"/>
    <x v="1"/>
    <s v="Sofa"/>
    <x v="16"/>
    <n v="3"/>
    <n v="26370"/>
    <n v="0.15"/>
    <n v="21360"/>
    <s v="Debit Card"/>
    <s v="Delivered"/>
    <n v="2"/>
    <s v="Returning"/>
    <n v="79110"/>
    <n v="11866.5"/>
    <n v="67243.5"/>
    <n v="45883.5"/>
    <n v="0.68234847977871471"/>
    <n v="2030"/>
    <s v="Jun"/>
    <s v="Q2"/>
  </r>
  <r>
    <s v="ORD11892"/>
    <x v="1891"/>
    <s v="CUST1246"/>
    <s v="Vikram Iyer"/>
    <x v="119"/>
    <x v="1"/>
    <x v="19"/>
    <x v="0"/>
    <s v="Pune"/>
    <s v="Maharashtra"/>
    <x v="0"/>
    <x v="1"/>
    <s v="Sofa"/>
    <x v="16"/>
    <n v="1"/>
    <n v="26170"/>
    <n v="0"/>
    <n v="20940"/>
    <s v="UPI"/>
    <s v="Delivered"/>
    <n v="7"/>
    <s v="Returning"/>
    <n v="26170"/>
    <n v="0"/>
    <n v="26170"/>
    <n v="5230"/>
    <n v="0.19984715322888805"/>
    <n v="2030"/>
    <s v="Jun"/>
    <s v="Q2"/>
  </r>
  <r>
    <s v="ORD11893"/>
    <x v="1892"/>
    <s v="CUST1147"/>
    <s v="Nisha Singh"/>
    <x v="114"/>
    <x v="0"/>
    <x v="20"/>
    <x v="0"/>
    <s v="Pune"/>
    <s v="Maharashtra"/>
    <x v="0"/>
    <x v="5"/>
    <s v="Electric Kettle"/>
    <x v="18"/>
    <n v="3"/>
    <n v="1860"/>
    <n v="0.1"/>
    <n v="990"/>
    <s v="Credit Card"/>
    <s v="Delivered"/>
    <n v="3"/>
    <s v="Returning"/>
    <n v="5580"/>
    <n v="558"/>
    <n v="5022"/>
    <n v="4032"/>
    <n v="0.80286738351254483"/>
    <n v="2030"/>
    <s v="Jun"/>
    <s v="Q2"/>
  </r>
  <r>
    <s v="ORD11894"/>
    <x v="1893"/>
    <s v="CUST1168"/>
    <s v="Rahul Joshi"/>
    <x v="108"/>
    <x v="1"/>
    <x v="32"/>
    <x v="14"/>
    <s v="Ahmedabad"/>
    <s v="Gujarat"/>
    <x v="0"/>
    <x v="2"/>
    <s v="Headphones"/>
    <x v="5"/>
    <n v="1"/>
    <n v="2570"/>
    <n v="0.25"/>
    <n v="1440"/>
    <s v="Credit Card"/>
    <s v="Delivered"/>
    <n v="3"/>
    <s v="Returning"/>
    <n v="2570"/>
    <n v="642.5"/>
    <n v="1927.5"/>
    <n v="487.5"/>
    <n v="0.25291828793774318"/>
    <n v="2030"/>
    <s v="Jun"/>
    <s v="Q2"/>
  </r>
  <r>
    <s v="ORD11895"/>
    <x v="1894"/>
    <s v="CUST1344"/>
    <s v="Karan Kumar"/>
    <x v="111"/>
    <x v="0"/>
    <x v="33"/>
    <x v="14"/>
    <s v="Ahmedabad"/>
    <s v="Gujarat"/>
    <x v="0"/>
    <x v="1"/>
    <s v="Office Chair"/>
    <x v="1"/>
    <n v="3"/>
    <n v="6740"/>
    <n v="0.3"/>
    <n v="4110"/>
    <s v="Debit Card"/>
    <s v="Returned"/>
    <n v="4"/>
    <s v="New"/>
    <n v="20220"/>
    <n v="6066"/>
    <n v="14154"/>
    <n v="10044"/>
    <n v="0.70962272149215766"/>
    <n v="2030"/>
    <s v="Jun"/>
    <s v="Q2"/>
  </r>
  <r>
    <s v="ORD11896"/>
    <x v="1895"/>
    <s v="CUST1312"/>
    <s v="Vivaan Gupta"/>
    <x v="243"/>
    <x v="0"/>
    <x v="29"/>
    <x v="3"/>
    <s v="Bengaluru"/>
    <s v="Karnataka"/>
    <x v="2"/>
    <x v="3"/>
    <s v="Tennis Racket"/>
    <x v="17"/>
    <n v="4"/>
    <n v="4620"/>
    <n v="0.1"/>
    <n v="2860"/>
    <s v="UPI"/>
    <s v="Delivered"/>
    <n v="6"/>
    <s v="New"/>
    <n v="18480"/>
    <n v="1848"/>
    <n v="16632"/>
    <n v="13772"/>
    <n v="0.82804232804232802"/>
    <n v="2030"/>
    <s v="Jun"/>
    <s v="Q2"/>
  </r>
  <r>
    <s v="ORD11897"/>
    <x v="1896"/>
    <s v="CUST1132"/>
    <s v="Rahul Verma"/>
    <x v="183"/>
    <x v="1"/>
    <x v="19"/>
    <x v="11"/>
    <s v="Chennai"/>
    <s v="Tamil Nadu"/>
    <x v="2"/>
    <x v="0"/>
    <s v="Jacket"/>
    <x v="25"/>
    <n v="3"/>
    <n v="4000"/>
    <n v="0.05"/>
    <n v="2580"/>
    <s v="Wallet"/>
    <s v="Delivered"/>
    <n v="3"/>
    <s v="Returning"/>
    <n v="12000"/>
    <n v="600"/>
    <n v="11400"/>
    <n v="8820"/>
    <n v="0.77368421052631575"/>
    <n v="2030"/>
    <s v="Jun"/>
    <s v="Q2"/>
  </r>
  <r>
    <s v="ORD11898"/>
    <x v="1897"/>
    <s v="CUST1250"/>
    <s v="Vivaan Bhat"/>
    <x v="35"/>
    <x v="0"/>
    <x v="35"/>
    <x v="11"/>
    <s v="Chennai"/>
    <s v="Tamil Nadu"/>
    <x v="2"/>
    <x v="0"/>
    <s v="Jeans"/>
    <x v="19"/>
    <n v="1"/>
    <n v="2300"/>
    <n v="0.1"/>
    <n v="1180"/>
    <s v="Credit Card"/>
    <s v="Delivered"/>
    <n v="3"/>
    <s v="Returning"/>
    <n v="2300"/>
    <n v="230"/>
    <n v="2070"/>
    <n v="890"/>
    <n v="0.42995169082125606"/>
    <n v="2030"/>
    <s v="Jun"/>
    <s v="Q2"/>
  </r>
  <r>
    <s v="ORD11899"/>
    <x v="1898"/>
    <s v="CUST1114"/>
    <s v="Rahul Gupta"/>
    <x v="140"/>
    <x v="1"/>
    <x v="25"/>
    <x v="10"/>
    <s v="Jaipur"/>
    <s v="Rajasthan"/>
    <x v="3"/>
    <x v="0"/>
    <s v="Jacket"/>
    <x v="25"/>
    <n v="3"/>
    <n v="4030"/>
    <n v="0.25"/>
    <n v="2700"/>
    <s v="UPI"/>
    <s v="Pending"/>
    <n v="4"/>
    <s v="Returning"/>
    <n v="12090"/>
    <n v="3022.5"/>
    <n v="9067.5"/>
    <n v="6367.5"/>
    <n v="0.70223325062034736"/>
    <n v="2030"/>
    <s v="Jun"/>
    <s v="Q2"/>
  </r>
  <r>
    <s v="ORD11900"/>
    <x v="1899"/>
    <s v="CUST1038"/>
    <s v="Rohan Rao"/>
    <x v="23"/>
    <x v="0"/>
    <x v="34"/>
    <x v="12"/>
    <s v="Delhi"/>
    <s v="Delhi"/>
    <x v="3"/>
    <x v="2"/>
    <s v="Headphones"/>
    <x v="5"/>
    <n v="5"/>
    <n v="2640"/>
    <n v="0.15"/>
    <n v="1430"/>
    <s v="Debit Card"/>
    <s v="Delivered"/>
    <n v="6"/>
    <s v="Returning"/>
    <n v="13200"/>
    <n v="1980"/>
    <n v="11220"/>
    <n v="9790"/>
    <n v="0.87254901960784315"/>
    <n v="2030"/>
    <s v="Jun"/>
    <s v="Q2"/>
  </r>
  <r>
    <s v="ORD11901"/>
    <x v="1900"/>
    <s v="CUST1379"/>
    <s v="Priya Naidu"/>
    <x v="25"/>
    <x v="1"/>
    <x v="30"/>
    <x v="2"/>
    <s v="Kochi"/>
    <s v="Kerala"/>
    <x v="2"/>
    <x v="2"/>
    <s v="Laptop"/>
    <x v="15"/>
    <n v="1"/>
    <n v="53860"/>
    <n v="0.25"/>
    <n v="40880"/>
    <s v="Cash on Delivery"/>
    <s v="Delivered"/>
    <n v="1"/>
    <s v="New"/>
    <n v="53860"/>
    <n v="13465"/>
    <n v="40395"/>
    <n v="-485"/>
    <n v="-1.2006436440153484E-2"/>
    <n v="2030"/>
    <s v="Jun"/>
    <s v="Q2"/>
  </r>
  <r>
    <s v="ORD11902"/>
    <x v="1901"/>
    <s v="CUST1172"/>
    <s v="Nisha Singh"/>
    <x v="114"/>
    <x v="0"/>
    <x v="28"/>
    <x v="13"/>
    <s v="Lucknow"/>
    <s v="Uttar Pradesh"/>
    <x v="3"/>
    <x v="2"/>
    <s v="Tablet"/>
    <x v="4"/>
    <n v="1"/>
    <n v="23180"/>
    <n v="0.2"/>
    <n v="14980"/>
    <s v="Cash on Delivery"/>
    <s v="Delivered"/>
    <n v="2"/>
    <s v="Returning"/>
    <n v="23180"/>
    <n v="4636"/>
    <n v="18544"/>
    <n v="3564"/>
    <n v="0.19219154443485764"/>
    <n v="2030"/>
    <s v="Jun"/>
    <s v="Q2"/>
  </r>
  <r>
    <s v="ORD11903"/>
    <x v="1902"/>
    <s v="CUST1018"/>
    <s v="Ananya Kumar"/>
    <x v="126"/>
    <x v="0"/>
    <x v="35"/>
    <x v="12"/>
    <s v="Delhi"/>
    <s v="Delhi"/>
    <x v="3"/>
    <x v="0"/>
    <s v="Jeans"/>
    <x v="19"/>
    <n v="3"/>
    <n v="2300"/>
    <n v="0"/>
    <n v="1200"/>
    <s v="Net Banking"/>
    <s v="Delivered"/>
    <n v="3"/>
    <s v="Returning"/>
    <n v="6900"/>
    <n v="0"/>
    <n v="6900"/>
    <n v="5700"/>
    <n v="0.82608695652173914"/>
    <n v="2030"/>
    <s v="Jun"/>
    <s v="Q2"/>
  </r>
  <r>
    <s v="ORD11904"/>
    <x v="1903"/>
    <s v="CUST1212"/>
    <s v="Aarav Joshi"/>
    <x v="62"/>
    <x v="0"/>
    <x v="30"/>
    <x v="1"/>
    <s v="Kolkata"/>
    <s v="West Bengal"/>
    <x v="1"/>
    <x v="2"/>
    <s v="Tablet"/>
    <x v="4"/>
    <n v="1"/>
    <n v="20570"/>
    <n v="0.15"/>
    <n v="15060"/>
    <s v="Net Banking"/>
    <s v="Delivered"/>
    <n v="3"/>
    <s v="Returning"/>
    <n v="20570"/>
    <n v="3085.5"/>
    <n v="17484.5"/>
    <n v="2424.5"/>
    <n v="0.13866567531241958"/>
    <n v="2030"/>
    <s v="Jun"/>
    <s v="Q2"/>
  </r>
  <r>
    <s v="ORD11905"/>
    <x v="1904"/>
    <s v="CUST1439"/>
    <s v="Meera Kumar"/>
    <x v="234"/>
    <x v="1"/>
    <x v="31"/>
    <x v="2"/>
    <s v="Kochi"/>
    <s v="Kerala"/>
    <x v="2"/>
    <x v="5"/>
    <s v="Vacuum Cleaner"/>
    <x v="9"/>
    <n v="1"/>
    <n v="8540"/>
    <n v="0.15"/>
    <n v="5470"/>
    <s v="Cash on Delivery"/>
    <s v="Delivered"/>
    <n v="4"/>
    <s v="New"/>
    <n v="8540"/>
    <n v="1281"/>
    <n v="7259"/>
    <n v="1789"/>
    <n v="0.24645267943242871"/>
    <n v="2030"/>
    <s v="Jun"/>
    <s v="Q2"/>
  </r>
  <r>
    <s v="ORD11906"/>
    <x v="1905"/>
    <s v="CUST1208"/>
    <s v="Aditya Gupta"/>
    <x v="112"/>
    <x v="1"/>
    <x v="18"/>
    <x v="10"/>
    <s v="Jaipur"/>
    <s v="Rajasthan"/>
    <x v="3"/>
    <x v="2"/>
    <s v="Headphones"/>
    <x v="5"/>
    <n v="1"/>
    <n v="2620"/>
    <n v="0.1"/>
    <n v="1480"/>
    <s v="Debit Card"/>
    <s v="Delivered"/>
    <n v="2"/>
    <s v="Returning"/>
    <n v="2620"/>
    <n v="262"/>
    <n v="2358"/>
    <n v="878"/>
    <n v="0.37234944868532655"/>
    <n v="2030"/>
    <s v="Jul"/>
    <s v="Q3"/>
  </r>
  <r>
    <s v="ORD11907"/>
    <x v="1906"/>
    <s v="CUST1090"/>
    <s v="Vivaan Gupta"/>
    <x v="243"/>
    <x v="1"/>
    <x v="26"/>
    <x v="4"/>
    <s v="Chandigarh"/>
    <s v="Chandigarh"/>
    <x v="3"/>
    <x v="1"/>
    <s v="Office Chair"/>
    <x v="1"/>
    <n v="1"/>
    <n v="6020"/>
    <n v="0.15"/>
    <n v="4280"/>
    <s v="Credit Card"/>
    <s v="Returned"/>
    <n v="3"/>
    <s v="Returning"/>
    <n v="6020"/>
    <n v="903"/>
    <n v="5117"/>
    <n v="837"/>
    <n v="0.16357240570646864"/>
    <n v="2030"/>
    <s v="Jul"/>
    <s v="Q3"/>
  </r>
  <r>
    <s v="ORD11908"/>
    <x v="1907"/>
    <s v="CUST1195"/>
    <s v="Sneha Naidu"/>
    <x v="50"/>
    <x v="1"/>
    <x v="36"/>
    <x v="11"/>
    <s v="Chennai"/>
    <s v="Tamil Nadu"/>
    <x v="2"/>
    <x v="0"/>
    <s v="T-Shirt"/>
    <x v="2"/>
    <n v="2"/>
    <n v="880"/>
    <n v="0"/>
    <n v="450"/>
    <s v="Credit Card"/>
    <s v="Delivered"/>
    <n v="3"/>
    <s v="Returning"/>
    <n v="1760"/>
    <n v="0"/>
    <n v="1760"/>
    <n v="1310"/>
    <n v="0.74431818181818177"/>
    <n v="2030"/>
    <s v="Jul"/>
    <s v="Q3"/>
  </r>
  <r>
    <s v="ORD11909"/>
    <x v="1908"/>
    <s v="CUST1363"/>
    <s v="Karan Gupta"/>
    <x v="99"/>
    <x v="1"/>
    <x v="33"/>
    <x v="1"/>
    <s v="Kolkata"/>
    <s v="West Bengal"/>
    <x v="1"/>
    <x v="3"/>
    <s v="Football"/>
    <x v="10"/>
    <n v="2"/>
    <n v="1150"/>
    <n v="0"/>
    <n v="620"/>
    <s v="Net Banking"/>
    <s v="Delivered"/>
    <n v="5"/>
    <s v="New"/>
    <n v="2300"/>
    <n v="0"/>
    <n v="2300"/>
    <n v="1680"/>
    <n v="0.73043478260869565"/>
    <n v="2030"/>
    <s v="Jul"/>
    <s v="Q3"/>
  </r>
  <r>
    <s v="ORD11910"/>
    <x v="1909"/>
    <s v="CUST1027"/>
    <s v="Vivaan Naidu"/>
    <x v="144"/>
    <x v="0"/>
    <x v="20"/>
    <x v="10"/>
    <s v="Jaipur"/>
    <s v="Rajasthan"/>
    <x v="3"/>
    <x v="5"/>
    <s v="Vacuum Cleaner"/>
    <x v="9"/>
    <n v="3"/>
    <n v="9170"/>
    <n v="0.05"/>
    <n v="5790"/>
    <s v="Net Banking"/>
    <s v="Delivered"/>
    <n v="3"/>
    <s v="Returning"/>
    <n v="27510"/>
    <n v="1375.5"/>
    <n v="26134.5"/>
    <n v="20344.5"/>
    <n v="0.77845376800780575"/>
    <n v="2030"/>
    <s v="Jul"/>
    <s v="Q3"/>
  </r>
  <r>
    <s v="ORD11911"/>
    <x v="1910"/>
    <s v="CUST1156"/>
    <s v="Rahul Iyer"/>
    <x v="181"/>
    <x v="0"/>
    <x v="22"/>
    <x v="14"/>
    <s v="Ahmedabad"/>
    <s v="Gujarat"/>
    <x v="0"/>
    <x v="2"/>
    <s v="Laptop"/>
    <x v="15"/>
    <n v="5"/>
    <n v="57770"/>
    <n v="0.25"/>
    <n v="42400"/>
    <s v="Credit Card"/>
    <s v="Pending"/>
    <n v="3"/>
    <s v="Returning"/>
    <n v="288850"/>
    <n v="72212.5"/>
    <n v="216637.5"/>
    <n v="174237.5"/>
    <n v="0.80428134556574926"/>
    <n v="2030"/>
    <s v="Jul"/>
    <s v="Q3"/>
  </r>
  <r>
    <s v="ORD11912"/>
    <x v="1911"/>
    <s v="CUST1172"/>
    <s v="Meera Joshi"/>
    <x v="88"/>
    <x v="0"/>
    <x v="16"/>
    <x v="6"/>
    <s v="Guwahati"/>
    <s v="Assam"/>
    <x v="1"/>
    <x v="0"/>
    <s v="Handbag"/>
    <x v="12"/>
    <n v="2"/>
    <n v="2600"/>
    <n v="0.15"/>
    <n v="1530"/>
    <s v="UPI"/>
    <s v="Delivered"/>
    <n v="4"/>
    <s v="Returning"/>
    <n v="5200"/>
    <n v="780"/>
    <n v="4420"/>
    <n v="2890"/>
    <n v="0.65384615384615385"/>
    <n v="2030"/>
    <s v="Jul"/>
    <s v="Q3"/>
  </r>
  <r>
    <s v="ORD11913"/>
    <x v="1912"/>
    <s v="CUST1385"/>
    <s v="Nisha Rao"/>
    <x v="249"/>
    <x v="1"/>
    <x v="7"/>
    <x v="6"/>
    <s v="Guwahati"/>
    <s v="Assam"/>
    <x v="1"/>
    <x v="2"/>
    <s v="Headphones"/>
    <x v="5"/>
    <n v="4"/>
    <n v="2530"/>
    <n v="0.15"/>
    <n v="1540"/>
    <s v="UPI"/>
    <s v="Delivered"/>
    <n v="3"/>
    <s v="New"/>
    <n v="10120"/>
    <n v="1518"/>
    <n v="8602"/>
    <n v="7062"/>
    <n v="0.82097186700767266"/>
    <n v="2030"/>
    <s v="Jul"/>
    <s v="Q3"/>
  </r>
  <r>
    <s v="ORD11914"/>
    <x v="1913"/>
    <s v="CUST1341"/>
    <s v="Nisha Sharma"/>
    <x v="11"/>
    <x v="1"/>
    <x v="3"/>
    <x v="2"/>
    <s v="Kochi"/>
    <s v="Kerala"/>
    <x v="2"/>
    <x v="4"/>
    <s v="Perfume"/>
    <x v="29"/>
    <n v="3"/>
    <n v="1900"/>
    <n v="0.1"/>
    <n v="900"/>
    <s v="Credit Card"/>
    <s v="Delivered"/>
    <n v="2"/>
    <s v="New"/>
    <n v="5700"/>
    <n v="570"/>
    <n v="5130"/>
    <n v="4230"/>
    <n v="0.82456140350877194"/>
    <n v="2030"/>
    <s v="Jul"/>
    <s v="Q3"/>
  </r>
  <r>
    <s v="ORD11915"/>
    <x v="1914"/>
    <s v="CUST1144"/>
    <s v="Sneha Iyer"/>
    <x v="2"/>
    <x v="0"/>
    <x v="28"/>
    <x v="4"/>
    <s v="Chandigarh"/>
    <s v="Chandigarh"/>
    <x v="3"/>
    <x v="2"/>
    <s v="Smartwatch"/>
    <x v="3"/>
    <n v="2"/>
    <n v="6910"/>
    <n v="0.1"/>
    <n v="4720"/>
    <s v="Cash on Delivery"/>
    <s v="Cancelled"/>
    <n v="0"/>
    <s v="Returning"/>
    <n v="13820"/>
    <n v="1382"/>
    <n v="12438"/>
    <n v="7718"/>
    <n v="0.62051776812992443"/>
    <n v="2030"/>
    <s v="Jul"/>
    <s v="Q3"/>
  </r>
  <r>
    <s v="ORD11916"/>
    <x v="1915"/>
    <s v="CUST1389"/>
    <s v="Aditya Verma"/>
    <x v="30"/>
    <x v="1"/>
    <x v="0"/>
    <x v="14"/>
    <s v="Ahmedabad"/>
    <s v="Gujarat"/>
    <x v="0"/>
    <x v="4"/>
    <s v="Shampoo"/>
    <x v="8"/>
    <n v="2"/>
    <n v="460"/>
    <n v="0.1"/>
    <n v="230"/>
    <s v="Credit Card"/>
    <s v="Delivered"/>
    <n v="4"/>
    <s v="New"/>
    <n v="920"/>
    <n v="92"/>
    <n v="828"/>
    <n v="598"/>
    <n v="0.72222222222222221"/>
    <n v="2030"/>
    <s v="Jul"/>
    <s v="Q3"/>
  </r>
  <r>
    <s v="ORD11917"/>
    <x v="1916"/>
    <s v="CUST1124"/>
    <s v="Arjun Sharma"/>
    <x v="225"/>
    <x v="0"/>
    <x v="36"/>
    <x v="12"/>
    <s v="Delhi"/>
    <s v="Delhi"/>
    <x v="3"/>
    <x v="3"/>
    <s v="Tennis Racket"/>
    <x v="17"/>
    <n v="1"/>
    <n v="4530"/>
    <n v="0.05"/>
    <n v="2830"/>
    <s v="Credit Card"/>
    <s v="Delivered"/>
    <n v="7"/>
    <s v="Returning"/>
    <n v="4530"/>
    <n v="226.5"/>
    <n v="4303.5"/>
    <n v="1473.5"/>
    <n v="0.34239572441036364"/>
    <n v="2030"/>
    <s v="Jul"/>
    <s v="Q3"/>
  </r>
  <r>
    <s v="ORD11918"/>
    <x v="1917"/>
    <s v="CUST1213"/>
    <s v="Rohan Nair"/>
    <x v="178"/>
    <x v="1"/>
    <x v="38"/>
    <x v="11"/>
    <s v="Chennai"/>
    <s v="Tamil Nadu"/>
    <x v="2"/>
    <x v="5"/>
    <s v="Microwave"/>
    <x v="27"/>
    <n v="1"/>
    <n v="12360"/>
    <n v="0.1"/>
    <n v="8440"/>
    <s v="Cash on Delivery"/>
    <s v="Delivered"/>
    <n v="1"/>
    <s v="Returning"/>
    <n v="12360"/>
    <n v="1236"/>
    <n v="11124"/>
    <n v="2684"/>
    <n v="0.24128011506652283"/>
    <n v="2030"/>
    <s v="Jul"/>
    <s v="Q3"/>
  </r>
  <r>
    <s v="ORD11919"/>
    <x v="1918"/>
    <s v="CUST1187"/>
    <s v="Ishita Mehta"/>
    <x v="113"/>
    <x v="1"/>
    <x v="23"/>
    <x v="6"/>
    <s v="Guwahati"/>
    <s v="Assam"/>
    <x v="1"/>
    <x v="1"/>
    <s v="Bookshelf"/>
    <x v="6"/>
    <n v="2"/>
    <n v="4820"/>
    <n v="0"/>
    <n v="3160"/>
    <s v="Net Banking"/>
    <s v="Delivered"/>
    <n v="8"/>
    <s v="Returning"/>
    <n v="9640"/>
    <n v="0"/>
    <n v="9640"/>
    <n v="6480"/>
    <n v="0.67219917012448138"/>
    <n v="2030"/>
    <s v="Jul"/>
    <s v="Q3"/>
  </r>
  <r>
    <s v="ORD11920"/>
    <x v="1919"/>
    <s v="CUST1006"/>
    <s v="Kavya Joshi"/>
    <x v="68"/>
    <x v="1"/>
    <x v="7"/>
    <x v="0"/>
    <s v="Pune"/>
    <s v="Maharashtra"/>
    <x v="0"/>
    <x v="0"/>
    <s v="Sneakers"/>
    <x v="0"/>
    <n v="1"/>
    <n v="3620"/>
    <n v="0.15"/>
    <n v="2140"/>
    <s v="Debit Card"/>
    <s v="Delivered"/>
    <n v="2"/>
    <s v="Returning"/>
    <n v="3620"/>
    <n v="543"/>
    <n v="3077"/>
    <n v="937"/>
    <n v="0.30451738706532339"/>
    <n v="2030"/>
    <s v="Jul"/>
    <s v="Q3"/>
  </r>
  <r>
    <s v="ORD11921"/>
    <x v="1920"/>
    <s v="CUST1445"/>
    <s v="Arjun Bhat"/>
    <x v="52"/>
    <x v="0"/>
    <x v="11"/>
    <x v="5"/>
    <s v="Bhubaneswar"/>
    <s v="Odisha"/>
    <x v="1"/>
    <x v="0"/>
    <s v="T-Shirt"/>
    <x v="2"/>
    <n v="1"/>
    <n v="880"/>
    <n v="0.2"/>
    <n v="440"/>
    <s v="Credit Card"/>
    <s v="Delivered"/>
    <n v="5"/>
    <s v="New"/>
    <n v="880"/>
    <n v="176"/>
    <n v="704"/>
    <n v="264"/>
    <n v="0.375"/>
    <n v="2030"/>
    <s v="Jul"/>
    <s v="Q3"/>
  </r>
  <r>
    <s v="ORD11922"/>
    <x v="1921"/>
    <s v="CUST1063"/>
    <s v="Arjun Reddy"/>
    <x v="157"/>
    <x v="1"/>
    <x v="27"/>
    <x v="13"/>
    <s v="Lucknow"/>
    <s v="Uttar Pradesh"/>
    <x v="3"/>
    <x v="2"/>
    <s v="Tablet"/>
    <x v="4"/>
    <n v="1"/>
    <n v="20830"/>
    <n v="0"/>
    <n v="15960"/>
    <s v="Credit Card"/>
    <s v="Delivered"/>
    <n v="3"/>
    <s v="Returning"/>
    <n v="20830"/>
    <n v="0"/>
    <n v="20830"/>
    <n v="4870"/>
    <n v="0.23379740758521364"/>
    <n v="2030"/>
    <s v="Jul"/>
    <s v="Q3"/>
  </r>
  <r>
    <s v="ORD11923"/>
    <x v="1922"/>
    <s v="CUST1451"/>
    <s v="Rahul Shah"/>
    <x v="211"/>
    <x v="1"/>
    <x v="19"/>
    <x v="8"/>
    <s v="Mysuru"/>
    <s v="Karnataka"/>
    <x v="2"/>
    <x v="1"/>
    <s v="Study Table"/>
    <x v="11"/>
    <n v="3"/>
    <n v="8930"/>
    <n v="0"/>
    <n v="5720"/>
    <s v="Cash on Delivery"/>
    <s v="Delivered"/>
    <n v="2"/>
    <s v="New"/>
    <n v="26790"/>
    <n v="0"/>
    <n v="26790"/>
    <n v="21070"/>
    <n v="0.78648749533407991"/>
    <n v="2030"/>
    <s v="Jul"/>
    <s v="Q3"/>
  </r>
  <r>
    <s v="ORD11924"/>
    <x v="1923"/>
    <s v="CUST1044"/>
    <s v="Rohan Verma"/>
    <x v="212"/>
    <x v="1"/>
    <x v="29"/>
    <x v="7"/>
    <s v="Mumbai"/>
    <s v="Maharashtra"/>
    <x v="0"/>
    <x v="1"/>
    <s v="Study Table"/>
    <x v="11"/>
    <n v="4"/>
    <n v="8140"/>
    <n v="0.1"/>
    <n v="5860"/>
    <s v="Net Banking"/>
    <s v="Delivered"/>
    <n v="3"/>
    <s v="Returning"/>
    <n v="32560"/>
    <n v="3256"/>
    <n v="29304"/>
    <n v="23444"/>
    <n v="0.80002730002730005"/>
    <n v="2030"/>
    <s v="Jul"/>
    <s v="Q3"/>
  </r>
  <r>
    <s v="ORD11925"/>
    <x v="1924"/>
    <s v="CUST1182"/>
    <s v="Diya Shah"/>
    <x v="53"/>
    <x v="1"/>
    <x v="3"/>
    <x v="9"/>
    <s v="Hyderabad"/>
    <s v="Telangana"/>
    <x v="2"/>
    <x v="3"/>
    <s v="Cricket Bat"/>
    <x v="23"/>
    <n v="1"/>
    <n v="3050"/>
    <n v="0.2"/>
    <n v="1850"/>
    <s v="Debit Card"/>
    <s v="Returned"/>
    <n v="1"/>
    <s v="Returning"/>
    <n v="3050"/>
    <n v="610"/>
    <n v="2440"/>
    <n v="590"/>
    <n v="0.24180327868852458"/>
    <n v="2030"/>
    <s v="Jul"/>
    <s v="Q3"/>
  </r>
  <r>
    <s v="ORD11926"/>
    <x v="1925"/>
    <s v="CUST1486"/>
    <s v="Karan Naidu"/>
    <x v="168"/>
    <x v="0"/>
    <x v="11"/>
    <x v="13"/>
    <s v="Lucknow"/>
    <s v="Uttar Pradesh"/>
    <x v="3"/>
    <x v="4"/>
    <s v="Face Cream"/>
    <x v="21"/>
    <n v="2"/>
    <n v="660"/>
    <n v="0.2"/>
    <n v="290"/>
    <s v="Credit Card"/>
    <s v="Delivered"/>
    <n v="7"/>
    <s v="New"/>
    <n v="1320"/>
    <n v="264"/>
    <n v="1056"/>
    <n v="766"/>
    <n v="0.72537878787878785"/>
    <n v="2030"/>
    <s v="Jul"/>
    <s v="Q3"/>
  </r>
  <r>
    <s v="ORD11927"/>
    <x v="1926"/>
    <s v="CUST1060"/>
    <s v="Vikram Nair"/>
    <x v="80"/>
    <x v="0"/>
    <x v="7"/>
    <x v="9"/>
    <s v="Hyderabad"/>
    <s v="Telangana"/>
    <x v="2"/>
    <x v="5"/>
    <s v="Microwave"/>
    <x v="27"/>
    <n v="1"/>
    <n v="11710"/>
    <n v="0.15"/>
    <n v="8040"/>
    <s v="UPI"/>
    <s v="Delivered"/>
    <n v="5"/>
    <s v="Returning"/>
    <n v="11710"/>
    <n v="1756.5"/>
    <n v="9953.5"/>
    <n v="1913.5"/>
    <n v="0.19224393429446929"/>
    <n v="2030"/>
    <s v="Jul"/>
    <s v="Q3"/>
  </r>
  <r>
    <s v="ORD11928"/>
    <x v="1927"/>
    <s v="CUST1214"/>
    <s v="Diya Shah"/>
    <x v="53"/>
    <x v="0"/>
    <x v="42"/>
    <x v="4"/>
    <s v="Chandigarh"/>
    <s v="Chandigarh"/>
    <x v="3"/>
    <x v="5"/>
    <s v="Microwave"/>
    <x v="27"/>
    <n v="3"/>
    <n v="12360"/>
    <n v="0.2"/>
    <n v="8070"/>
    <s v="UPI"/>
    <s v="Returned"/>
    <n v="3"/>
    <s v="Returning"/>
    <n v="37080"/>
    <n v="7416"/>
    <n v="29664"/>
    <n v="21594"/>
    <n v="0.72795307443365698"/>
    <n v="2030"/>
    <s v="Jul"/>
    <s v="Q3"/>
  </r>
  <r>
    <s v="ORD11929"/>
    <x v="1928"/>
    <s v="CUST1429"/>
    <s v="Arjun Joshi"/>
    <x v="51"/>
    <x v="0"/>
    <x v="19"/>
    <x v="4"/>
    <s v="Chandigarh"/>
    <s v="Chandigarh"/>
    <x v="3"/>
    <x v="2"/>
    <s v="Headphones"/>
    <x v="5"/>
    <n v="2"/>
    <n v="2300"/>
    <n v="0.15"/>
    <n v="1510"/>
    <s v="UPI"/>
    <s v="Delivered"/>
    <n v="3"/>
    <s v="New"/>
    <n v="4600"/>
    <n v="690"/>
    <n v="3910"/>
    <n v="2400"/>
    <n v="0.61381074168797956"/>
    <n v="2030"/>
    <s v="Jul"/>
    <s v="Q3"/>
  </r>
  <r>
    <s v="ORD11930"/>
    <x v="1929"/>
    <s v="CUST1283"/>
    <s v="Meera Rao"/>
    <x v="245"/>
    <x v="0"/>
    <x v="35"/>
    <x v="7"/>
    <s v="Mumbai"/>
    <s v="Maharashtra"/>
    <x v="0"/>
    <x v="1"/>
    <s v="Study Table"/>
    <x v="11"/>
    <n v="4"/>
    <n v="9040"/>
    <n v="0.05"/>
    <n v="5530"/>
    <s v="Debit Card"/>
    <s v="Returned"/>
    <n v="4"/>
    <s v="Returning"/>
    <n v="36160"/>
    <n v="1808"/>
    <n v="34352"/>
    <n v="28822"/>
    <n v="0.83901956217978579"/>
    <n v="2030"/>
    <s v="Jul"/>
    <s v="Q3"/>
  </r>
  <r>
    <s v="ORD11931"/>
    <x v="1930"/>
    <s v="CUST1046"/>
    <s v="Nisha Mehta"/>
    <x v="103"/>
    <x v="0"/>
    <x v="41"/>
    <x v="8"/>
    <s v="Mysuru"/>
    <s v="Karnataka"/>
    <x v="2"/>
    <x v="5"/>
    <s v="Microwave"/>
    <x v="27"/>
    <n v="5"/>
    <n v="11610"/>
    <n v="0.05"/>
    <n v="8190"/>
    <s v="Credit Card"/>
    <s v="Delivered"/>
    <n v="3"/>
    <s v="Returning"/>
    <n v="58050"/>
    <n v="2902.5"/>
    <n v="55147.5"/>
    <n v="46957.5"/>
    <n v="0.85148918808649532"/>
    <n v="2030"/>
    <s v="Jul"/>
    <s v="Q3"/>
  </r>
  <r>
    <s v="ORD11932"/>
    <x v="1931"/>
    <s v="CUST1295"/>
    <s v="Priya Gupta"/>
    <x v="102"/>
    <x v="1"/>
    <x v="29"/>
    <x v="6"/>
    <s v="Guwahati"/>
    <s v="Assam"/>
    <x v="1"/>
    <x v="0"/>
    <s v="Handbag"/>
    <x v="12"/>
    <n v="5"/>
    <n v="2610"/>
    <n v="0.1"/>
    <n v="1650"/>
    <s v="Credit Card"/>
    <s v="Delivered"/>
    <n v="10"/>
    <s v="Returning"/>
    <n v="13050"/>
    <n v="1305"/>
    <n v="11745"/>
    <n v="10095"/>
    <n v="0.85951468710089396"/>
    <n v="2030"/>
    <s v="Jul"/>
    <s v="Q3"/>
  </r>
  <r>
    <s v="ORD11933"/>
    <x v="1932"/>
    <s v="CUST1278"/>
    <s v="Kavya Iyer"/>
    <x v="128"/>
    <x v="0"/>
    <x v="25"/>
    <x v="7"/>
    <s v="Mumbai"/>
    <s v="Maharashtra"/>
    <x v="0"/>
    <x v="3"/>
    <s v="Dumbbells"/>
    <x v="7"/>
    <n v="2"/>
    <n v="2380"/>
    <n v="0.15"/>
    <n v="1480"/>
    <s v="Credit Card"/>
    <s v="Delivered"/>
    <n v="4"/>
    <s v="Returning"/>
    <n v="4760"/>
    <n v="714"/>
    <n v="4046"/>
    <n v="2566"/>
    <n v="0.63420662382600101"/>
    <n v="2030"/>
    <s v="Jul"/>
    <s v="Q3"/>
  </r>
  <r>
    <s v="ORD11934"/>
    <x v="1933"/>
    <s v="CUST1463"/>
    <s v="Karan Shah"/>
    <x v="8"/>
    <x v="1"/>
    <x v="30"/>
    <x v="2"/>
    <s v="Kochi"/>
    <s v="Kerala"/>
    <x v="2"/>
    <x v="4"/>
    <s v="Face Cream"/>
    <x v="21"/>
    <n v="1"/>
    <n v="640"/>
    <n v="0.3"/>
    <n v="290"/>
    <s v="Credit Card"/>
    <s v="Delivered"/>
    <n v="1"/>
    <s v="New"/>
    <n v="640"/>
    <n v="192"/>
    <n v="448"/>
    <n v="158"/>
    <n v="0.35267857142857145"/>
    <n v="2030"/>
    <s v="Jul"/>
    <s v="Q3"/>
  </r>
  <r>
    <s v="ORD11935"/>
    <x v="1934"/>
    <s v="CUST1105"/>
    <s v="Kavya Iyer"/>
    <x v="128"/>
    <x v="0"/>
    <x v="15"/>
    <x v="11"/>
    <s v="Chennai"/>
    <s v="Tamil Nadu"/>
    <x v="2"/>
    <x v="2"/>
    <s v="Tablet"/>
    <x v="4"/>
    <n v="2"/>
    <n v="21270"/>
    <n v="0.1"/>
    <n v="15130"/>
    <s v="UPI"/>
    <s v="Returned"/>
    <n v="3"/>
    <s v="Returning"/>
    <n v="42540"/>
    <n v="4254"/>
    <n v="38286"/>
    <n v="23156"/>
    <n v="0.6048163819672987"/>
    <n v="2030"/>
    <s v="Jul"/>
    <s v="Q3"/>
  </r>
  <r>
    <s v="ORD11936"/>
    <x v="1935"/>
    <s v="CUST1286"/>
    <s v="Aarav Reddy"/>
    <x v="31"/>
    <x v="1"/>
    <x v="18"/>
    <x v="4"/>
    <s v="Chandigarh"/>
    <s v="Chandigarh"/>
    <x v="3"/>
    <x v="1"/>
    <s v="Bedside Table"/>
    <x v="24"/>
    <n v="3"/>
    <n v="4830"/>
    <n v="0"/>
    <n v="2760"/>
    <s v="Credit Card"/>
    <s v="Delivered"/>
    <n v="3"/>
    <s v="Returning"/>
    <n v="14490"/>
    <n v="0"/>
    <n v="14490"/>
    <n v="11730"/>
    <n v="0.80952380952380953"/>
    <n v="2030"/>
    <s v="Jul"/>
    <s v="Q3"/>
  </r>
  <r>
    <s v="ORD11937"/>
    <x v="1936"/>
    <s v="CUST1446"/>
    <s v="Vikram Bhat"/>
    <x v="18"/>
    <x v="1"/>
    <x v="23"/>
    <x v="8"/>
    <s v="Mysuru"/>
    <s v="Karnataka"/>
    <x v="2"/>
    <x v="2"/>
    <s v="Laptop"/>
    <x v="15"/>
    <n v="1"/>
    <n v="55420"/>
    <n v="0.3"/>
    <n v="40830"/>
    <s v="Credit Card"/>
    <s v="Delivered"/>
    <n v="4"/>
    <s v="New"/>
    <n v="55420"/>
    <n v="16626"/>
    <n v="38794"/>
    <n v="-2036"/>
    <n v="-5.2482342630303658E-2"/>
    <n v="2030"/>
    <s v="Aug"/>
    <s v="Q3"/>
  </r>
  <r>
    <s v="ORD11938"/>
    <x v="1937"/>
    <s v="CUST1269"/>
    <s v="Priya Bhat"/>
    <x v="58"/>
    <x v="1"/>
    <x v="24"/>
    <x v="9"/>
    <s v="Hyderabad"/>
    <s v="Telangana"/>
    <x v="2"/>
    <x v="0"/>
    <s v="Jacket"/>
    <x v="25"/>
    <n v="3"/>
    <n v="4140"/>
    <n v="0.2"/>
    <n v="2660"/>
    <s v="UPI"/>
    <s v="Cancelled"/>
    <n v="0"/>
    <s v="Returning"/>
    <n v="12420"/>
    <n v="2484"/>
    <n v="9936"/>
    <n v="7276"/>
    <n v="0.73228663446054754"/>
    <n v="2030"/>
    <s v="Aug"/>
    <s v="Q3"/>
  </r>
  <r>
    <s v="ORD11939"/>
    <x v="1938"/>
    <s v="CUST1345"/>
    <s v="Sneha Gupta"/>
    <x v="76"/>
    <x v="0"/>
    <x v="27"/>
    <x v="9"/>
    <s v="Hyderabad"/>
    <s v="Telangana"/>
    <x v="2"/>
    <x v="0"/>
    <s v="Jacket"/>
    <x v="25"/>
    <n v="2"/>
    <n v="4470"/>
    <n v="0.1"/>
    <n v="2630"/>
    <s v="UPI"/>
    <s v="Delivered"/>
    <n v="4"/>
    <s v="New"/>
    <n v="8940"/>
    <n v="894"/>
    <n v="8046"/>
    <n v="5416"/>
    <n v="0.67312950534427041"/>
    <n v="2030"/>
    <s v="Aug"/>
    <s v="Q3"/>
  </r>
  <r>
    <s v="ORD11940"/>
    <x v="1939"/>
    <s v="CUST1007"/>
    <s v="Aarav Gupta"/>
    <x v="204"/>
    <x v="0"/>
    <x v="42"/>
    <x v="8"/>
    <s v="Mysuru"/>
    <s v="Karnataka"/>
    <x v="2"/>
    <x v="1"/>
    <s v="Sofa"/>
    <x v="16"/>
    <n v="3"/>
    <n v="27450"/>
    <n v="0.25"/>
    <n v="20340"/>
    <s v="Cash on Delivery"/>
    <s v="Delivered"/>
    <n v="3"/>
    <s v="Returning"/>
    <n v="82350"/>
    <n v="20587.5"/>
    <n v="61762.5"/>
    <n v="41422.5"/>
    <n v="0.6706739526411658"/>
    <n v="2030"/>
    <s v="Aug"/>
    <s v="Q3"/>
  </r>
  <r>
    <s v="ORD11941"/>
    <x v="1940"/>
    <s v="CUST1269"/>
    <s v="Ishita Singh"/>
    <x v="72"/>
    <x v="1"/>
    <x v="16"/>
    <x v="4"/>
    <s v="Chandigarh"/>
    <s v="Chandigarh"/>
    <x v="3"/>
    <x v="0"/>
    <s v="Jacket"/>
    <x v="25"/>
    <n v="1"/>
    <n v="4260"/>
    <n v="0"/>
    <n v="2670"/>
    <s v="Net Banking"/>
    <s v="Pending"/>
    <n v="5"/>
    <s v="Returning"/>
    <n v="4260"/>
    <n v="0"/>
    <n v="4260"/>
    <n v="1590"/>
    <n v="0.37323943661971831"/>
    <n v="2030"/>
    <s v="Aug"/>
    <s v="Q3"/>
  </r>
  <r>
    <s v="ORD11942"/>
    <x v="1941"/>
    <s v="CUST1401"/>
    <s v="Vivaan Verma"/>
    <x v="210"/>
    <x v="1"/>
    <x v="40"/>
    <x v="7"/>
    <s v="Mumbai"/>
    <s v="Maharashtra"/>
    <x v="0"/>
    <x v="2"/>
    <s v="Smartwatch"/>
    <x v="3"/>
    <n v="3"/>
    <n v="7510"/>
    <n v="0.1"/>
    <n v="4490"/>
    <s v="Credit Card"/>
    <s v="Delivered"/>
    <n v="3"/>
    <s v="New"/>
    <n v="22530"/>
    <n v="2253"/>
    <n v="20277"/>
    <n v="15787"/>
    <n v="0.77856684913941909"/>
    <n v="2030"/>
    <s v="Aug"/>
    <s v="Q3"/>
  </r>
  <r>
    <s v="ORD11943"/>
    <x v="1942"/>
    <s v="CUST1435"/>
    <s v="Aarav Nair"/>
    <x v="4"/>
    <x v="1"/>
    <x v="13"/>
    <x v="6"/>
    <s v="Guwahati"/>
    <s v="Assam"/>
    <x v="1"/>
    <x v="1"/>
    <s v="Study Table"/>
    <x v="11"/>
    <n v="1"/>
    <n v="8720"/>
    <n v="0"/>
    <n v="5360"/>
    <s v="Credit Card"/>
    <s v="Returned"/>
    <n v="2"/>
    <s v="New"/>
    <n v="8720"/>
    <n v="0"/>
    <n v="8720"/>
    <n v="3360"/>
    <n v="0.38532110091743121"/>
    <n v="2030"/>
    <s v="Aug"/>
    <s v="Q3"/>
  </r>
  <r>
    <s v="ORD11944"/>
    <x v="1943"/>
    <s v="CUST1184"/>
    <s v="Karan Kumar"/>
    <x v="111"/>
    <x v="1"/>
    <x v="32"/>
    <x v="8"/>
    <s v="Mysuru"/>
    <s v="Karnataka"/>
    <x v="2"/>
    <x v="5"/>
    <s v="Microwave"/>
    <x v="27"/>
    <n v="1"/>
    <n v="12250"/>
    <n v="0.1"/>
    <n v="7810"/>
    <s v="UPI"/>
    <s v="Delivered"/>
    <n v="2"/>
    <s v="Returning"/>
    <n v="12250"/>
    <n v="1225"/>
    <n v="11025"/>
    <n v="3215"/>
    <n v="0.29160997732426303"/>
    <n v="2030"/>
    <s v="Aug"/>
    <s v="Q3"/>
  </r>
  <r>
    <s v="ORD11945"/>
    <x v="1944"/>
    <s v="CUST1155"/>
    <s v="Vivaan Shah"/>
    <x v="156"/>
    <x v="1"/>
    <x v="35"/>
    <x v="10"/>
    <s v="Jaipur"/>
    <s v="Rajasthan"/>
    <x v="3"/>
    <x v="0"/>
    <s v="Sneakers"/>
    <x v="0"/>
    <n v="2"/>
    <n v="3270"/>
    <n v="0.1"/>
    <n v="2170"/>
    <s v="UPI"/>
    <s v="Delivered"/>
    <n v="3"/>
    <s v="Returning"/>
    <n v="6540"/>
    <n v="654"/>
    <n v="5886"/>
    <n v="3716"/>
    <n v="0.63132857628270467"/>
    <n v="2030"/>
    <s v="Aug"/>
    <s v="Q3"/>
  </r>
  <r>
    <s v="ORD11946"/>
    <x v="1945"/>
    <s v="CUST1476"/>
    <s v="Diya Singh"/>
    <x v="239"/>
    <x v="1"/>
    <x v="24"/>
    <x v="9"/>
    <s v="Hyderabad"/>
    <s v="Telangana"/>
    <x v="2"/>
    <x v="0"/>
    <s v="Jacket"/>
    <x v="25"/>
    <n v="2"/>
    <n v="4030"/>
    <n v="0.1"/>
    <n v="2480"/>
    <s v="Credit Card"/>
    <s v="Delivered"/>
    <n v="2"/>
    <s v="New"/>
    <n v="8060"/>
    <n v="806"/>
    <n v="7254"/>
    <n v="4774"/>
    <n v="0.65811965811965811"/>
    <n v="2030"/>
    <s v="Aug"/>
    <s v="Q3"/>
  </r>
  <r>
    <s v="ORD11947"/>
    <x v="1946"/>
    <s v="CUST1106"/>
    <s v="Aarav Gupta"/>
    <x v="204"/>
    <x v="1"/>
    <x v="13"/>
    <x v="2"/>
    <s v="Kochi"/>
    <s v="Kerala"/>
    <x v="2"/>
    <x v="3"/>
    <s v="Dumbbells"/>
    <x v="7"/>
    <n v="1"/>
    <n v="2610"/>
    <n v="0"/>
    <n v="1510"/>
    <s v="Credit Card"/>
    <s v="Delivered"/>
    <n v="5"/>
    <s v="Returning"/>
    <n v="2610"/>
    <n v="0"/>
    <n v="2610"/>
    <n v="1100"/>
    <n v="0.42145593869731801"/>
    <n v="2030"/>
    <s v="Aug"/>
    <s v="Q3"/>
  </r>
  <r>
    <s v="ORD11948"/>
    <x v="1947"/>
    <s v="CUST1452"/>
    <s v="Rahul Patel"/>
    <x v="247"/>
    <x v="0"/>
    <x v="33"/>
    <x v="5"/>
    <s v="Bhubaneswar"/>
    <s v="Odisha"/>
    <x v="1"/>
    <x v="2"/>
    <s v="Headphones"/>
    <x v="5"/>
    <n v="5"/>
    <n v="2450"/>
    <n v="0.15"/>
    <n v="1430"/>
    <s v="Debit Card"/>
    <s v="Cancelled"/>
    <n v="0"/>
    <s v="New"/>
    <n v="12250"/>
    <n v="1837.5"/>
    <n v="10412.5"/>
    <n v="8982.5"/>
    <n v="0.86266506602641058"/>
    <n v="2030"/>
    <s v="Aug"/>
    <s v="Q3"/>
  </r>
  <r>
    <s v="ORD11949"/>
    <x v="1948"/>
    <s v="CUST1213"/>
    <s v="Ananya Singh"/>
    <x v="197"/>
    <x v="1"/>
    <x v="7"/>
    <x v="4"/>
    <s v="Chandigarh"/>
    <s v="Chandigarh"/>
    <x v="3"/>
    <x v="2"/>
    <s v="Smartphone"/>
    <x v="13"/>
    <n v="1"/>
    <n v="18030"/>
    <n v="0.1"/>
    <n v="12080"/>
    <s v="Credit Card"/>
    <s v="Delivered"/>
    <n v="3"/>
    <s v="Returning"/>
    <n v="18030"/>
    <n v="1803"/>
    <n v="16227"/>
    <n v="4147"/>
    <n v="0.25556171812411416"/>
    <n v="2030"/>
    <s v="Aug"/>
    <s v="Q3"/>
  </r>
  <r>
    <s v="ORD11950"/>
    <x v="1949"/>
    <s v="CUST1027"/>
    <s v="Rohan Bhat"/>
    <x v="175"/>
    <x v="1"/>
    <x v="24"/>
    <x v="9"/>
    <s v="Hyderabad"/>
    <s v="Telangana"/>
    <x v="2"/>
    <x v="1"/>
    <s v="Study Table"/>
    <x v="11"/>
    <n v="2"/>
    <n v="8250"/>
    <n v="0.1"/>
    <n v="5660"/>
    <s v="Debit Card"/>
    <s v="Delivered"/>
    <n v="2"/>
    <s v="Returning"/>
    <n v="16500"/>
    <n v="1650"/>
    <n v="14850"/>
    <n v="9190"/>
    <n v="0.61885521885521888"/>
    <n v="2030"/>
    <s v="Aug"/>
    <s v="Q3"/>
  </r>
  <r>
    <s v="ORD11951"/>
    <x v="1950"/>
    <s v="CUST1178"/>
    <s v="Rohan Mehta"/>
    <x v="176"/>
    <x v="0"/>
    <x v="18"/>
    <x v="11"/>
    <s v="Chennai"/>
    <s v="Tamil Nadu"/>
    <x v="2"/>
    <x v="1"/>
    <s v="Study Table"/>
    <x v="11"/>
    <n v="1"/>
    <n v="7990"/>
    <n v="0.1"/>
    <n v="5440"/>
    <s v="UPI"/>
    <s v="Delivered"/>
    <n v="3"/>
    <s v="Returning"/>
    <n v="7990"/>
    <n v="799"/>
    <n v="7191"/>
    <n v="1751"/>
    <n v="0.24349881796690306"/>
    <n v="2030"/>
    <s v="Aug"/>
    <s v="Q3"/>
  </r>
  <r>
    <s v="ORD11952"/>
    <x v="1951"/>
    <s v="CUST1207"/>
    <s v="Ishita Nair"/>
    <x v="194"/>
    <x v="1"/>
    <x v="27"/>
    <x v="3"/>
    <s v="Bengaluru"/>
    <s v="Karnataka"/>
    <x v="2"/>
    <x v="5"/>
    <s v="Vacuum Cleaner"/>
    <x v="9"/>
    <n v="1"/>
    <n v="8350"/>
    <n v="0.2"/>
    <n v="5440"/>
    <s v="UPI"/>
    <s v="Delivered"/>
    <n v="4"/>
    <s v="Returning"/>
    <n v="8350"/>
    <n v="1670"/>
    <n v="6680"/>
    <n v="1240"/>
    <n v="0.18562874251497005"/>
    <n v="2030"/>
    <s v="Aug"/>
    <s v="Q3"/>
  </r>
  <r>
    <s v="ORD11953"/>
    <x v="1952"/>
    <s v="CUST1093"/>
    <s v="Meera Sharma"/>
    <x v="48"/>
    <x v="0"/>
    <x v="7"/>
    <x v="6"/>
    <s v="Guwahati"/>
    <s v="Assam"/>
    <x v="1"/>
    <x v="4"/>
    <s v="Perfume"/>
    <x v="29"/>
    <n v="2"/>
    <n v="1930"/>
    <n v="0.05"/>
    <n v="880"/>
    <s v="UPI"/>
    <s v="Delivered"/>
    <n v="3"/>
    <s v="Returning"/>
    <n v="3860"/>
    <n v="193"/>
    <n v="3667"/>
    <n v="2787"/>
    <n v="0.76002181619852738"/>
    <n v="2030"/>
    <s v="Aug"/>
    <s v="Q3"/>
  </r>
  <r>
    <s v="ORD11954"/>
    <x v="1953"/>
    <s v="CUST1338"/>
    <s v="Vikram Patel"/>
    <x v="60"/>
    <x v="1"/>
    <x v="6"/>
    <x v="5"/>
    <s v="Bhubaneswar"/>
    <s v="Odisha"/>
    <x v="1"/>
    <x v="2"/>
    <s v="Smartphone"/>
    <x v="13"/>
    <n v="4"/>
    <n v="18790"/>
    <n v="0.05"/>
    <n v="12970"/>
    <s v="UPI"/>
    <s v="Delivered"/>
    <n v="2"/>
    <s v="New"/>
    <n v="75160"/>
    <n v="3758"/>
    <n v="71402"/>
    <n v="58432"/>
    <n v="0.81835242710288225"/>
    <n v="2030"/>
    <s v="Aug"/>
    <s v="Q3"/>
  </r>
  <r>
    <s v="ORD11955"/>
    <x v="1954"/>
    <s v="CUST1083"/>
    <s v="Ishita Gupta"/>
    <x v="135"/>
    <x v="1"/>
    <x v="0"/>
    <x v="0"/>
    <s v="Pune"/>
    <s v="Maharashtra"/>
    <x v="0"/>
    <x v="0"/>
    <s v="Sneakers"/>
    <x v="0"/>
    <n v="1"/>
    <n v="3270"/>
    <n v="0.05"/>
    <n v="2030"/>
    <s v="Debit Card"/>
    <s v="Delivered"/>
    <n v="5"/>
    <s v="Returning"/>
    <n v="3270"/>
    <n v="163.5"/>
    <n v="3106.5"/>
    <n v="1076.5"/>
    <n v="0.34653146628037984"/>
    <n v="2030"/>
    <s v="Aug"/>
    <s v="Q3"/>
  </r>
  <r>
    <s v="ORD11956"/>
    <x v="1955"/>
    <s v="CUST1308"/>
    <s v="Ishita Nair"/>
    <x v="194"/>
    <x v="0"/>
    <x v="40"/>
    <x v="11"/>
    <s v="Chennai"/>
    <s v="Tamil Nadu"/>
    <x v="2"/>
    <x v="0"/>
    <s v="Sneakers"/>
    <x v="0"/>
    <n v="4"/>
    <n v="3680"/>
    <n v="0.3"/>
    <n v="2190"/>
    <s v="Debit Card"/>
    <s v="Returned"/>
    <n v="5"/>
    <s v="New"/>
    <n v="14720"/>
    <n v="4416"/>
    <n v="10304"/>
    <n v="8114"/>
    <n v="0.78746118012422361"/>
    <n v="2030"/>
    <s v="Aug"/>
    <s v="Q3"/>
  </r>
  <r>
    <s v="ORD11957"/>
    <x v="1956"/>
    <s v="CUST1415"/>
    <s v="Priya Bhat"/>
    <x v="58"/>
    <x v="0"/>
    <x v="28"/>
    <x v="10"/>
    <s v="Jaipur"/>
    <s v="Rajasthan"/>
    <x v="3"/>
    <x v="1"/>
    <s v="Bedside Table"/>
    <x v="24"/>
    <n v="1"/>
    <n v="4470"/>
    <n v="0.2"/>
    <n v="2940"/>
    <s v="UPI"/>
    <s v="Delivered"/>
    <n v="7"/>
    <s v="New"/>
    <n v="4470"/>
    <n v="894"/>
    <n v="3576"/>
    <n v="636"/>
    <n v="0.17785234899328858"/>
    <n v="2030"/>
    <s v="Aug"/>
    <s v="Q3"/>
  </r>
  <r>
    <s v="ORD11958"/>
    <x v="1957"/>
    <s v="CUST1364"/>
    <s v="Vikram Iyer"/>
    <x v="119"/>
    <x v="1"/>
    <x v="29"/>
    <x v="3"/>
    <s v="Bengaluru"/>
    <s v="Karnataka"/>
    <x v="2"/>
    <x v="5"/>
    <s v="Vacuum Cleaner"/>
    <x v="9"/>
    <n v="1"/>
    <n v="9090"/>
    <n v="0.15"/>
    <n v="5470"/>
    <s v="Credit Card"/>
    <s v="Delivered"/>
    <n v="1"/>
    <s v="New"/>
    <n v="9090"/>
    <n v="1363.5"/>
    <n v="7726.5"/>
    <n v="2256.5"/>
    <n v="0.29204685174399792"/>
    <n v="2030"/>
    <s v="Aug"/>
    <s v="Q3"/>
  </r>
  <r>
    <s v="ORD11959"/>
    <x v="1958"/>
    <s v="CUST1051"/>
    <s v="Ananya Rao"/>
    <x v="189"/>
    <x v="0"/>
    <x v="38"/>
    <x v="12"/>
    <s v="Delhi"/>
    <s v="Delhi"/>
    <x v="3"/>
    <x v="0"/>
    <s v="T-Shirt"/>
    <x v="2"/>
    <n v="1"/>
    <n v="920"/>
    <n v="0.15"/>
    <n v="440"/>
    <s v="UPI"/>
    <s v="Returned"/>
    <n v="4"/>
    <s v="Returning"/>
    <n v="920"/>
    <n v="138"/>
    <n v="782"/>
    <n v="342"/>
    <n v="0.4373401534526854"/>
    <n v="2030"/>
    <s v="Aug"/>
    <s v="Q3"/>
  </r>
  <r>
    <s v="ORD11960"/>
    <x v="1959"/>
    <s v="CUST1282"/>
    <s v="Nisha Joshi"/>
    <x v="13"/>
    <x v="0"/>
    <x v="11"/>
    <x v="9"/>
    <s v="Hyderabad"/>
    <s v="Telangana"/>
    <x v="2"/>
    <x v="5"/>
    <s v="Air Fryer"/>
    <x v="26"/>
    <n v="3"/>
    <n v="6540"/>
    <n v="0"/>
    <n v="4260"/>
    <s v="Credit Card"/>
    <s v="Delivered"/>
    <n v="5"/>
    <s v="Returning"/>
    <n v="19620"/>
    <n v="0"/>
    <n v="19620"/>
    <n v="15360"/>
    <n v="0.78287461773700306"/>
    <n v="2030"/>
    <s v="Aug"/>
    <s v="Q3"/>
  </r>
  <r>
    <s v="ORD11961"/>
    <x v="1960"/>
    <s v="CUST1067"/>
    <s v="Priya Naidu"/>
    <x v="25"/>
    <x v="1"/>
    <x v="4"/>
    <x v="5"/>
    <s v="Bhubaneswar"/>
    <s v="Odisha"/>
    <x v="1"/>
    <x v="1"/>
    <s v="Bedside Table"/>
    <x v="24"/>
    <n v="2"/>
    <n v="4140"/>
    <n v="0.1"/>
    <n v="2770"/>
    <s v="Debit Card"/>
    <s v="Pending"/>
    <n v="4"/>
    <s v="Returning"/>
    <n v="8280"/>
    <n v="828"/>
    <n v="7452"/>
    <n v="4682"/>
    <n v="0.62828770799785294"/>
    <n v="2030"/>
    <s v="Aug"/>
    <s v="Q3"/>
  </r>
  <r>
    <s v="ORD11962"/>
    <x v="1961"/>
    <s v="CUST1125"/>
    <s v="Vikram Kumar"/>
    <x v="233"/>
    <x v="0"/>
    <x v="31"/>
    <x v="8"/>
    <s v="Mysuru"/>
    <s v="Karnataka"/>
    <x v="2"/>
    <x v="1"/>
    <s v="Sofa"/>
    <x v="16"/>
    <n v="3"/>
    <n v="29650"/>
    <n v="0.05"/>
    <n v="20830"/>
    <s v="Credit Card"/>
    <s v="Delivered"/>
    <n v="3"/>
    <s v="Returning"/>
    <n v="88950"/>
    <n v="4447.5"/>
    <n v="84502.5"/>
    <n v="63672.5"/>
    <n v="0.7534984172065915"/>
    <n v="2030"/>
    <s v="Aug"/>
    <s v="Q3"/>
  </r>
  <r>
    <s v="ORD11963"/>
    <x v="1962"/>
    <s v="CUST1374"/>
    <s v="Diya Gupta"/>
    <x v="81"/>
    <x v="1"/>
    <x v="4"/>
    <x v="11"/>
    <s v="Chennai"/>
    <s v="Tamil Nadu"/>
    <x v="2"/>
    <x v="1"/>
    <s v="Bookshelf"/>
    <x v="6"/>
    <n v="2"/>
    <n v="4650"/>
    <n v="0.25"/>
    <n v="3310"/>
    <s v="Credit Card"/>
    <s v="Delivered"/>
    <n v="5"/>
    <s v="New"/>
    <n v="9300"/>
    <n v="2325"/>
    <n v="6975"/>
    <n v="3665"/>
    <n v="0.52544802867383511"/>
    <n v="2030"/>
    <s v="Aug"/>
    <s v="Q3"/>
  </r>
  <r>
    <s v="ORD11964"/>
    <x v="1963"/>
    <s v="CUST1329"/>
    <s v="Nisha Sharma"/>
    <x v="11"/>
    <x v="0"/>
    <x v="25"/>
    <x v="4"/>
    <s v="Chandigarh"/>
    <s v="Chandigarh"/>
    <x v="3"/>
    <x v="5"/>
    <s v="Microwave"/>
    <x v="27"/>
    <n v="2"/>
    <n v="11500"/>
    <n v="0.2"/>
    <n v="8420"/>
    <s v="UPI"/>
    <s v="Delivered"/>
    <n v="4"/>
    <s v="New"/>
    <n v="23000"/>
    <n v="4600"/>
    <n v="18400"/>
    <n v="9980"/>
    <n v="0.54239130434782612"/>
    <n v="2030"/>
    <s v="Aug"/>
    <s v="Q3"/>
  </r>
  <r>
    <s v="ORD11965"/>
    <x v="1964"/>
    <s v="CUST1198"/>
    <s v="Aarav Shah"/>
    <x v="240"/>
    <x v="1"/>
    <x v="2"/>
    <x v="13"/>
    <s v="Lucknow"/>
    <s v="Uttar Pradesh"/>
    <x v="3"/>
    <x v="4"/>
    <s v="Hair Dryer"/>
    <x v="14"/>
    <n v="1"/>
    <n v="1720"/>
    <n v="0.15"/>
    <n v="980"/>
    <s v="Net Banking"/>
    <s v="Delivered"/>
    <n v="3"/>
    <s v="Returning"/>
    <n v="1720"/>
    <n v="258"/>
    <n v="1462"/>
    <n v="482"/>
    <n v="0.32968536251709984"/>
    <n v="2030"/>
    <s v="Aug"/>
    <s v="Q3"/>
  </r>
  <r>
    <s v="ORD11966"/>
    <x v="1965"/>
    <s v="CUST1330"/>
    <s v="Ishita Singh"/>
    <x v="72"/>
    <x v="1"/>
    <x v="4"/>
    <x v="4"/>
    <s v="Chandigarh"/>
    <s v="Chandigarh"/>
    <x v="3"/>
    <x v="3"/>
    <s v="Dumbbells"/>
    <x v="7"/>
    <n v="3"/>
    <n v="2700"/>
    <n v="0.1"/>
    <n v="1470"/>
    <s v="Debit Card"/>
    <s v="Returned"/>
    <n v="2"/>
    <s v="New"/>
    <n v="8100"/>
    <n v="810"/>
    <n v="7290"/>
    <n v="5820"/>
    <n v="0.79835390946502061"/>
    <n v="2030"/>
    <s v="Aug"/>
    <s v="Q3"/>
  </r>
  <r>
    <s v="ORD11967"/>
    <x v="1966"/>
    <s v="CUST1293"/>
    <s v="Rohan Singh"/>
    <x v="47"/>
    <x v="0"/>
    <x v="17"/>
    <x v="0"/>
    <s v="Pune"/>
    <s v="Maharashtra"/>
    <x v="0"/>
    <x v="1"/>
    <s v="Bedside Table"/>
    <x v="24"/>
    <n v="2"/>
    <n v="4530"/>
    <n v="0.3"/>
    <n v="2860"/>
    <s v="Cash on Delivery"/>
    <s v="Delivered"/>
    <n v="3"/>
    <s v="Returning"/>
    <n v="9060"/>
    <n v="2718"/>
    <n v="6342"/>
    <n v="3482"/>
    <n v="0.5490381583096815"/>
    <n v="2030"/>
    <s v="Aug"/>
    <s v="Q3"/>
  </r>
  <r>
    <s v="ORD11968"/>
    <x v="1967"/>
    <s v="CUST1378"/>
    <s v="Arjun Bhat"/>
    <x v="52"/>
    <x v="1"/>
    <x v="5"/>
    <x v="4"/>
    <s v="Chandigarh"/>
    <s v="Chandigarh"/>
    <x v="3"/>
    <x v="5"/>
    <s v="Vacuum Cleaner"/>
    <x v="9"/>
    <n v="2"/>
    <n v="8910"/>
    <n v="0.15"/>
    <n v="5790"/>
    <s v="Credit Card"/>
    <s v="Delivered"/>
    <n v="4"/>
    <s v="New"/>
    <n v="17820"/>
    <n v="2673"/>
    <n v="15147"/>
    <n v="9357"/>
    <n v="0.61774608833432365"/>
    <n v="2030"/>
    <s v="Sep"/>
    <s v="Q3"/>
  </r>
  <r>
    <s v="ORD11969"/>
    <x v="1968"/>
    <s v="CUST1478"/>
    <s v="Rohan Joshi"/>
    <x v="235"/>
    <x v="0"/>
    <x v="2"/>
    <x v="11"/>
    <s v="Chennai"/>
    <s v="Tamil Nadu"/>
    <x v="2"/>
    <x v="1"/>
    <s v="Bookshelf"/>
    <x v="6"/>
    <n v="2"/>
    <n v="4700"/>
    <n v="0.1"/>
    <n v="3270"/>
    <s v="Debit Card"/>
    <s v="Cancelled"/>
    <n v="0"/>
    <s v="New"/>
    <n v="9400"/>
    <n v="940"/>
    <n v="8460"/>
    <n v="5190"/>
    <n v="0.61347517730496459"/>
    <n v="2030"/>
    <s v="Sep"/>
    <s v="Q3"/>
  </r>
  <r>
    <s v="ORD11970"/>
    <x v="1969"/>
    <s v="CUST1347"/>
    <s v="Meera Nair"/>
    <x v="165"/>
    <x v="1"/>
    <x v="0"/>
    <x v="2"/>
    <s v="Kochi"/>
    <s v="Kerala"/>
    <x v="2"/>
    <x v="5"/>
    <s v="Mixer Grinder"/>
    <x v="22"/>
    <n v="1"/>
    <n v="4290"/>
    <n v="0"/>
    <n v="2710"/>
    <s v="Cash on Delivery"/>
    <s v="Delivered"/>
    <n v="4"/>
    <s v="New"/>
    <n v="4290"/>
    <n v="0"/>
    <n v="4290"/>
    <n v="1580"/>
    <n v="0.36829836829836832"/>
    <n v="2030"/>
    <s v="Sep"/>
    <s v="Q3"/>
  </r>
  <r>
    <s v="ORD11971"/>
    <x v="1970"/>
    <s v="CUST1043"/>
    <s v="Aditya Rao"/>
    <x v="145"/>
    <x v="0"/>
    <x v="18"/>
    <x v="13"/>
    <s v="Lucknow"/>
    <s v="Uttar Pradesh"/>
    <x v="3"/>
    <x v="4"/>
    <s v="Hair Dryer"/>
    <x v="14"/>
    <n v="1"/>
    <n v="1880"/>
    <n v="0.05"/>
    <n v="1020"/>
    <s v="Debit Card"/>
    <s v="Delivered"/>
    <n v="1"/>
    <s v="Returning"/>
    <n v="1880"/>
    <n v="94"/>
    <n v="1786"/>
    <n v="766"/>
    <n v="0.42889137737961924"/>
    <n v="2030"/>
    <s v="Sep"/>
    <s v="Q3"/>
  </r>
  <r>
    <s v="ORD11972"/>
    <x v="1971"/>
    <s v="CUST1070"/>
    <s v="Meera Reddy"/>
    <x v="202"/>
    <x v="1"/>
    <x v="12"/>
    <x v="6"/>
    <s v="Guwahati"/>
    <s v="Assam"/>
    <x v="1"/>
    <x v="4"/>
    <s v="Perfume"/>
    <x v="29"/>
    <n v="2"/>
    <n v="1830"/>
    <n v="0.1"/>
    <n v="910"/>
    <s v="Net Banking"/>
    <s v="Delivered"/>
    <n v="3"/>
    <s v="Returning"/>
    <n v="3660"/>
    <n v="366"/>
    <n v="3294"/>
    <n v="2384"/>
    <n v="0.72374013357619915"/>
    <n v="2030"/>
    <s v="Sep"/>
    <s v="Q3"/>
  </r>
  <r>
    <s v="ORD11973"/>
    <x v="1972"/>
    <s v="CUST1098"/>
    <s v="Rahul Nair"/>
    <x v="250"/>
    <x v="0"/>
    <x v="39"/>
    <x v="1"/>
    <s v="Kolkata"/>
    <s v="West Bengal"/>
    <x v="1"/>
    <x v="4"/>
    <s v="Perfume"/>
    <x v="29"/>
    <n v="2"/>
    <n v="1770"/>
    <n v="0.25"/>
    <n v="910"/>
    <s v="Cash on Delivery"/>
    <s v="Returned"/>
    <n v="6"/>
    <s v="Returning"/>
    <n v="3540"/>
    <n v="885"/>
    <n v="2655"/>
    <n v="1745"/>
    <n v="0.65725047080979282"/>
    <n v="2030"/>
    <s v="Sep"/>
    <s v="Q3"/>
  </r>
  <r>
    <s v="ORD11974"/>
    <x v="1973"/>
    <s v="CUST1386"/>
    <s v="Ishita Iyer"/>
    <x v="69"/>
    <x v="0"/>
    <x v="22"/>
    <x v="9"/>
    <s v="Hyderabad"/>
    <s v="Telangana"/>
    <x v="2"/>
    <x v="1"/>
    <s v="Bedside Table"/>
    <x v="24"/>
    <n v="1"/>
    <n v="4210"/>
    <n v="0.1"/>
    <n v="2820"/>
    <s v="Credit Card"/>
    <s v="Delivered"/>
    <n v="3"/>
    <s v="New"/>
    <n v="4210"/>
    <n v="421"/>
    <n v="3789"/>
    <n v="969"/>
    <n v="0.25574030087094218"/>
    <n v="2030"/>
    <s v="Sep"/>
    <s v="Q3"/>
  </r>
  <r>
    <s v="ORD11975"/>
    <x v="1974"/>
    <s v="CUST1321"/>
    <s v="Ishita Singh"/>
    <x v="72"/>
    <x v="0"/>
    <x v="1"/>
    <x v="5"/>
    <s v="Bhubaneswar"/>
    <s v="Odisha"/>
    <x v="1"/>
    <x v="3"/>
    <s v="Yoga Mat"/>
    <x v="20"/>
    <n v="2"/>
    <n v="950"/>
    <n v="0.1"/>
    <n v="400"/>
    <s v="Debit Card"/>
    <s v="Cancelled"/>
    <n v="0"/>
    <s v="New"/>
    <n v="1900"/>
    <n v="190"/>
    <n v="1710"/>
    <n v="1310"/>
    <n v="0.76608187134502925"/>
    <n v="2030"/>
    <s v="Sep"/>
    <s v="Q3"/>
  </r>
  <r>
    <s v="ORD11976"/>
    <x v="1975"/>
    <s v="CUST1472"/>
    <s v="Aarav Naidu"/>
    <x v="143"/>
    <x v="0"/>
    <x v="24"/>
    <x v="13"/>
    <s v="Lucknow"/>
    <s v="Uttar Pradesh"/>
    <x v="3"/>
    <x v="0"/>
    <s v="Jeans"/>
    <x v="19"/>
    <n v="1"/>
    <n v="2360"/>
    <n v="0.1"/>
    <n v="1160"/>
    <s v="Net Banking"/>
    <s v="Delivered"/>
    <n v="5"/>
    <s v="New"/>
    <n v="2360"/>
    <n v="236"/>
    <n v="2124"/>
    <n v="964"/>
    <n v="0.45386064030131829"/>
    <n v="2030"/>
    <s v="Sep"/>
    <s v="Q3"/>
  </r>
  <r>
    <s v="ORD11977"/>
    <x v="1976"/>
    <s v="CUST1005"/>
    <s v="Kavya Verma"/>
    <x v="97"/>
    <x v="1"/>
    <x v="42"/>
    <x v="7"/>
    <s v="Mumbai"/>
    <s v="Maharashtra"/>
    <x v="0"/>
    <x v="0"/>
    <s v="T-Shirt"/>
    <x v="2"/>
    <n v="1"/>
    <n v="900"/>
    <n v="0.1"/>
    <n v="450"/>
    <s v="Wallet"/>
    <s v="Delivered"/>
    <n v="5"/>
    <s v="Returning"/>
    <n v="900"/>
    <n v="90"/>
    <n v="810"/>
    <n v="360"/>
    <n v="0.44444444444444442"/>
    <n v="2030"/>
    <s v="Sep"/>
    <s v="Q3"/>
  </r>
  <r>
    <s v="ORD11978"/>
    <x v="1977"/>
    <s v="CUST1323"/>
    <s v="Rohan Iyer"/>
    <x v="33"/>
    <x v="1"/>
    <x v="32"/>
    <x v="4"/>
    <s v="Chandigarh"/>
    <s v="Chandigarh"/>
    <x v="3"/>
    <x v="1"/>
    <s v="Sofa"/>
    <x v="16"/>
    <n v="2"/>
    <n v="25970"/>
    <n v="0.05"/>
    <n v="20050"/>
    <s v="Cash on Delivery"/>
    <s v="Delivered"/>
    <n v="7"/>
    <s v="New"/>
    <n v="51940"/>
    <n v="2597"/>
    <n v="49343"/>
    <n v="29293"/>
    <n v="0.59366070161927731"/>
    <n v="2030"/>
    <s v="Sep"/>
    <s v="Q3"/>
  </r>
  <r>
    <s v="ORD11979"/>
    <x v="1978"/>
    <s v="CUST1010"/>
    <s v="Nisha Mehta"/>
    <x v="103"/>
    <x v="1"/>
    <x v="34"/>
    <x v="9"/>
    <s v="Hyderabad"/>
    <s v="Telangana"/>
    <x v="2"/>
    <x v="0"/>
    <s v="Handbag"/>
    <x v="12"/>
    <n v="1"/>
    <n v="2780"/>
    <n v="0.15"/>
    <n v="1600"/>
    <s v="Credit Card"/>
    <s v="Delivered"/>
    <n v="4"/>
    <s v="Returning"/>
    <n v="2780"/>
    <n v="417"/>
    <n v="2363"/>
    <n v="763"/>
    <n v="0.32289462547608971"/>
    <n v="2030"/>
    <s v="Sep"/>
    <s v="Q3"/>
  </r>
  <r>
    <s v="ORD11980"/>
    <x v="1979"/>
    <s v="CUST1309"/>
    <s v="Arjun Kumar"/>
    <x v="188"/>
    <x v="1"/>
    <x v="39"/>
    <x v="7"/>
    <s v="Mumbai"/>
    <s v="Maharashtra"/>
    <x v="0"/>
    <x v="4"/>
    <s v="Perfume"/>
    <x v="29"/>
    <n v="2"/>
    <n v="1700"/>
    <n v="0.15"/>
    <n v="890"/>
    <s v="Credit Card"/>
    <s v="Delivered"/>
    <n v="4"/>
    <s v="New"/>
    <n v="3400"/>
    <n v="510"/>
    <n v="2890"/>
    <n v="2000"/>
    <n v="0.69204152249134943"/>
    <n v="2030"/>
    <s v="Sep"/>
    <s v="Q3"/>
  </r>
  <r>
    <s v="ORD11981"/>
    <x v="1980"/>
    <s v="CUST1335"/>
    <s v="Kavya Nair"/>
    <x v="251"/>
    <x v="1"/>
    <x v="30"/>
    <x v="8"/>
    <s v="Mysuru"/>
    <s v="Karnataka"/>
    <x v="2"/>
    <x v="5"/>
    <s v="Electric Kettle"/>
    <x v="18"/>
    <n v="2"/>
    <n v="1740"/>
    <n v="0"/>
    <n v="910"/>
    <s v="Debit Card"/>
    <s v="Delivered"/>
    <n v="3"/>
    <s v="New"/>
    <n v="3480"/>
    <n v="0"/>
    <n v="3480"/>
    <n v="2570"/>
    <n v="0.7385057471264368"/>
    <n v="2030"/>
    <s v="Sep"/>
    <s v="Q3"/>
  </r>
  <r>
    <s v="ORD11982"/>
    <x v="1981"/>
    <s v="CUST1259"/>
    <s v="Diya Bhat"/>
    <x v="164"/>
    <x v="0"/>
    <x v="19"/>
    <x v="3"/>
    <s v="Bengaluru"/>
    <s v="Karnataka"/>
    <x v="2"/>
    <x v="3"/>
    <s v="Dumbbells"/>
    <x v="7"/>
    <n v="3"/>
    <n v="2430"/>
    <n v="0.05"/>
    <n v="1430"/>
    <s v="Wallet"/>
    <s v="Delivered"/>
    <n v="3"/>
    <s v="Returning"/>
    <n v="7290"/>
    <n v="364.5"/>
    <n v="6925.5"/>
    <n v="5495.5"/>
    <n v="0.79351671359468634"/>
    <n v="2030"/>
    <s v="Sep"/>
    <s v="Q3"/>
  </r>
  <r>
    <s v="ORD11983"/>
    <x v="1982"/>
    <s v="CUST1220"/>
    <s v="Aditya Kumar"/>
    <x v="155"/>
    <x v="1"/>
    <x v="17"/>
    <x v="6"/>
    <s v="Guwahati"/>
    <s v="Assam"/>
    <x v="1"/>
    <x v="4"/>
    <s v="Hair Dryer"/>
    <x v="14"/>
    <n v="3"/>
    <n v="1810"/>
    <n v="0.05"/>
    <n v="1000"/>
    <s v="Cash on Delivery"/>
    <s v="Delivered"/>
    <n v="2"/>
    <s v="Returning"/>
    <n v="5430"/>
    <n v="271.5"/>
    <n v="5158.5"/>
    <n v="4158.5"/>
    <n v="0.80614519724726175"/>
    <n v="2030"/>
    <s v="Sep"/>
    <s v="Q3"/>
  </r>
  <r>
    <s v="ORD11984"/>
    <x v="1983"/>
    <s v="CUST1088"/>
    <s v="Sneha Iyer"/>
    <x v="2"/>
    <x v="0"/>
    <x v="14"/>
    <x v="13"/>
    <s v="Lucknow"/>
    <s v="Uttar Pradesh"/>
    <x v="3"/>
    <x v="5"/>
    <s v="Mixer Grinder"/>
    <x v="22"/>
    <n v="4"/>
    <n v="4270"/>
    <n v="0.2"/>
    <n v="2640"/>
    <s v="Credit Card"/>
    <s v="Returned"/>
    <n v="3"/>
    <s v="Returning"/>
    <n v="17080"/>
    <n v="3416"/>
    <n v="13664"/>
    <n v="11024"/>
    <n v="0.80679156908665106"/>
    <n v="2030"/>
    <s v="Sep"/>
    <s v="Q3"/>
  </r>
  <r>
    <s v="ORD11985"/>
    <x v="1984"/>
    <s v="CUST1016"/>
    <s v="Diya Mehta"/>
    <x v="161"/>
    <x v="1"/>
    <x v="12"/>
    <x v="11"/>
    <s v="Chennai"/>
    <s v="Tamil Nadu"/>
    <x v="2"/>
    <x v="0"/>
    <s v="Jacket"/>
    <x v="25"/>
    <n v="1"/>
    <n v="4470"/>
    <n v="0.25"/>
    <n v="2490"/>
    <s v="Credit Card"/>
    <s v="Delivered"/>
    <n v="3"/>
    <s v="Returning"/>
    <n v="4470"/>
    <n v="1117.5"/>
    <n v="3352.5"/>
    <n v="862.5"/>
    <n v="0.25727069351230425"/>
    <n v="2030"/>
    <s v="Sep"/>
    <s v="Q3"/>
  </r>
  <r>
    <s v="ORD11986"/>
    <x v="1985"/>
    <s v="CUST1290"/>
    <s v="Karan Rao"/>
    <x v="136"/>
    <x v="1"/>
    <x v="14"/>
    <x v="9"/>
    <s v="Hyderabad"/>
    <s v="Telangana"/>
    <x v="2"/>
    <x v="2"/>
    <s v="Laptop"/>
    <x v="15"/>
    <n v="1"/>
    <n v="56710"/>
    <n v="0.2"/>
    <n v="43690"/>
    <s v="UPI"/>
    <s v="Returned"/>
    <n v="2"/>
    <s v="Returning"/>
    <n v="56710"/>
    <n v="11342"/>
    <n v="45368"/>
    <n v="1678"/>
    <n v="3.698642214776935E-2"/>
    <n v="2030"/>
    <s v="Sep"/>
    <s v="Q3"/>
  </r>
  <r>
    <s v="ORD11987"/>
    <x v="1986"/>
    <s v="CUST1489"/>
    <s v="Arjun Kumar"/>
    <x v="188"/>
    <x v="1"/>
    <x v="39"/>
    <x v="9"/>
    <s v="Hyderabad"/>
    <s v="Telangana"/>
    <x v="2"/>
    <x v="0"/>
    <s v="Handbag"/>
    <x v="12"/>
    <n v="4"/>
    <n v="2780"/>
    <n v="0.25"/>
    <n v="1640"/>
    <s v="Cash on Delivery"/>
    <s v="Delivered"/>
    <n v="4"/>
    <s v="New"/>
    <n v="11120"/>
    <n v="2780"/>
    <n v="8340"/>
    <n v="6700"/>
    <n v="0.80335731414868106"/>
    <n v="2030"/>
    <s v="Sep"/>
    <s v="Q3"/>
  </r>
  <r>
    <s v="ORD11988"/>
    <x v="1987"/>
    <s v="CUST1468"/>
    <s v="Rahul Kumar"/>
    <x v="44"/>
    <x v="1"/>
    <x v="1"/>
    <x v="6"/>
    <s v="Guwahati"/>
    <s v="Assam"/>
    <x v="1"/>
    <x v="2"/>
    <s v="Smartwatch"/>
    <x v="3"/>
    <n v="2"/>
    <n v="6530"/>
    <n v="0.1"/>
    <n v="4600"/>
    <s v="UPI"/>
    <s v="Delivered"/>
    <n v="4"/>
    <s v="New"/>
    <n v="13060"/>
    <n v="1306"/>
    <n v="11754"/>
    <n v="7154"/>
    <n v="0.60864386591798536"/>
    <n v="2030"/>
    <s v="Sep"/>
    <s v="Q3"/>
  </r>
  <r>
    <s v="ORD11989"/>
    <x v="1988"/>
    <s v="CUST1014"/>
    <s v="Ishita Iyer"/>
    <x v="69"/>
    <x v="0"/>
    <x v="35"/>
    <x v="7"/>
    <s v="Mumbai"/>
    <s v="Maharashtra"/>
    <x v="0"/>
    <x v="2"/>
    <s v="Laptop"/>
    <x v="15"/>
    <n v="1"/>
    <n v="51560"/>
    <n v="0"/>
    <n v="40820"/>
    <s v="UPI"/>
    <s v="Cancelled"/>
    <n v="0"/>
    <s v="Returning"/>
    <n v="51560"/>
    <n v="0"/>
    <n v="51560"/>
    <n v="10740"/>
    <n v="0.20830100853374708"/>
    <n v="2030"/>
    <s v="Sep"/>
    <s v="Q3"/>
  </r>
  <r>
    <s v="ORD11990"/>
    <x v="1989"/>
    <s v="CUST1364"/>
    <s v="Vikram Naidu"/>
    <x v="187"/>
    <x v="0"/>
    <x v="4"/>
    <x v="3"/>
    <s v="Bengaluru"/>
    <s v="Karnataka"/>
    <x v="2"/>
    <x v="4"/>
    <s v="Face Cream"/>
    <x v="21"/>
    <n v="2"/>
    <n v="660"/>
    <n v="0.25"/>
    <n v="310"/>
    <s v="UPI"/>
    <s v="Delivered"/>
    <n v="5"/>
    <s v="New"/>
    <n v="1320"/>
    <n v="330"/>
    <n v="990"/>
    <n v="680"/>
    <n v="0.68686868686868685"/>
    <n v="2030"/>
    <s v="Sep"/>
    <s v="Q3"/>
  </r>
  <r>
    <s v="ORD11991"/>
    <x v="1990"/>
    <s v="CUST1018"/>
    <s v="Vikram Bhat"/>
    <x v="18"/>
    <x v="0"/>
    <x v="8"/>
    <x v="6"/>
    <s v="Guwahati"/>
    <s v="Assam"/>
    <x v="1"/>
    <x v="2"/>
    <s v="Headphones"/>
    <x v="5"/>
    <n v="3"/>
    <n v="2650"/>
    <n v="0.1"/>
    <n v="1490"/>
    <s v="Credit Card"/>
    <s v="Returned"/>
    <n v="4"/>
    <s v="Returning"/>
    <n v="7950"/>
    <n v="795"/>
    <n v="7155"/>
    <n v="5665"/>
    <n v="0.79175401816911251"/>
    <n v="2030"/>
    <s v="Sep"/>
    <s v="Q3"/>
  </r>
  <r>
    <s v="ORD11992"/>
    <x v="1991"/>
    <s v="CUST1135"/>
    <s v="Nisha Nair"/>
    <x v="1"/>
    <x v="1"/>
    <x v="27"/>
    <x v="13"/>
    <s v="Lucknow"/>
    <s v="Uttar Pradesh"/>
    <x v="3"/>
    <x v="3"/>
    <s v="Football"/>
    <x v="10"/>
    <n v="2"/>
    <n v="1200"/>
    <n v="0"/>
    <n v="570"/>
    <s v="UPI"/>
    <s v="Cancelled"/>
    <n v="0"/>
    <s v="Returning"/>
    <n v="2400"/>
    <n v="0"/>
    <n v="2400"/>
    <n v="1830"/>
    <n v="0.76249999999999996"/>
    <n v="2030"/>
    <s v="Sep"/>
    <s v="Q3"/>
  </r>
  <r>
    <s v="ORD11993"/>
    <x v="1992"/>
    <s v="CUST1164"/>
    <s v="Ishita Joshi"/>
    <x v="92"/>
    <x v="1"/>
    <x v="35"/>
    <x v="9"/>
    <s v="Hyderabad"/>
    <s v="Telangana"/>
    <x v="2"/>
    <x v="1"/>
    <s v="Bedside Table"/>
    <x v="24"/>
    <n v="1"/>
    <n v="4550"/>
    <n v="0.05"/>
    <n v="2950"/>
    <s v="Debit Card"/>
    <s v="Delivered"/>
    <n v="10"/>
    <s v="Returning"/>
    <n v="4550"/>
    <n v="227.5"/>
    <n v="4322.5"/>
    <n v="1372.5"/>
    <n v="0.31752458068247541"/>
    <n v="2030"/>
    <s v="Sep"/>
    <s v="Q3"/>
  </r>
  <r>
    <s v="ORD11994"/>
    <x v="1993"/>
    <s v="CUST1273"/>
    <s v="Kavya Mehta"/>
    <x v="166"/>
    <x v="0"/>
    <x v="4"/>
    <x v="3"/>
    <s v="Bengaluru"/>
    <s v="Karnataka"/>
    <x v="2"/>
    <x v="5"/>
    <s v="Microwave"/>
    <x v="27"/>
    <n v="1"/>
    <n v="12220"/>
    <n v="0.05"/>
    <n v="8380"/>
    <s v="Debit Card"/>
    <s v="Delivered"/>
    <n v="5"/>
    <s v="Returning"/>
    <n v="12220"/>
    <n v="611"/>
    <n v="11609"/>
    <n v="3229"/>
    <n v="0.27814626582823671"/>
    <n v="2030"/>
    <s v="Sep"/>
    <s v="Q3"/>
  </r>
  <r>
    <s v="ORD11995"/>
    <x v="1994"/>
    <s v="CUST1174"/>
    <s v="Sneha Rao"/>
    <x v="27"/>
    <x v="1"/>
    <x v="36"/>
    <x v="8"/>
    <s v="Mysuru"/>
    <s v="Karnataka"/>
    <x v="2"/>
    <x v="0"/>
    <s v="T-Shirt"/>
    <x v="2"/>
    <n v="1"/>
    <n v="870"/>
    <n v="0.1"/>
    <n v="460"/>
    <s v="Debit Card"/>
    <s v="Cancelled"/>
    <n v="0"/>
    <s v="Returning"/>
    <n v="870"/>
    <n v="87"/>
    <n v="783"/>
    <n v="323"/>
    <n v="0.41251596424010217"/>
    <n v="2030"/>
    <s v="Sep"/>
    <s v="Q3"/>
  </r>
  <r>
    <s v="ORD11996"/>
    <x v="1995"/>
    <s v="CUST1023"/>
    <s v="Vikram Mehta"/>
    <x v="94"/>
    <x v="1"/>
    <x v="38"/>
    <x v="8"/>
    <s v="Mysuru"/>
    <s v="Karnataka"/>
    <x v="2"/>
    <x v="0"/>
    <s v="Handbag"/>
    <x v="12"/>
    <n v="2"/>
    <n v="2990"/>
    <n v="0.25"/>
    <n v="1550"/>
    <s v="UPI"/>
    <s v="Delivered"/>
    <n v="4"/>
    <s v="Returning"/>
    <n v="5980"/>
    <n v="1495"/>
    <n v="4485"/>
    <n v="2935"/>
    <n v="0.65440356744704575"/>
    <n v="2030"/>
    <s v="Sep"/>
    <s v="Q3"/>
  </r>
  <r>
    <s v="ORD11997"/>
    <x v="1996"/>
    <s v="CUST1164"/>
    <s v="Aditya Das"/>
    <x v="229"/>
    <x v="0"/>
    <x v="36"/>
    <x v="0"/>
    <s v="Pune"/>
    <s v="Maharashtra"/>
    <x v="0"/>
    <x v="0"/>
    <s v="T-Shirt"/>
    <x v="2"/>
    <n v="1"/>
    <n v="850"/>
    <n v="0.15"/>
    <n v="440"/>
    <s v="Net Banking"/>
    <s v="Delivered"/>
    <n v="4"/>
    <s v="Returning"/>
    <n v="850"/>
    <n v="127.5"/>
    <n v="722.5"/>
    <n v="282.5"/>
    <n v="0.39100346020761245"/>
    <n v="2030"/>
    <s v="Sep"/>
    <s v="Q3"/>
  </r>
  <r>
    <s v="ORD11998"/>
    <x v="1997"/>
    <s v="CUST1035"/>
    <s v="Ananya Shah"/>
    <x v="169"/>
    <x v="0"/>
    <x v="37"/>
    <x v="10"/>
    <s v="Jaipur"/>
    <s v="Rajasthan"/>
    <x v="3"/>
    <x v="5"/>
    <s v="Mixer Grinder"/>
    <x v="22"/>
    <n v="1"/>
    <n v="4350"/>
    <n v="0.15"/>
    <n v="2610"/>
    <s v="Wallet"/>
    <s v="Delivered"/>
    <n v="4"/>
    <s v="Returning"/>
    <n v="4350"/>
    <n v="652.5"/>
    <n v="3697.5"/>
    <n v="1087.5"/>
    <n v="0.29411764705882354"/>
    <n v="2030"/>
    <s v="Oct"/>
    <s v="Q4"/>
  </r>
  <r>
    <s v="ORD11999"/>
    <x v="1998"/>
    <s v="CUST1478"/>
    <s v="Meera Joshi"/>
    <x v="88"/>
    <x v="1"/>
    <x v="36"/>
    <x v="2"/>
    <s v="Kochi"/>
    <s v="Kerala"/>
    <x v="2"/>
    <x v="5"/>
    <s v="Vacuum Cleaner"/>
    <x v="9"/>
    <n v="5"/>
    <n v="7850"/>
    <n v="0.05"/>
    <n v="5630"/>
    <s v="Debit Card"/>
    <s v="Delivered"/>
    <n v="5"/>
    <s v="New"/>
    <n v="39250"/>
    <n v="1962.5"/>
    <n v="37287.5"/>
    <n v="31657.5"/>
    <n v="0.84901106268856852"/>
    <n v="2030"/>
    <s v="Oct"/>
    <s v="Q4"/>
  </r>
  <r>
    <s v="ORD12000"/>
    <x v="1999"/>
    <s v="CUST1391"/>
    <s v="Meera Joshi"/>
    <x v="88"/>
    <x v="0"/>
    <x v="33"/>
    <x v="9"/>
    <s v="Hyderabad"/>
    <s v="Telangana"/>
    <x v="2"/>
    <x v="4"/>
    <s v="Face Cream"/>
    <x v="21"/>
    <n v="2"/>
    <n v="610"/>
    <n v="0.1"/>
    <n v="300"/>
    <s v="Net Banking"/>
    <s v="Delivered"/>
    <n v="3"/>
    <s v="New"/>
    <n v="1220"/>
    <n v="122"/>
    <n v="1098"/>
    <n v="798"/>
    <n v="0.72677595628415304"/>
    <n v="2030"/>
    <s v="Oct"/>
    <s v="Q4"/>
  </r>
  <r>
    <m/>
    <x v="2000"/>
    <m/>
    <m/>
    <x v="255"/>
    <x v="2"/>
    <x v="43"/>
    <x v="15"/>
    <m/>
    <m/>
    <x v="4"/>
    <x v="6"/>
    <m/>
    <x v="30"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6EC8D-33D2-4ECF-A812-3B503475FA97}" name="PivotTable11" cacheId="4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A61:AB72" firstHeaderRow="1" firstDataRow="1" firstDataCol="1"/>
  <pivotFields count="3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32">
        <item x="26"/>
        <item x="24"/>
        <item x="6"/>
        <item x="23"/>
        <item x="7"/>
        <item x="18"/>
        <item x="21"/>
        <item x="10"/>
        <item x="14"/>
        <item x="12"/>
        <item x="5"/>
        <item x="25"/>
        <item x="19"/>
        <item x="15"/>
        <item x="28"/>
        <item x="27"/>
        <item x="22"/>
        <item x="1"/>
        <item x="29"/>
        <item x="8"/>
        <item x="13"/>
        <item x="3"/>
        <item x="0"/>
        <item x="16"/>
        <item x="11"/>
        <item x="4"/>
        <item x="17"/>
        <item x="2"/>
        <item x="9"/>
        <item x="20"/>
        <item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defaultSubtotal="0"/>
  </pivotFields>
  <rowFields count="1">
    <field x="13"/>
  </rowFields>
  <rowItems count="11">
    <i>
      <x v="13"/>
    </i>
    <i>
      <x v="25"/>
    </i>
    <i>
      <x v="20"/>
    </i>
    <i>
      <x v="23"/>
    </i>
    <i>
      <x v="15"/>
    </i>
    <i>
      <x v="21"/>
    </i>
    <i>
      <x v="24"/>
    </i>
    <i>
      <x v="28"/>
    </i>
    <i>
      <x/>
    </i>
    <i>
      <x v="17"/>
    </i>
    <i t="grand">
      <x/>
    </i>
  </rowItems>
  <colItems count="1">
    <i/>
  </colItems>
  <dataFields count="1">
    <dataField name="Sum of Profit" fld="2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3CCD86-E87B-4DE5-98D7-9353DA7B98CA}" name="PivotTable10" cacheId="4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A42:AB53" firstHeaderRow="1" firstDataRow="1" firstDataCol="1"/>
  <pivotFields count="31">
    <pivotField showAll="0"/>
    <pivotField showAll="0"/>
    <pivotField showAll="0"/>
    <pivotField showAll="0"/>
    <pivotField axis="axisRow" showAll="0" measureFilter="1" sortType="descending">
      <items count="257">
        <item x="56"/>
        <item x="207"/>
        <item x="204"/>
        <item x="37"/>
        <item x="62"/>
        <item x="19"/>
        <item x="201"/>
        <item x="143"/>
        <item x="4"/>
        <item x="170"/>
        <item x="253"/>
        <item x="31"/>
        <item x="240"/>
        <item x="55"/>
        <item x="36"/>
        <item x="70"/>
        <item x="59"/>
        <item x="229"/>
        <item x="112"/>
        <item x="242"/>
        <item x="231"/>
        <item x="155"/>
        <item x="83"/>
        <item x="117"/>
        <item x="214"/>
        <item x="145"/>
        <item x="32"/>
        <item x="10"/>
        <item x="124"/>
        <item x="115"/>
        <item x="30"/>
        <item x="206"/>
        <item x="54"/>
        <item x="61"/>
        <item x="71"/>
        <item x="205"/>
        <item x="126"/>
        <item x="125"/>
        <item x="219"/>
        <item x="238"/>
        <item x="29"/>
        <item x="189"/>
        <item x="195"/>
        <item x="169"/>
        <item x="142"/>
        <item x="197"/>
        <item x="41"/>
        <item x="52"/>
        <item x="123"/>
        <item x="109"/>
        <item x="184"/>
        <item x="51"/>
        <item x="188"/>
        <item x="154"/>
        <item x="152"/>
        <item x="26"/>
        <item x="98"/>
        <item x="101"/>
        <item x="157"/>
        <item x="185"/>
        <item x="225"/>
        <item x="148"/>
        <item x="7"/>
        <item x="164"/>
        <item x="237"/>
        <item x="81"/>
        <item x="91"/>
        <item x="118"/>
        <item x="120"/>
        <item x="161"/>
        <item x="147"/>
        <item x="248"/>
        <item x="63"/>
        <item x="67"/>
        <item x="79"/>
        <item x="53"/>
        <item x="220"/>
        <item x="239"/>
        <item x="87"/>
        <item x="107"/>
        <item x="182"/>
        <item x="135"/>
        <item x="69"/>
        <item x="92"/>
        <item x="90"/>
        <item x="113"/>
        <item x="218"/>
        <item x="194"/>
        <item x="209"/>
        <item x="137"/>
        <item x="153"/>
        <item x="160"/>
        <item x="75"/>
        <item x="72"/>
        <item x="174"/>
        <item x="84"/>
        <item x="45"/>
        <item x="99"/>
        <item x="20"/>
        <item x="230"/>
        <item x="111"/>
        <item x="139"/>
        <item x="168"/>
        <item x="129"/>
        <item x="173"/>
        <item x="136"/>
        <item x="104"/>
        <item x="8"/>
        <item x="236"/>
        <item x="74"/>
        <item x="66"/>
        <item x="224"/>
        <item x="121"/>
        <item x="193"/>
        <item x="128"/>
        <item x="68"/>
        <item x="96"/>
        <item x="166"/>
        <item x="28"/>
        <item x="251"/>
        <item x="227"/>
        <item x="6"/>
        <item x="203"/>
        <item x="213"/>
        <item x="106"/>
        <item x="150"/>
        <item x="97"/>
        <item x="82"/>
        <item x="116"/>
        <item x="89"/>
        <item x="134"/>
        <item x="88"/>
        <item x="234"/>
        <item x="78"/>
        <item x="38"/>
        <item x="165"/>
        <item x="244"/>
        <item x="245"/>
        <item x="202"/>
        <item x="100"/>
        <item x="48"/>
        <item x="163"/>
        <item x="77"/>
        <item x="24"/>
        <item x="171"/>
        <item x="138"/>
        <item x="9"/>
        <item x="13"/>
        <item x="186"/>
        <item x="103"/>
        <item x="3"/>
        <item x="1"/>
        <item x="241"/>
        <item x="249"/>
        <item x="22"/>
        <item x="14"/>
        <item x="11"/>
        <item x="114"/>
        <item x="34"/>
        <item x="58"/>
        <item x="141"/>
        <item x="102"/>
        <item x="217"/>
        <item x="122"/>
        <item x="127"/>
        <item x="46"/>
        <item x="25"/>
        <item x="222"/>
        <item x="5"/>
        <item x="158"/>
        <item x="64"/>
        <item x="228"/>
        <item x="85"/>
        <item x="0"/>
        <item x="190"/>
        <item x="172"/>
        <item x="223"/>
        <item x="140"/>
        <item x="181"/>
        <item x="108"/>
        <item x="44"/>
        <item x="93"/>
        <item x="215"/>
        <item x="250"/>
        <item x="247"/>
        <item x="216"/>
        <item x="208"/>
        <item x="211"/>
        <item x="86"/>
        <item x="167"/>
        <item x="183"/>
        <item x="175"/>
        <item x="232"/>
        <item x="42"/>
        <item x="33"/>
        <item x="235"/>
        <item x="254"/>
        <item x="176"/>
        <item x="162"/>
        <item x="178"/>
        <item x="39"/>
        <item x="23"/>
        <item x="130"/>
        <item x="199"/>
        <item x="21"/>
        <item x="47"/>
        <item x="212"/>
        <item x="246"/>
        <item x="196"/>
        <item x="76"/>
        <item x="2"/>
        <item x="252"/>
        <item x="110"/>
        <item x="226"/>
        <item x="50"/>
        <item x="180"/>
        <item x="191"/>
        <item x="27"/>
        <item x="133"/>
        <item x="151"/>
        <item x="49"/>
        <item x="16"/>
        <item x="132"/>
        <item x="18"/>
        <item x="198"/>
        <item x="177"/>
        <item x="119"/>
        <item x="73"/>
        <item x="233"/>
        <item x="94"/>
        <item x="187"/>
        <item x="80"/>
        <item x="60"/>
        <item x="15"/>
        <item x="221"/>
        <item x="146"/>
        <item x="12"/>
        <item x="192"/>
        <item x="149"/>
        <item x="35"/>
        <item x="17"/>
        <item x="243"/>
        <item x="179"/>
        <item x="105"/>
        <item x="43"/>
        <item x="95"/>
        <item x="144"/>
        <item x="65"/>
        <item x="57"/>
        <item x="200"/>
        <item x="131"/>
        <item x="156"/>
        <item x="40"/>
        <item x="159"/>
        <item x="210"/>
        <item x="25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 defaultSubtotal="0"/>
  </pivotFields>
  <rowFields count="1">
    <field x="4"/>
  </rowFields>
  <rowItems count="11">
    <i>
      <x v="144"/>
    </i>
    <i>
      <x v="215"/>
    </i>
    <i>
      <x v="179"/>
    </i>
    <i>
      <x v="117"/>
    </i>
    <i>
      <x v="122"/>
    </i>
    <i>
      <x v="18"/>
    </i>
    <i>
      <x v="51"/>
    </i>
    <i>
      <x v="45"/>
    </i>
    <i>
      <x v="54"/>
    </i>
    <i>
      <x v="1"/>
    </i>
    <i t="grand">
      <x/>
    </i>
  </rowItems>
  <colItems count="1">
    <i/>
  </colItems>
  <dataFields count="1">
    <dataField name="Sum of Net_sales" fld="2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34C15B-1174-4ED5-9A90-3B2D60658D5E}" name="PivotTable9" cacheId="4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A20:AB27" firstHeaderRow="1" firstDataRow="1" firstDataCol="1"/>
  <pivotFields count="31"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 defaultSubtota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Net_sales" fld="2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3649C-7A94-49C7-B8B0-0C2C0B7616A3}" name="PivotTable8" cacheId="4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A3:AB14" firstHeaderRow="1" firstDataRow="1" firstDataCol="1"/>
  <pivotFields count="31"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7">
        <item x="14"/>
        <item x="3"/>
        <item x="5"/>
        <item x="4"/>
        <item x="11"/>
        <item x="12"/>
        <item x="6"/>
        <item x="9"/>
        <item x="10"/>
        <item x="2"/>
        <item x="1"/>
        <item x="13"/>
        <item x="7"/>
        <item x="8"/>
        <item x="0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 defaultSubtotal="0"/>
  </pivotFields>
  <rowFields count="1">
    <field x="7"/>
  </rowFields>
  <rowItems count="11">
    <i>
      <x v="12"/>
    </i>
    <i>
      <x v="2"/>
    </i>
    <i>
      <x/>
    </i>
    <i>
      <x v="13"/>
    </i>
    <i>
      <x v="1"/>
    </i>
    <i>
      <x v="7"/>
    </i>
    <i>
      <x v="6"/>
    </i>
    <i>
      <x v="8"/>
    </i>
    <i>
      <x v="4"/>
    </i>
    <i>
      <x v="3"/>
    </i>
    <i t="grand">
      <x/>
    </i>
  </rowItems>
  <colItems count="1">
    <i/>
  </colItems>
  <dataFields count="1">
    <dataField name="Sum of Net_sales" fld="2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C67187-002D-4623-9A1D-38B1B9E57FDC}" name="PivotTable7" cacheId="4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N79:O82" firstHeaderRow="1" firstDataRow="1" firstDataCol="1"/>
  <pivotFields count="31"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h="1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 defaultSubtotal="0"/>
  </pivotFields>
  <rowFields count="1">
    <field x="5"/>
  </rowFields>
  <rowItems count="3">
    <i>
      <x v="1"/>
    </i>
    <i>
      <x/>
    </i>
    <i t="grand">
      <x/>
    </i>
  </rowItems>
  <colItems count="1">
    <i/>
  </colItems>
  <dataFields count="1">
    <dataField name="Sum of Net_sales" fld="2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E4CAEF-5A2A-41E6-9F03-68EE38B1CA9A}" name="PivotTable6" cacheId="4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O61:P66" firstHeaderRow="1" firstDataRow="1" firstDataCol="1"/>
  <pivotFields count="3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3"/>
        <item x="2"/>
        <item x="0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defaultSubtotal="0"/>
  </pivotFields>
  <rowFields count="1">
    <field x="10"/>
  </rowFields>
  <rowItems count="5">
    <i>
      <x v="2"/>
    </i>
    <i>
      <x v="3"/>
    </i>
    <i>
      <x/>
    </i>
    <i>
      <x v="1"/>
    </i>
    <i t="grand">
      <x/>
    </i>
  </rowItems>
  <colItems count="1">
    <i/>
  </colItems>
  <dataFields count="1">
    <dataField name="Sum of Profit" fld="2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9317B0-42A2-4BD4-A313-783AAE8BA197}" name="PivotTable5" cacheId="4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P43:Q48" firstHeaderRow="1" firstDataRow="1" firstDataCol="1"/>
  <pivotFields count="3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3"/>
        <item x="2"/>
        <item x="0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 defaultSubtotal="0"/>
  </pivotFields>
  <rowFields count="1">
    <field x="10"/>
  </rowFields>
  <rowItems count="5">
    <i>
      <x v="2"/>
    </i>
    <i>
      <x v="3"/>
    </i>
    <i>
      <x v="1"/>
    </i>
    <i>
      <x/>
    </i>
    <i t="grand">
      <x/>
    </i>
  </rowItems>
  <colItems count="1">
    <i/>
  </colItems>
  <dataFields count="1">
    <dataField name="Sum of Net_sales" fld="2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0394C4-C6E7-4629-A8AE-95A74F4A46E5}" name="PivotTable4" cacheId="4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P24:Q35" firstHeaderRow="1" firstDataRow="1" firstDataCol="1"/>
  <pivotFields count="3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32">
        <item x="26"/>
        <item x="24"/>
        <item x="6"/>
        <item x="23"/>
        <item x="7"/>
        <item x="18"/>
        <item x="21"/>
        <item x="10"/>
        <item x="14"/>
        <item x="12"/>
        <item x="5"/>
        <item x="25"/>
        <item x="19"/>
        <item x="15"/>
        <item x="28"/>
        <item x="27"/>
        <item x="22"/>
        <item x="1"/>
        <item x="29"/>
        <item x="8"/>
        <item x="13"/>
        <item x="3"/>
        <item x="0"/>
        <item x="16"/>
        <item x="11"/>
        <item x="4"/>
        <item x="17"/>
        <item x="2"/>
        <item x="9"/>
        <item x="20"/>
        <item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 defaultSubtotal="0"/>
  </pivotFields>
  <rowFields count="1">
    <field x="13"/>
  </rowFields>
  <rowItems count="11">
    <i>
      <x v="13"/>
    </i>
    <i>
      <x v="25"/>
    </i>
    <i>
      <x v="20"/>
    </i>
    <i>
      <x v="23"/>
    </i>
    <i>
      <x v="15"/>
    </i>
    <i>
      <x v="21"/>
    </i>
    <i>
      <x v="24"/>
    </i>
    <i>
      <x v="28"/>
    </i>
    <i>
      <x/>
    </i>
    <i>
      <x v="17"/>
    </i>
    <i t="grand">
      <x/>
    </i>
  </rowItems>
  <colItems count="1">
    <i/>
  </colItems>
  <dataFields count="1">
    <dataField name="Sum of Net_sales" fld="24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2A507F-97B4-4B61-B900-31E643502FD7}" name="PivotTable3" cacheId="4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P6:Q13" firstHeaderRow="1" firstDataRow="1" firstDataCol="1"/>
  <pivotFields count="3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8">
        <item x="4"/>
        <item x="2"/>
        <item x="0"/>
        <item x="1"/>
        <item x="5"/>
        <item x="3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defaultSubtotal="0"/>
  </pivotFields>
  <rowFields count="1">
    <field x="11"/>
  </rowFields>
  <rowItems count="7">
    <i>
      <x v="1"/>
    </i>
    <i>
      <x v="3"/>
    </i>
    <i>
      <x v="4"/>
    </i>
    <i>
      <x v="2"/>
    </i>
    <i>
      <x v="5"/>
    </i>
    <i>
      <x/>
    </i>
    <i t="grand">
      <x/>
    </i>
  </rowItems>
  <colItems count="1">
    <i/>
  </colItems>
  <dataFields count="1">
    <dataField name="Sum of Profit" fld="25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D3D992-EB0D-44C4-B47C-932998B0DD4E}" name="PivotTable2" cacheId="4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E23:F97" firstHeaderRow="1" firstDataRow="1" firstDataCol="1"/>
  <pivotFields count="31"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9">
        <item h="1" x="0"/>
        <item x="1"/>
        <item x="2"/>
        <item x="3"/>
        <item x="4"/>
        <item x="5"/>
        <item x="6"/>
        <item x="7"/>
        <item t="default"/>
      </items>
    </pivotField>
  </pivotFields>
  <rowFields count="2">
    <field x="30"/>
    <field x="1"/>
  </rowFields>
  <rowItems count="74">
    <i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grand">
      <x/>
    </i>
  </rowItems>
  <colItems count="1">
    <i/>
  </colItems>
  <dataFields count="1">
    <dataField name="Sum of Net_sales" fld="24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B46D39-DD40-4FDA-96B8-8E5D19651D0E}" name="PivotTable1" cacheId="4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2">
  <location ref="E12:F19" firstHeaderRow="1" firstDataRow="1" firstDataCol="1"/>
  <pivotFields count="31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8">
        <item x="4"/>
        <item x="2"/>
        <item x="0"/>
        <item x="1"/>
        <item x="5"/>
        <item x="3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1"/>
  </rowFields>
  <rowItems count="7">
    <i>
      <x v="1"/>
    </i>
    <i>
      <x v="3"/>
    </i>
    <i>
      <x v="4"/>
    </i>
    <i>
      <x v="2"/>
    </i>
    <i>
      <x v="5"/>
    </i>
    <i>
      <x/>
    </i>
    <i t="grand">
      <x/>
    </i>
  </rowItems>
  <colItems count="1">
    <i/>
  </colItems>
  <dataFields count="1">
    <dataField name="Sum of Net_sales" fld="24" baseField="0" baseItem="0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10EB9C-A19C-40DD-A25E-C47B95B66279}" name="excelsalesdata" displayName="excelsalesdata" ref="A1:AD2002" totalsRowShown="0" headerRowDxfId="12" headerRowBorderDxfId="11" tableBorderDxfId="10">
  <autoFilter ref="A1:AD2002" xr:uid="{00000000-0009-0000-0000-000000000000}"/>
  <tableColumns count="30">
    <tableColumn id="1" xr3:uid="{5E0C5A99-A528-4F27-8966-9D6B7EEF8491}" name="Order_ID"/>
    <tableColumn id="2" xr3:uid="{35E94B29-DCB8-42EC-9525-DD94BA7ECCD1}" name="Order_Date" dataDxfId="9"/>
    <tableColumn id="3" xr3:uid="{67015639-7256-4565-849B-7E743E05603C}" name="Customer_ID"/>
    <tableColumn id="4" xr3:uid="{6B06FA0B-2125-49DB-A557-B762EF821A85}" name="Customer_Name"/>
    <tableColumn id="21" xr3:uid="{AB66810C-894A-457D-88E7-D6D2F7D19067}" name="Cleancustomer name" dataDxfId="8">
      <calculatedColumnFormula>TRIM(excelsalesdata[[#This Row],[Customer_Name]])</calculatedColumnFormula>
    </tableColumn>
    <tableColumn id="5" xr3:uid="{A1F06E53-4730-4CD9-A463-ADD042264284}" name="Gender"/>
    <tableColumn id="6" xr3:uid="{E378DE7C-1C50-4FE4-A81A-B6787302E3EB}" name="Age"/>
    <tableColumn id="7" xr3:uid="{FF28990A-C60F-4F15-A172-98BE17AE1275}" name="City"/>
    <tableColumn id="22" xr3:uid="{41FA17BA-4C94-42D1-8A3D-419BE228EAA3}" name="Cleaned city" dataDxfId="7">
      <calculatedColumnFormula>TRIM(excelsalesdata[[#This Row],[City]])</calculatedColumnFormula>
    </tableColumn>
    <tableColumn id="8" xr3:uid="{703C8C09-C0B3-4F4E-93E7-8E33261B3D75}" name="State"/>
    <tableColumn id="9" xr3:uid="{31726D7D-C564-4EB7-B578-C0DAA5518F61}" name="Region"/>
    <tableColumn id="10" xr3:uid="{2ADE1A29-0D71-45CB-86E6-B3A991177074}" name="Category"/>
    <tableColumn id="11" xr3:uid="{C6BB860C-1181-4F43-8169-61499DA5F0F4}" name="Sub_Category"/>
    <tableColumn id="12" xr3:uid="{B5FBFB57-42F1-4DA3-8997-9926079C6F17}" name="Product"/>
    <tableColumn id="13" xr3:uid="{8A16B8D8-EA82-4856-B4A8-60D2F026F478}" name="Quantity"/>
    <tableColumn id="14" xr3:uid="{7283EF09-C528-4E6E-97DC-FCB037DC3BE1}" name="Unit_Price"/>
    <tableColumn id="15" xr3:uid="{E75C7F1D-E402-43AC-B81E-C2E678FB9CDA}" name="Discount_%"/>
    <tableColumn id="16" xr3:uid="{DD80BEB8-FCC3-4705-BC8B-9EBA2AF0D131}" name="Cost"/>
    <tableColumn id="17" xr3:uid="{BE461936-E1B9-4FDE-8E22-923D091F12F5}" name="Payment_Mode"/>
    <tableColumn id="18" xr3:uid="{3EE347EC-45B3-4B4F-B982-4EEBB334AA04}" name="Order_Status"/>
    <tableColumn id="19" xr3:uid="{8EF07FDB-FAC8-4CA9-AEE3-C13177F594D9}" name="Delivery_Days"/>
    <tableColumn id="20" xr3:uid="{D80E3A87-BC74-44AF-B7EC-E389FCF984CE}" name="Customer_Type"/>
    <tableColumn id="23" xr3:uid="{CFA8EBDB-54C6-454F-8B4F-69DA1E129024}" name="Gross_sales" dataDxfId="6">
      <calculatedColumnFormula>excelsalesdata[[#This Row],[Quantity]]*excelsalesdata[[#This Row],[Unit_Price]]</calculatedColumnFormula>
    </tableColumn>
    <tableColumn id="24" xr3:uid="{6E215EFE-C5E7-447A-AA55-A61A8DA007A8}" name="Discount_amt" dataDxfId="5">
      <calculatedColumnFormula>excelsalesdata[[#This Row],[Gross_sales]]*excelsalesdata[[#This Row],[Discount_%]]</calculatedColumnFormula>
    </tableColumn>
    <tableColumn id="25" xr3:uid="{2ADA477D-3EF8-42F1-80A5-4AD32E430263}" name="Net_sales" dataDxfId="4">
      <calculatedColumnFormula>excelsalesdata[[#This Row],[Gross_sales]]-excelsalesdata[[#This Row],[Discount_amt]]</calculatedColumnFormula>
    </tableColumn>
    <tableColumn id="26" xr3:uid="{143E055A-853A-4C9D-AB68-E681F5CCD661}" name="Profit" dataDxfId="3">
      <calculatedColumnFormula>excelsalesdata[[#This Row],[Net_sales]]-excelsalesdata[[#This Row],[Cost]]</calculatedColumnFormula>
    </tableColumn>
    <tableColumn id="27" xr3:uid="{B382B7F9-54AD-4BBF-ADF2-0528227663B1}" name="Profit_Margin" dataCellStyle="Percent">
      <calculatedColumnFormula>excelsalesdata[[#This Row],[Profit]]/excelsalesdata[[#This Row],[Net_sales]]</calculatedColumnFormula>
    </tableColumn>
    <tableColumn id="28" xr3:uid="{A4769B7C-E0A6-4748-80DB-243D42C675A5}" name="year" dataDxfId="2">
      <calculatedColumnFormula>YEAR(excelsalesdata[[#This Row],[Order_Date]])</calculatedColumnFormula>
    </tableColumn>
    <tableColumn id="29" xr3:uid="{FC386DDB-865E-4F11-A688-B0339C1FC857}" name="Month" dataDxfId="1">
      <calculatedColumnFormula>TEXT(excelsalesdata[[#This Row],[Order_Date]],"mmm")</calculatedColumnFormula>
    </tableColumn>
    <tableColumn id="30" xr3:uid="{5CF2E54B-1E7B-40DD-A1E5-740A8E2B0E31}" name="Quarter" dataDxfId="0">
      <calculatedColumnFormula>"Q"&amp;ROUNDUP(MONTH(excelsalesdata[[#This Row],[Order_Date]])/3,0)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drawing" Target="../drawings/drawing2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02"/>
  <sheetViews>
    <sheetView tabSelected="1" workbookViewId="0">
      <pane ySplit="1" topLeftCell="A2" activePane="bottomLeft" state="frozen"/>
      <selection pane="bottomLeft" activeCell="B14" sqref="B14"/>
    </sheetView>
  </sheetViews>
  <sheetFormatPr defaultRowHeight="14.5" x14ac:dyDescent="0.35"/>
  <cols>
    <col min="1" max="1" width="12" customWidth="1"/>
    <col min="2" max="2" width="21" customWidth="1"/>
    <col min="3" max="3" width="13.81640625" customWidth="1"/>
    <col min="4" max="4" width="16.90625" customWidth="1"/>
    <col min="5" max="5" width="20.7265625" customWidth="1"/>
    <col min="6" max="6" width="12" customWidth="1"/>
    <col min="7" max="7" width="13" customWidth="1"/>
    <col min="8" max="8" width="15" customWidth="1"/>
    <col min="9" max="9" width="12" customWidth="1"/>
    <col min="10" max="12" width="17" customWidth="1"/>
    <col min="13" max="14" width="12" customWidth="1"/>
    <col min="15" max="15" width="12.6328125" customWidth="1"/>
    <col min="16" max="16" width="12" customWidth="1"/>
    <col min="17" max="17" width="18" customWidth="1"/>
    <col min="18" max="18" width="14" customWidth="1"/>
    <col min="19" max="19" width="15" customWidth="1"/>
    <col min="20" max="20" width="16" customWidth="1"/>
    <col min="21" max="21" width="20.54296875" customWidth="1"/>
    <col min="22" max="22" width="19.81640625" customWidth="1"/>
    <col min="23" max="23" width="11.90625" customWidth="1"/>
    <col min="24" max="24" width="12.7265625" customWidth="1"/>
    <col min="27" max="27" width="16.81640625" customWidth="1"/>
  </cols>
  <sheetData>
    <row r="1" spans="1:30" x14ac:dyDescent="0.35">
      <c r="A1" s="1" t="s">
        <v>0</v>
      </c>
      <c r="B1" s="2" t="s">
        <v>1</v>
      </c>
      <c r="C1" s="1" t="s">
        <v>2</v>
      </c>
      <c r="D1" s="2" t="s">
        <v>3</v>
      </c>
      <c r="E1" s="2" t="s">
        <v>2849</v>
      </c>
      <c r="F1" s="1" t="s">
        <v>4</v>
      </c>
      <c r="G1" s="1" t="s">
        <v>5</v>
      </c>
      <c r="H1" s="1" t="s">
        <v>6</v>
      </c>
      <c r="I1" s="2" t="s">
        <v>2850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2851</v>
      </c>
      <c r="X1" s="1" t="s">
        <v>2852</v>
      </c>
      <c r="Y1" s="1" t="s">
        <v>2853</v>
      </c>
      <c r="Z1" s="1" t="s">
        <v>2854</v>
      </c>
      <c r="AA1" s="1" t="s">
        <v>2855</v>
      </c>
      <c r="AB1" s="1" t="s">
        <v>2856</v>
      </c>
      <c r="AC1" s="1" t="s">
        <v>2857</v>
      </c>
      <c r="AD1" s="1" t="s">
        <v>2858</v>
      </c>
    </row>
    <row r="2" spans="1:30" x14ac:dyDescent="0.35">
      <c r="A2" t="s">
        <v>20</v>
      </c>
      <c r="B2" s="3">
        <v>45760</v>
      </c>
      <c r="C2" t="s">
        <v>21</v>
      </c>
      <c r="D2" t="s">
        <v>34</v>
      </c>
      <c r="E2" t="str">
        <f>TRIM(excelsalesdata[[#This Row],[Customer_Name]])</f>
        <v>Priya Singh</v>
      </c>
      <c r="F2" t="s">
        <v>23</v>
      </c>
      <c r="G2">
        <v>38</v>
      </c>
      <c r="H2" t="s">
        <v>24</v>
      </c>
      <c r="I2" t="str">
        <f>TRIM(excelsalesdata[[#This Row],[City]])</f>
        <v>Pune</v>
      </c>
      <c r="J2" t="s">
        <v>25</v>
      </c>
      <c r="K2" t="s">
        <v>26</v>
      </c>
      <c r="L2" t="s">
        <v>27</v>
      </c>
      <c r="M2" t="s">
        <v>28</v>
      </c>
      <c r="N2" t="s">
        <v>28</v>
      </c>
      <c r="O2">
        <v>2</v>
      </c>
      <c r="P2">
        <v>3410</v>
      </c>
      <c r="Q2">
        <v>0</v>
      </c>
      <c r="R2">
        <v>2130</v>
      </c>
      <c r="S2" t="s">
        <v>29</v>
      </c>
      <c r="T2" t="s">
        <v>30</v>
      </c>
      <c r="U2">
        <v>7</v>
      </c>
      <c r="V2" t="s">
        <v>31</v>
      </c>
      <c r="W2">
        <f>excelsalesdata[[#This Row],[Quantity]]*excelsalesdata[[#This Row],[Unit_Price]]</f>
        <v>6820</v>
      </c>
      <c r="X2">
        <f>excelsalesdata[[#This Row],[Gross_sales]]*excelsalesdata[[#This Row],[Discount_%]]</f>
        <v>0</v>
      </c>
      <c r="Y2">
        <f>excelsalesdata[[#This Row],[Gross_sales]]-excelsalesdata[[#This Row],[Discount_amt]]</f>
        <v>6820</v>
      </c>
      <c r="Z2" s="4">
        <f>excelsalesdata[[#This Row],[Net_sales]]-excelsalesdata[[#This Row],[Cost]]</f>
        <v>4690</v>
      </c>
      <c r="AA2" s="5">
        <f>excelsalesdata[[#This Row],[Profit]]/excelsalesdata[[#This Row],[Net_sales]]</f>
        <v>0.68768328445747806</v>
      </c>
      <c r="AB2" s="4">
        <f>YEAR(excelsalesdata[[#This Row],[Order_Date]])</f>
        <v>2025</v>
      </c>
      <c r="AC2" s="4" t="str">
        <f>TEXT(excelsalesdata[[#This Row],[Order_Date]],"mmm")</f>
        <v>Apr</v>
      </c>
      <c r="AD2" s="4" t="str">
        <f>"Q"&amp;ROUNDUP(MONTH(excelsalesdata[[#This Row],[Order_Date]])/3,0)</f>
        <v>Q2</v>
      </c>
    </row>
    <row r="3" spans="1:30" x14ac:dyDescent="0.35">
      <c r="A3" t="s">
        <v>32</v>
      </c>
      <c r="B3" s="3">
        <v>45761</v>
      </c>
      <c r="C3" t="s">
        <v>33</v>
      </c>
      <c r="D3" t="s">
        <v>43</v>
      </c>
      <c r="E3" t="str">
        <f>TRIM(excelsalesdata[[#This Row],[Customer_Name]])</f>
        <v>Nisha Nair</v>
      </c>
      <c r="F3" t="s">
        <v>23</v>
      </c>
      <c r="G3">
        <v>39</v>
      </c>
      <c r="H3" t="s">
        <v>35</v>
      </c>
      <c r="I3" t="str">
        <f>TRIM(excelsalesdata[[#This Row],[City]])</f>
        <v>Kolkata</v>
      </c>
      <c r="J3" t="s">
        <v>36</v>
      </c>
      <c r="K3" t="s">
        <v>37</v>
      </c>
      <c r="L3" t="s">
        <v>38</v>
      </c>
      <c r="M3" t="s">
        <v>39</v>
      </c>
      <c r="N3" t="s">
        <v>39</v>
      </c>
      <c r="O3">
        <v>2</v>
      </c>
      <c r="P3">
        <v>6400</v>
      </c>
      <c r="Q3">
        <v>0</v>
      </c>
      <c r="R3">
        <v>4400</v>
      </c>
      <c r="S3" t="s">
        <v>29</v>
      </c>
      <c r="T3" t="s">
        <v>30</v>
      </c>
      <c r="U3">
        <v>4</v>
      </c>
      <c r="V3" t="s">
        <v>40</v>
      </c>
      <c r="W3">
        <f>excelsalesdata[[#This Row],[Quantity]]*excelsalesdata[[#This Row],[Unit_Price]]</f>
        <v>12800</v>
      </c>
      <c r="X3">
        <f>excelsalesdata[[#This Row],[Gross_sales]]*excelsalesdata[[#This Row],[Discount_%]]</f>
        <v>0</v>
      </c>
      <c r="Y3">
        <f>excelsalesdata[[#This Row],[Gross_sales]]-excelsalesdata[[#This Row],[Discount_amt]]</f>
        <v>12800</v>
      </c>
      <c r="Z3" s="4">
        <f>excelsalesdata[[#This Row],[Net_sales]]-excelsalesdata[[#This Row],[Cost]]</f>
        <v>8400</v>
      </c>
      <c r="AA3" s="5">
        <f>excelsalesdata[[#This Row],[Profit]]/excelsalesdata[[#This Row],[Net_sales]]</f>
        <v>0.65625</v>
      </c>
      <c r="AB3" s="4">
        <f>YEAR(excelsalesdata[[#This Row],[Order_Date]])</f>
        <v>2025</v>
      </c>
      <c r="AC3" s="4" t="str">
        <f>TEXT(excelsalesdata[[#This Row],[Order_Date]],"mmm")</f>
        <v>Apr</v>
      </c>
      <c r="AD3" s="4" t="str">
        <f>"Q"&amp;ROUNDUP(MONTH(excelsalesdata[[#This Row],[Order_Date]])/3,0)</f>
        <v>Q2</v>
      </c>
    </row>
    <row r="4" spans="1:30" x14ac:dyDescent="0.35">
      <c r="A4" t="s">
        <v>41</v>
      </c>
      <c r="B4" s="3">
        <v>45762</v>
      </c>
      <c r="C4" t="s">
        <v>42</v>
      </c>
      <c r="D4" t="s">
        <v>51</v>
      </c>
      <c r="E4" t="str">
        <f>TRIM(excelsalesdata[[#This Row],[Customer_Name]])</f>
        <v>Sneha Iyer</v>
      </c>
      <c r="F4" t="s">
        <v>44</v>
      </c>
      <c r="G4">
        <v>24</v>
      </c>
      <c r="H4" t="s">
        <v>45</v>
      </c>
      <c r="I4" t="str">
        <f>TRIM(excelsalesdata[[#This Row],[City]])</f>
        <v>Kochi</v>
      </c>
      <c r="J4" t="s">
        <v>46</v>
      </c>
      <c r="K4" t="s">
        <v>47</v>
      </c>
      <c r="L4" t="s">
        <v>27</v>
      </c>
      <c r="M4" t="s">
        <v>48</v>
      </c>
      <c r="N4" t="s">
        <v>48</v>
      </c>
      <c r="O4">
        <v>4</v>
      </c>
      <c r="P4">
        <v>970</v>
      </c>
      <c r="Q4">
        <v>0.2</v>
      </c>
      <c r="R4">
        <v>440</v>
      </c>
      <c r="S4" t="s">
        <v>29</v>
      </c>
      <c r="T4" t="s">
        <v>30</v>
      </c>
      <c r="U4">
        <v>3</v>
      </c>
      <c r="V4" t="s">
        <v>40</v>
      </c>
      <c r="W4">
        <f>excelsalesdata[[#This Row],[Quantity]]*excelsalesdata[[#This Row],[Unit_Price]]</f>
        <v>3880</v>
      </c>
      <c r="X4">
        <f>excelsalesdata[[#This Row],[Gross_sales]]*excelsalesdata[[#This Row],[Discount_%]]</f>
        <v>776</v>
      </c>
      <c r="Y4">
        <f>excelsalesdata[[#This Row],[Gross_sales]]-excelsalesdata[[#This Row],[Discount_amt]]</f>
        <v>3104</v>
      </c>
      <c r="Z4" s="4">
        <f>excelsalesdata[[#This Row],[Net_sales]]-excelsalesdata[[#This Row],[Cost]]</f>
        <v>2664</v>
      </c>
      <c r="AA4" s="5">
        <f>excelsalesdata[[#This Row],[Profit]]/excelsalesdata[[#This Row],[Net_sales]]</f>
        <v>0.85824742268041232</v>
      </c>
      <c r="AB4" s="4">
        <f>YEAR(excelsalesdata[[#This Row],[Order_Date]])</f>
        <v>2025</v>
      </c>
      <c r="AC4" s="4" t="str">
        <f>TEXT(excelsalesdata[[#This Row],[Order_Date]],"mmm")</f>
        <v>Apr</v>
      </c>
      <c r="AD4" s="4" t="str">
        <f>"Q"&amp;ROUNDUP(MONTH(excelsalesdata[[#This Row],[Order_Date]])/3,0)</f>
        <v>Q2</v>
      </c>
    </row>
    <row r="5" spans="1:30" x14ac:dyDescent="0.35">
      <c r="A5" t="s">
        <v>49</v>
      </c>
      <c r="B5" s="3">
        <v>45763</v>
      </c>
      <c r="C5" t="s">
        <v>50</v>
      </c>
      <c r="D5" t="s">
        <v>59</v>
      </c>
      <c r="E5" t="str">
        <f>TRIM(excelsalesdata[[#This Row],[Customer_Name]])</f>
        <v>Nisha Naidu</v>
      </c>
      <c r="F5" t="s">
        <v>44</v>
      </c>
      <c r="G5">
        <v>31</v>
      </c>
      <c r="H5" t="s">
        <v>52</v>
      </c>
      <c r="I5" t="str">
        <f>TRIM(excelsalesdata[[#This Row],[City]])</f>
        <v>Bengaluru</v>
      </c>
      <c r="J5" t="s">
        <v>53</v>
      </c>
      <c r="K5" t="s">
        <v>47</v>
      </c>
      <c r="L5" t="s">
        <v>54</v>
      </c>
      <c r="M5" t="s">
        <v>55</v>
      </c>
      <c r="N5" t="s">
        <v>55</v>
      </c>
      <c r="O5">
        <v>1</v>
      </c>
      <c r="P5">
        <v>7020</v>
      </c>
      <c r="Q5">
        <v>0.1</v>
      </c>
      <c r="R5">
        <v>4360</v>
      </c>
      <c r="S5" t="s">
        <v>56</v>
      </c>
      <c r="T5" t="s">
        <v>30</v>
      </c>
      <c r="U5">
        <v>7</v>
      </c>
      <c r="V5" t="s">
        <v>31</v>
      </c>
      <c r="W5">
        <f>excelsalesdata[[#This Row],[Quantity]]*excelsalesdata[[#This Row],[Unit_Price]]</f>
        <v>7020</v>
      </c>
      <c r="X5">
        <f>excelsalesdata[[#This Row],[Gross_sales]]*excelsalesdata[[#This Row],[Discount_%]]</f>
        <v>702</v>
      </c>
      <c r="Y5">
        <f>excelsalesdata[[#This Row],[Gross_sales]]-excelsalesdata[[#This Row],[Discount_amt]]</f>
        <v>6318</v>
      </c>
      <c r="Z5" s="4">
        <f>excelsalesdata[[#This Row],[Net_sales]]-excelsalesdata[[#This Row],[Cost]]</f>
        <v>1958</v>
      </c>
      <c r="AA5" s="5">
        <f>excelsalesdata[[#This Row],[Profit]]/excelsalesdata[[#This Row],[Net_sales]]</f>
        <v>0.3099081987970877</v>
      </c>
      <c r="AB5" s="4">
        <f>YEAR(excelsalesdata[[#This Row],[Order_Date]])</f>
        <v>2025</v>
      </c>
      <c r="AC5" s="4" t="str">
        <f>TEXT(excelsalesdata[[#This Row],[Order_Date]],"mmm")</f>
        <v>Apr</v>
      </c>
      <c r="AD5" s="4" t="str">
        <f>"Q"&amp;ROUNDUP(MONTH(excelsalesdata[[#This Row],[Order_Date]])/3,0)</f>
        <v>Q2</v>
      </c>
    </row>
    <row r="6" spans="1:30" x14ac:dyDescent="0.35">
      <c r="A6" t="s">
        <v>57</v>
      </c>
      <c r="B6" s="3">
        <v>45764</v>
      </c>
      <c r="C6" t="s">
        <v>58</v>
      </c>
      <c r="D6" t="s">
        <v>65</v>
      </c>
      <c r="E6" t="str">
        <f>TRIM(excelsalesdata[[#This Row],[Customer_Name]])</f>
        <v>Aarav Nair</v>
      </c>
      <c r="F6" t="s">
        <v>44</v>
      </c>
      <c r="G6">
        <v>40</v>
      </c>
      <c r="H6" t="s">
        <v>60</v>
      </c>
      <c r="I6" t="str">
        <f>TRIM(excelsalesdata[[#This Row],[City]])</f>
        <v>Chandigarh</v>
      </c>
      <c r="J6" t="s">
        <v>60</v>
      </c>
      <c r="K6" t="s">
        <v>61</v>
      </c>
      <c r="L6" t="s">
        <v>54</v>
      </c>
      <c r="M6" t="s">
        <v>62</v>
      </c>
      <c r="N6" t="s">
        <v>62</v>
      </c>
      <c r="O6">
        <v>1</v>
      </c>
      <c r="P6">
        <v>21200</v>
      </c>
      <c r="Q6">
        <v>0.2</v>
      </c>
      <c r="R6">
        <v>15280</v>
      </c>
      <c r="S6" t="s">
        <v>29</v>
      </c>
      <c r="T6" t="s">
        <v>30</v>
      </c>
      <c r="U6">
        <v>2</v>
      </c>
      <c r="V6" t="s">
        <v>31</v>
      </c>
      <c r="W6">
        <f>excelsalesdata[[#This Row],[Quantity]]*excelsalesdata[[#This Row],[Unit_Price]]</f>
        <v>21200</v>
      </c>
      <c r="X6">
        <f>excelsalesdata[[#This Row],[Gross_sales]]*excelsalesdata[[#This Row],[Discount_%]]</f>
        <v>4240</v>
      </c>
      <c r="Y6">
        <f>excelsalesdata[[#This Row],[Gross_sales]]-excelsalesdata[[#This Row],[Discount_amt]]</f>
        <v>16960</v>
      </c>
      <c r="Z6" s="4">
        <f>excelsalesdata[[#This Row],[Net_sales]]-excelsalesdata[[#This Row],[Cost]]</f>
        <v>1680</v>
      </c>
      <c r="AA6" s="5">
        <f>excelsalesdata[[#This Row],[Profit]]/excelsalesdata[[#This Row],[Net_sales]]</f>
        <v>9.9056603773584911E-2</v>
      </c>
      <c r="AB6" s="4">
        <f>YEAR(excelsalesdata[[#This Row],[Order_Date]])</f>
        <v>2025</v>
      </c>
      <c r="AC6" s="4" t="str">
        <f>TEXT(excelsalesdata[[#This Row],[Order_Date]],"mmm")</f>
        <v>Apr</v>
      </c>
      <c r="AD6" s="4" t="str">
        <f>"Q"&amp;ROUNDUP(MONTH(excelsalesdata[[#This Row],[Order_Date]])/3,0)</f>
        <v>Q2</v>
      </c>
    </row>
    <row r="7" spans="1:30" x14ac:dyDescent="0.35">
      <c r="A7" t="s">
        <v>63</v>
      </c>
      <c r="B7" s="3">
        <v>45765</v>
      </c>
      <c r="C7" t="s">
        <v>64</v>
      </c>
      <c r="D7" t="s">
        <v>70</v>
      </c>
      <c r="E7" t="str">
        <f>TRIM(excelsalesdata[[#This Row],[Customer_Name]])</f>
        <v>Priya Patel</v>
      </c>
      <c r="F7" t="s">
        <v>23</v>
      </c>
      <c r="G7">
        <v>41</v>
      </c>
      <c r="H7" t="s">
        <v>52</v>
      </c>
      <c r="I7" t="str">
        <f>TRIM(excelsalesdata[[#This Row],[City]])</f>
        <v>Bengaluru</v>
      </c>
      <c r="J7" t="s">
        <v>53</v>
      </c>
      <c r="K7" t="s">
        <v>47</v>
      </c>
      <c r="L7" t="s">
        <v>54</v>
      </c>
      <c r="M7" t="s">
        <v>66</v>
      </c>
      <c r="N7" t="s">
        <v>66</v>
      </c>
      <c r="O7">
        <v>1</v>
      </c>
      <c r="P7">
        <v>2580</v>
      </c>
      <c r="Q7">
        <v>0.2</v>
      </c>
      <c r="R7">
        <v>1520</v>
      </c>
      <c r="S7" t="s">
        <v>67</v>
      </c>
      <c r="T7" t="s">
        <v>30</v>
      </c>
      <c r="U7">
        <v>6</v>
      </c>
      <c r="V7" t="s">
        <v>31</v>
      </c>
      <c r="W7">
        <f>excelsalesdata[[#This Row],[Quantity]]*excelsalesdata[[#This Row],[Unit_Price]]</f>
        <v>2580</v>
      </c>
      <c r="X7">
        <f>excelsalesdata[[#This Row],[Gross_sales]]*excelsalesdata[[#This Row],[Discount_%]]</f>
        <v>516</v>
      </c>
      <c r="Y7">
        <f>excelsalesdata[[#This Row],[Gross_sales]]-excelsalesdata[[#This Row],[Discount_amt]]</f>
        <v>2064</v>
      </c>
      <c r="Z7" s="4">
        <f>excelsalesdata[[#This Row],[Net_sales]]-excelsalesdata[[#This Row],[Cost]]</f>
        <v>544</v>
      </c>
      <c r="AA7" s="5">
        <f>excelsalesdata[[#This Row],[Profit]]/excelsalesdata[[#This Row],[Net_sales]]</f>
        <v>0.26356589147286824</v>
      </c>
      <c r="AB7" s="4">
        <f>YEAR(excelsalesdata[[#This Row],[Order_Date]])</f>
        <v>2025</v>
      </c>
      <c r="AC7" s="4" t="str">
        <f>TEXT(excelsalesdata[[#This Row],[Order_Date]],"mmm")</f>
        <v>Apr</v>
      </c>
      <c r="AD7" s="4" t="str">
        <f>"Q"&amp;ROUNDUP(MONTH(excelsalesdata[[#This Row],[Order_Date]])/3,0)</f>
        <v>Q2</v>
      </c>
    </row>
    <row r="8" spans="1:30" x14ac:dyDescent="0.35">
      <c r="A8" t="s">
        <v>68</v>
      </c>
      <c r="B8" s="3">
        <v>45766</v>
      </c>
      <c r="C8" t="s">
        <v>69</v>
      </c>
      <c r="D8" t="s">
        <v>77</v>
      </c>
      <c r="E8" t="str">
        <f>TRIM(excelsalesdata[[#This Row],[Customer_Name]])</f>
        <v>Kavya Rao</v>
      </c>
      <c r="F8" t="s">
        <v>44</v>
      </c>
      <c r="G8">
        <v>40</v>
      </c>
      <c r="H8" t="s">
        <v>71</v>
      </c>
      <c r="I8" t="str">
        <f>TRIM(excelsalesdata[[#This Row],[City]])</f>
        <v>Bhubaneswar</v>
      </c>
      <c r="J8" t="s">
        <v>72</v>
      </c>
      <c r="K8" t="s">
        <v>37</v>
      </c>
      <c r="L8" t="s">
        <v>38</v>
      </c>
      <c r="M8" t="s">
        <v>73</v>
      </c>
      <c r="N8" t="s">
        <v>73</v>
      </c>
      <c r="O8">
        <v>2</v>
      </c>
      <c r="P8">
        <v>4820</v>
      </c>
      <c r="Q8">
        <v>0.1</v>
      </c>
      <c r="R8">
        <v>3160</v>
      </c>
      <c r="S8" t="s">
        <v>56</v>
      </c>
      <c r="T8" t="s">
        <v>74</v>
      </c>
      <c r="U8">
        <v>5</v>
      </c>
      <c r="V8" t="s">
        <v>31</v>
      </c>
      <c r="W8">
        <f>excelsalesdata[[#This Row],[Quantity]]*excelsalesdata[[#This Row],[Unit_Price]]</f>
        <v>9640</v>
      </c>
      <c r="X8">
        <f>excelsalesdata[[#This Row],[Gross_sales]]*excelsalesdata[[#This Row],[Discount_%]]</f>
        <v>964</v>
      </c>
      <c r="Y8">
        <f>excelsalesdata[[#This Row],[Gross_sales]]-excelsalesdata[[#This Row],[Discount_amt]]</f>
        <v>8676</v>
      </c>
      <c r="Z8" s="4">
        <f>excelsalesdata[[#This Row],[Net_sales]]-excelsalesdata[[#This Row],[Cost]]</f>
        <v>5516</v>
      </c>
      <c r="AA8" s="5">
        <f>excelsalesdata[[#This Row],[Profit]]/excelsalesdata[[#This Row],[Net_sales]]</f>
        <v>0.6357768556938681</v>
      </c>
      <c r="AB8" s="4">
        <f>YEAR(excelsalesdata[[#This Row],[Order_Date]])</f>
        <v>2025</v>
      </c>
      <c r="AC8" s="4" t="str">
        <f>TEXT(excelsalesdata[[#This Row],[Order_Date]],"mmm")</f>
        <v>Apr</v>
      </c>
      <c r="AD8" s="4" t="str">
        <f>"Q"&amp;ROUNDUP(MONTH(excelsalesdata[[#This Row],[Order_Date]])/3,0)</f>
        <v>Q2</v>
      </c>
    </row>
    <row r="9" spans="1:30" x14ac:dyDescent="0.35">
      <c r="A9" t="s">
        <v>75</v>
      </c>
      <c r="B9" s="3">
        <v>45767</v>
      </c>
      <c r="C9" t="s">
        <v>76</v>
      </c>
      <c r="D9" t="s">
        <v>84</v>
      </c>
      <c r="E9" t="str">
        <f>TRIM(excelsalesdata[[#This Row],[Customer_Name]])</f>
        <v>Arjun Verma</v>
      </c>
      <c r="F9" t="s">
        <v>44</v>
      </c>
      <c r="G9">
        <v>32</v>
      </c>
      <c r="H9" t="s">
        <v>78</v>
      </c>
      <c r="I9" t="str">
        <f>TRIM(excelsalesdata[[#This Row],[City]])</f>
        <v>Guwahati</v>
      </c>
      <c r="J9" t="s">
        <v>79</v>
      </c>
      <c r="K9" t="s">
        <v>37</v>
      </c>
      <c r="L9" t="s">
        <v>54</v>
      </c>
      <c r="M9" t="s">
        <v>55</v>
      </c>
      <c r="N9" t="s">
        <v>55</v>
      </c>
      <c r="O9">
        <v>1</v>
      </c>
      <c r="P9">
        <v>6480</v>
      </c>
      <c r="Q9">
        <v>0.15</v>
      </c>
      <c r="R9">
        <v>4420</v>
      </c>
      <c r="S9" t="s">
        <v>80</v>
      </c>
      <c r="T9" t="s">
        <v>81</v>
      </c>
      <c r="U9">
        <v>0</v>
      </c>
      <c r="V9" t="s">
        <v>40</v>
      </c>
      <c r="W9">
        <f>excelsalesdata[[#This Row],[Quantity]]*excelsalesdata[[#This Row],[Unit_Price]]</f>
        <v>6480</v>
      </c>
      <c r="X9">
        <f>excelsalesdata[[#This Row],[Gross_sales]]*excelsalesdata[[#This Row],[Discount_%]]</f>
        <v>972</v>
      </c>
      <c r="Y9">
        <f>excelsalesdata[[#This Row],[Gross_sales]]-excelsalesdata[[#This Row],[Discount_amt]]</f>
        <v>5508</v>
      </c>
      <c r="Z9" s="4">
        <f>excelsalesdata[[#This Row],[Net_sales]]-excelsalesdata[[#This Row],[Cost]]</f>
        <v>1088</v>
      </c>
      <c r="AA9" s="5">
        <f>excelsalesdata[[#This Row],[Profit]]/excelsalesdata[[#This Row],[Net_sales]]</f>
        <v>0.19753086419753085</v>
      </c>
      <c r="AB9" s="4">
        <f>YEAR(excelsalesdata[[#This Row],[Order_Date]])</f>
        <v>2025</v>
      </c>
      <c r="AC9" s="4" t="str">
        <f>TEXT(excelsalesdata[[#This Row],[Order_Date]],"mmm")</f>
        <v>Apr</v>
      </c>
      <c r="AD9" s="4" t="str">
        <f>"Q"&amp;ROUNDUP(MONTH(excelsalesdata[[#This Row],[Order_Date]])/3,0)</f>
        <v>Q2</v>
      </c>
    </row>
    <row r="10" spans="1:30" x14ac:dyDescent="0.35">
      <c r="A10" t="s">
        <v>82</v>
      </c>
      <c r="B10" s="3">
        <v>45768</v>
      </c>
      <c r="C10" t="s">
        <v>83</v>
      </c>
      <c r="D10" t="s">
        <v>89</v>
      </c>
      <c r="E10" t="str">
        <f>TRIM(excelsalesdata[[#This Row],[Customer_Name]])</f>
        <v>Karan Shah</v>
      </c>
      <c r="F10" t="s">
        <v>44</v>
      </c>
      <c r="G10">
        <v>39</v>
      </c>
      <c r="H10" t="s">
        <v>60</v>
      </c>
      <c r="I10" t="str">
        <f>TRIM(excelsalesdata[[#This Row],[City]])</f>
        <v>Chandigarh</v>
      </c>
      <c r="J10" t="s">
        <v>60</v>
      </c>
      <c r="K10" t="s">
        <v>61</v>
      </c>
      <c r="L10" t="s">
        <v>85</v>
      </c>
      <c r="M10" t="s">
        <v>86</v>
      </c>
      <c r="N10" t="s">
        <v>86</v>
      </c>
      <c r="O10">
        <v>1</v>
      </c>
      <c r="P10">
        <v>2340</v>
      </c>
      <c r="Q10">
        <v>0.1</v>
      </c>
      <c r="R10">
        <v>1460</v>
      </c>
      <c r="S10" t="s">
        <v>80</v>
      </c>
      <c r="T10" t="s">
        <v>74</v>
      </c>
      <c r="U10">
        <v>3</v>
      </c>
      <c r="V10" t="s">
        <v>40</v>
      </c>
      <c r="W10">
        <f>excelsalesdata[[#This Row],[Quantity]]*excelsalesdata[[#This Row],[Unit_Price]]</f>
        <v>2340</v>
      </c>
      <c r="X10">
        <f>excelsalesdata[[#This Row],[Gross_sales]]*excelsalesdata[[#This Row],[Discount_%]]</f>
        <v>234</v>
      </c>
      <c r="Y10">
        <f>excelsalesdata[[#This Row],[Gross_sales]]-excelsalesdata[[#This Row],[Discount_amt]]</f>
        <v>2106</v>
      </c>
      <c r="Z10" s="4">
        <f>excelsalesdata[[#This Row],[Net_sales]]-excelsalesdata[[#This Row],[Cost]]</f>
        <v>646</v>
      </c>
      <c r="AA10" s="5">
        <f>excelsalesdata[[#This Row],[Profit]]/excelsalesdata[[#This Row],[Net_sales]]</f>
        <v>0.30674264007597341</v>
      </c>
      <c r="AB10" s="4">
        <f>YEAR(excelsalesdata[[#This Row],[Order_Date]])</f>
        <v>2025</v>
      </c>
      <c r="AC10" s="4" t="str">
        <f>TEXT(excelsalesdata[[#This Row],[Order_Date]],"mmm")</f>
        <v>Apr</v>
      </c>
      <c r="AD10" s="4" t="str">
        <f>"Q"&amp;ROUNDUP(MONTH(excelsalesdata[[#This Row],[Order_Date]])/3,0)</f>
        <v>Q2</v>
      </c>
    </row>
    <row r="11" spans="1:30" x14ac:dyDescent="0.35">
      <c r="A11" t="s">
        <v>87</v>
      </c>
      <c r="B11" s="3">
        <v>45769</v>
      </c>
      <c r="C11" t="s">
        <v>88</v>
      </c>
      <c r="D11" t="s">
        <v>92</v>
      </c>
      <c r="E11" t="str">
        <f>TRIM(excelsalesdata[[#This Row],[Customer_Name]])</f>
        <v>Nisha Iyer</v>
      </c>
      <c r="F11" t="s">
        <v>44</v>
      </c>
      <c r="G11">
        <v>44</v>
      </c>
      <c r="H11" t="s">
        <v>71</v>
      </c>
      <c r="I11" t="str">
        <f>TRIM(excelsalesdata[[#This Row],[City]])</f>
        <v>Bhubaneswar</v>
      </c>
      <c r="J11" t="s">
        <v>72</v>
      </c>
      <c r="K11" t="s">
        <v>37</v>
      </c>
      <c r="L11" t="s">
        <v>54</v>
      </c>
      <c r="M11" t="s">
        <v>62</v>
      </c>
      <c r="N11" t="s">
        <v>62</v>
      </c>
      <c r="O11">
        <v>3</v>
      </c>
      <c r="P11">
        <v>20260</v>
      </c>
      <c r="Q11">
        <v>0.1</v>
      </c>
      <c r="R11">
        <v>15370</v>
      </c>
      <c r="S11" t="s">
        <v>29</v>
      </c>
      <c r="T11" t="s">
        <v>30</v>
      </c>
      <c r="U11">
        <v>3</v>
      </c>
      <c r="V11" t="s">
        <v>31</v>
      </c>
      <c r="W11">
        <f>excelsalesdata[[#This Row],[Quantity]]*excelsalesdata[[#This Row],[Unit_Price]]</f>
        <v>60780</v>
      </c>
      <c r="X11">
        <f>excelsalesdata[[#This Row],[Gross_sales]]*excelsalesdata[[#This Row],[Discount_%]]</f>
        <v>6078</v>
      </c>
      <c r="Y11">
        <f>excelsalesdata[[#This Row],[Gross_sales]]-excelsalesdata[[#This Row],[Discount_amt]]</f>
        <v>54702</v>
      </c>
      <c r="Z11" s="4">
        <f>excelsalesdata[[#This Row],[Net_sales]]-excelsalesdata[[#This Row],[Cost]]</f>
        <v>39332</v>
      </c>
      <c r="AA11" s="5">
        <f>excelsalesdata[[#This Row],[Profit]]/excelsalesdata[[#This Row],[Net_sales]]</f>
        <v>0.71902307045446234</v>
      </c>
      <c r="AB11" s="4">
        <f>YEAR(excelsalesdata[[#This Row],[Order_Date]])</f>
        <v>2025</v>
      </c>
      <c r="AC11" s="4" t="str">
        <f>TEXT(excelsalesdata[[#This Row],[Order_Date]],"mmm")</f>
        <v>Apr</v>
      </c>
      <c r="AD11" s="4" t="str">
        <f>"Q"&amp;ROUNDUP(MONTH(excelsalesdata[[#This Row],[Order_Date]])/3,0)</f>
        <v>Q2</v>
      </c>
    </row>
    <row r="12" spans="1:30" x14ac:dyDescent="0.35">
      <c r="A12" t="s">
        <v>90</v>
      </c>
      <c r="B12" s="3">
        <v>45770</v>
      </c>
      <c r="C12" t="s">
        <v>91</v>
      </c>
      <c r="D12" t="s">
        <v>97</v>
      </c>
      <c r="E12" t="str">
        <f>TRIM(excelsalesdata[[#This Row],[Customer_Name]])</f>
        <v>Aditya Shah</v>
      </c>
      <c r="F12" t="s">
        <v>23</v>
      </c>
      <c r="G12">
        <v>29</v>
      </c>
      <c r="H12" t="s">
        <v>71</v>
      </c>
      <c r="I12" t="str">
        <f>TRIM(excelsalesdata[[#This Row],[City]])</f>
        <v>Bhubaneswar</v>
      </c>
      <c r="J12" t="s">
        <v>72</v>
      </c>
      <c r="K12" t="s">
        <v>37</v>
      </c>
      <c r="L12" t="s">
        <v>93</v>
      </c>
      <c r="M12" t="s">
        <v>94</v>
      </c>
      <c r="N12" t="s">
        <v>94</v>
      </c>
      <c r="O12">
        <v>1</v>
      </c>
      <c r="P12">
        <v>480</v>
      </c>
      <c r="Q12">
        <v>0</v>
      </c>
      <c r="R12">
        <v>230</v>
      </c>
      <c r="S12" t="s">
        <v>80</v>
      </c>
      <c r="T12" t="s">
        <v>30</v>
      </c>
      <c r="U12">
        <v>3</v>
      </c>
      <c r="V12" t="s">
        <v>40</v>
      </c>
      <c r="W12">
        <f>excelsalesdata[[#This Row],[Quantity]]*excelsalesdata[[#This Row],[Unit_Price]]</f>
        <v>480</v>
      </c>
      <c r="X12">
        <f>excelsalesdata[[#This Row],[Gross_sales]]*excelsalesdata[[#This Row],[Discount_%]]</f>
        <v>0</v>
      </c>
      <c r="Y12">
        <f>excelsalesdata[[#This Row],[Gross_sales]]-excelsalesdata[[#This Row],[Discount_amt]]</f>
        <v>480</v>
      </c>
      <c r="Z12" s="4">
        <f>excelsalesdata[[#This Row],[Net_sales]]-excelsalesdata[[#This Row],[Cost]]</f>
        <v>250</v>
      </c>
      <c r="AA12" s="5">
        <f>excelsalesdata[[#This Row],[Profit]]/excelsalesdata[[#This Row],[Net_sales]]</f>
        <v>0.52083333333333337</v>
      </c>
      <c r="AB12" s="4">
        <f>YEAR(excelsalesdata[[#This Row],[Order_Date]])</f>
        <v>2025</v>
      </c>
      <c r="AC12" s="4" t="str">
        <f>TEXT(excelsalesdata[[#This Row],[Order_Date]],"mmm")</f>
        <v>Apr</v>
      </c>
      <c r="AD12" s="4" t="str">
        <f>"Q"&amp;ROUNDUP(MONTH(excelsalesdata[[#This Row],[Order_Date]])/3,0)</f>
        <v>Q2</v>
      </c>
    </row>
    <row r="13" spans="1:30" x14ac:dyDescent="0.35">
      <c r="A13" t="s">
        <v>95</v>
      </c>
      <c r="B13" s="3">
        <v>45771</v>
      </c>
      <c r="C13" t="s">
        <v>96</v>
      </c>
      <c r="D13" t="s">
        <v>102</v>
      </c>
      <c r="E13" t="str">
        <f>TRIM(excelsalesdata[[#This Row],[Customer_Name]])</f>
        <v>Nisha Sharma</v>
      </c>
      <c r="F13" t="s">
        <v>44</v>
      </c>
      <c r="G13">
        <v>43</v>
      </c>
      <c r="H13" t="s">
        <v>98</v>
      </c>
      <c r="I13" t="str">
        <f>TRIM(excelsalesdata[[#This Row],[City]])</f>
        <v>Mumbai</v>
      </c>
      <c r="J13" t="s">
        <v>25</v>
      </c>
      <c r="K13" t="s">
        <v>26</v>
      </c>
      <c r="L13" t="s">
        <v>54</v>
      </c>
      <c r="M13" t="s">
        <v>55</v>
      </c>
      <c r="N13" t="s">
        <v>55</v>
      </c>
      <c r="O13">
        <v>1</v>
      </c>
      <c r="P13">
        <v>6850</v>
      </c>
      <c r="Q13">
        <v>0.05</v>
      </c>
      <c r="R13">
        <v>4640</v>
      </c>
      <c r="S13" t="s">
        <v>80</v>
      </c>
      <c r="T13" t="s">
        <v>99</v>
      </c>
      <c r="U13">
        <v>3</v>
      </c>
      <c r="V13" t="s">
        <v>31</v>
      </c>
      <c r="W13">
        <f>excelsalesdata[[#This Row],[Quantity]]*excelsalesdata[[#This Row],[Unit_Price]]</f>
        <v>6850</v>
      </c>
      <c r="X13">
        <f>excelsalesdata[[#This Row],[Gross_sales]]*excelsalesdata[[#This Row],[Discount_%]]</f>
        <v>342.5</v>
      </c>
      <c r="Y13">
        <f>excelsalesdata[[#This Row],[Gross_sales]]-excelsalesdata[[#This Row],[Discount_amt]]</f>
        <v>6507.5</v>
      </c>
      <c r="Z13" s="4">
        <f>excelsalesdata[[#This Row],[Net_sales]]-excelsalesdata[[#This Row],[Cost]]</f>
        <v>1867.5</v>
      </c>
      <c r="AA13" s="5">
        <f>excelsalesdata[[#This Row],[Profit]]/excelsalesdata[[#This Row],[Net_sales]]</f>
        <v>0.28697656550134459</v>
      </c>
      <c r="AB13" s="4">
        <f>YEAR(excelsalesdata[[#This Row],[Order_Date]])</f>
        <v>2025</v>
      </c>
      <c r="AC13" s="4" t="str">
        <f>TEXT(excelsalesdata[[#This Row],[Order_Date]],"mmm")</f>
        <v>Apr</v>
      </c>
      <c r="AD13" s="4" t="str">
        <f>"Q"&amp;ROUNDUP(MONTH(excelsalesdata[[#This Row],[Order_Date]])/3,0)</f>
        <v>Q2</v>
      </c>
    </row>
    <row r="14" spans="1:30" x14ac:dyDescent="0.35">
      <c r="A14" t="s">
        <v>100</v>
      </c>
      <c r="B14" s="3">
        <v>45772</v>
      </c>
      <c r="C14" t="s">
        <v>101</v>
      </c>
      <c r="D14" t="s">
        <v>108</v>
      </c>
      <c r="E14" t="str">
        <f>TRIM(excelsalesdata[[#This Row],[Customer_Name]])</f>
        <v>Vikram Sharma</v>
      </c>
      <c r="F14" t="s">
        <v>44</v>
      </c>
      <c r="G14">
        <v>23</v>
      </c>
      <c r="H14" t="s">
        <v>35</v>
      </c>
      <c r="I14" t="str">
        <f>TRIM(excelsalesdata[[#This Row],[City]])</f>
        <v>Kolkata</v>
      </c>
      <c r="J14" t="s">
        <v>36</v>
      </c>
      <c r="K14" t="s">
        <v>37</v>
      </c>
      <c r="L14" t="s">
        <v>103</v>
      </c>
      <c r="M14" t="s">
        <v>104</v>
      </c>
      <c r="N14" t="s">
        <v>104</v>
      </c>
      <c r="O14">
        <v>2</v>
      </c>
      <c r="P14">
        <v>7840</v>
      </c>
      <c r="Q14">
        <v>0.1</v>
      </c>
      <c r="R14">
        <v>5450</v>
      </c>
      <c r="S14" t="s">
        <v>105</v>
      </c>
      <c r="T14" t="s">
        <v>30</v>
      </c>
      <c r="U14">
        <v>4</v>
      </c>
      <c r="V14" t="s">
        <v>40</v>
      </c>
      <c r="W14">
        <f>excelsalesdata[[#This Row],[Quantity]]*excelsalesdata[[#This Row],[Unit_Price]]</f>
        <v>15680</v>
      </c>
      <c r="X14">
        <f>excelsalesdata[[#This Row],[Gross_sales]]*excelsalesdata[[#This Row],[Discount_%]]</f>
        <v>1568</v>
      </c>
      <c r="Y14">
        <f>excelsalesdata[[#This Row],[Gross_sales]]-excelsalesdata[[#This Row],[Discount_amt]]</f>
        <v>14112</v>
      </c>
      <c r="Z14" s="4">
        <f>excelsalesdata[[#This Row],[Net_sales]]-excelsalesdata[[#This Row],[Cost]]</f>
        <v>8662</v>
      </c>
      <c r="AA14" s="5">
        <f>excelsalesdata[[#This Row],[Profit]]/excelsalesdata[[#This Row],[Net_sales]]</f>
        <v>0.61380385487528344</v>
      </c>
      <c r="AB14" s="4">
        <f>YEAR(excelsalesdata[[#This Row],[Order_Date]])</f>
        <v>2025</v>
      </c>
      <c r="AC14" s="4" t="str">
        <f>TEXT(excelsalesdata[[#This Row],[Order_Date]],"mmm")</f>
        <v>Apr</v>
      </c>
      <c r="AD14" s="4" t="str">
        <f>"Q"&amp;ROUNDUP(MONTH(excelsalesdata[[#This Row],[Order_Date]])/3,0)</f>
        <v>Q2</v>
      </c>
    </row>
    <row r="15" spans="1:30" x14ac:dyDescent="0.35">
      <c r="A15" t="s">
        <v>106</v>
      </c>
      <c r="B15" s="3">
        <v>45773</v>
      </c>
      <c r="C15" t="s">
        <v>107</v>
      </c>
      <c r="D15" t="s">
        <v>113</v>
      </c>
      <c r="E15" t="str">
        <f>TRIM(excelsalesdata[[#This Row],[Customer_Name]])</f>
        <v>Nisha Joshi</v>
      </c>
      <c r="F15" t="s">
        <v>23</v>
      </c>
      <c r="G15">
        <v>42</v>
      </c>
      <c r="H15" t="s">
        <v>109</v>
      </c>
      <c r="I15" t="str">
        <f>TRIM(excelsalesdata[[#This Row],[City]])</f>
        <v>Mysuru</v>
      </c>
      <c r="J15" t="s">
        <v>53</v>
      </c>
      <c r="K15" t="s">
        <v>47</v>
      </c>
      <c r="L15" t="s">
        <v>85</v>
      </c>
      <c r="M15" t="s">
        <v>110</v>
      </c>
      <c r="N15" t="s">
        <v>110</v>
      </c>
      <c r="O15">
        <v>1</v>
      </c>
      <c r="P15">
        <v>1230</v>
      </c>
      <c r="Q15">
        <v>0.2</v>
      </c>
      <c r="R15">
        <v>600</v>
      </c>
      <c r="S15" t="s">
        <v>80</v>
      </c>
      <c r="T15" t="s">
        <v>30</v>
      </c>
      <c r="U15">
        <v>2</v>
      </c>
      <c r="V15" t="s">
        <v>31</v>
      </c>
      <c r="W15">
        <f>excelsalesdata[[#This Row],[Quantity]]*excelsalesdata[[#This Row],[Unit_Price]]</f>
        <v>1230</v>
      </c>
      <c r="X15">
        <f>excelsalesdata[[#This Row],[Gross_sales]]*excelsalesdata[[#This Row],[Discount_%]]</f>
        <v>246</v>
      </c>
      <c r="Y15">
        <f>excelsalesdata[[#This Row],[Gross_sales]]-excelsalesdata[[#This Row],[Discount_amt]]</f>
        <v>984</v>
      </c>
      <c r="Z15" s="4">
        <f>excelsalesdata[[#This Row],[Net_sales]]-excelsalesdata[[#This Row],[Cost]]</f>
        <v>384</v>
      </c>
      <c r="AA15" s="5">
        <f>excelsalesdata[[#This Row],[Profit]]/excelsalesdata[[#This Row],[Net_sales]]</f>
        <v>0.3902439024390244</v>
      </c>
      <c r="AB15" s="4">
        <f>YEAR(excelsalesdata[[#This Row],[Order_Date]])</f>
        <v>2025</v>
      </c>
      <c r="AC15" s="4" t="str">
        <f>TEXT(excelsalesdata[[#This Row],[Order_Date]],"mmm")</f>
        <v>Apr</v>
      </c>
      <c r="AD15" s="4" t="str">
        <f>"Q"&amp;ROUNDUP(MONTH(excelsalesdata[[#This Row],[Order_Date]])/3,0)</f>
        <v>Q2</v>
      </c>
    </row>
    <row r="16" spans="1:30" x14ac:dyDescent="0.35">
      <c r="A16" t="s">
        <v>111</v>
      </c>
      <c r="B16" s="3">
        <v>45774</v>
      </c>
      <c r="C16" t="s">
        <v>112</v>
      </c>
      <c r="D16" t="s">
        <v>118</v>
      </c>
      <c r="E16" t="str">
        <f>TRIM(excelsalesdata[[#This Row],[Customer_Name]])</f>
        <v>Nisha Shah</v>
      </c>
      <c r="F16" t="s">
        <v>44</v>
      </c>
      <c r="G16">
        <v>58</v>
      </c>
      <c r="H16" t="s">
        <v>114</v>
      </c>
      <c r="I16" t="str">
        <f>TRIM(excelsalesdata[[#This Row],[City]])</f>
        <v>Hyderabad</v>
      </c>
      <c r="J16" t="s">
        <v>115</v>
      </c>
      <c r="K16" t="s">
        <v>47</v>
      </c>
      <c r="L16" t="s">
        <v>93</v>
      </c>
      <c r="M16" t="s">
        <v>94</v>
      </c>
      <c r="N16" t="s">
        <v>94</v>
      </c>
      <c r="O16">
        <v>3</v>
      </c>
      <c r="P16">
        <v>490</v>
      </c>
      <c r="Q16">
        <v>0.2</v>
      </c>
      <c r="R16">
        <v>240</v>
      </c>
      <c r="S16" t="s">
        <v>67</v>
      </c>
      <c r="T16" t="s">
        <v>30</v>
      </c>
      <c r="U16">
        <v>4</v>
      </c>
      <c r="V16" t="s">
        <v>40</v>
      </c>
      <c r="W16">
        <f>excelsalesdata[[#This Row],[Quantity]]*excelsalesdata[[#This Row],[Unit_Price]]</f>
        <v>1470</v>
      </c>
      <c r="X16">
        <f>excelsalesdata[[#This Row],[Gross_sales]]*excelsalesdata[[#This Row],[Discount_%]]</f>
        <v>294</v>
      </c>
      <c r="Y16">
        <f>excelsalesdata[[#This Row],[Gross_sales]]-excelsalesdata[[#This Row],[Discount_amt]]</f>
        <v>1176</v>
      </c>
      <c r="Z16" s="4">
        <f>excelsalesdata[[#This Row],[Net_sales]]-excelsalesdata[[#This Row],[Cost]]</f>
        <v>936</v>
      </c>
      <c r="AA16" s="5">
        <f>excelsalesdata[[#This Row],[Profit]]/excelsalesdata[[#This Row],[Net_sales]]</f>
        <v>0.79591836734693877</v>
      </c>
      <c r="AB16" s="4">
        <f>YEAR(excelsalesdata[[#This Row],[Order_Date]])</f>
        <v>2025</v>
      </c>
      <c r="AC16" s="4" t="str">
        <f>TEXT(excelsalesdata[[#This Row],[Order_Date]],"mmm")</f>
        <v>Apr</v>
      </c>
      <c r="AD16" s="4" t="str">
        <f>"Q"&amp;ROUNDUP(MONTH(excelsalesdata[[#This Row],[Order_Date]])/3,0)</f>
        <v>Q2</v>
      </c>
    </row>
    <row r="17" spans="1:30" x14ac:dyDescent="0.35">
      <c r="A17" t="s">
        <v>116</v>
      </c>
      <c r="B17" s="3">
        <v>45775</v>
      </c>
      <c r="C17" t="s">
        <v>117</v>
      </c>
      <c r="D17" t="s">
        <v>122</v>
      </c>
      <c r="E17" t="str">
        <f>TRIM(excelsalesdata[[#This Row],[Customer_Name]])</f>
        <v>Vikram Rao</v>
      </c>
      <c r="F17" t="s">
        <v>23</v>
      </c>
      <c r="G17">
        <v>42</v>
      </c>
      <c r="H17" t="s">
        <v>35</v>
      </c>
      <c r="I17" t="str">
        <f>TRIM(excelsalesdata[[#This Row],[City]])</f>
        <v>Kolkata</v>
      </c>
      <c r="J17" t="s">
        <v>36</v>
      </c>
      <c r="K17" t="s">
        <v>37</v>
      </c>
      <c r="L17" t="s">
        <v>38</v>
      </c>
      <c r="M17" t="s">
        <v>119</v>
      </c>
      <c r="N17" t="s">
        <v>119</v>
      </c>
      <c r="O17">
        <v>2</v>
      </c>
      <c r="P17">
        <v>8430</v>
      </c>
      <c r="Q17">
        <v>0.3</v>
      </c>
      <c r="R17">
        <v>5420</v>
      </c>
      <c r="S17" t="s">
        <v>29</v>
      </c>
      <c r="T17" t="s">
        <v>30</v>
      </c>
      <c r="U17">
        <v>2</v>
      </c>
      <c r="V17" t="s">
        <v>40</v>
      </c>
      <c r="W17">
        <f>excelsalesdata[[#This Row],[Quantity]]*excelsalesdata[[#This Row],[Unit_Price]]</f>
        <v>16860</v>
      </c>
      <c r="X17">
        <f>excelsalesdata[[#This Row],[Gross_sales]]*excelsalesdata[[#This Row],[Discount_%]]</f>
        <v>5058</v>
      </c>
      <c r="Y17">
        <f>excelsalesdata[[#This Row],[Gross_sales]]-excelsalesdata[[#This Row],[Discount_amt]]</f>
        <v>11802</v>
      </c>
      <c r="Z17" s="4">
        <f>excelsalesdata[[#This Row],[Net_sales]]-excelsalesdata[[#This Row],[Cost]]</f>
        <v>6382</v>
      </c>
      <c r="AA17" s="5">
        <f>excelsalesdata[[#This Row],[Profit]]/excelsalesdata[[#This Row],[Net_sales]]</f>
        <v>0.54075580410099988</v>
      </c>
      <c r="AB17" s="4">
        <f>YEAR(excelsalesdata[[#This Row],[Order_Date]])</f>
        <v>2025</v>
      </c>
      <c r="AC17" s="4" t="str">
        <f>TEXT(excelsalesdata[[#This Row],[Order_Date]],"mmm")</f>
        <v>Apr</v>
      </c>
      <c r="AD17" s="4" t="str">
        <f>"Q"&amp;ROUNDUP(MONTH(excelsalesdata[[#This Row],[Order_Date]])/3,0)</f>
        <v>Q2</v>
      </c>
    </row>
    <row r="18" spans="1:30" x14ac:dyDescent="0.35">
      <c r="A18" t="s">
        <v>120</v>
      </c>
      <c r="B18" s="3">
        <v>45776</v>
      </c>
      <c r="C18" t="s">
        <v>121</v>
      </c>
      <c r="D18" t="s">
        <v>102</v>
      </c>
      <c r="E18" t="str">
        <f>TRIM(excelsalesdata[[#This Row],[Customer_Name]])</f>
        <v>Nisha Sharma</v>
      </c>
      <c r="F18" t="s">
        <v>23</v>
      </c>
      <c r="G18">
        <v>50</v>
      </c>
      <c r="H18" t="s">
        <v>60</v>
      </c>
      <c r="I18" t="str">
        <f>TRIM(excelsalesdata[[#This Row],[City]])</f>
        <v>Chandigarh</v>
      </c>
      <c r="J18" t="s">
        <v>60</v>
      </c>
      <c r="K18" t="s">
        <v>61</v>
      </c>
      <c r="L18" t="s">
        <v>27</v>
      </c>
      <c r="M18" t="s">
        <v>123</v>
      </c>
      <c r="N18" t="s">
        <v>123</v>
      </c>
      <c r="O18">
        <v>2</v>
      </c>
      <c r="P18">
        <v>2980</v>
      </c>
      <c r="Q18">
        <v>0.1</v>
      </c>
      <c r="R18">
        <v>1580</v>
      </c>
      <c r="S18" t="s">
        <v>105</v>
      </c>
      <c r="T18" t="s">
        <v>30</v>
      </c>
      <c r="U18">
        <v>6</v>
      </c>
      <c r="V18" t="s">
        <v>31</v>
      </c>
      <c r="W18">
        <f>excelsalesdata[[#This Row],[Quantity]]*excelsalesdata[[#This Row],[Unit_Price]]</f>
        <v>5960</v>
      </c>
      <c r="X18">
        <f>excelsalesdata[[#This Row],[Gross_sales]]*excelsalesdata[[#This Row],[Discount_%]]</f>
        <v>596</v>
      </c>
      <c r="Y18">
        <f>excelsalesdata[[#This Row],[Gross_sales]]-excelsalesdata[[#This Row],[Discount_amt]]</f>
        <v>5364</v>
      </c>
      <c r="Z18" s="4">
        <f>excelsalesdata[[#This Row],[Net_sales]]-excelsalesdata[[#This Row],[Cost]]</f>
        <v>3784</v>
      </c>
      <c r="AA18" s="5">
        <f>excelsalesdata[[#This Row],[Profit]]/excelsalesdata[[#This Row],[Net_sales]]</f>
        <v>0.70544369873228929</v>
      </c>
      <c r="AB18" s="4">
        <f>YEAR(excelsalesdata[[#This Row],[Order_Date]])</f>
        <v>2025</v>
      </c>
      <c r="AC18" s="4" t="str">
        <f>TEXT(excelsalesdata[[#This Row],[Order_Date]],"mmm")</f>
        <v>Apr</v>
      </c>
      <c r="AD18" s="4" t="str">
        <f>"Q"&amp;ROUNDUP(MONTH(excelsalesdata[[#This Row],[Order_Date]])/3,0)</f>
        <v>Q2</v>
      </c>
    </row>
    <row r="19" spans="1:30" x14ac:dyDescent="0.35">
      <c r="A19" t="s">
        <v>124</v>
      </c>
      <c r="B19" s="3">
        <v>45777</v>
      </c>
      <c r="C19" t="s">
        <v>125</v>
      </c>
      <c r="D19" t="s">
        <v>128</v>
      </c>
      <c r="E19" t="str">
        <f>TRIM(excelsalesdata[[#This Row],[Customer_Name]])</f>
        <v>Sneha Singh</v>
      </c>
      <c r="F19" t="s">
        <v>44</v>
      </c>
      <c r="G19">
        <v>45</v>
      </c>
      <c r="H19" t="s">
        <v>71</v>
      </c>
      <c r="I19" t="str">
        <f>TRIM(excelsalesdata[[#This Row],[City]])</f>
        <v>Bhubaneswar</v>
      </c>
      <c r="J19" t="s">
        <v>72</v>
      </c>
      <c r="K19" t="s">
        <v>37</v>
      </c>
      <c r="L19" t="s">
        <v>85</v>
      </c>
      <c r="M19" t="s">
        <v>86</v>
      </c>
      <c r="N19" t="s">
        <v>86</v>
      </c>
      <c r="O19">
        <v>3</v>
      </c>
      <c r="P19">
        <v>2600</v>
      </c>
      <c r="Q19">
        <v>0.25</v>
      </c>
      <c r="R19">
        <v>1470</v>
      </c>
      <c r="S19" t="s">
        <v>105</v>
      </c>
      <c r="T19" t="s">
        <v>30</v>
      </c>
      <c r="U19">
        <v>8</v>
      </c>
      <c r="V19" t="s">
        <v>40</v>
      </c>
      <c r="W19">
        <f>excelsalesdata[[#This Row],[Quantity]]*excelsalesdata[[#This Row],[Unit_Price]]</f>
        <v>7800</v>
      </c>
      <c r="X19">
        <f>excelsalesdata[[#This Row],[Gross_sales]]*excelsalesdata[[#This Row],[Discount_%]]</f>
        <v>1950</v>
      </c>
      <c r="Y19">
        <f>excelsalesdata[[#This Row],[Gross_sales]]-excelsalesdata[[#This Row],[Discount_amt]]</f>
        <v>5850</v>
      </c>
      <c r="Z19" s="4">
        <f>excelsalesdata[[#This Row],[Net_sales]]-excelsalesdata[[#This Row],[Cost]]</f>
        <v>4380</v>
      </c>
      <c r="AA19" s="5">
        <f>excelsalesdata[[#This Row],[Profit]]/excelsalesdata[[#This Row],[Net_sales]]</f>
        <v>0.74871794871794872</v>
      </c>
      <c r="AB19" s="4">
        <f>YEAR(excelsalesdata[[#This Row],[Order_Date]])</f>
        <v>2025</v>
      </c>
      <c r="AC19" s="4" t="str">
        <f>TEXT(excelsalesdata[[#This Row],[Order_Date]],"mmm")</f>
        <v>Apr</v>
      </c>
      <c r="AD19" s="4" t="str">
        <f>"Q"&amp;ROUNDUP(MONTH(excelsalesdata[[#This Row],[Order_Date]])/3,0)</f>
        <v>Q2</v>
      </c>
    </row>
    <row r="20" spans="1:30" x14ac:dyDescent="0.35">
      <c r="A20" t="s">
        <v>126</v>
      </c>
      <c r="B20" s="3">
        <v>45778</v>
      </c>
      <c r="C20" t="s">
        <v>127</v>
      </c>
      <c r="D20" t="s">
        <v>132</v>
      </c>
      <c r="E20" t="str">
        <f>TRIM(excelsalesdata[[#This Row],[Customer_Name]])</f>
        <v>Vivaan Das</v>
      </c>
      <c r="F20" t="s">
        <v>44</v>
      </c>
      <c r="G20">
        <v>50</v>
      </c>
      <c r="H20" t="s">
        <v>114</v>
      </c>
      <c r="I20" t="str">
        <f>TRIM(excelsalesdata[[#This Row],[City]])</f>
        <v>Hyderabad</v>
      </c>
      <c r="J20" t="s">
        <v>115</v>
      </c>
      <c r="K20" t="s">
        <v>47</v>
      </c>
      <c r="L20" t="s">
        <v>54</v>
      </c>
      <c r="M20" t="s">
        <v>129</v>
      </c>
      <c r="N20" t="s">
        <v>129</v>
      </c>
      <c r="O20">
        <v>1</v>
      </c>
      <c r="P20">
        <v>18990</v>
      </c>
      <c r="Q20">
        <v>0.25</v>
      </c>
      <c r="R20">
        <v>11960</v>
      </c>
      <c r="S20" t="s">
        <v>29</v>
      </c>
      <c r="T20" t="s">
        <v>30</v>
      </c>
      <c r="U20">
        <v>3</v>
      </c>
      <c r="V20" t="s">
        <v>40</v>
      </c>
      <c r="W20">
        <f>excelsalesdata[[#This Row],[Quantity]]*excelsalesdata[[#This Row],[Unit_Price]]</f>
        <v>18990</v>
      </c>
      <c r="X20">
        <f>excelsalesdata[[#This Row],[Gross_sales]]*excelsalesdata[[#This Row],[Discount_%]]</f>
        <v>4747.5</v>
      </c>
      <c r="Y20">
        <f>excelsalesdata[[#This Row],[Gross_sales]]-excelsalesdata[[#This Row],[Discount_amt]]</f>
        <v>14242.5</v>
      </c>
      <c r="Z20" s="4">
        <f>excelsalesdata[[#This Row],[Net_sales]]-excelsalesdata[[#This Row],[Cost]]</f>
        <v>2282.5</v>
      </c>
      <c r="AA20" s="5">
        <f>excelsalesdata[[#This Row],[Profit]]/excelsalesdata[[#This Row],[Net_sales]]</f>
        <v>0.16025978585220291</v>
      </c>
      <c r="AB20" s="4">
        <f>YEAR(excelsalesdata[[#This Row],[Order_Date]])</f>
        <v>2025</v>
      </c>
      <c r="AC20" s="4" t="str">
        <f>TEXT(excelsalesdata[[#This Row],[Order_Date]],"mmm")</f>
        <v>May</v>
      </c>
      <c r="AD20" s="4" t="str">
        <f>"Q"&amp;ROUNDUP(MONTH(excelsalesdata[[#This Row],[Order_Date]])/3,0)</f>
        <v>Q2</v>
      </c>
    </row>
    <row r="21" spans="1:30" x14ac:dyDescent="0.35">
      <c r="A21" t="s">
        <v>130</v>
      </c>
      <c r="B21" s="3">
        <v>45779</v>
      </c>
      <c r="C21" t="s">
        <v>131</v>
      </c>
      <c r="D21" t="s">
        <v>138</v>
      </c>
      <c r="E21" t="str">
        <f>TRIM(excelsalesdata[[#This Row],[Customer_Name]])</f>
        <v>Vikram Bhat</v>
      </c>
      <c r="F21" t="s">
        <v>23</v>
      </c>
      <c r="G21">
        <v>50</v>
      </c>
      <c r="H21" t="s">
        <v>133</v>
      </c>
      <c r="I21" t="str">
        <f>TRIM(excelsalesdata[[#This Row],[City]])</f>
        <v>Jaipur</v>
      </c>
      <c r="J21" t="s">
        <v>134</v>
      </c>
      <c r="K21" t="s">
        <v>61</v>
      </c>
      <c r="L21" t="s">
        <v>93</v>
      </c>
      <c r="M21" t="s">
        <v>135</v>
      </c>
      <c r="N21" t="s">
        <v>135</v>
      </c>
      <c r="O21">
        <v>1</v>
      </c>
      <c r="P21">
        <v>1780</v>
      </c>
      <c r="Q21">
        <v>0.05</v>
      </c>
      <c r="R21">
        <v>1010</v>
      </c>
      <c r="S21" t="s">
        <v>29</v>
      </c>
      <c r="T21" t="s">
        <v>30</v>
      </c>
      <c r="U21">
        <v>4</v>
      </c>
      <c r="V21" t="s">
        <v>31</v>
      </c>
      <c r="W21">
        <f>excelsalesdata[[#This Row],[Quantity]]*excelsalesdata[[#This Row],[Unit_Price]]</f>
        <v>1780</v>
      </c>
      <c r="X21">
        <f>excelsalesdata[[#This Row],[Gross_sales]]*excelsalesdata[[#This Row],[Discount_%]]</f>
        <v>89</v>
      </c>
      <c r="Y21">
        <f>excelsalesdata[[#This Row],[Gross_sales]]-excelsalesdata[[#This Row],[Discount_amt]]</f>
        <v>1691</v>
      </c>
      <c r="Z21" s="4">
        <f>excelsalesdata[[#This Row],[Net_sales]]-excelsalesdata[[#This Row],[Cost]]</f>
        <v>681</v>
      </c>
      <c r="AA21" s="5">
        <f>excelsalesdata[[#This Row],[Profit]]/excelsalesdata[[#This Row],[Net_sales]]</f>
        <v>0.40272028385570668</v>
      </c>
      <c r="AB21" s="4">
        <f>YEAR(excelsalesdata[[#This Row],[Order_Date]])</f>
        <v>2025</v>
      </c>
      <c r="AC21" s="4" t="str">
        <f>TEXT(excelsalesdata[[#This Row],[Order_Date]],"mmm")</f>
        <v>May</v>
      </c>
      <c r="AD21" s="4" t="str">
        <f>"Q"&amp;ROUNDUP(MONTH(excelsalesdata[[#This Row],[Order_Date]])/3,0)</f>
        <v>Q2</v>
      </c>
    </row>
    <row r="22" spans="1:30" x14ac:dyDescent="0.35">
      <c r="A22" t="s">
        <v>136</v>
      </c>
      <c r="B22" s="3">
        <v>45780</v>
      </c>
      <c r="C22" t="s">
        <v>137</v>
      </c>
      <c r="D22" t="s">
        <v>141</v>
      </c>
      <c r="E22" t="str">
        <f>TRIM(excelsalesdata[[#This Row],[Customer_Name]])</f>
        <v>Aarav Kumar</v>
      </c>
      <c r="F22" t="s">
        <v>44</v>
      </c>
      <c r="G22">
        <v>31</v>
      </c>
      <c r="H22" t="s">
        <v>60</v>
      </c>
      <c r="I22" t="str">
        <f>TRIM(excelsalesdata[[#This Row],[City]])</f>
        <v>Chandigarh</v>
      </c>
      <c r="J22" t="s">
        <v>60</v>
      </c>
      <c r="K22" t="s">
        <v>61</v>
      </c>
      <c r="L22" t="s">
        <v>103</v>
      </c>
      <c r="M22" t="s">
        <v>104</v>
      </c>
      <c r="N22" t="s">
        <v>104</v>
      </c>
      <c r="O22">
        <v>2</v>
      </c>
      <c r="P22">
        <v>8420</v>
      </c>
      <c r="Q22">
        <v>0.15</v>
      </c>
      <c r="R22">
        <v>5500</v>
      </c>
      <c r="S22" t="s">
        <v>29</v>
      </c>
      <c r="T22" t="s">
        <v>99</v>
      </c>
      <c r="U22">
        <v>5</v>
      </c>
      <c r="V22" t="s">
        <v>31</v>
      </c>
      <c r="W22">
        <f>excelsalesdata[[#This Row],[Quantity]]*excelsalesdata[[#This Row],[Unit_Price]]</f>
        <v>16840</v>
      </c>
      <c r="X22">
        <f>excelsalesdata[[#This Row],[Gross_sales]]*excelsalesdata[[#This Row],[Discount_%]]</f>
        <v>2526</v>
      </c>
      <c r="Y22">
        <f>excelsalesdata[[#This Row],[Gross_sales]]-excelsalesdata[[#This Row],[Discount_amt]]</f>
        <v>14314</v>
      </c>
      <c r="Z22" s="4">
        <f>excelsalesdata[[#This Row],[Net_sales]]-excelsalesdata[[#This Row],[Cost]]</f>
        <v>8814</v>
      </c>
      <c r="AA22" s="5">
        <f>excelsalesdata[[#This Row],[Profit]]/excelsalesdata[[#This Row],[Net_sales]]</f>
        <v>0.61576079362861535</v>
      </c>
      <c r="AB22" s="4">
        <f>YEAR(excelsalesdata[[#This Row],[Order_Date]])</f>
        <v>2025</v>
      </c>
      <c r="AC22" s="4" t="str">
        <f>TEXT(excelsalesdata[[#This Row],[Order_Date]],"mmm")</f>
        <v>May</v>
      </c>
      <c r="AD22" s="4" t="str">
        <f>"Q"&amp;ROUNDUP(MONTH(excelsalesdata[[#This Row],[Order_Date]])/3,0)</f>
        <v>Q2</v>
      </c>
    </row>
    <row r="23" spans="1:30" x14ac:dyDescent="0.35">
      <c r="A23" t="s">
        <v>139</v>
      </c>
      <c r="B23" s="3">
        <v>45781</v>
      </c>
      <c r="C23" t="s">
        <v>140</v>
      </c>
      <c r="D23" t="s">
        <v>144</v>
      </c>
      <c r="E23" t="str">
        <f>TRIM(excelsalesdata[[#This Row],[Customer_Name]])</f>
        <v>Karan Iyer</v>
      </c>
      <c r="F23" t="s">
        <v>44</v>
      </c>
      <c r="G23">
        <v>32</v>
      </c>
      <c r="H23" t="s">
        <v>98</v>
      </c>
      <c r="I23" t="str">
        <f>TRIM(excelsalesdata[[#This Row],[City]])</f>
        <v>Mumbai</v>
      </c>
      <c r="J23" t="s">
        <v>25</v>
      </c>
      <c r="K23" t="s">
        <v>26</v>
      </c>
      <c r="L23" t="s">
        <v>27</v>
      </c>
      <c r="M23" t="s">
        <v>123</v>
      </c>
      <c r="N23" t="s">
        <v>123</v>
      </c>
      <c r="O23">
        <v>2</v>
      </c>
      <c r="P23">
        <v>2920</v>
      </c>
      <c r="Q23">
        <v>0.05</v>
      </c>
      <c r="R23">
        <v>1620</v>
      </c>
      <c r="S23" t="s">
        <v>29</v>
      </c>
      <c r="T23" t="s">
        <v>30</v>
      </c>
      <c r="U23">
        <v>4</v>
      </c>
      <c r="V23" t="s">
        <v>31</v>
      </c>
      <c r="W23">
        <f>excelsalesdata[[#This Row],[Quantity]]*excelsalesdata[[#This Row],[Unit_Price]]</f>
        <v>5840</v>
      </c>
      <c r="X23">
        <f>excelsalesdata[[#This Row],[Gross_sales]]*excelsalesdata[[#This Row],[Discount_%]]</f>
        <v>292</v>
      </c>
      <c r="Y23">
        <f>excelsalesdata[[#This Row],[Gross_sales]]-excelsalesdata[[#This Row],[Discount_amt]]</f>
        <v>5548</v>
      </c>
      <c r="Z23" s="4">
        <f>excelsalesdata[[#This Row],[Net_sales]]-excelsalesdata[[#This Row],[Cost]]</f>
        <v>3928</v>
      </c>
      <c r="AA23" s="5">
        <f>excelsalesdata[[#This Row],[Profit]]/excelsalesdata[[#This Row],[Net_sales]]</f>
        <v>0.70800288392213406</v>
      </c>
      <c r="AB23" s="4">
        <f>YEAR(excelsalesdata[[#This Row],[Order_Date]])</f>
        <v>2025</v>
      </c>
      <c r="AC23" s="4" t="str">
        <f>TEXT(excelsalesdata[[#This Row],[Order_Date]],"mmm")</f>
        <v>May</v>
      </c>
      <c r="AD23" s="4" t="str">
        <f>"Q"&amp;ROUNDUP(MONTH(excelsalesdata[[#This Row],[Order_Date]])/3,0)</f>
        <v>Q2</v>
      </c>
    </row>
    <row r="24" spans="1:30" x14ac:dyDescent="0.35">
      <c r="A24" t="s">
        <v>142</v>
      </c>
      <c r="B24" s="3">
        <v>45782</v>
      </c>
      <c r="C24" t="s">
        <v>143</v>
      </c>
      <c r="D24" t="s">
        <v>147</v>
      </c>
      <c r="E24" t="str">
        <f>TRIM(excelsalesdata[[#This Row],[Customer_Name]])</f>
        <v>Rohan Sharma</v>
      </c>
      <c r="F24" t="s">
        <v>23</v>
      </c>
      <c r="G24">
        <v>30</v>
      </c>
      <c r="H24" t="s">
        <v>109</v>
      </c>
      <c r="I24" t="str">
        <f>TRIM(excelsalesdata[[#This Row],[City]])</f>
        <v>Mysuru</v>
      </c>
      <c r="J24" t="s">
        <v>53</v>
      </c>
      <c r="K24" t="s">
        <v>47</v>
      </c>
      <c r="L24" t="s">
        <v>27</v>
      </c>
      <c r="M24" t="s">
        <v>28</v>
      </c>
      <c r="N24" t="s">
        <v>28</v>
      </c>
      <c r="O24">
        <v>3</v>
      </c>
      <c r="P24">
        <v>3370</v>
      </c>
      <c r="Q24">
        <v>0.1</v>
      </c>
      <c r="R24">
        <v>2010</v>
      </c>
      <c r="S24" t="s">
        <v>29</v>
      </c>
      <c r="T24" t="s">
        <v>99</v>
      </c>
      <c r="U24">
        <v>5</v>
      </c>
      <c r="V24" t="s">
        <v>31</v>
      </c>
      <c r="W24">
        <f>excelsalesdata[[#This Row],[Quantity]]*excelsalesdata[[#This Row],[Unit_Price]]</f>
        <v>10110</v>
      </c>
      <c r="X24">
        <f>excelsalesdata[[#This Row],[Gross_sales]]*excelsalesdata[[#This Row],[Discount_%]]</f>
        <v>1011</v>
      </c>
      <c r="Y24">
        <f>excelsalesdata[[#This Row],[Gross_sales]]-excelsalesdata[[#This Row],[Discount_amt]]</f>
        <v>9099</v>
      </c>
      <c r="Z24" s="4">
        <f>excelsalesdata[[#This Row],[Net_sales]]-excelsalesdata[[#This Row],[Cost]]</f>
        <v>7089</v>
      </c>
      <c r="AA24" s="5">
        <f>excelsalesdata[[#This Row],[Profit]]/excelsalesdata[[#This Row],[Net_sales]]</f>
        <v>0.77909660402242009</v>
      </c>
      <c r="AB24" s="4">
        <f>YEAR(excelsalesdata[[#This Row],[Order_Date]])</f>
        <v>2025</v>
      </c>
      <c r="AC24" s="4" t="str">
        <f>TEXT(excelsalesdata[[#This Row],[Order_Date]],"mmm")</f>
        <v>May</v>
      </c>
      <c r="AD24" s="4" t="str">
        <f>"Q"&amp;ROUNDUP(MONTH(excelsalesdata[[#This Row],[Order_Date]])/3,0)</f>
        <v>Q2</v>
      </c>
    </row>
    <row r="25" spans="1:30" x14ac:dyDescent="0.35">
      <c r="A25" t="s">
        <v>145</v>
      </c>
      <c r="B25" s="3">
        <v>45783</v>
      </c>
      <c r="C25" t="s">
        <v>146</v>
      </c>
      <c r="D25" t="s">
        <v>150</v>
      </c>
      <c r="E25" t="str">
        <f>TRIM(excelsalesdata[[#This Row],[Customer_Name]])</f>
        <v>Nisha Reddy</v>
      </c>
      <c r="F25" t="s">
        <v>44</v>
      </c>
      <c r="G25">
        <v>18</v>
      </c>
      <c r="H25" t="s">
        <v>78</v>
      </c>
      <c r="I25" t="str">
        <f>TRIM(excelsalesdata[[#This Row],[City]])</f>
        <v>Guwahati</v>
      </c>
      <c r="J25" t="s">
        <v>79</v>
      </c>
      <c r="K25" t="s">
        <v>37</v>
      </c>
      <c r="L25" t="s">
        <v>54</v>
      </c>
      <c r="M25" t="s">
        <v>129</v>
      </c>
      <c r="N25" t="s">
        <v>129</v>
      </c>
      <c r="O25">
        <v>2</v>
      </c>
      <c r="P25">
        <v>17370</v>
      </c>
      <c r="Q25">
        <v>0.25</v>
      </c>
      <c r="R25">
        <v>12800</v>
      </c>
      <c r="S25" t="s">
        <v>105</v>
      </c>
      <c r="T25" t="s">
        <v>30</v>
      </c>
      <c r="U25">
        <v>3</v>
      </c>
      <c r="V25" t="s">
        <v>31</v>
      </c>
      <c r="W25">
        <f>excelsalesdata[[#This Row],[Quantity]]*excelsalesdata[[#This Row],[Unit_Price]]</f>
        <v>34740</v>
      </c>
      <c r="X25">
        <f>excelsalesdata[[#This Row],[Gross_sales]]*excelsalesdata[[#This Row],[Discount_%]]</f>
        <v>8685</v>
      </c>
      <c r="Y25">
        <f>excelsalesdata[[#This Row],[Gross_sales]]-excelsalesdata[[#This Row],[Discount_amt]]</f>
        <v>26055</v>
      </c>
      <c r="Z25" s="4">
        <f>excelsalesdata[[#This Row],[Net_sales]]-excelsalesdata[[#This Row],[Cost]]</f>
        <v>13255</v>
      </c>
      <c r="AA25" s="5">
        <f>excelsalesdata[[#This Row],[Profit]]/excelsalesdata[[#This Row],[Net_sales]]</f>
        <v>0.50873152945691802</v>
      </c>
      <c r="AB25" s="4">
        <f>YEAR(excelsalesdata[[#This Row],[Order_Date]])</f>
        <v>2025</v>
      </c>
      <c r="AC25" s="4" t="str">
        <f>TEXT(excelsalesdata[[#This Row],[Order_Date]],"mmm")</f>
        <v>May</v>
      </c>
      <c r="AD25" s="4" t="str">
        <f>"Q"&amp;ROUNDUP(MONTH(excelsalesdata[[#This Row],[Order_Date]])/3,0)</f>
        <v>Q2</v>
      </c>
    </row>
    <row r="26" spans="1:30" x14ac:dyDescent="0.35">
      <c r="A26" t="s">
        <v>148</v>
      </c>
      <c r="B26" s="3">
        <v>45784</v>
      </c>
      <c r="C26" t="s">
        <v>149</v>
      </c>
      <c r="D26" t="s">
        <v>154</v>
      </c>
      <c r="E26" t="str">
        <f>TRIM(excelsalesdata[[#This Row],[Customer_Name]])</f>
        <v>Rohan Rao</v>
      </c>
      <c r="F26" t="s">
        <v>23</v>
      </c>
      <c r="G26">
        <v>46</v>
      </c>
      <c r="H26" t="s">
        <v>71</v>
      </c>
      <c r="I26" t="str">
        <f>TRIM(excelsalesdata[[#This Row],[City]])</f>
        <v>Bhubaneswar</v>
      </c>
      <c r="J26" t="s">
        <v>72</v>
      </c>
      <c r="K26" t="s">
        <v>37</v>
      </c>
      <c r="L26" t="s">
        <v>54</v>
      </c>
      <c r="M26" t="s">
        <v>129</v>
      </c>
      <c r="N26" t="s">
        <v>129</v>
      </c>
      <c r="O26">
        <v>1</v>
      </c>
      <c r="P26">
        <v>19380</v>
      </c>
      <c r="Q26">
        <v>0.05</v>
      </c>
      <c r="R26">
        <v>11900</v>
      </c>
      <c r="S26" t="s">
        <v>151</v>
      </c>
      <c r="T26" t="s">
        <v>30</v>
      </c>
      <c r="U26">
        <v>3</v>
      </c>
      <c r="V26" t="s">
        <v>40</v>
      </c>
      <c r="W26">
        <f>excelsalesdata[[#This Row],[Quantity]]*excelsalesdata[[#This Row],[Unit_Price]]</f>
        <v>19380</v>
      </c>
      <c r="X26">
        <f>excelsalesdata[[#This Row],[Gross_sales]]*excelsalesdata[[#This Row],[Discount_%]]</f>
        <v>969</v>
      </c>
      <c r="Y26">
        <f>excelsalesdata[[#This Row],[Gross_sales]]-excelsalesdata[[#This Row],[Discount_amt]]</f>
        <v>18411</v>
      </c>
      <c r="Z26" s="4">
        <f>excelsalesdata[[#This Row],[Net_sales]]-excelsalesdata[[#This Row],[Cost]]</f>
        <v>6511</v>
      </c>
      <c r="AA26" s="5">
        <f>excelsalesdata[[#This Row],[Profit]]/excelsalesdata[[#This Row],[Net_sales]]</f>
        <v>0.35364727608494922</v>
      </c>
      <c r="AB26" s="4">
        <f>YEAR(excelsalesdata[[#This Row],[Order_Date]])</f>
        <v>2025</v>
      </c>
      <c r="AC26" s="4" t="str">
        <f>TEXT(excelsalesdata[[#This Row],[Order_Date]],"mmm")</f>
        <v>May</v>
      </c>
      <c r="AD26" s="4" t="str">
        <f>"Q"&amp;ROUNDUP(MONTH(excelsalesdata[[#This Row],[Order_Date]])/3,0)</f>
        <v>Q2</v>
      </c>
    </row>
    <row r="27" spans="1:30" x14ac:dyDescent="0.35">
      <c r="A27" t="s">
        <v>152</v>
      </c>
      <c r="B27" s="3">
        <v>45785</v>
      </c>
      <c r="C27" t="s">
        <v>153</v>
      </c>
      <c r="D27" t="s">
        <v>160</v>
      </c>
      <c r="E27" t="str">
        <f>TRIM(excelsalesdata[[#This Row],[Customer_Name]])</f>
        <v>Nisha Bhat</v>
      </c>
      <c r="F27" t="s">
        <v>44</v>
      </c>
      <c r="G27">
        <v>22</v>
      </c>
      <c r="H27" t="s">
        <v>155</v>
      </c>
      <c r="I27" t="str">
        <f>TRIM(excelsalesdata[[#This Row],[City]])</f>
        <v>Chennai</v>
      </c>
      <c r="J27" t="s">
        <v>156</v>
      </c>
      <c r="K27" t="s">
        <v>47</v>
      </c>
      <c r="L27" t="s">
        <v>54</v>
      </c>
      <c r="M27" t="s">
        <v>157</v>
      </c>
      <c r="N27" t="s">
        <v>157</v>
      </c>
      <c r="O27">
        <v>2</v>
      </c>
      <c r="P27">
        <v>55030</v>
      </c>
      <c r="Q27">
        <v>0.2</v>
      </c>
      <c r="R27">
        <v>42670</v>
      </c>
      <c r="S27" t="s">
        <v>29</v>
      </c>
      <c r="T27" t="s">
        <v>30</v>
      </c>
      <c r="U27">
        <v>4</v>
      </c>
      <c r="V27" t="s">
        <v>40</v>
      </c>
      <c r="W27">
        <f>excelsalesdata[[#This Row],[Quantity]]*excelsalesdata[[#This Row],[Unit_Price]]</f>
        <v>110060</v>
      </c>
      <c r="X27">
        <f>excelsalesdata[[#This Row],[Gross_sales]]*excelsalesdata[[#This Row],[Discount_%]]</f>
        <v>22012</v>
      </c>
      <c r="Y27">
        <f>excelsalesdata[[#This Row],[Gross_sales]]-excelsalesdata[[#This Row],[Discount_amt]]</f>
        <v>88048</v>
      </c>
      <c r="Z27" s="4">
        <f>excelsalesdata[[#This Row],[Net_sales]]-excelsalesdata[[#This Row],[Cost]]</f>
        <v>45378</v>
      </c>
      <c r="AA27" s="5">
        <f>excelsalesdata[[#This Row],[Profit]]/excelsalesdata[[#This Row],[Net_sales]]</f>
        <v>0.5153779756496456</v>
      </c>
      <c r="AB27" s="4">
        <f>YEAR(excelsalesdata[[#This Row],[Order_Date]])</f>
        <v>2025</v>
      </c>
      <c r="AC27" s="4" t="str">
        <f>TEXT(excelsalesdata[[#This Row],[Order_Date]],"mmm")</f>
        <v>May</v>
      </c>
      <c r="AD27" s="4" t="str">
        <f>"Q"&amp;ROUNDUP(MONTH(excelsalesdata[[#This Row],[Order_Date]])/3,0)</f>
        <v>Q2</v>
      </c>
    </row>
    <row r="28" spans="1:30" x14ac:dyDescent="0.35">
      <c r="A28" t="s">
        <v>158</v>
      </c>
      <c r="B28" s="3">
        <v>45786</v>
      </c>
      <c r="C28" t="s">
        <v>159</v>
      </c>
      <c r="D28" t="s">
        <v>164</v>
      </c>
      <c r="E28" t="str">
        <f>TRIM(excelsalesdata[[#This Row],[Customer_Name]])</f>
        <v>Priya Naidu</v>
      </c>
      <c r="F28" t="s">
        <v>23</v>
      </c>
      <c r="G28">
        <v>41</v>
      </c>
      <c r="H28" t="s">
        <v>60</v>
      </c>
      <c r="I28" t="str">
        <f>TRIM(excelsalesdata[[#This Row],[City]])</f>
        <v>Chandigarh</v>
      </c>
      <c r="J28" t="s">
        <v>60</v>
      </c>
      <c r="K28" t="s">
        <v>61</v>
      </c>
      <c r="L28" t="s">
        <v>38</v>
      </c>
      <c r="M28" t="s">
        <v>161</v>
      </c>
      <c r="N28" t="s">
        <v>161</v>
      </c>
      <c r="O28">
        <v>1</v>
      </c>
      <c r="P28">
        <v>29390</v>
      </c>
      <c r="Q28">
        <v>0.2</v>
      </c>
      <c r="R28">
        <v>20760</v>
      </c>
      <c r="S28" t="s">
        <v>151</v>
      </c>
      <c r="T28" t="s">
        <v>30</v>
      </c>
      <c r="U28">
        <v>2</v>
      </c>
      <c r="V28" t="s">
        <v>31</v>
      </c>
      <c r="W28">
        <f>excelsalesdata[[#This Row],[Quantity]]*excelsalesdata[[#This Row],[Unit_Price]]</f>
        <v>29390</v>
      </c>
      <c r="X28">
        <f>excelsalesdata[[#This Row],[Gross_sales]]*excelsalesdata[[#This Row],[Discount_%]]</f>
        <v>5878</v>
      </c>
      <c r="Y28">
        <f>excelsalesdata[[#This Row],[Gross_sales]]-excelsalesdata[[#This Row],[Discount_amt]]</f>
        <v>23512</v>
      </c>
      <c r="Z28" s="4">
        <f>excelsalesdata[[#This Row],[Net_sales]]-excelsalesdata[[#This Row],[Cost]]</f>
        <v>2752</v>
      </c>
      <c r="AA28" s="5">
        <f>excelsalesdata[[#This Row],[Profit]]/excelsalesdata[[#This Row],[Net_sales]]</f>
        <v>0.1170466144947261</v>
      </c>
      <c r="AB28" s="4">
        <f>YEAR(excelsalesdata[[#This Row],[Order_Date]])</f>
        <v>2025</v>
      </c>
      <c r="AC28" s="4" t="str">
        <f>TEXT(excelsalesdata[[#This Row],[Order_Date]],"mmm")</f>
        <v>May</v>
      </c>
      <c r="AD28" s="4" t="str">
        <f>"Q"&amp;ROUNDUP(MONTH(excelsalesdata[[#This Row],[Order_Date]])/3,0)</f>
        <v>Q2</v>
      </c>
    </row>
    <row r="29" spans="1:30" x14ac:dyDescent="0.35">
      <c r="A29" t="s">
        <v>162</v>
      </c>
      <c r="B29" s="3">
        <v>45787</v>
      </c>
      <c r="C29" t="s">
        <v>163</v>
      </c>
      <c r="D29" t="s">
        <v>167</v>
      </c>
      <c r="E29" t="str">
        <f>TRIM(excelsalesdata[[#This Row],[Customer_Name]])</f>
        <v>Arjun Nair</v>
      </c>
      <c r="F29" t="s">
        <v>44</v>
      </c>
      <c r="G29">
        <v>52</v>
      </c>
      <c r="H29" t="s">
        <v>24</v>
      </c>
      <c r="I29" t="str">
        <f>TRIM(excelsalesdata[[#This Row],[City]])</f>
        <v>Pune</v>
      </c>
      <c r="J29" t="s">
        <v>25</v>
      </c>
      <c r="K29" t="s">
        <v>26</v>
      </c>
      <c r="L29" t="s">
        <v>54</v>
      </c>
      <c r="M29" t="s">
        <v>62</v>
      </c>
      <c r="N29" t="s">
        <v>62</v>
      </c>
      <c r="O29">
        <v>3</v>
      </c>
      <c r="P29">
        <v>20320</v>
      </c>
      <c r="Q29">
        <v>0.2</v>
      </c>
      <c r="R29">
        <v>15160</v>
      </c>
      <c r="S29" t="s">
        <v>29</v>
      </c>
      <c r="T29" t="s">
        <v>30</v>
      </c>
      <c r="U29">
        <v>4</v>
      </c>
      <c r="V29" t="s">
        <v>31</v>
      </c>
      <c r="W29">
        <f>excelsalesdata[[#This Row],[Quantity]]*excelsalesdata[[#This Row],[Unit_Price]]</f>
        <v>60960</v>
      </c>
      <c r="X29">
        <f>excelsalesdata[[#This Row],[Gross_sales]]*excelsalesdata[[#This Row],[Discount_%]]</f>
        <v>12192</v>
      </c>
      <c r="Y29">
        <f>excelsalesdata[[#This Row],[Gross_sales]]-excelsalesdata[[#This Row],[Discount_amt]]</f>
        <v>48768</v>
      </c>
      <c r="Z29" s="4">
        <f>excelsalesdata[[#This Row],[Net_sales]]-excelsalesdata[[#This Row],[Cost]]</f>
        <v>33608</v>
      </c>
      <c r="AA29" s="5">
        <f>excelsalesdata[[#This Row],[Profit]]/excelsalesdata[[#This Row],[Net_sales]]</f>
        <v>0.68914041994750652</v>
      </c>
      <c r="AB29" s="4">
        <f>YEAR(excelsalesdata[[#This Row],[Order_Date]])</f>
        <v>2025</v>
      </c>
      <c r="AC29" s="4" t="str">
        <f>TEXT(excelsalesdata[[#This Row],[Order_Date]],"mmm")</f>
        <v>May</v>
      </c>
      <c r="AD29" s="4" t="str">
        <f>"Q"&amp;ROUNDUP(MONTH(excelsalesdata[[#This Row],[Order_Date]])/3,0)</f>
        <v>Q2</v>
      </c>
    </row>
    <row r="30" spans="1:30" x14ac:dyDescent="0.35">
      <c r="A30" t="s">
        <v>165</v>
      </c>
      <c r="B30" s="3">
        <v>45788</v>
      </c>
      <c r="C30" t="s">
        <v>166</v>
      </c>
      <c r="D30" t="s">
        <v>171</v>
      </c>
      <c r="E30" t="str">
        <f>TRIM(excelsalesdata[[#This Row],[Customer_Name]])</f>
        <v>Sneha Rao</v>
      </c>
      <c r="F30" t="s">
        <v>23</v>
      </c>
      <c r="G30">
        <v>53</v>
      </c>
      <c r="H30" t="s">
        <v>168</v>
      </c>
      <c r="I30" t="str">
        <f>TRIM(excelsalesdata[[#This Row],[City]])</f>
        <v>Delhi</v>
      </c>
      <c r="J30" t="s">
        <v>168</v>
      </c>
      <c r="K30" t="s">
        <v>61</v>
      </c>
      <c r="L30" t="s">
        <v>38</v>
      </c>
      <c r="M30" t="s">
        <v>73</v>
      </c>
      <c r="N30" t="s">
        <v>73</v>
      </c>
      <c r="O30">
        <v>5</v>
      </c>
      <c r="P30">
        <v>4930</v>
      </c>
      <c r="Q30">
        <v>0.1</v>
      </c>
      <c r="R30">
        <v>3290</v>
      </c>
      <c r="S30" t="s">
        <v>80</v>
      </c>
      <c r="T30" t="s">
        <v>81</v>
      </c>
      <c r="U30">
        <v>0</v>
      </c>
      <c r="V30" t="s">
        <v>31</v>
      </c>
      <c r="W30">
        <f>excelsalesdata[[#This Row],[Quantity]]*excelsalesdata[[#This Row],[Unit_Price]]</f>
        <v>24650</v>
      </c>
      <c r="X30">
        <f>excelsalesdata[[#This Row],[Gross_sales]]*excelsalesdata[[#This Row],[Discount_%]]</f>
        <v>2465</v>
      </c>
      <c r="Y30">
        <f>excelsalesdata[[#This Row],[Gross_sales]]-excelsalesdata[[#This Row],[Discount_amt]]</f>
        <v>22185</v>
      </c>
      <c r="Z30" s="4">
        <f>excelsalesdata[[#This Row],[Net_sales]]-excelsalesdata[[#This Row],[Cost]]</f>
        <v>18895</v>
      </c>
      <c r="AA30" s="5">
        <f>excelsalesdata[[#This Row],[Profit]]/excelsalesdata[[#This Row],[Net_sales]]</f>
        <v>0.85170160018030205</v>
      </c>
      <c r="AB30" s="4">
        <f>YEAR(excelsalesdata[[#This Row],[Order_Date]])</f>
        <v>2025</v>
      </c>
      <c r="AC30" s="4" t="str">
        <f>TEXT(excelsalesdata[[#This Row],[Order_Date]],"mmm")</f>
        <v>May</v>
      </c>
      <c r="AD30" s="4" t="str">
        <f>"Q"&amp;ROUNDUP(MONTH(excelsalesdata[[#This Row],[Order_Date]])/3,0)</f>
        <v>Q2</v>
      </c>
    </row>
    <row r="31" spans="1:30" x14ac:dyDescent="0.35">
      <c r="A31" t="s">
        <v>169</v>
      </c>
      <c r="B31" s="3">
        <v>45789</v>
      </c>
      <c r="C31" t="s">
        <v>170</v>
      </c>
      <c r="D31" t="s">
        <v>175</v>
      </c>
      <c r="E31" t="str">
        <f>TRIM(excelsalesdata[[#This Row],[Customer_Name]])</f>
        <v>Kavya Naidu</v>
      </c>
      <c r="F31" t="s">
        <v>23</v>
      </c>
      <c r="G31">
        <v>58</v>
      </c>
      <c r="H31" t="s">
        <v>71</v>
      </c>
      <c r="I31" t="str">
        <f>TRIM(excelsalesdata[[#This Row],[City]])</f>
        <v>Bhubaneswar</v>
      </c>
      <c r="J31" t="s">
        <v>72</v>
      </c>
      <c r="K31" t="s">
        <v>37</v>
      </c>
      <c r="L31" t="s">
        <v>85</v>
      </c>
      <c r="M31" t="s">
        <v>172</v>
      </c>
      <c r="N31" t="s">
        <v>172</v>
      </c>
      <c r="O31">
        <v>3</v>
      </c>
      <c r="P31">
        <v>4370</v>
      </c>
      <c r="Q31">
        <v>0.2</v>
      </c>
      <c r="R31">
        <v>2770</v>
      </c>
      <c r="S31" t="s">
        <v>29</v>
      </c>
      <c r="T31" t="s">
        <v>81</v>
      </c>
      <c r="U31">
        <v>0</v>
      </c>
      <c r="V31" t="s">
        <v>40</v>
      </c>
      <c r="W31">
        <f>excelsalesdata[[#This Row],[Quantity]]*excelsalesdata[[#This Row],[Unit_Price]]</f>
        <v>13110</v>
      </c>
      <c r="X31">
        <f>excelsalesdata[[#This Row],[Gross_sales]]*excelsalesdata[[#This Row],[Discount_%]]</f>
        <v>2622</v>
      </c>
      <c r="Y31">
        <f>excelsalesdata[[#This Row],[Gross_sales]]-excelsalesdata[[#This Row],[Discount_amt]]</f>
        <v>10488</v>
      </c>
      <c r="Z31" s="4">
        <f>excelsalesdata[[#This Row],[Net_sales]]-excelsalesdata[[#This Row],[Cost]]</f>
        <v>7718</v>
      </c>
      <c r="AA31" s="5">
        <f>excelsalesdata[[#This Row],[Profit]]/excelsalesdata[[#This Row],[Net_sales]]</f>
        <v>0.73588863463005338</v>
      </c>
      <c r="AB31" s="4">
        <f>YEAR(excelsalesdata[[#This Row],[Order_Date]])</f>
        <v>2025</v>
      </c>
      <c r="AC31" s="4" t="str">
        <f>TEXT(excelsalesdata[[#This Row],[Order_Date]],"mmm")</f>
        <v>May</v>
      </c>
      <c r="AD31" s="4" t="str">
        <f>"Q"&amp;ROUNDUP(MONTH(excelsalesdata[[#This Row],[Order_Date]])/3,0)</f>
        <v>Q2</v>
      </c>
    </row>
    <row r="32" spans="1:30" x14ac:dyDescent="0.35">
      <c r="A32" t="s">
        <v>173</v>
      </c>
      <c r="B32" s="3">
        <v>45790</v>
      </c>
      <c r="C32" t="s">
        <v>174</v>
      </c>
      <c r="D32" t="s">
        <v>89</v>
      </c>
      <c r="E32" t="str">
        <f>TRIM(excelsalesdata[[#This Row],[Customer_Name]])</f>
        <v>Karan Shah</v>
      </c>
      <c r="F32" t="s">
        <v>23</v>
      </c>
      <c r="G32">
        <v>36</v>
      </c>
      <c r="H32" t="s">
        <v>168</v>
      </c>
      <c r="I32" t="str">
        <f>TRIM(excelsalesdata[[#This Row],[City]])</f>
        <v>Delhi</v>
      </c>
      <c r="J32" t="s">
        <v>168</v>
      </c>
      <c r="K32" t="s">
        <v>61</v>
      </c>
      <c r="L32" t="s">
        <v>27</v>
      </c>
      <c r="M32" t="s">
        <v>123</v>
      </c>
      <c r="N32" t="s">
        <v>123</v>
      </c>
      <c r="O32">
        <v>1</v>
      </c>
      <c r="P32">
        <v>2850</v>
      </c>
      <c r="Q32">
        <v>0.1</v>
      </c>
      <c r="R32">
        <v>1550</v>
      </c>
      <c r="S32" t="s">
        <v>67</v>
      </c>
      <c r="T32" t="s">
        <v>30</v>
      </c>
      <c r="U32">
        <v>2</v>
      </c>
      <c r="V32" t="s">
        <v>40</v>
      </c>
      <c r="W32">
        <f>excelsalesdata[[#This Row],[Quantity]]*excelsalesdata[[#This Row],[Unit_Price]]</f>
        <v>2850</v>
      </c>
      <c r="X32">
        <f>excelsalesdata[[#This Row],[Gross_sales]]*excelsalesdata[[#This Row],[Discount_%]]</f>
        <v>285</v>
      </c>
      <c r="Y32">
        <f>excelsalesdata[[#This Row],[Gross_sales]]-excelsalesdata[[#This Row],[Discount_amt]]</f>
        <v>2565</v>
      </c>
      <c r="Z32" s="4">
        <f>excelsalesdata[[#This Row],[Net_sales]]-excelsalesdata[[#This Row],[Cost]]</f>
        <v>1015</v>
      </c>
      <c r="AA32" s="5">
        <f>excelsalesdata[[#This Row],[Profit]]/excelsalesdata[[#This Row],[Net_sales]]</f>
        <v>0.39571150097465885</v>
      </c>
      <c r="AB32" s="4">
        <f>YEAR(excelsalesdata[[#This Row],[Order_Date]])</f>
        <v>2025</v>
      </c>
      <c r="AC32" s="4" t="str">
        <f>TEXT(excelsalesdata[[#This Row],[Order_Date]],"mmm")</f>
        <v>May</v>
      </c>
      <c r="AD32" s="4" t="str">
        <f>"Q"&amp;ROUNDUP(MONTH(excelsalesdata[[#This Row],[Order_Date]])/3,0)</f>
        <v>Q2</v>
      </c>
    </row>
    <row r="33" spans="1:30" x14ac:dyDescent="0.35">
      <c r="A33" t="s">
        <v>176</v>
      </c>
      <c r="B33" s="3">
        <v>45791</v>
      </c>
      <c r="C33" t="s">
        <v>177</v>
      </c>
      <c r="D33" t="s">
        <v>181</v>
      </c>
      <c r="E33" t="str">
        <f>TRIM(excelsalesdata[[#This Row],[Customer_Name]])</f>
        <v>Ananya Patel</v>
      </c>
      <c r="F33" t="s">
        <v>23</v>
      </c>
      <c r="G33">
        <v>22</v>
      </c>
      <c r="H33" t="s">
        <v>114</v>
      </c>
      <c r="I33" t="str">
        <f>TRIM(excelsalesdata[[#This Row],[City]])</f>
        <v>Hyderabad</v>
      </c>
      <c r="J33" t="s">
        <v>115</v>
      </c>
      <c r="K33" t="s">
        <v>47</v>
      </c>
      <c r="L33" t="s">
        <v>103</v>
      </c>
      <c r="M33" t="s">
        <v>178</v>
      </c>
      <c r="N33" t="s">
        <v>178</v>
      </c>
      <c r="O33">
        <v>2</v>
      </c>
      <c r="P33">
        <v>1930</v>
      </c>
      <c r="Q33">
        <v>0.15</v>
      </c>
      <c r="R33">
        <v>980</v>
      </c>
      <c r="S33" t="s">
        <v>67</v>
      </c>
      <c r="T33" t="s">
        <v>74</v>
      </c>
      <c r="U33">
        <v>3</v>
      </c>
      <c r="V33" t="s">
        <v>40</v>
      </c>
      <c r="W33">
        <f>excelsalesdata[[#This Row],[Quantity]]*excelsalesdata[[#This Row],[Unit_Price]]</f>
        <v>3860</v>
      </c>
      <c r="X33">
        <f>excelsalesdata[[#This Row],[Gross_sales]]*excelsalesdata[[#This Row],[Discount_%]]</f>
        <v>579</v>
      </c>
      <c r="Y33">
        <f>excelsalesdata[[#This Row],[Gross_sales]]-excelsalesdata[[#This Row],[Discount_amt]]</f>
        <v>3281</v>
      </c>
      <c r="Z33" s="4">
        <f>excelsalesdata[[#This Row],[Net_sales]]-excelsalesdata[[#This Row],[Cost]]</f>
        <v>2301</v>
      </c>
      <c r="AA33" s="5">
        <f>excelsalesdata[[#This Row],[Profit]]/excelsalesdata[[#This Row],[Net_sales]]</f>
        <v>0.70131057604388902</v>
      </c>
      <c r="AB33" s="4">
        <f>YEAR(excelsalesdata[[#This Row],[Order_Date]])</f>
        <v>2025</v>
      </c>
      <c r="AC33" s="4" t="str">
        <f>TEXT(excelsalesdata[[#This Row],[Order_Date]],"mmm")</f>
        <v>May</v>
      </c>
      <c r="AD33" s="4" t="str">
        <f>"Q"&amp;ROUNDUP(MONTH(excelsalesdata[[#This Row],[Order_Date]])/3,0)</f>
        <v>Q2</v>
      </c>
    </row>
    <row r="34" spans="1:30" x14ac:dyDescent="0.35">
      <c r="A34" t="s">
        <v>179</v>
      </c>
      <c r="B34" s="3">
        <v>45792</v>
      </c>
      <c r="C34" t="s">
        <v>180</v>
      </c>
      <c r="D34" t="s">
        <v>184</v>
      </c>
      <c r="E34" t="str">
        <f>TRIM(excelsalesdata[[#This Row],[Customer_Name]])</f>
        <v>Aditya Verma</v>
      </c>
      <c r="F34" t="s">
        <v>23</v>
      </c>
      <c r="G34">
        <v>19</v>
      </c>
      <c r="H34" t="s">
        <v>45</v>
      </c>
      <c r="I34" t="str">
        <f>TRIM(excelsalesdata[[#This Row],[City]])</f>
        <v>Kochi</v>
      </c>
      <c r="J34" t="s">
        <v>46</v>
      </c>
      <c r="K34" t="s">
        <v>47</v>
      </c>
      <c r="L34" t="s">
        <v>27</v>
      </c>
      <c r="M34" t="s">
        <v>28</v>
      </c>
      <c r="N34" t="s">
        <v>28</v>
      </c>
      <c r="O34">
        <v>2</v>
      </c>
      <c r="P34">
        <v>3700</v>
      </c>
      <c r="Q34">
        <v>0.2</v>
      </c>
      <c r="R34">
        <v>2040</v>
      </c>
      <c r="S34" t="s">
        <v>67</v>
      </c>
      <c r="T34" t="s">
        <v>30</v>
      </c>
      <c r="U34">
        <v>3</v>
      </c>
      <c r="V34" t="s">
        <v>40</v>
      </c>
      <c r="W34">
        <f>excelsalesdata[[#This Row],[Quantity]]*excelsalesdata[[#This Row],[Unit_Price]]</f>
        <v>7400</v>
      </c>
      <c r="X34">
        <f>excelsalesdata[[#This Row],[Gross_sales]]*excelsalesdata[[#This Row],[Discount_%]]</f>
        <v>1480</v>
      </c>
      <c r="Y34">
        <f>excelsalesdata[[#This Row],[Gross_sales]]-excelsalesdata[[#This Row],[Discount_amt]]</f>
        <v>5920</v>
      </c>
      <c r="Z34" s="4">
        <f>excelsalesdata[[#This Row],[Net_sales]]-excelsalesdata[[#This Row],[Cost]]</f>
        <v>3880</v>
      </c>
      <c r="AA34" s="5">
        <f>excelsalesdata[[#This Row],[Profit]]/excelsalesdata[[#This Row],[Net_sales]]</f>
        <v>0.65540540540540537</v>
      </c>
      <c r="AB34" s="4">
        <f>YEAR(excelsalesdata[[#This Row],[Order_Date]])</f>
        <v>2025</v>
      </c>
      <c r="AC34" s="4" t="str">
        <f>TEXT(excelsalesdata[[#This Row],[Order_Date]],"mmm")</f>
        <v>May</v>
      </c>
      <c r="AD34" s="4" t="str">
        <f>"Q"&amp;ROUNDUP(MONTH(excelsalesdata[[#This Row],[Order_Date]])/3,0)</f>
        <v>Q2</v>
      </c>
    </row>
    <row r="35" spans="1:30" x14ac:dyDescent="0.35">
      <c r="A35" t="s">
        <v>182</v>
      </c>
      <c r="B35" s="3">
        <v>45793</v>
      </c>
      <c r="C35" t="s">
        <v>183</v>
      </c>
      <c r="D35" t="s">
        <v>189</v>
      </c>
      <c r="E35" t="str">
        <f>TRIM(excelsalesdata[[#This Row],[Customer_Name]])</f>
        <v>Aarav Reddy</v>
      </c>
      <c r="F35" t="s">
        <v>44</v>
      </c>
      <c r="G35">
        <v>56</v>
      </c>
      <c r="H35" t="s">
        <v>185</v>
      </c>
      <c r="I35" t="str">
        <f>TRIM(excelsalesdata[[#This Row],[City]])</f>
        <v>Lucknow</v>
      </c>
      <c r="J35" t="s">
        <v>186</v>
      </c>
      <c r="K35" t="s">
        <v>61</v>
      </c>
      <c r="L35" t="s">
        <v>54</v>
      </c>
      <c r="M35" t="s">
        <v>66</v>
      </c>
      <c r="N35" t="s">
        <v>66</v>
      </c>
      <c r="O35">
        <v>1</v>
      </c>
      <c r="P35">
        <v>2500</v>
      </c>
      <c r="Q35">
        <v>0</v>
      </c>
      <c r="R35">
        <v>1500</v>
      </c>
      <c r="S35" t="s">
        <v>29</v>
      </c>
      <c r="T35" t="s">
        <v>30</v>
      </c>
      <c r="U35">
        <v>2</v>
      </c>
      <c r="V35" t="s">
        <v>31</v>
      </c>
      <c r="W35">
        <f>excelsalesdata[[#This Row],[Quantity]]*excelsalesdata[[#This Row],[Unit_Price]]</f>
        <v>2500</v>
      </c>
      <c r="X35">
        <f>excelsalesdata[[#This Row],[Gross_sales]]*excelsalesdata[[#This Row],[Discount_%]]</f>
        <v>0</v>
      </c>
      <c r="Y35">
        <f>excelsalesdata[[#This Row],[Gross_sales]]-excelsalesdata[[#This Row],[Discount_amt]]</f>
        <v>2500</v>
      </c>
      <c r="Z35" s="4">
        <f>excelsalesdata[[#This Row],[Net_sales]]-excelsalesdata[[#This Row],[Cost]]</f>
        <v>1000</v>
      </c>
      <c r="AA35" s="5">
        <f>excelsalesdata[[#This Row],[Profit]]/excelsalesdata[[#This Row],[Net_sales]]</f>
        <v>0.4</v>
      </c>
      <c r="AB35" s="4">
        <f>YEAR(excelsalesdata[[#This Row],[Order_Date]])</f>
        <v>2025</v>
      </c>
      <c r="AC35" s="4" t="str">
        <f>TEXT(excelsalesdata[[#This Row],[Order_Date]],"mmm")</f>
        <v>May</v>
      </c>
      <c r="AD35" s="4" t="str">
        <f>"Q"&amp;ROUNDUP(MONTH(excelsalesdata[[#This Row],[Order_Date]])/3,0)</f>
        <v>Q2</v>
      </c>
    </row>
    <row r="36" spans="1:30" x14ac:dyDescent="0.35">
      <c r="A36" t="s">
        <v>187</v>
      </c>
      <c r="B36" s="3">
        <v>45794</v>
      </c>
      <c r="C36" t="s">
        <v>188</v>
      </c>
      <c r="D36" t="s">
        <v>194</v>
      </c>
      <c r="E36" t="str">
        <f>TRIM(excelsalesdata[[#This Row],[Customer_Name]])</f>
        <v>Aditya Reddy</v>
      </c>
      <c r="F36" t="s">
        <v>23</v>
      </c>
      <c r="G36">
        <v>42</v>
      </c>
      <c r="H36" t="s">
        <v>190</v>
      </c>
      <c r="I36" t="str">
        <f>TRIM(excelsalesdata[[#This Row],[City]])</f>
        <v>Ahmedabad</v>
      </c>
      <c r="J36" t="s">
        <v>191</v>
      </c>
      <c r="K36" t="s">
        <v>26</v>
      </c>
      <c r="L36" t="s">
        <v>27</v>
      </c>
      <c r="M36" t="s">
        <v>123</v>
      </c>
      <c r="N36" t="s">
        <v>123</v>
      </c>
      <c r="O36">
        <v>4</v>
      </c>
      <c r="P36">
        <v>2580</v>
      </c>
      <c r="Q36">
        <v>0.25</v>
      </c>
      <c r="R36">
        <v>1530</v>
      </c>
      <c r="S36" t="s">
        <v>67</v>
      </c>
      <c r="T36" t="s">
        <v>30</v>
      </c>
      <c r="U36">
        <v>10</v>
      </c>
      <c r="V36" t="s">
        <v>31</v>
      </c>
      <c r="W36">
        <f>excelsalesdata[[#This Row],[Quantity]]*excelsalesdata[[#This Row],[Unit_Price]]</f>
        <v>10320</v>
      </c>
      <c r="X36">
        <f>excelsalesdata[[#This Row],[Gross_sales]]*excelsalesdata[[#This Row],[Discount_%]]</f>
        <v>2580</v>
      </c>
      <c r="Y36">
        <f>excelsalesdata[[#This Row],[Gross_sales]]-excelsalesdata[[#This Row],[Discount_amt]]</f>
        <v>7740</v>
      </c>
      <c r="Z36" s="4">
        <f>excelsalesdata[[#This Row],[Net_sales]]-excelsalesdata[[#This Row],[Cost]]</f>
        <v>6210</v>
      </c>
      <c r="AA36" s="5">
        <f>excelsalesdata[[#This Row],[Profit]]/excelsalesdata[[#This Row],[Net_sales]]</f>
        <v>0.80232558139534882</v>
      </c>
      <c r="AB36" s="4">
        <f>YEAR(excelsalesdata[[#This Row],[Order_Date]])</f>
        <v>2025</v>
      </c>
      <c r="AC36" s="4" t="str">
        <f>TEXT(excelsalesdata[[#This Row],[Order_Date]],"mmm")</f>
        <v>May</v>
      </c>
      <c r="AD36" s="4" t="str">
        <f>"Q"&amp;ROUNDUP(MONTH(excelsalesdata[[#This Row],[Order_Date]])/3,0)</f>
        <v>Q2</v>
      </c>
    </row>
    <row r="37" spans="1:30" x14ac:dyDescent="0.35">
      <c r="A37" t="s">
        <v>192</v>
      </c>
      <c r="B37" s="3">
        <v>45795</v>
      </c>
      <c r="C37" t="s">
        <v>193</v>
      </c>
      <c r="D37" t="s">
        <v>198</v>
      </c>
      <c r="E37" t="str">
        <f>TRIM(excelsalesdata[[#This Row],[Customer_Name]])</f>
        <v>Rohan Iyer</v>
      </c>
      <c r="F37" t="s">
        <v>23</v>
      </c>
      <c r="G37">
        <v>35</v>
      </c>
      <c r="H37" t="s">
        <v>78</v>
      </c>
      <c r="I37" t="str">
        <f>TRIM(excelsalesdata[[#This Row],[City]])</f>
        <v>Guwahati</v>
      </c>
      <c r="J37" t="s">
        <v>79</v>
      </c>
      <c r="K37" t="s">
        <v>37</v>
      </c>
      <c r="L37" t="s">
        <v>27</v>
      </c>
      <c r="M37" t="s">
        <v>195</v>
      </c>
      <c r="N37" t="s">
        <v>195</v>
      </c>
      <c r="O37">
        <v>2</v>
      </c>
      <c r="P37">
        <v>2230</v>
      </c>
      <c r="Q37">
        <v>0.2</v>
      </c>
      <c r="R37">
        <v>1150</v>
      </c>
      <c r="S37" t="s">
        <v>29</v>
      </c>
      <c r="T37" t="s">
        <v>81</v>
      </c>
      <c r="U37">
        <v>0</v>
      </c>
      <c r="V37" t="s">
        <v>40</v>
      </c>
      <c r="W37">
        <f>excelsalesdata[[#This Row],[Quantity]]*excelsalesdata[[#This Row],[Unit_Price]]</f>
        <v>4460</v>
      </c>
      <c r="X37">
        <f>excelsalesdata[[#This Row],[Gross_sales]]*excelsalesdata[[#This Row],[Discount_%]]</f>
        <v>892</v>
      </c>
      <c r="Y37">
        <f>excelsalesdata[[#This Row],[Gross_sales]]-excelsalesdata[[#This Row],[Discount_amt]]</f>
        <v>3568</v>
      </c>
      <c r="Z37" s="4">
        <f>excelsalesdata[[#This Row],[Net_sales]]-excelsalesdata[[#This Row],[Cost]]</f>
        <v>2418</v>
      </c>
      <c r="AA37" s="5">
        <f>excelsalesdata[[#This Row],[Profit]]/excelsalesdata[[#This Row],[Net_sales]]</f>
        <v>0.67769058295964124</v>
      </c>
      <c r="AB37" s="4">
        <f>YEAR(excelsalesdata[[#This Row],[Order_Date]])</f>
        <v>2025</v>
      </c>
      <c r="AC37" s="4" t="str">
        <f>TEXT(excelsalesdata[[#This Row],[Order_Date]],"mmm")</f>
        <v>May</v>
      </c>
      <c r="AD37" s="4" t="str">
        <f>"Q"&amp;ROUNDUP(MONTH(excelsalesdata[[#This Row],[Order_Date]])/3,0)</f>
        <v>Q2</v>
      </c>
    </row>
    <row r="38" spans="1:30" x14ac:dyDescent="0.35">
      <c r="A38" t="s">
        <v>196</v>
      </c>
      <c r="B38" s="3">
        <v>45796</v>
      </c>
      <c r="C38" t="s">
        <v>197</v>
      </c>
      <c r="D38" t="s">
        <v>201</v>
      </c>
      <c r="E38" t="str">
        <f>TRIM(excelsalesdata[[#This Row],[Customer_Name]])</f>
        <v>Nisha Verma</v>
      </c>
      <c r="F38" t="s">
        <v>44</v>
      </c>
      <c r="G38">
        <v>53</v>
      </c>
      <c r="H38" t="s">
        <v>168</v>
      </c>
      <c r="I38" t="str">
        <f>TRIM(excelsalesdata[[#This Row],[City]])</f>
        <v>Delhi</v>
      </c>
      <c r="J38" t="s">
        <v>168</v>
      </c>
      <c r="K38" t="s">
        <v>61</v>
      </c>
      <c r="L38" t="s">
        <v>38</v>
      </c>
      <c r="M38" t="s">
        <v>161</v>
      </c>
      <c r="N38" t="s">
        <v>161</v>
      </c>
      <c r="O38">
        <v>2</v>
      </c>
      <c r="P38">
        <v>26110</v>
      </c>
      <c r="Q38">
        <v>0.25</v>
      </c>
      <c r="R38">
        <v>21500</v>
      </c>
      <c r="S38" t="s">
        <v>105</v>
      </c>
      <c r="T38" t="s">
        <v>30</v>
      </c>
      <c r="U38">
        <v>3</v>
      </c>
      <c r="V38" t="s">
        <v>40</v>
      </c>
      <c r="W38">
        <f>excelsalesdata[[#This Row],[Quantity]]*excelsalesdata[[#This Row],[Unit_Price]]</f>
        <v>52220</v>
      </c>
      <c r="X38">
        <f>excelsalesdata[[#This Row],[Gross_sales]]*excelsalesdata[[#This Row],[Discount_%]]</f>
        <v>13055</v>
      </c>
      <c r="Y38">
        <f>excelsalesdata[[#This Row],[Gross_sales]]-excelsalesdata[[#This Row],[Discount_amt]]</f>
        <v>39165</v>
      </c>
      <c r="Z38" s="4">
        <f>excelsalesdata[[#This Row],[Net_sales]]-excelsalesdata[[#This Row],[Cost]]</f>
        <v>17665</v>
      </c>
      <c r="AA38" s="5">
        <f>excelsalesdata[[#This Row],[Profit]]/excelsalesdata[[#This Row],[Net_sales]]</f>
        <v>0.45104046980722584</v>
      </c>
      <c r="AB38" s="4">
        <f>YEAR(excelsalesdata[[#This Row],[Order_Date]])</f>
        <v>2025</v>
      </c>
      <c r="AC38" s="4" t="str">
        <f>TEXT(excelsalesdata[[#This Row],[Order_Date]],"mmm")</f>
        <v>May</v>
      </c>
      <c r="AD38" s="4" t="str">
        <f>"Q"&amp;ROUNDUP(MONTH(excelsalesdata[[#This Row],[Order_Date]])/3,0)</f>
        <v>Q2</v>
      </c>
    </row>
    <row r="39" spans="1:30" x14ac:dyDescent="0.35">
      <c r="A39" t="s">
        <v>199</v>
      </c>
      <c r="B39" s="3">
        <v>45797</v>
      </c>
      <c r="C39" t="s">
        <v>200</v>
      </c>
      <c r="D39" t="s">
        <v>205</v>
      </c>
      <c r="E39" t="str">
        <f>TRIM(excelsalesdata[[#This Row],[Customer_Name]])</f>
        <v>Vivaan Bhat</v>
      </c>
      <c r="F39" t="s">
        <v>44</v>
      </c>
      <c r="G39">
        <v>52</v>
      </c>
      <c r="H39" t="s">
        <v>35</v>
      </c>
      <c r="I39" t="str">
        <f>TRIM(excelsalesdata[[#This Row],[City]])</f>
        <v>Kolkata</v>
      </c>
      <c r="J39" t="s">
        <v>36</v>
      </c>
      <c r="K39" t="s">
        <v>37</v>
      </c>
      <c r="L39" t="s">
        <v>85</v>
      </c>
      <c r="M39" t="s">
        <v>202</v>
      </c>
      <c r="N39" t="s">
        <v>202</v>
      </c>
      <c r="O39">
        <v>2</v>
      </c>
      <c r="P39">
        <v>920</v>
      </c>
      <c r="Q39">
        <v>0.1</v>
      </c>
      <c r="R39">
        <v>420</v>
      </c>
      <c r="S39" t="s">
        <v>67</v>
      </c>
      <c r="T39" t="s">
        <v>30</v>
      </c>
      <c r="U39">
        <v>1</v>
      </c>
      <c r="V39" t="s">
        <v>40</v>
      </c>
      <c r="W39">
        <f>excelsalesdata[[#This Row],[Quantity]]*excelsalesdata[[#This Row],[Unit_Price]]</f>
        <v>1840</v>
      </c>
      <c r="X39">
        <f>excelsalesdata[[#This Row],[Gross_sales]]*excelsalesdata[[#This Row],[Discount_%]]</f>
        <v>184</v>
      </c>
      <c r="Y39">
        <f>excelsalesdata[[#This Row],[Gross_sales]]-excelsalesdata[[#This Row],[Discount_amt]]</f>
        <v>1656</v>
      </c>
      <c r="Z39" s="4">
        <f>excelsalesdata[[#This Row],[Net_sales]]-excelsalesdata[[#This Row],[Cost]]</f>
        <v>1236</v>
      </c>
      <c r="AA39" s="5">
        <f>excelsalesdata[[#This Row],[Profit]]/excelsalesdata[[#This Row],[Net_sales]]</f>
        <v>0.74637681159420288</v>
      </c>
      <c r="AB39" s="4">
        <f>YEAR(excelsalesdata[[#This Row],[Order_Date]])</f>
        <v>2025</v>
      </c>
      <c r="AC39" s="4" t="str">
        <f>TEXT(excelsalesdata[[#This Row],[Order_Date]],"mmm")</f>
        <v>May</v>
      </c>
      <c r="AD39" s="4" t="str">
        <f>"Q"&amp;ROUNDUP(MONTH(excelsalesdata[[#This Row],[Order_Date]])/3,0)</f>
        <v>Q2</v>
      </c>
    </row>
    <row r="40" spans="1:30" x14ac:dyDescent="0.35">
      <c r="A40" t="s">
        <v>203</v>
      </c>
      <c r="B40" s="3">
        <v>45798</v>
      </c>
      <c r="C40" t="s">
        <v>204</v>
      </c>
      <c r="D40" t="s">
        <v>208</v>
      </c>
      <c r="E40" t="str">
        <f>TRIM(excelsalesdata[[#This Row],[Customer_Name]])</f>
        <v>Aarav Singh</v>
      </c>
      <c r="F40" t="s">
        <v>23</v>
      </c>
      <c r="G40">
        <v>28</v>
      </c>
      <c r="H40" t="s">
        <v>45</v>
      </c>
      <c r="I40" t="str">
        <f>TRIM(excelsalesdata[[#This Row],[City]])</f>
        <v>Kochi</v>
      </c>
      <c r="J40" t="s">
        <v>46</v>
      </c>
      <c r="K40" t="s">
        <v>47</v>
      </c>
      <c r="L40" t="s">
        <v>93</v>
      </c>
      <c r="M40" t="s">
        <v>206</v>
      </c>
      <c r="N40" t="s">
        <v>206</v>
      </c>
      <c r="O40">
        <v>4</v>
      </c>
      <c r="P40">
        <v>690</v>
      </c>
      <c r="Q40">
        <v>0.2</v>
      </c>
      <c r="R40">
        <v>300</v>
      </c>
      <c r="S40" t="s">
        <v>80</v>
      </c>
      <c r="T40" t="s">
        <v>30</v>
      </c>
      <c r="U40">
        <v>1</v>
      </c>
      <c r="V40" t="s">
        <v>40</v>
      </c>
      <c r="W40">
        <f>excelsalesdata[[#This Row],[Quantity]]*excelsalesdata[[#This Row],[Unit_Price]]</f>
        <v>2760</v>
      </c>
      <c r="X40">
        <f>excelsalesdata[[#This Row],[Gross_sales]]*excelsalesdata[[#This Row],[Discount_%]]</f>
        <v>552</v>
      </c>
      <c r="Y40">
        <f>excelsalesdata[[#This Row],[Gross_sales]]-excelsalesdata[[#This Row],[Discount_amt]]</f>
        <v>2208</v>
      </c>
      <c r="Z40" s="4">
        <f>excelsalesdata[[#This Row],[Net_sales]]-excelsalesdata[[#This Row],[Cost]]</f>
        <v>1908</v>
      </c>
      <c r="AA40" s="5">
        <f>excelsalesdata[[#This Row],[Profit]]/excelsalesdata[[#This Row],[Net_sales]]</f>
        <v>0.86413043478260865</v>
      </c>
      <c r="AB40" s="4">
        <f>YEAR(excelsalesdata[[#This Row],[Order_Date]])</f>
        <v>2025</v>
      </c>
      <c r="AC40" s="4" t="str">
        <f>TEXT(excelsalesdata[[#This Row],[Order_Date]],"mmm")</f>
        <v>May</v>
      </c>
      <c r="AD40" s="4" t="str">
        <f>"Q"&amp;ROUNDUP(MONTH(excelsalesdata[[#This Row],[Order_Date]])/3,0)</f>
        <v>Q2</v>
      </c>
    </row>
    <row r="41" spans="1:30" x14ac:dyDescent="0.35">
      <c r="A41" t="s">
        <v>207</v>
      </c>
      <c r="B41" s="3">
        <v>45799</v>
      </c>
      <c r="C41" t="s">
        <v>159</v>
      </c>
      <c r="D41" t="s">
        <v>211</v>
      </c>
      <c r="E41" t="str">
        <f>TRIM(excelsalesdata[[#This Row],[Customer_Name]])</f>
        <v>Aarav Iyer</v>
      </c>
      <c r="F41" t="s">
        <v>23</v>
      </c>
      <c r="G41">
        <v>55</v>
      </c>
      <c r="H41" t="s">
        <v>114</v>
      </c>
      <c r="I41" t="str">
        <f>TRIM(excelsalesdata[[#This Row],[City]])</f>
        <v>Hyderabad</v>
      </c>
      <c r="J41" t="s">
        <v>115</v>
      </c>
      <c r="K41" t="s">
        <v>47</v>
      </c>
      <c r="L41" t="s">
        <v>27</v>
      </c>
      <c r="M41" t="s">
        <v>123</v>
      </c>
      <c r="N41" t="s">
        <v>123</v>
      </c>
      <c r="O41">
        <v>2</v>
      </c>
      <c r="P41">
        <v>2920</v>
      </c>
      <c r="Q41">
        <v>0.1</v>
      </c>
      <c r="R41">
        <v>1560</v>
      </c>
      <c r="S41" t="s">
        <v>29</v>
      </c>
      <c r="T41" t="s">
        <v>30</v>
      </c>
      <c r="U41">
        <v>3</v>
      </c>
      <c r="V41" t="s">
        <v>31</v>
      </c>
      <c r="W41">
        <f>excelsalesdata[[#This Row],[Quantity]]*excelsalesdata[[#This Row],[Unit_Price]]</f>
        <v>5840</v>
      </c>
      <c r="X41">
        <f>excelsalesdata[[#This Row],[Gross_sales]]*excelsalesdata[[#This Row],[Discount_%]]</f>
        <v>584</v>
      </c>
      <c r="Y41">
        <f>excelsalesdata[[#This Row],[Gross_sales]]-excelsalesdata[[#This Row],[Discount_amt]]</f>
        <v>5256</v>
      </c>
      <c r="Z41" s="4">
        <f>excelsalesdata[[#This Row],[Net_sales]]-excelsalesdata[[#This Row],[Cost]]</f>
        <v>3696</v>
      </c>
      <c r="AA41" s="5">
        <f>excelsalesdata[[#This Row],[Profit]]/excelsalesdata[[#This Row],[Net_sales]]</f>
        <v>0.70319634703196343</v>
      </c>
      <c r="AB41" s="4">
        <f>YEAR(excelsalesdata[[#This Row],[Order_Date]])</f>
        <v>2025</v>
      </c>
      <c r="AC41" s="4" t="str">
        <f>TEXT(excelsalesdata[[#This Row],[Order_Date]],"mmm")</f>
        <v>May</v>
      </c>
      <c r="AD41" s="4" t="str">
        <f>"Q"&amp;ROUNDUP(MONTH(excelsalesdata[[#This Row],[Order_Date]])/3,0)</f>
        <v>Q2</v>
      </c>
    </row>
    <row r="42" spans="1:30" x14ac:dyDescent="0.35">
      <c r="A42" t="s">
        <v>209</v>
      </c>
      <c r="B42" s="3">
        <v>45800</v>
      </c>
      <c r="C42" t="s">
        <v>210</v>
      </c>
      <c r="D42" t="s">
        <v>214</v>
      </c>
      <c r="E42" t="str">
        <f>TRIM(excelsalesdata[[#This Row],[Customer_Name]])</f>
        <v>Meera Naidu</v>
      </c>
      <c r="F42" t="s">
        <v>23</v>
      </c>
      <c r="G42">
        <v>45</v>
      </c>
      <c r="H42" t="s">
        <v>78</v>
      </c>
      <c r="I42" t="str">
        <f>TRIM(excelsalesdata[[#This Row],[City]])</f>
        <v>Guwahati</v>
      </c>
      <c r="J42" t="s">
        <v>79</v>
      </c>
      <c r="K42" t="s">
        <v>37</v>
      </c>
      <c r="L42" t="s">
        <v>54</v>
      </c>
      <c r="M42" t="s">
        <v>157</v>
      </c>
      <c r="N42" t="s">
        <v>157</v>
      </c>
      <c r="O42">
        <v>2</v>
      </c>
      <c r="P42">
        <v>54790</v>
      </c>
      <c r="Q42">
        <v>0.2</v>
      </c>
      <c r="R42">
        <v>41190</v>
      </c>
      <c r="S42" t="s">
        <v>151</v>
      </c>
      <c r="T42" t="s">
        <v>99</v>
      </c>
      <c r="U42">
        <v>2</v>
      </c>
      <c r="V42" t="s">
        <v>31</v>
      </c>
      <c r="W42">
        <f>excelsalesdata[[#This Row],[Quantity]]*excelsalesdata[[#This Row],[Unit_Price]]</f>
        <v>109580</v>
      </c>
      <c r="X42">
        <f>excelsalesdata[[#This Row],[Gross_sales]]*excelsalesdata[[#This Row],[Discount_%]]</f>
        <v>21916</v>
      </c>
      <c r="Y42">
        <f>excelsalesdata[[#This Row],[Gross_sales]]-excelsalesdata[[#This Row],[Discount_amt]]</f>
        <v>87664</v>
      </c>
      <c r="Z42" s="4">
        <f>excelsalesdata[[#This Row],[Net_sales]]-excelsalesdata[[#This Row],[Cost]]</f>
        <v>46474</v>
      </c>
      <c r="AA42" s="5">
        <f>excelsalesdata[[#This Row],[Profit]]/excelsalesdata[[#This Row],[Net_sales]]</f>
        <v>0.53013779886840662</v>
      </c>
      <c r="AB42" s="4">
        <f>YEAR(excelsalesdata[[#This Row],[Order_Date]])</f>
        <v>2025</v>
      </c>
      <c r="AC42" s="4" t="str">
        <f>TEXT(excelsalesdata[[#This Row],[Order_Date]],"mmm")</f>
        <v>May</v>
      </c>
      <c r="AD42" s="4" t="str">
        <f>"Q"&amp;ROUNDUP(MONTH(excelsalesdata[[#This Row],[Order_Date]])/3,0)</f>
        <v>Q2</v>
      </c>
    </row>
    <row r="43" spans="1:30" x14ac:dyDescent="0.35">
      <c r="A43" t="s">
        <v>212</v>
      </c>
      <c r="B43" s="3">
        <v>45801</v>
      </c>
      <c r="C43" t="s">
        <v>213</v>
      </c>
      <c r="D43" t="s">
        <v>167</v>
      </c>
      <c r="E43" t="str">
        <f>TRIM(excelsalesdata[[#This Row],[Customer_Name]])</f>
        <v>Arjun Nair</v>
      </c>
      <c r="F43" t="s">
        <v>44</v>
      </c>
      <c r="G43">
        <v>54</v>
      </c>
      <c r="H43" t="s">
        <v>45</v>
      </c>
      <c r="I43" t="str">
        <f>TRIM(excelsalesdata[[#This Row],[City]])</f>
        <v>Kochi</v>
      </c>
      <c r="J43" t="s">
        <v>46</v>
      </c>
      <c r="K43" t="s">
        <v>47</v>
      </c>
      <c r="L43" t="s">
        <v>27</v>
      </c>
      <c r="M43" t="s">
        <v>28</v>
      </c>
      <c r="N43" t="s">
        <v>28</v>
      </c>
      <c r="O43">
        <v>1</v>
      </c>
      <c r="P43">
        <v>3300</v>
      </c>
      <c r="Q43">
        <v>0</v>
      </c>
      <c r="R43">
        <v>2070</v>
      </c>
      <c r="S43" t="s">
        <v>105</v>
      </c>
      <c r="T43" t="s">
        <v>30</v>
      </c>
      <c r="U43">
        <v>3</v>
      </c>
      <c r="V43" t="s">
        <v>40</v>
      </c>
      <c r="W43">
        <f>excelsalesdata[[#This Row],[Quantity]]*excelsalesdata[[#This Row],[Unit_Price]]</f>
        <v>3300</v>
      </c>
      <c r="X43">
        <f>excelsalesdata[[#This Row],[Gross_sales]]*excelsalesdata[[#This Row],[Discount_%]]</f>
        <v>0</v>
      </c>
      <c r="Y43">
        <f>excelsalesdata[[#This Row],[Gross_sales]]-excelsalesdata[[#This Row],[Discount_amt]]</f>
        <v>3300</v>
      </c>
      <c r="Z43" s="4">
        <f>excelsalesdata[[#This Row],[Net_sales]]-excelsalesdata[[#This Row],[Cost]]</f>
        <v>1230</v>
      </c>
      <c r="AA43" s="5">
        <f>excelsalesdata[[#This Row],[Profit]]/excelsalesdata[[#This Row],[Net_sales]]</f>
        <v>0.37272727272727274</v>
      </c>
      <c r="AB43" s="4">
        <f>YEAR(excelsalesdata[[#This Row],[Order_Date]])</f>
        <v>2025</v>
      </c>
      <c r="AC43" s="4" t="str">
        <f>TEXT(excelsalesdata[[#This Row],[Order_Date]],"mmm")</f>
        <v>May</v>
      </c>
      <c r="AD43" s="4" t="str">
        <f>"Q"&amp;ROUNDUP(MONTH(excelsalesdata[[#This Row],[Order_Date]])/3,0)</f>
        <v>Q2</v>
      </c>
    </row>
    <row r="44" spans="1:30" x14ac:dyDescent="0.35">
      <c r="A44" t="s">
        <v>215</v>
      </c>
      <c r="B44" s="3">
        <v>45802</v>
      </c>
      <c r="C44" t="s">
        <v>216</v>
      </c>
      <c r="D44" t="s">
        <v>219</v>
      </c>
      <c r="E44" t="str">
        <f>TRIM(excelsalesdata[[#This Row],[Customer_Name]])</f>
        <v>Rohan Patel</v>
      </c>
      <c r="F44" t="s">
        <v>44</v>
      </c>
      <c r="G44">
        <v>41</v>
      </c>
      <c r="H44" t="s">
        <v>78</v>
      </c>
      <c r="I44" t="str">
        <f>TRIM(excelsalesdata[[#This Row],[City]])</f>
        <v>Guwahati</v>
      </c>
      <c r="J44" t="s">
        <v>79</v>
      </c>
      <c r="K44" t="s">
        <v>37</v>
      </c>
      <c r="L44" t="s">
        <v>38</v>
      </c>
      <c r="M44" t="s">
        <v>119</v>
      </c>
      <c r="N44" t="s">
        <v>119</v>
      </c>
      <c r="O44">
        <v>3</v>
      </c>
      <c r="P44">
        <v>9110</v>
      </c>
      <c r="Q44">
        <v>0</v>
      </c>
      <c r="R44">
        <v>5840</v>
      </c>
      <c r="S44" t="s">
        <v>80</v>
      </c>
      <c r="T44" t="s">
        <v>30</v>
      </c>
      <c r="U44">
        <v>3</v>
      </c>
      <c r="V44" t="s">
        <v>31</v>
      </c>
      <c r="W44">
        <f>excelsalesdata[[#This Row],[Quantity]]*excelsalesdata[[#This Row],[Unit_Price]]</f>
        <v>27330</v>
      </c>
      <c r="X44">
        <f>excelsalesdata[[#This Row],[Gross_sales]]*excelsalesdata[[#This Row],[Discount_%]]</f>
        <v>0</v>
      </c>
      <c r="Y44">
        <f>excelsalesdata[[#This Row],[Gross_sales]]-excelsalesdata[[#This Row],[Discount_amt]]</f>
        <v>27330</v>
      </c>
      <c r="Z44" s="4">
        <f>excelsalesdata[[#This Row],[Net_sales]]-excelsalesdata[[#This Row],[Cost]]</f>
        <v>21490</v>
      </c>
      <c r="AA44" s="5">
        <f>excelsalesdata[[#This Row],[Profit]]/excelsalesdata[[#This Row],[Net_sales]]</f>
        <v>0.78631540431759972</v>
      </c>
      <c r="AB44" s="4">
        <f>YEAR(excelsalesdata[[#This Row],[Order_Date]])</f>
        <v>2025</v>
      </c>
      <c r="AC44" s="4" t="str">
        <f>TEXT(excelsalesdata[[#This Row],[Order_Date]],"mmm")</f>
        <v>May</v>
      </c>
      <c r="AD44" s="4" t="str">
        <f>"Q"&amp;ROUNDUP(MONTH(excelsalesdata[[#This Row],[Order_Date]])/3,0)</f>
        <v>Q2</v>
      </c>
    </row>
    <row r="45" spans="1:30" x14ac:dyDescent="0.35">
      <c r="A45" t="s">
        <v>217</v>
      </c>
      <c r="B45" s="3">
        <v>45803</v>
      </c>
      <c r="C45" t="s">
        <v>218</v>
      </c>
      <c r="D45" t="s">
        <v>150</v>
      </c>
      <c r="E45" t="str">
        <f>TRIM(excelsalesdata[[#This Row],[Customer_Name]])</f>
        <v>Nisha Reddy</v>
      </c>
      <c r="F45" t="s">
        <v>44</v>
      </c>
      <c r="G45">
        <v>60</v>
      </c>
      <c r="H45" t="s">
        <v>185</v>
      </c>
      <c r="I45" t="str">
        <f>TRIM(excelsalesdata[[#This Row],[City]])</f>
        <v>Lucknow</v>
      </c>
      <c r="J45" t="s">
        <v>186</v>
      </c>
      <c r="K45" t="s">
        <v>61</v>
      </c>
      <c r="L45" t="s">
        <v>54</v>
      </c>
      <c r="M45" t="s">
        <v>66</v>
      </c>
      <c r="N45" t="s">
        <v>66</v>
      </c>
      <c r="O45">
        <v>2</v>
      </c>
      <c r="P45">
        <v>2480</v>
      </c>
      <c r="Q45">
        <v>0.1</v>
      </c>
      <c r="R45">
        <v>1490</v>
      </c>
      <c r="S45" t="s">
        <v>105</v>
      </c>
      <c r="T45" t="s">
        <v>30</v>
      </c>
      <c r="U45">
        <v>4</v>
      </c>
      <c r="V45" t="s">
        <v>40</v>
      </c>
      <c r="W45">
        <f>excelsalesdata[[#This Row],[Quantity]]*excelsalesdata[[#This Row],[Unit_Price]]</f>
        <v>4960</v>
      </c>
      <c r="X45">
        <f>excelsalesdata[[#This Row],[Gross_sales]]*excelsalesdata[[#This Row],[Discount_%]]</f>
        <v>496</v>
      </c>
      <c r="Y45">
        <f>excelsalesdata[[#This Row],[Gross_sales]]-excelsalesdata[[#This Row],[Discount_amt]]</f>
        <v>4464</v>
      </c>
      <c r="Z45" s="4">
        <f>excelsalesdata[[#This Row],[Net_sales]]-excelsalesdata[[#This Row],[Cost]]</f>
        <v>2974</v>
      </c>
      <c r="AA45" s="5">
        <f>excelsalesdata[[#This Row],[Profit]]/excelsalesdata[[#This Row],[Net_sales]]</f>
        <v>0.66621863799283154</v>
      </c>
      <c r="AB45" s="4">
        <f>YEAR(excelsalesdata[[#This Row],[Order_Date]])</f>
        <v>2025</v>
      </c>
      <c r="AC45" s="4" t="str">
        <f>TEXT(excelsalesdata[[#This Row],[Order_Date]],"mmm")</f>
        <v>May</v>
      </c>
      <c r="AD45" s="4" t="str">
        <f>"Q"&amp;ROUNDUP(MONTH(excelsalesdata[[#This Row],[Order_Date]])/3,0)</f>
        <v>Q2</v>
      </c>
    </row>
    <row r="46" spans="1:30" x14ac:dyDescent="0.35">
      <c r="A46" t="s">
        <v>220</v>
      </c>
      <c r="B46" s="3">
        <v>45804</v>
      </c>
      <c r="C46" t="s">
        <v>221</v>
      </c>
      <c r="D46" t="s">
        <v>224</v>
      </c>
      <c r="E46" t="str">
        <f>TRIM(excelsalesdata[[#This Row],[Customer_Name]])</f>
        <v>Vivaan Sharma</v>
      </c>
      <c r="F46" t="s">
        <v>44</v>
      </c>
      <c r="G46">
        <v>49</v>
      </c>
      <c r="H46" t="s">
        <v>109</v>
      </c>
      <c r="I46" t="str">
        <f>TRIM(excelsalesdata[[#This Row],[City]])</f>
        <v>Mysuru</v>
      </c>
      <c r="J46" t="s">
        <v>53</v>
      </c>
      <c r="K46" t="s">
        <v>47</v>
      </c>
      <c r="L46" t="s">
        <v>27</v>
      </c>
      <c r="M46" t="s">
        <v>28</v>
      </c>
      <c r="N46" t="s">
        <v>28</v>
      </c>
      <c r="O46">
        <v>1</v>
      </c>
      <c r="P46">
        <v>3310</v>
      </c>
      <c r="Q46">
        <v>0.05</v>
      </c>
      <c r="R46">
        <v>2030</v>
      </c>
      <c r="S46" t="s">
        <v>29</v>
      </c>
      <c r="T46" t="s">
        <v>30</v>
      </c>
      <c r="U46">
        <v>3</v>
      </c>
      <c r="V46" t="s">
        <v>40</v>
      </c>
      <c r="W46">
        <f>excelsalesdata[[#This Row],[Quantity]]*excelsalesdata[[#This Row],[Unit_Price]]</f>
        <v>3310</v>
      </c>
      <c r="X46">
        <f>excelsalesdata[[#This Row],[Gross_sales]]*excelsalesdata[[#This Row],[Discount_%]]</f>
        <v>165.5</v>
      </c>
      <c r="Y46">
        <f>excelsalesdata[[#This Row],[Gross_sales]]-excelsalesdata[[#This Row],[Discount_amt]]</f>
        <v>3144.5</v>
      </c>
      <c r="Z46" s="4">
        <f>excelsalesdata[[#This Row],[Net_sales]]-excelsalesdata[[#This Row],[Cost]]</f>
        <v>1114.5</v>
      </c>
      <c r="AA46" s="5">
        <f>excelsalesdata[[#This Row],[Profit]]/excelsalesdata[[#This Row],[Net_sales]]</f>
        <v>0.35442836698998254</v>
      </c>
      <c r="AB46" s="4">
        <f>YEAR(excelsalesdata[[#This Row],[Order_Date]])</f>
        <v>2025</v>
      </c>
      <c r="AC46" s="4" t="str">
        <f>TEXT(excelsalesdata[[#This Row],[Order_Date]],"mmm")</f>
        <v>May</v>
      </c>
      <c r="AD46" s="4" t="str">
        <f>"Q"&amp;ROUNDUP(MONTH(excelsalesdata[[#This Row],[Order_Date]])/3,0)</f>
        <v>Q2</v>
      </c>
    </row>
    <row r="47" spans="1:30" x14ac:dyDescent="0.35">
      <c r="A47" t="s">
        <v>222</v>
      </c>
      <c r="B47" s="3">
        <v>45805</v>
      </c>
      <c r="C47" t="s">
        <v>223</v>
      </c>
      <c r="D47" t="s">
        <v>214</v>
      </c>
      <c r="E47" t="str">
        <f>TRIM(excelsalesdata[[#This Row],[Customer_Name]])</f>
        <v>Meera Naidu</v>
      </c>
      <c r="F47" t="s">
        <v>44</v>
      </c>
      <c r="G47">
        <v>44</v>
      </c>
      <c r="H47" t="s">
        <v>133</v>
      </c>
      <c r="I47" t="str">
        <f>TRIM(excelsalesdata[[#This Row],[City]])</f>
        <v>Jaipur</v>
      </c>
      <c r="J47" t="s">
        <v>134</v>
      </c>
      <c r="K47" t="s">
        <v>61</v>
      </c>
      <c r="L47" t="s">
        <v>54</v>
      </c>
      <c r="M47" t="s">
        <v>129</v>
      </c>
      <c r="N47" t="s">
        <v>129</v>
      </c>
      <c r="O47">
        <v>2</v>
      </c>
      <c r="P47">
        <v>18030</v>
      </c>
      <c r="Q47">
        <v>0</v>
      </c>
      <c r="R47">
        <v>12350</v>
      </c>
      <c r="S47" t="s">
        <v>29</v>
      </c>
      <c r="T47" t="s">
        <v>74</v>
      </c>
      <c r="U47">
        <v>2</v>
      </c>
      <c r="V47" t="s">
        <v>40</v>
      </c>
      <c r="W47">
        <f>excelsalesdata[[#This Row],[Quantity]]*excelsalesdata[[#This Row],[Unit_Price]]</f>
        <v>36060</v>
      </c>
      <c r="X47">
        <f>excelsalesdata[[#This Row],[Gross_sales]]*excelsalesdata[[#This Row],[Discount_%]]</f>
        <v>0</v>
      </c>
      <c r="Y47">
        <f>excelsalesdata[[#This Row],[Gross_sales]]-excelsalesdata[[#This Row],[Discount_amt]]</f>
        <v>36060</v>
      </c>
      <c r="Z47" s="4">
        <f>excelsalesdata[[#This Row],[Net_sales]]-excelsalesdata[[#This Row],[Cost]]</f>
        <v>23710</v>
      </c>
      <c r="AA47" s="5">
        <f>excelsalesdata[[#This Row],[Profit]]/excelsalesdata[[#This Row],[Net_sales]]</f>
        <v>0.65751525235718244</v>
      </c>
      <c r="AB47" s="4">
        <f>YEAR(excelsalesdata[[#This Row],[Order_Date]])</f>
        <v>2025</v>
      </c>
      <c r="AC47" s="4" t="str">
        <f>TEXT(excelsalesdata[[#This Row],[Order_Date]],"mmm")</f>
        <v>May</v>
      </c>
      <c r="AD47" s="4" t="str">
        <f>"Q"&amp;ROUNDUP(MONTH(excelsalesdata[[#This Row],[Order_Date]])/3,0)</f>
        <v>Q2</v>
      </c>
    </row>
    <row r="48" spans="1:30" x14ac:dyDescent="0.35">
      <c r="A48" t="s">
        <v>225</v>
      </c>
      <c r="B48" s="3">
        <v>45806</v>
      </c>
      <c r="C48" t="s">
        <v>226</v>
      </c>
      <c r="D48" t="s">
        <v>194</v>
      </c>
      <c r="E48" t="str">
        <f>TRIM(excelsalesdata[[#This Row],[Customer_Name]])</f>
        <v>Aditya Reddy</v>
      </c>
      <c r="F48" t="s">
        <v>44</v>
      </c>
      <c r="G48">
        <v>39</v>
      </c>
      <c r="H48" t="s">
        <v>71</v>
      </c>
      <c r="I48" t="str">
        <f>TRIM(excelsalesdata[[#This Row],[City]])</f>
        <v>Bhubaneswar</v>
      </c>
      <c r="J48" t="s">
        <v>72</v>
      </c>
      <c r="K48" t="s">
        <v>37</v>
      </c>
      <c r="L48" t="s">
        <v>27</v>
      </c>
      <c r="M48" t="s">
        <v>48</v>
      </c>
      <c r="N48" t="s">
        <v>48</v>
      </c>
      <c r="O48">
        <v>3</v>
      </c>
      <c r="P48">
        <v>830</v>
      </c>
      <c r="Q48">
        <v>0.05</v>
      </c>
      <c r="R48">
        <v>460</v>
      </c>
      <c r="S48" t="s">
        <v>67</v>
      </c>
      <c r="T48" t="s">
        <v>30</v>
      </c>
      <c r="U48">
        <v>4</v>
      </c>
      <c r="V48" t="s">
        <v>40</v>
      </c>
      <c r="W48">
        <f>excelsalesdata[[#This Row],[Quantity]]*excelsalesdata[[#This Row],[Unit_Price]]</f>
        <v>2490</v>
      </c>
      <c r="X48">
        <f>excelsalesdata[[#This Row],[Gross_sales]]*excelsalesdata[[#This Row],[Discount_%]]</f>
        <v>124.5</v>
      </c>
      <c r="Y48">
        <f>excelsalesdata[[#This Row],[Gross_sales]]-excelsalesdata[[#This Row],[Discount_amt]]</f>
        <v>2365.5</v>
      </c>
      <c r="Z48" s="4">
        <f>excelsalesdata[[#This Row],[Net_sales]]-excelsalesdata[[#This Row],[Cost]]</f>
        <v>1905.5</v>
      </c>
      <c r="AA48" s="5">
        <f>excelsalesdata[[#This Row],[Profit]]/excelsalesdata[[#This Row],[Net_sales]]</f>
        <v>0.80553794123863875</v>
      </c>
      <c r="AB48" s="4">
        <f>YEAR(excelsalesdata[[#This Row],[Order_Date]])</f>
        <v>2025</v>
      </c>
      <c r="AC48" s="4" t="str">
        <f>TEXT(excelsalesdata[[#This Row],[Order_Date]],"mmm")</f>
        <v>May</v>
      </c>
      <c r="AD48" s="4" t="str">
        <f>"Q"&amp;ROUNDUP(MONTH(excelsalesdata[[#This Row],[Order_Date]])/3,0)</f>
        <v>Q2</v>
      </c>
    </row>
    <row r="49" spans="1:30" x14ac:dyDescent="0.35">
      <c r="A49" t="s">
        <v>227</v>
      </c>
      <c r="B49" s="3">
        <v>45807</v>
      </c>
      <c r="C49" t="s">
        <v>228</v>
      </c>
      <c r="D49" t="s">
        <v>231</v>
      </c>
      <c r="E49" t="str">
        <f>TRIM(excelsalesdata[[#This Row],[Customer_Name]])</f>
        <v>Ananya Verma</v>
      </c>
      <c r="F49" t="s">
        <v>44</v>
      </c>
      <c r="G49">
        <v>42</v>
      </c>
      <c r="H49" t="s">
        <v>24</v>
      </c>
      <c r="I49" t="str">
        <f>TRIM(excelsalesdata[[#This Row],[City]])</f>
        <v>Pune</v>
      </c>
      <c r="J49" t="s">
        <v>25</v>
      </c>
      <c r="K49" t="s">
        <v>26</v>
      </c>
      <c r="L49" t="s">
        <v>38</v>
      </c>
      <c r="M49" t="s">
        <v>119</v>
      </c>
      <c r="N49" t="s">
        <v>119</v>
      </c>
      <c r="O49">
        <v>2</v>
      </c>
      <c r="P49">
        <v>8960</v>
      </c>
      <c r="Q49">
        <v>0</v>
      </c>
      <c r="R49">
        <v>5620</v>
      </c>
      <c r="S49" t="s">
        <v>29</v>
      </c>
      <c r="T49" t="s">
        <v>30</v>
      </c>
      <c r="U49">
        <v>3</v>
      </c>
      <c r="V49" t="s">
        <v>40</v>
      </c>
      <c r="W49">
        <f>excelsalesdata[[#This Row],[Quantity]]*excelsalesdata[[#This Row],[Unit_Price]]</f>
        <v>17920</v>
      </c>
      <c r="X49">
        <f>excelsalesdata[[#This Row],[Gross_sales]]*excelsalesdata[[#This Row],[Discount_%]]</f>
        <v>0</v>
      </c>
      <c r="Y49">
        <f>excelsalesdata[[#This Row],[Gross_sales]]-excelsalesdata[[#This Row],[Discount_amt]]</f>
        <v>17920</v>
      </c>
      <c r="Z49" s="4">
        <f>excelsalesdata[[#This Row],[Net_sales]]-excelsalesdata[[#This Row],[Cost]]</f>
        <v>12300</v>
      </c>
      <c r="AA49" s="5">
        <f>excelsalesdata[[#This Row],[Profit]]/excelsalesdata[[#This Row],[Net_sales]]</f>
        <v>0.6863839285714286</v>
      </c>
      <c r="AB49" s="4">
        <f>YEAR(excelsalesdata[[#This Row],[Order_Date]])</f>
        <v>2025</v>
      </c>
      <c r="AC49" s="4" t="str">
        <f>TEXT(excelsalesdata[[#This Row],[Order_Date]],"mmm")</f>
        <v>May</v>
      </c>
      <c r="AD49" s="4" t="str">
        <f>"Q"&amp;ROUNDUP(MONTH(excelsalesdata[[#This Row],[Order_Date]])/3,0)</f>
        <v>Q2</v>
      </c>
    </row>
    <row r="50" spans="1:30" x14ac:dyDescent="0.35">
      <c r="A50" t="s">
        <v>229</v>
      </c>
      <c r="B50" s="3">
        <v>45808</v>
      </c>
      <c r="C50" t="s">
        <v>230</v>
      </c>
      <c r="D50" t="s">
        <v>234</v>
      </c>
      <c r="E50" t="str">
        <f>TRIM(excelsalesdata[[#This Row],[Customer_Name]])</f>
        <v>Rohan Gupta</v>
      </c>
      <c r="F50" t="s">
        <v>44</v>
      </c>
      <c r="G50">
        <v>53</v>
      </c>
      <c r="H50" t="s">
        <v>78</v>
      </c>
      <c r="I50" t="str">
        <f>TRIM(excelsalesdata[[#This Row],[City]])</f>
        <v>Guwahati</v>
      </c>
      <c r="J50" t="s">
        <v>79</v>
      </c>
      <c r="K50" t="s">
        <v>37</v>
      </c>
      <c r="L50" t="s">
        <v>93</v>
      </c>
      <c r="M50" t="s">
        <v>206</v>
      </c>
      <c r="N50" t="s">
        <v>206</v>
      </c>
      <c r="O50">
        <v>2</v>
      </c>
      <c r="P50">
        <v>640</v>
      </c>
      <c r="Q50">
        <v>0.05</v>
      </c>
      <c r="R50">
        <v>310</v>
      </c>
      <c r="S50" t="s">
        <v>105</v>
      </c>
      <c r="T50" t="s">
        <v>30</v>
      </c>
      <c r="U50">
        <v>3</v>
      </c>
      <c r="V50" t="s">
        <v>40</v>
      </c>
      <c r="W50">
        <f>excelsalesdata[[#This Row],[Quantity]]*excelsalesdata[[#This Row],[Unit_Price]]</f>
        <v>1280</v>
      </c>
      <c r="X50">
        <f>excelsalesdata[[#This Row],[Gross_sales]]*excelsalesdata[[#This Row],[Discount_%]]</f>
        <v>64</v>
      </c>
      <c r="Y50">
        <f>excelsalesdata[[#This Row],[Gross_sales]]-excelsalesdata[[#This Row],[Discount_amt]]</f>
        <v>1216</v>
      </c>
      <c r="Z50" s="4">
        <f>excelsalesdata[[#This Row],[Net_sales]]-excelsalesdata[[#This Row],[Cost]]</f>
        <v>906</v>
      </c>
      <c r="AA50" s="5">
        <f>excelsalesdata[[#This Row],[Profit]]/excelsalesdata[[#This Row],[Net_sales]]</f>
        <v>0.74506578947368418</v>
      </c>
      <c r="AB50" s="4">
        <f>YEAR(excelsalesdata[[#This Row],[Order_Date]])</f>
        <v>2025</v>
      </c>
      <c r="AC50" s="4" t="str">
        <f>TEXT(excelsalesdata[[#This Row],[Order_Date]],"mmm")</f>
        <v>May</v>
      </c>
      <c r="AD50" s="4" t="str">
        <f>"Q"&amp;ROUNDUP(MONTH(excelsalesdata[[#This Row],[Order_Date]])/3,0)</f>
        <v>Q2</v>
      </c>
    </row>
    <row r="51" spans="1:30" x14ac:dyDescent="0.35">
      <c r="A51" t="s">
        <v>232</v>
      </c>
      <c r="B51" s="3">
        <v>45809</v>
      </c>
      <c r="C51" t="s">
        <v>233</v>
      </c>
      <c r="D51" t="s">
        <v>237</v>
      </c>
      <c r="E51" t="str">
        <f>TRIM(excelsalesdata[[#This Row],[Customer_Name]])</f>
        <v>Vivaan Kumar</v>
      </c>
      <c r="F51" t="s">
        <v>44</v>
      </c>
      <c r="G51">
        <v>23</v>
      </c>
      <c r="H51" t="s">
        <v>24</v>
      </c>
      <c r="I51" t="str">
        <f>TRIM(excelsalesdata[[#This Row],[City]])</f>
        <v>Pune</v>
      </c>
      <c r="J51" t="s">
        <v>25</v>
      </c>
      <c r="K51" t="s">
        <v>26</v>
      </c>
      <c r="L51" t="s">
        <v>27</v>
      </c>
      <c r="M51" t="s">
        <v>28</v>
      </c>
      <c r="N51" t="s">
        <v>28</v>
      </c>
      <c r="O51">
        <v>1</v>
      </c>
      <c r="P51">
        <v>3670</v>
      </c>
      <c r="Q51">
        <v>0</v>
      </c>
      <c r="R51">
        <v>2170</v>
      </c>
      <c r="S51" t="s">
        <v>29</v>
      </c>
      <c r="T51" t="s">
        <v>30</v>
      </c>
      <c r="U51">
        <v>4</v>
      </c>
      <c r="V51" t="s">
        <v>40</v>
      </c>
      <c r="W51">
        <f>excelsalesdata[[#This Row],[Quantity]]*excelsalesdata[[#This Row],[Unit_Price]]</f>
        <v>3670</v>
      </c>
      <c r="X51">
        <f>excelsalesdata[[#This Row],[Gross_sales]]*excelsalesdata[[#This Row],[Discount_%]]</f>
        <v>0</v>
      </c>
      <c r="Y51">
        <f>excelsalesdata[[#This Row],[Gross_sales]]-excelsalesdata[[#This Row],[Discount_amt]]</f>
        <v>3670</v>
      </c>
      <c r="Z51" s="4">
        <f>excelsalesdata[[#This Row],[Net_sales]]-excelsalesdata[[#This Row],[Cost]]</f>
        <v>1500</v>
      </c>
      <c r="AA51" s="5">
        <f>excelsalesdata[[#This Row],[Profit]]/excelsalesdata[[#This Row],[Net_sales]]</f>
        <v>0.40871934604904631</v>
      </c>
      <c r="AB51" s="4">
        <f>YEAR(excelsalesdata[[#This Row],[Order_Date]])</f>
        <v>2025</v>
      </c>
      <c r="AC51" s="4" t="str">
        <f>TEXT(excelsalesdata[[#This Row],[Order_Date]],"mmm")</f>
        <v>Jun</v>
      </c>
      <c r="AD51" s="4" t="str">
        <f>"Q"&amp;ROUNDUP(MONTH(excelsalesdata[[#This Row],[Order_Date]])/3,0)</f>
        <v>Q2</v>
      </c>
    </row>
    <row r="52" spans="1:30" x14ac:dyDescent="0.35">
      <c r="A52" t="s">
        <v>235</v>
      </c>
      <c r="B52" s="3">
        <v>45810</v>
      </c>
      <c r="C52" t="s">
        <v>236</v>
      </c>
      <c r="D52" t="s">
        <v>241</v>
      </c>
      <c r="E52" t="str">
        <f>TRIM(excelsalesdata[[#This Row],[Customer_Name]])</f>
        <v>Rahul Kumar</v>
      </c>
      <c r="F52" t="s">
        <v>23</v>
      </c>
      <c r="G52">
        <v>21</v>
      </c>
      <c r="H52" t="s">
        <v>78</v>
      </c>
      <c r="I52" t="str">
        <f>TRIM(excelsalesdata[[#This Row],[City]])</f>
        <v>Guwahati</v>
      </c>
      <c r="J52" t="s">
        <v>79</v>
      </c>
      <c r="K52" t="s">
        <v>37</v>
      </c>
      <c r="L52" t="s">
        <v>103</v>
      </c>
      <c r="M52" t="s">
        <v>238</v>
      </c>
      <c r="N52" t="s">
        <v>238</v>
      </c>
      <c r="O52">
        <v>2</v>
      </c>
      <c r="P52">
        <v>4350</v>
      </c>
      <c r="Q52">
        <v>0.2</v>
      </c>
      <c r="R52">
        <v>2760</v>
      </c>
      <c r="S52" t="s">
        <v>80</v>
      </c>
      <c r="T52" t="s">
        <v>30</v>
      </c>
      <c r="U52">
        <v>5</v>
      </c>
      <c r="V52" t="s">
        <v>40</v>
      </c>
      <c r="W52">
        <f>excelsalesdata[[#This Row],[Quantity]]*excelsalesdata[[#This Row],[Unit_Price]]</f>
        <v>8700</v>
      </c>
      <c r="X52">
        <f>excelsalesdata[[#This Row],[Gross_sales]]*excelsalesdata[[#This Row],[Discount_%]]</f>
        <v>1740</v>
      </c>
      <c r="Y52">
        <f>excelsalesdata[[#This Row],[Gross_sales]]-excelsalesdata[[#This Row],[Discount_amt]]</f>
        <v>6960</v>
      </c>
      <c r="Z52" s="4">
        <f>excelsalesdata[[#This Row],[Net_sales]]-excelsalesdata[[#This Row],[Cost]]</f>
        <v>4200</v>
      </c>
      <c r="AA52" s="5">
        <f>excelsalesdata[[#This Row],[Profit]]/excelsalesdata[[#This Row],[Net_sales]]</f>
        <v>0.60344827586206895</v>
      </c>
      <c r="AB52" s="4">
        <f>YEAR(excelsalesdata[[#This Row],[Order_Date]])</f>
        <v>2025</v>
      </c>
      <c r="AC52" s="4" t="str">
        <f>TEXT(excelsalesdata[[#This Row],[Order_Date]],"mmm")</f>
        <v>Jun</v>
      </c>
      <c r="AD52" s="4" t="str">
        <f>"Q"&amp;ROUNDUP(MONTH(excelsalesdata[[#This Row],[Order_Date]])/3,0)</f>
        <v>Q2</v>
      </c>
    </row>
    <row r="53" spans="1:30" x14ac:dyDescent="0.35">
      <c r="A53" t="s">
        <v>239</v>
      </c>
      <c r="B53" s="3">
        <v>45811</v>
      </c>
      <c r="C53" t="s">
        <v>240</v>
      </c>
      <c r="D53" t="s">
        <v>244</v>
      </c>
      <c r="E53" t="str">
        <f>TRIM(excelsalesdata[[#This Row],[Customer_Name]])</f>
        <v>Karan Das</v>
      </c>
      <c r="F53" t="s">
        <v>44</v>
      </c>
      <c r="G53">
        <v>50</v>
      </c>
      <c r="H53" t="s">
        <v>155</v>
      </c>
      <c r="I53" t="str">
        <f>TRIM(excelsalesdata[[#This Row],[City]])</f>
        <v>Chennai</v>
      </c>
      <c r="J53" t="s">
        <v>156</v>
      </c>
      <c r="K53" t="s">
        <v>47</v>
      </c>
      <c r="L53" t="s">
        <v>54</v>
      </c>
      <c r="M53" t="s">
        <v>129</v>
      </c>
      <c r="N53" t="s">
        <v>129</v>
      </c>
      <c r="O53">
        <v>2</v>
      </c>
      <c r="P53">
        <v>17390</v>
      </c>
      <c r="Q53">
        <v>0.1</v>
      </c>
      <c r="R53">
        <v>12070</v>
      </c>
      <c r="S53" t="s">
        <v>80</v>
      </c>
      <c r="T53" t="s">
        <v>30</v>
      </c>
      <c r="U53">
        <v>1</v>
      </c>
      <c r="V53" t="s">
        <v>31</v>
      </c>
      <c r="W53">
        <f>excelsalesdata[[#This Row],[Quantity]]*excelsalesdata[[#This Row],[Unit_Price]]</f>
        <v>34780</v>
      </c>
      <c r="X53">
        <f>excelsalesdata[[#This Row],[Gross_sales]]*excelsalesdata[[#This Row],[Discount_%]]</f>
        <v>3478</v>
      </c>
      <c r="Y53">
        <f>excelsalesdata[[#This Row],[Gross_sales]]-excelsalesdata[[#This Row],[Discount_amt]]</f>
        <v>31302</v>
      </c>
      <c r="Z53" s="4">
        <f>excelsalesdata[[#This Row],[Net_sales]]-excelsalesdata[[#This Row],[Cost]]</f>
        <v>19232</v>
      </c>
      <c r="AA53" s="5">
        <f>excelsalesdata[[#This Row],[Profit]]/excelsalesdata[[#This Row],[Net_sales]]</f>
        <v>0.61440163567823147</v>
      </c>
      <c r="AB53" s="4">
        <f>YEAR(excelsalesdata[[#This Row],[Order_Date]])</f>
        <v>2025</v>
      </c>
      <c r="AC53" s="4" t="str">
        <f>TEXT(excelsalesdata[[#This Row],[Order_Date]],"mmm")</f>
        <v>Jun</v>
      </c>
      <c r="AD53" s="4" t="str">
        <f>"Q"&amp;ROUNDUP(MONTH(excelsalesdata[[#This Row],[Order_Date]])/3,0)</f>
        <v>Q2</v>
      </c>
    </row>
    <row r="54" spans="1:30" x14ac:dyDescent="0.35">
      <c r="A54" t="s">
        <v>242</v>
      </c>
      <c r="B54" s="3">
        <v>45812</v>
      </c>
      <c r="C54" t="s">
        <v>243</v>
      </c>
      <c r="D54" t="s">
        <v>247</v>
      </c>
      <c r="E54" t="str">
        <f>TRIM(excelsalesdata[[#This Row],[Customer_Name]])</f>
        <v>Priya Mehta</v>
      </c>
      <c r="F54" t="s">
        <v>23</v>
      </c>
      <c r="G54">
        <v>30</v>
      </c>
      <c r="H54" t="s">
        <v>190</v>
      </c>
      <c r="I54" t="str">
        <f>TRIM(excelsalesdata[[#This Row],[City]])</f>
        <v>Ahmedabad</v>
      </c>
      <c r="J54" t="s">
        <v>191</v>
      </c>
      <c r="K54" t="s">
        <v>26</v>
      </c>
      <c r="L54" t="s">
        <v>103</v>
      </c>
      <c r="M54" t="s">
        <v>238</v>
      </c>
      <c r="N54" t="s">
        <v>238</v>
      </c>
      <c r="O54">
        <v>1</v>
      </c>
      <c r="P54">
        <v>3870</v>
      </c>
      <c r="Q54">
        <v>0</v>
      </c>
      <c r="R54">
        <v>2690</v>
      </c>
      <c r="S54" t="s">
        <v>105</v>
      </c>
      <c r="T54" t="s">
        <v>30</v>
      </c>
      <c r="U54">
        <v>2</v>
      </c>
      <c r="V54" t="s">
        <v>40</v>
      </c>
      <c r="W54">
        <f>excelsalesdata[[#This Row],[Quantity]]*excelsalesdata[[#This Row],[Unit_Price]]</f>
        <v>3870</v>
      </c>
      <c r="X54">
        <f>excelsalesdata[[#This Row],[Gross_sales]]*excelsalesdata[[#This Row],[Discount_%]]</f>
        <v>0</v>
      </c>
      <c r="Y54">
        <f>excelsalesdata[[#This Row],[Gross_sales]]-excelsalesdata[[#This Row],[Discount_amt]]</f>
        <v>3870</v>
      </c>
      <c r="Z54" s="4">
        <f>excelsalesdata[[#This Row],[Net_sales]]-excelsalesdata[[#This Row],[Cost]]</f>
        <v>1180</v>
      </c>
      <c r="AA54" s="5">
        <f>excelsalesdata[[#This Row],[Profit]]/excelsalesdata[[#This Row],[Net_sales]]</f>
        <v>0.30490956072351422</v>
      </c>
      <c r="AB54" s="4">
        <f>YEAR(excelsalesdata[[#This Row],[Order_Date]])</f>
        <v>2025</v>
      </c>
      <c r="AC54" s="4" t="str">
        <f>TEXT(excelsalesdata[[#This Row],[Order_Date]],"mmm")</f>
        <v>Jun</v>
      </c>
      <c r="AD54" s="4" t="str">
        <f>"Q"&amp;ROUNDUP(MONTH(excelsalesdata[[#This Row],[Order_Date]])/3,0)</f>
        <v>Q2</v>
      </c>
    </row>
    <row r="55" spans="1:30" x14ac:dyDescent="0.35">
      <c r="A55" t="s">
        <v>245</v>
      </c>
      <c r="B55" s="3">
        <v>45813</v>
      </c>
      <c r="C55" t="s">
        <v>246</v>
      </c>
      <c r="D55" t="s">
        <v>250</v>
      </c>
      <c r="E55" t="str">
        <f>TRIM(excelsalesdata[[#This Row],[Customer_Name]])</f>
        <v>Rohan Singh</v>
      </c>
      <c r="F55" t="s">
        <v>44</v>
      </c>
      <c r="G55">
        <v>28</v>
      </c>
      <c r="H55" t="s">
        <v>133</v>
      </c>
      <c r="I55" t="str">
        <f>TRIM(excelsalesdata[[#This Row],[City]])</f>
        <v>Jaipur</v>
      </c>
      <c r="J55" t="s">
        <v>134</v>
      </c>
      <c r="K55" t="s">
        <v>61</v>
      </c>
      <c r="L55" t="s">
        <v>54</v>
      </c>
      <c r="M55" t="s">
        <v>66</v>
      </c>
      <c r="N55" t="s">
        <v>66</v>
      </c>
      <c r="O55">
        <v>1</v>
      </c>
      <c r="P55">
        <v>2600</v>
      </c>
      <c r="Q55">
        <v>0.1</v>
      </c>
      <c r="R55">
        <v>1550</v>
      </c>
      <c r="S55" t="s">
        <v>29</v>
      </c>
      <c r="T55" t="s">
        <v>30</v>
      </c>
      <c r="U55">
        <v>2</v>
      </c>
      <c r="V55" t="s">
        <v>31</v>
      </c>
      <c r="W55">
        <f>excelsalesdata[[#This Row],[Quantity]]*excelsalesdata[[#This Row],[Unit_Price]]</f>
        <v>2600</v>
      </c>
      <c r="X55">
        <f>excelsalesdata[[#This Row],[Gross_sales]]*excelsalesdata[[#This Row],[Discount_%]]</f>
        <v>260</v>
      </c>
      <c r="Y55">
        <f>excelsalesdata[[#This Row],[Gross_sales]]-excelsalesdata[[#This Row],[Discount_amt]]</f>
        <v>2340</v>
      </c>
      <c r="Z55" s="4">
        <f>excelsalesdata[[#This Row],[Net_sales]]-excelsalesdata[[#This Row],[Cost]]</f>
        <v>790</v>
      </c>
      <c r="AA55" s="5">
        <f>excelsalesdata[[#This Row],[Profit]]/excelsalesdata[[#This Row],[Net_sales]]</f>
        <v>0.33760683760683763</v>
      </c>
      <c r="AB55" s="4">
        <f>YEAR(excelsalesdata[[#This Row],[Order_Date]])</f>
        <v>2025</v>
      </c>
      <c r="AC55" s="4" t="str">
        <f>TEXT(excelsalesdata[[#This Row],[Order_Date]],"mmm")</f>
        <v>Jun</v>
      </c>
      <c r="AD55" s="4" t="str">
        <f>"Q"&amp;ROUNDUP(MONTH(excelsalesdata[[#This Row],[Order_Date]])/3,0)</f>
        <v>Q2</v>
      </c>
    </row>
    <row r="56" spans="1:30" x14ac:dyDescent="0.35">
      <c r="A56" t="s">
        <v>248</v>
      </c>
      <c r="B56" s="3">
        <v>45814</v>
      </c>
      <c r="C56" t="s">
        <v>249</v>
      </c>
      <c r="D56" t="s">
        <v>254</v>
      </c>
      <c r="E56" t="str">
        <f>TRIM(excelsalesdata[[#This Row],[Customer_Name]])</f>
        <v>Meera Sharma</v>
      </c>
      <c r="F56" t="s">
        <v>44</v>
      </c>
      <c r="G56">
        <v>31</v>
      </c>
      <c r="H56" t="s">
        <v>168</v>
      </c>
      <c r="I56" t="str">
        <f>TRIM(excelsalesdata[[#This Row],[City]])</f>
        <v>Delhi</v>
      </c>
      <c r="J56" t="s">
        <v>168</v>
      </c>
      <c r="K56" t="s">
        <v>61</v>
      </c>
      <c r="L56" t="s">
        <v>85</v>
      </c>
      <c r="M56" t="s">
        <v>251</v>
      </c>
      <c r="N56" t="s">
        <v>251</v>
      </c>
      <c r="O56">
        <v>3</v>
      </c>
      <c r="P56">
        <v>3140</v>
      </c>
      <c r="Q56">
        <v>0.2</v>
      </c>
      <c r="R56">
        <v>1890</v>
      </c>
      <c r="S56" t="s">
        <v>80</v>
      </c>
      <c r="T56" t="s">
        <v>30</v>
      </c>
      <c r="U56">
        <v>3</v>
      </c>
      <c r="V56" t="s">
        <v>40</v>
      </c>
      <c r="W56">
        <f>excelsalesdata[[#This Row],[Quantity]]*excelsalesdata[[#This Row],[Unit_Price]]</f>
        <v>9420</v>
      </c>
      <c r="X56">
        <f>excelsalesdata[[#This Row],[Gross_sales]]*excelsalesdata[[#This Row],[Discount_%]]</f>
        <v>1884</v>
      </c>
      <c r="Y56">
        <f>excelsalesdata[[#This Row],[Gross_sales]]-excelsalesdata[[#This Row],[Discount_amt]]</f>
        <v>7536</v>
      </c>
      <c r="Z56" s="4">
        <f>excelsalesdata[[#This Row],[Net_sales]]-excelsalesdata[[#This Row],[Cost]]</f>
        <v>5646</v>
      </c>
      <c r="AA56" s="5">
        <f>excelsalesdata[[#This Row],[Profit]]/excelsalesdata[[#This Row],[Net_sales]]</f>
        <v>0.74920382165605093</v>
      </c>
      <c r="AB56" s="4">
        <f>YEAR(excelsalesdata[[#This Row],[Order_Date]])</f>
        <v>2025</v>
      </c>
      <c r="AC56" s="4" t="str">
        <f>TEXT(excelsalesdata[[#This Row],[Order_Date]],"mmm")</f>
        <v>Jun</v>
      </c>
      <c r="AD56" s="4" t="str">
        <f>"Q"&amp;ROUNDUP(MONTH(excelsalesdata[[#This Row],[Order_Date]])/3,0)</f>
        <v>Q2</v>
      </c>
    </row>
    <row r="57" spans="1:30" x14ac:dyDescent="0.35">
      <c r="A57" t="s">
        <v>252</v>
      </c>
      <c r="B57" s="3">
        <v>45815</v>
      </c>
      <c r="C57" t="s">
        <v>253</v>
      </c>
      <c r="D57" t="s">
        <v>258</v>
      </c>
      <c r="E57" t="str">
        <f>TRIM(excelsalesdata[[#This Row],[Customer_Name]])</f>
        <v>Sneha Sharma</v>
      </c>
      <c r="F57" t="s">
        <v>44</v>
      </c>
      <c r="G57">
        <v>50</v>
      </c>
      <c r="H57" t="s">
        <v>78</v>
      </c>
      <c r="I57" t="str">
        <f>TRIM(excelsalesdata[[#This Row],[City]])</f>
        <v>Guwahati</v>
      </c>
      <c r="J57" t="s">
        <v>79</v>
      </c>
      <c r="K57" t="s">
        <v>37</v>
      </c>
      <c r="L57" t="s">
        <v>38</v>
      </c>
      <c r="M57" t="s">
        <v>255</v>
      </c>
      <c r="N57" t="s">
        <v>255</v>
      </c>
      <c r="O57">
        <v>4</v>
      </c>
      <c r="P57">
        <v>4590</v>
      </c>
      <c r="Q57">
        <v>0</v>
      </c>
      <c r="R57">
        <v>3030</v>
      </c>
      <c r="S57" t="s">
        <v>105</v>
      </c>
      <c r="T57" t="s">
        <v>30</v>
      </c>
      <c r="U57">
        <v>2</v>
      </c>
      <c r="V57" t="s">
        <v>40</v>
      </c>
      <c r="W57">
        <f>excelsalesdata[[#This Row],[Quantity]]*excelsalesdata[[#This Row],[Unit_Price]]</f>
        <v>18360</v>
      </c>
      <c r="X57">
        <f>excelsalesdata[[#This Row],[Gross_sales]]*excelsalesdata[[#This Row],[Discount_%]]</f>
        <v>0</v>
      </c>
      <c r="Y57">
        <f>excelsalesdata[[#This Row],[Gross_sales]]-excelsalesdata[[#This Row],[Discount_amt]]</f>
        <v>18360</v>
      </c>
      <c r="Z57" s="4">
        <f>excelsalesdata[[#This Row],[Net_sales]]-excelsalesdata[[#This Row],[Cost]]</f>
        <v>15330</v>
      </c>
      <c r="AA57" s="5">
        <f>excelsalesdata[[#This Row],[Profit]]/excelsalesdata[[#This Row],[Net_sales]]</f>
        <v>0.83496732026143794</v>
      </c>
      <c r="AB57" s="4">
        <f>YEAR(excelsalesdata[[#This Row],[Order_Date]])</f>
        <v>2025</v>
      </c>
      <c r="AC57" s="4" t="str">
        <f>TEXT(excelsalesdata[[#This Row],[Order_Date]],"mmm")</f>
        <v>Jun</v>
      </c>
      <c r="AD57" s="4" t="str">
        <f>"Q"&amp;ROUNDUP(MONTH(excelsalesdata[[#This Row],[Order_Date]])/3,0)</f>
        <v>Q2</v>
      </c>
    </row>
    <row r="58" spans="1:30" x14ac:dyDescent="0.35">
      <c r="A58" t="s">
        <v>256</v>
      </c>
      <c r="B58" s="3">
        <v>45816</v>
      </c>
      <c r="C58" t="s">
        <v>257</v>
      </c>
      <c r="D58" t="s">
        <v>22</v>
      </c>
      <c r="E58" t="str">
        <f>TRIM(excelsalesdata[[#This Row],[Customer_Name]])</f>
        <v>Sneha Naidu</v>
      </c>
      <c r="F58" t="s">
        <v>23</v>
      </c>
      <c r="G58">
        <v>56</v>
      </c>
      <c r="H58" t="s">
        <v>185</v>
      </c>
      <c r="I58" t="str">
        <f>TRIM(excelsalesdata[[#This Row],[City]])</f>
        <v>Lucknow</v>
      </c>
      <c r="J58" t="s">
        <v>186</v>
      </c>
      <c r="K58" t="s">
        <v>61</v>
      </c>
      <c r="L58" t="s">
        <v>103</v>
      </c>
      <c r="M58" t="s">
        <v>238</v>
      </c>
      <c r="N58" t="s">
        <v>238</v>
      </c>
      <c r="O58">
        <v>1</v>
      </c>
      <c r="P58">
        <v>4030</v>
      </c>
      <c r="Q58">
        <v>0.15</v>
      </c>
      <c r="R58">
        <v>2570</v>
      </c>
      <c r="S58" t="s">
        <v>105</v>
      </c>
      <c r="T58" t="s">
        <v>30</v>
      </c>
      <c r="U58">
        <v>6</v>
      </c>
      <c r="V58" t="s">
        <v>40</v>
      </c>
      <c r="W58">
        <f>excelsalesdata[[#This Row],[Quantity]]*excelsalesdata[[#This Row],[Unit_Price]]</f>
        <v>4030</v>
      </c>
      <c r="X58">
        <f>excelsalesdata[[#This Row],[Gross_sales]]*excelsalesdata[[#This Row],[Discount_%]]</f>
        <v>604.5</v>
      </c>
      <c r="Y58">
        <f>excelsalesdata[[#This Row],[Gross_sales]]-excelsalesdata[[#This Row],[Discount_amt]]</f>
        <v>3425.5</v>
      </c>
      <c r="Z58" s="4">
        <f>excelsalesdata[[#This Row],[Net_sales]]-excelsalesdata[[#This Row],[Cost]]</f>
        <v>855.5</v>
      </c>
      <c r="AA58" s="5">
        <f>excelsalesdata[[#This Row],[Profit]]/excelsalesdata[[#This Row],[Net_sales]]</f>
        <v>0.24974456283754196</v>
      </c>
      <c r="AB58" s="4">
        <f>YEAR(excelsalesdata[[#This Row],[Order_Date]])</f>
        <v>2025</v>
      </c>
      <c r="AC58" s="4" t="str">
        <f>TEXT(excelsalesdata[[#This Row],[Order_Date]],"mmm")</f>
        <v>Jun</v>
      </c>
      <c r="AD58" s="4" t="str">
        <f>"Q"&amp;ROUNDUP(MONTH(excelsalesdata[[#This Row],[Order_Date]])/3,0)</f>
        <v>Q2</v>
      </c>
    </row>
    <row r="59" spans="1:30" x14ac:dyDescent="0.35">
      <c r="A59" t="s">
        <v>259</v>
      </c>
      <c r="B59" s="3">
        <v>45817</v>
      </c>
      <c r="C59" t="s">
        <v>228</v>
      </c>
      <c r="D59" t="s">
        <v>262</v>
      </c>
      <c r="E59" t="str">
        <f>TRIM(excelsalesdata[[#This Row],[Customer_Name]])</f>
        <v>Arjun Joshi</v>
      </c>
      <c r="F59" t="s">
        <v>44</v>
      </c>
      <c r="G59">
        <v>41</v>
      </c>
      <c r="H59" t="s">
        <v>155</v>
      </c>
      <c r="I59" t="str">
        <f>TRIM(excelsalesdata[[#This Row],[City]])</f>
        <v>Chennai</v>
      </c>
      <c r="J59" t="s">
        <v>156</v>
      </c>
      <c r="K59" t="s">
        <v>47</v>
      </c>
      <c r="L59" t="s">
        <v>38</v>
      </c>
      <c r="M59" t="s">
        <v>255</v>
      </c>
      <c r="N59" t="s">
        <v>255</v>
      </c>
      <c r="O59">
        <v>2</v>
      </c>
      <c r="P59">
        <v>4490</v>
      </c>
      <c r="Q59">
        <v>0.1</v>
      </c>
      <c r="R59">
        <v>2980</v>
      </c>
      <c r="S59" t="s">
        <v>29</v>
      </c>
      <c r="T59" t="s">
        <v>30</v>
      </c>
      <c r="U59">
        <v>4</v>
      </c>
      <c r="V59" t="s">
        <v>40</v>
      </c>
      <c r="W59">
        <f>excelsalesdata[[#This Row],[Quantity]]*excelsalesdata[[#This Row],[Unit_Price]]</f>
        <v>8980</v>
      </c>
      <c r="X59">
        <f>excelsalesdata[[#This Row],[Gross_sales]]*excelsalesdata[[#This Row],[Discount_%]]</f>
        <v>898</v>
      </c>
      <c r="Y59">
        <f>excelsalesdata[[#This Row],[Gross_sales]]-excelsalesdata[[#This Row],[Discount_amt]]</f>
        <v>8082</v>
      </c>
      <c r="Z59" s="4">
        <f>excelsalesdata[[#This Row],[Net_sales]]-excelsalesdata[[#This Row],[Cost]]</f>
        <v>5102</v>
      </c>
      <c r="AA59" s="5">
        <f>excelsalesdata[[#This Row],[Profit]]/excelsalesdata[[#This Row],[Net_sales]]</f>
        <v>0.63127938629052216</v>
      </c>
      <c r="AB59" s="4">
        <f>YEAR(excelsalesdata[[#This Row],[Order_Date]])</f>
        <v>2025</v>
      </c>
      <c r="AC59" s="4" t="str">
        <f>TEXT(excelsalesdata[[#This Row],[Order_Date]],"mmm")</f>
        <v>Jun</v>
      </c>
      <c r="AD59" s="4" t="str">
        <f>"Q"&amp;ROUNDUP(MONTH(excelsalesdata[[#This Row],[Order_Date]])/3,0)</f>
        <v>Q2</v>
      </c>
    </row>
    <row r="60" spans="1:30" x14ac:dyDescent="0.35">
      <c r="A60" t="s">
        <v>260</v>
      </c>
      <c r="B60" s="3">
        <v>45818</v>
      </c>
      <c r="C60" t="s">
        <v>261</v>
      </c>
      <c r="D60" t="s">
        <v>265</v>
      </c>
      <c r="E60" t="str">
        <f>TRIM(excelsalesdata[[#This Row],[Customer_Name]])</f>
        <v>Arjun Bhat</v>
      </c>
      <c r="F60" t="s">
        <v>23</v>
      </c>
      <c r="G60">
        <v>57</v>
      </c>
      <c r="H60" t="s">
        <v>98</v>
      </c>
      <c r="I60" t="str">
        <f>TRIM(excelsalesdata[[#This Row],[City]])</f>
        <v>Mumbai</v>
      </c>
      <c r="J60" t="s">
        <v>25</v>
      </c>
      <c r="K60" t="s">
        <v>26</v>
      </c>
      <c r="L60" t="s">
        <v>54</v>
      </c>
      <c r="M60" t="s">
        <v>157</v>
      </c>
      <c r="N60" t="s">
        <v>157</v>
      </c>
      <c r="O60">
        <v>4</v>
      </c>
      <c r="P60">
        <v>51950</v>
      </c>
      <c r="Q60">
        <v>0.1</v>
      </c>
      <c r="R60">
        <v>42020</v>
      </c>
      <c r="S60" t="s">
        <v>105</v>
      </c>
      <c r="T60" t="s">
        <v>30</v>
      </c>
      <c r="U60">
        <v>6</v>
      </c>
      <c r="V60" t="s">
        <v>40</v>
      </c>
      <c r="W60">
        <f>excelsalesdata[[#This Row],[Quantity]]*excelsalesdata[[#This Row],[Unit_Price]]</f>
        <v>207800</v>
      </c>
      <c r="X60">
        <f>excelsalesdata[[#This Row],[Gross_sales]]*excelsalesdata[[#This Row],[Discount_%]]</f>
        <v>20780</v>
      </c>
      <c r="Y60">
        <f>excelsalesdata[[#This Row],[Gross_sales]]-excelsalesdata[[#This Row],[Discount_amt]]</f>
        <v>187020</v>
      </c>
      <c r="Z60" s="4">
        <f>excelsalesdata[[#This Row],[Net_sales]]-excelsalesdata[[#This Row],[Cost]]</f>
        <v>145000</v>
      </c>
      <c r="AA60" s="5">
        <f>excelsalesdata[[#This Row],[Profit]]/excelsalesdata[[#This Row],[Net_sales]]</f>
        <v>0.77531814779168007</v>
      </c>
      <c r="AB60" s="4">
        <f>YEAR(excelsalesdata[[#This Row],[Order_Date]])</f>
        <v>2025</v>
      </c>
      <c r="AC60" s="4" t="str">
        <f>TEXT(excelsalesdata[[#This Row],[Order_Date]],"mmm")</f>
        <v>Jun</v>
      </c>
      <c r="AD60" s="4" t="str">
        <f>"Q"&amp;ROUNDUP(MONTH(excelsalesdata[[#This Row],[Order_Date]])/3,0)</f>
        <v>Q2</v>
      </c>
    </row>
    <row r="61" spans="1:30" x14ac:dyDescent="0.35">
      <c r="A61" t="s">
        <v>263</v>
      </c>
      <c r="B61" s="3">
        <v>45819</v>
      </c>
      <c r="C61" t="s">
        <v>264</v>
      </c>
      <c r="D61" t="s">
        <v>268</v>
      </c>
      <c r="E61" t="str">
        <f>TRIM(excelsalesdata[[#This Row],[Customer_Name]])</f>
        <v>Diya Shah</v>
      </c>
      <c r="F61" t="s">
        <v>23</v>
      </c>
      <c r="G61">
        <v>54</v>
      </c>
      <c r="H61" t="s">
        <v>190</v>
      </c>
      <c r="I61" t="str">
        <f>TRIM(excelsalesdata[[#This Row],[City]])</f>
        <v>Ahmedabad</v>
      </c>
      <c r="J61" t="s">
        <v>191</v>
      </c>
      <c r="K61" t="s">
        <v>26</v>
      </c>
      <c r="L61" t="s">
        <v>93</v>
      </c>
      <c r="M61" t="s">
        <v>206</v>
      </c>
      <c r="N61" t="s">
        <v>206</v>
      </c>
      <c r="O61">
        <v>2</v>
      </c>
      <c r="P61">
        <v>660</v>
      </c>
      <c r="Q61">
        <v>0.1</v>
      </c>
      <c r="R61">
        <v>310</v>
      </c>
      <c r="S61" t="s">
        <v>67</v>
      </c>
      <c r="T61" t="s">
        <v>81</v>
      </c>
      <c r="U61">
        <v>0</v>
      </c>
      <c r="V61" t="s">
        <v>31</v>
      </c>
      <c r="W61">
        <f>excelsalesdata[[#This Row],[Quantity]]*excelsalesdata[[#This Row],[Unit_Price]]</f>
        <v>1320</v>
      </c>
      <c r="X61">
        <f>excelsalesdata[[#This Row],[Gross_sales]]*excelsalesdata[[#This Row],[Discount_%]]</f>
        <v>132</v>
      </c>
      <c r="Y61">
        <f>excelsalesdata[[#This Row],[Gross_sales]]-excelsalesdata[[#This Row],[Discount_amt]]</f>
        <v>1188</v>
      </c>
      <c r="Z61" s="4">
        <f>excelsalesdata[[#This Row],[Net_sales]]-excelsalesdata[[#This Row],[Cost]]</f>
        <v>878</v>
      </c>
      <c r="AA61" s="5">
        <f>excelsalesdata[[#This Row],[Profit]]/excelsalesdata[[#This Row],[Net_sales]]</f>
        <v>0.73905723905723908</v>
      </c>
      <c r="AB61" s="4">
        <f>YEAR(excelsalesdata[[#This Row],[Order_Date]])</f>
        <v>2025</v>
      </c>
      <c r="AC61" s="4" t="str">
        <f>TEXT(excelsalesdata[[#This Row],[Order_Date]],"mmm")</f>
        <v>Jun</v>
      </c>
      <c r="AD61" s="4" t="str">
        <f>"Q"&amp;ROUNDUP(MONTH(excelsalesdata[[#This Row],[Order_Date]])/3,0)</f>
        <v>Q2</v>
      </c>
    </row>
    <row r="62" spans="1:30" x14ac:dyDescent="0.35">
      <c r="A62" t="s">
        <v>266</v>
      </c>
      <c r="B62" s="3">
        <v>45820</v>
      </c>
      <c r="C62" t="s">
        <v>267</v>
      </c>
      <c r="D62" t="s">
        <v>270</v>
      </c>
      <c r="E62" t="str">
        <f>TRIM(excelsalesdata[[#This Row],[Customer_Name]])</f>
        <v>Ananya Das</v>
      </c>
      <c r="F62" t="s">
        <v>44</v>
      </c>
      <c r="G62">
        <v>40</v>
      </c>
      <c r="H62" t="s">
        <v>133</v>
      </c>
      <c r="I62" t="str">
        <f>TRIM(excelsalesdata[[#This Row],[City]])</f>
        <v>Jaipur</v>
      </c>
      <c r="J62" t="s">
        <v>134</v>
      </c>
      <c r="K62" t="s">
        <v>61</v>
      </c>
      <c r="L62" t="s">
        <v>38</v>
      </c>
      <c r="M62" t="s">
        <v>73</v>
      </c>
      <c r="N62" t="s">
        <v>73</v>
      </c>
      <c r="O62">
        <v>2</v>
      </c>
      <c r="P62">
        <v>4920</v>
      </c>
      <c r="Q62">
        <v>0</v>
      </c>
      <c r="R62">
        <v>3150</v>
      </c>
      <c r="S62" t="s">
        <v>151</v>
      </c>
      <c r="T62" t="s">
        <v>30</v>
      </c>
      <c r="U62">
        <v>3</v>
      </c>
      <c r="V62" t="s">
        <v>31</v>
      </c>
      <c r="W62">
        <f>excelsalesdata[[#This Row],[Quantity]]*excelsalesdata[[#This Row],[Unit_Price]]</f>
        <v>9840</v>
      </c>
      <c r="X62">
        <f>excelsalesdata[[#This Row],[Gross_sales]]*excelsalesdata[[#This Row],[Discount_%]]</f>
        <v>0</v>
      </c>
      <c r="Y62">
        <f>excelsalesdata[[#This Row],[Gross_sales]]-excelsalesdata[[#This Row],[Discount_amt]]</f>
        <v>9840</v>
      </c>
      <c r="Z62" s="4">
        <f>excelsalesdata[[#This Row],[Net_sales]]-excelsalesdata[[#This Row],[Cost]]</f>
        <v>6690</v>
      </c>
      <c r="AA62" s="5">
        <f>excelsalesdata[[#This Row],[Profit]]/excelsalesdata[[#This Row],[Net_sales]]</f>
        <v>0.67987804878048785</v>
      </c>
      <c r="AB62" s="4">
        <f>YEAR(excelsalesdata[[#This Row],[Order_Date]])</f>
        <v>2025</v>
      </c>
      <c r="AC62" s="4" t="str">
        <f>TEXT(excelsalesdata[[#This Row],[Order_Date]],"mmm")</f>
        <v>Jun</v>
      </c>
      <c r="AD62" s="4" t="str">
        <f>"Q"&amp;ROUNDUP(MONTH(excelsalesdata[[#This Row],[Order_Date]])/3,0)</f>
        <v>Q2</v>
      </c>
    </row>
    <row r="63" spans="1:30" x14ac:dyDescent="0.35">
      <c r="A63" t="s">
        <v>269</v>
      </c>
      <c r="B63" s="3">
        <v>45821</v>
      </c>
      <c r="C63" t="s">
        <v>42</v>
      </c>
      <c r="D63" t="s">
        <v>273</v>
      </c>
      <c r="E63" t="str">
        <f>TRIM(excelsalesdata[[#This Row],[Customer_Name]])</f>
        <v>Aarav Sharma</v>
      </c>
      <c r="F63" t="s">
        <v>23</v>
      </c>
      <c r="G63">
        <v>19</v>
      </c>
      <c r="H63" t="s">
        <v>24</v>
      </c>
      <c r="I63" t="str">
        <f>TRIM(excelsalesdata[[#This Row],[City]])</f>
        <v>Pune</v>
      </c>
      <c r="J63" t="s">
        <v>25</v>
      </c>
      <c r="K63" t="s">
        <v>26</v>
      </c>
      <c r="L63" t="s">
        <v>38</v>
      </c>
      <c r="M63" t="s">
        <v>119</v>
      </c>
      <c r="N63" t="s">
        <v>119</v>
      </c>
      <c r="O63">
        <v>4</v>
      </c>
      <c r="P63">
        <v>8620</v>
      </c>
      <c r="Q63">
        <v>0</v>
      </c>
      <c r="R63">
        <v>5830</v>
      </c>
      <c r="S63" t="s">
        <v>29</v>
      </c>
      <c r="T63" t="s">
        <v>30</v>
      </c>
      <c r="U63">
        <v>2</v>
      </c>
      <c r="V63" t="s">
        <v>40</v>
      </c>
      <c r="W63">
        <f>excelsalesdata[[#This Row],[Quantity]]*excelsalesdata[[#This Row],[Unit_Price]]</f>
        <v>34480</v>
      </c>
      <c r="X63">
        <f>excelsalesdata[[#This Row],[Gross_sales]]*excelsalesdata[[#This Row],[Discount_%]]</f>
        <v>0</v>
      </c>
      <c r="Y63">
        <f>excelsalesdata[[#This Row],[Gross_sales]]-excelsalesdata[[#This Row],[Discount_amt]]</f>
        <v>34480</v>
      </c>
      <c r="Z63" s="4">
        <f>excelsalesdata[[#This Row],[Net_sales]]-excelsalesdata[[#This Row],[Cost]]</f>
        <v>28650</v>
      </c>
      <c r="AA63" s="5">
        <f>excelsalesdata[[#This Row],[Profit]]/excelsalesdata[[#This Row],[Net_sales]]</f>
        <v>0.83091647331786544</v>
      </c>
      <c r="AB63" s="4">
        <f>YEAR(excelsalesdata[[#This Row],[Order_Date]])</f>
        <v>2025</v>
      </c>
      <c r="AC63" s="4" t="str">
        <f>TEXT(excelsalesdata[[#This Row],[Order_Date]],"mmm")</f>
        <v>Jun</v>
      </c>
      <c r="AD63" s="4" t="str">
        <f>"Q"&amp;ROUNDUP(MONTH(excelsalesdata[[#This Row],[Order_Date]])/3,0)</f>
        <v>Q2</v>
      </c>
    </row>
    <row r="64" spans="1:30" x14ac:dyDescent="0.35">
      <c r="A64" t="s">
        <v>271</v>
      </c>
      <c r="B64" s="3">
        <v>45822</v>
      </c>
      <c r="C64" t="s">
        <v>272</v>
      </c>
      <c r="D64" t="s">
        <v>276</v>
      </c>
      <c r="E64" t="str">
        <f>TRIM(excelsalesdata[[#This Row],[Customer_Name]])</f>
        <v>Aarav Bhat</v>
      </c>
      <c r="F64" t="s">
        <v>23</v>
      </c>
      <c r="G64">
        <v>60</v>
      </c>
      <c r="H64" t="s">
        <v>98</v>
      </c>
      <c r="I64" t="str">
        <f>TRIM(excelsalesdata[[#This Row],[City]])</f>
        <v>Mumbai</v>
      </c>
      <c r="J64" t="s">
        <v>25</v>
      </c>
      <c r="K64" t="s">
        <v>26</v>
      </c>
      <c r="L64" t="s">
        <v>54</v>
      </c>
      <c r="M64" t="s">
        <v>157</v>
      </c>
      <c r="N64" t="s">
        <v>157</v>
      </c>
      <c r="O64">
        <v>2</v>
      </c>
      <c r="P64">
        <v>52170</v>
      </c>
      <c r="Q64">
        <v>0.25</v>
      </c>
      <c r="R64">
        <v>40520</v>
      </c>
      <c r="S64" t="s">
        <v>80</v>
      </c>
      <c r="T64" t="s">
        <v>30</v>
      </c>
      <c r="U64">
        <v>10</v>
      </c>
      <c r="V64" t="s">
        <v>31</v>
      </c>
      <c r="W64">
        <f>excelsalesdata[[#This Row],[Quantity]]*excelsalesdata[[#This Row],[Unit_Price]]</f>
        <v>104340</v>
      </c>
      <c r="X64">
        <f>excelsalesdata[[#This Row],[Gross_sales]]*excelsalesdata[[#This Row],[Discount_%]]</f>
        <v>26085</v>
      </c>
      <c r="Y64">
        <f>excelsalesdata[[#This Row],[Gross_sales]]-excelsalesdata[[#This Row],[Discount_amt]]</f>
        <v>78255</v>
      </c>
      <c r="Z64" s="4">
        <f>excelsalesdata[[#This Row],[Net_sales]]-excelsalesdata[[#This Row],[Cost]]</f>
        <v>37735</v>
      </c>
      <c r="AA64" s="5">
        <f>excelsalesdata[[#This Row],[Profit]]/excelsalesdata[[#This Row],[Net_sales]]</f>
        <v>0.48220560986518435</v>
      </c>
      <c r="AB64" s="4">
        <f>YEAR(excelsalesdata[[#This Row],[Order_Date]])</f>
        <v>2025</v>
      </c>
      <c r="AC64" s="4" t="str">
        <f>TEXT(excelsalesdata[[#This Row],[Order_Date]],"mmm")</f>
        <v>Jun</v>
      </c>
      <c r="AD64" s="4" t="str">
        <f>"Q"&amp;ROUNDUP(MONTH(excelsalesdata[[#This Row],[Order_Date]])/3,0)</f>
        <v>Q2</v>
      </c>
    </row>
    <row r="65" spans="1:30" x14ac:dyDescent="0.35">
      <c r="A65" t="s">
        <v>274</v>
      </c>
      <c r="B65" s="3">
        <v>45823</v>
      </c>
      <c r="C65" t="s">
        <v>275</v>
      </c>
      <c r="D65" t="s">
        <v>279</v>
      </c>
      <c r="E65" t="str">
        <f>TRIM(excelsalesdata[[#This Row],[Customer_Name]])</f>
        <v>Vivaan Patel</v>
      </c>
      <c r="F65" t="s">
        <v>44</v>
      </c>
      <c r="G65">
        <v>40</v>
      </c>
      <c r="H65" t="s">
        <v>114</v>
      </c>
      <c r="I65" t="str">
        <f>TRIM(excelsalesdata[[#This Row],[City]])</f>
        <v>Hyderabad</v>
      </c>
      <c r="J65" t="s">
        <v>115</v>
      </c>
      <c r="K65" t="s">
        <v>47</v>
      </c>
      <c r="L65" t="s">
        <v>54</v>
      </c>
      <c r="M65" t="s">
        <v>66</v>
      </c>
      <c r="N65" t="s">
        <v>66</v>
      </c>
      <c r="O65">
        <v>1</v>
      </c>
      <c r="P65">
        <v>2490</v>
      </c>
      <c r="Q65">
        <v>0.15</v>
      </c>
      <c r="R65">
        <v>1480</v>
      </c>
      <c r="S65" t="s">
        <v>67</v>
      </c>
      <c r="T65" t="s">
        <v>30</v>
      </c>
      <c r="U65">
        <v>3</v>
      </c>
      <c r="V65" t="s">
        <v>31</v>
      </c>
      <c r="W65">
        <f>excelsalesdata[[#This Row],[Quantity]]*excelsalesdata[[#This Row],[Unit_Price]]</f>
        <v>2490</v>
      </c>
      <c r="X65">
        <f>excelsalesdata[[#This Row],[Gross_sales]]*excelsalesdata[[#This Row],[Discount_%]]</f>
        <v>373.5</v>
      </c>
      <c r="Y65">
        <f>excelsalesdata[[#This Row],[Gross_sales]]-excelsalesdata[[#This Row],[Discount_amt]]</f>
        <v>2116.5</v>
      </c>
      <c r="Z65" s="4">
        <f>excelsalesdata[[#This Row],[Net_sales]]-excelsalesdata[[#This Row],[Cost]]</f>
        <v>636.5</v>
      </c>
      <c r="AA65" s="5">
        <f>excelsalesdata[[#This Row],[Profit]]/excelsalesdata[[#This Row],[Net_sales]]</f>
        <v>0.30073234112922276</v>
      </c>
      <c r="AB65" s="4">
        <f>YEAR(excelsalesdata[[#This Row],[Order_Date]])</f>
        <v>2025</v>
      </c>
      <c r="AC65" s="4" t="str">
        <f>TEXT(excelsalesdata[[#This Row],[Order_Date]],"mmm")</f>
        <v>Jun</v>
      </c>
      <c r="AD65" s="4" t="str">
        <f>"Q"&amp;ROUNDUP(MONTH(excelsalesdata[[#This Row],[Order_Date]])/3,0)</f>
        <v>Q2</v>
      </c>
    </row>
    <row r="66" spans="1:30" x14ac:dyDescent="0.35">
      <c r="A66" t="s">
        <v>277</v>
      </c>
      <c r="B66" s="3">
        <v>45824</v>
      </c>
      <c r="C66" t="s">
        <v>278</v>
      </c>
      <c r="D66" t="s">
        <v>282</v>
      </c>
      <c r="E66" t="str">
        <f>TRIM(excelsalesdata[[#This Row],[Customer_Name]])</f>
        <v>Priya Bhat</v>
      </c>
      <c r="F66" t="s">
        <v>23</v>
      </c>
      <c r="G66">
        <v>47</v>
      </c>
      <c r="H66" t="s">
        <v>98</v>
      </c>
      <c r="I66" t="str">
        <f>TRIM(excelsalesdata[[#This Row],[City]])</f>
        <v>Mumbai</v>
      </c>
      <c r="J66" t="s">
        <v>25</v>
      </c>
      <c r="K66" t="s">
        <v>26</v>
      </c>
      <c r="L66" t="s">
        <v>103</v>
      </c>
      <c r="M66" t="s">
        <v>104</v>
      </c>
      <c r="N66" t="s">
        <v>104</v>
      </c>
      <c r="O66">
        <v>1</v>
      </c>
      <c r="P66">
        <v>8990</v>
      </c>
      <c r="Q66">
        <v>0.25</v>
      </c>
      <c r="R66">
        <v>5530</v>
      </c>
      <c r="S66" t="s">
        <v>29</v>
      </c>
      <c r="T66" t="s">
        <v>30</v>
      </c>
      <c r="U66">
        <v>3</v>
      </c>
      <c r="V66" t="s">
        <v>40</v>
      </c>
      <c r="W66">
        <f>excelsalesdata[[#This Row],[Quantity]]*excelsalesdata[[#This Row],[Unit_Price]]</f>
        <v>8990</v>
      </c>
      <c r="X66">
        <f>excelsalesdata[[#This Row],[Gross_sales]]*excelsalesdata[[#This Row],[Discount_%]]</f>
        <v>2247.5</v>
      </c>
      <c r="Y66">
        <f>excelsalesdata[[#This Row],[Gross_sales]]-excelsalesdata[[#This Row],[Discount_amt]]</f>
        <v>6742.5</v>
      </c>
      <c r="Z66" s="4">
        <f>excelsalesdata[[#This Row],[Net_sales]]-excelsalesdata[[#This Row],[Cost]]</f>
        <v>1212.5</v>
      </c>
      <c r="AA66" s="5">
        <f>excelsalesdata[[#This Row],[Profit]]/excelsalesdata[[#This Row],[Net_sales]]</f>
        <v>0.17982944011865035</v>
      </c>
      <c r="AB66" s="4">
        <f>YEAR(excelsalesdata[[#This Row],[Order_Date]])</f>
        <v>2025</v>
      </c>
      <c r="AC66" s="4" t="str">
        <f>TEXT(excelsalesdata[[#This Row],[Order_Date]],"mmm")</f>
        <v>Jun</v>
      </c>
      <c r="AD66" s="4" t="str">
        <f>"Q"&amp;ROUNDUP(MONTH(excelsalesdata[[#This Row],[Order_Date]])/3,0)</f>
        <v>Q2</v>
      </c>
    </row>
    <row r="67" spans="1:30" x14ac:dyDescent="0.35">
      <c r="A67" t="s">
        <v>280</v>
      </c>
      <c r="B67" s="3">
        <v>45825</v>
      </c>
      <c r="C67" t="s">
        <v>281</v>
      </c>
      <c r="D67" t="s">
        <v>285</v>
      </c>
      <c r="E67" t="str">
        <f>TRIM(excelsalesdata[[#This Row],[Customer_Name]])</f>
        <v>Aditya Bhat</v>
      </c>
      <c r="F67" t="s">
        <v>23</v>
      </c>
      <c r="G67">
        <v>46</v>
      </c>
      <c r="H67" t="s">
        <v>190</v>
      </c>
      <c r="I67" t="str">
        <f>TRIM(excelsalesdata[[#This Row],[City]])</f>
        <v>Ahmedabad</v>
      </c>
      <c r="J67" t="s">
        <v>191</v>
      </c>
      <c r="K67" t="s">
        <v>26</v>
      </c>
      <c r="L67" t="s">
        <v>54</v>
      </c>
      <c r="M67" t="s">
        <v>66</v>
      </c>
      <c r="N67" t="s">
        <v>66</v>
      </c>
      <c r="O67">
        <v>1</v>
      </c>
      <c r="P67">
        <v>2570</v>
      </c>
      <c r="Q67">
        <v>0</v>
      </c>
      <c r="R67">
        <v>1440</v>
      </c>
      <c r="S67" t="s">
        <v>151</v>
      </c>
      <c r="T67" t="s">
        <v>30</v>
      </c>
      <c r="U67">
        <v>4</v>
      </c>
      <c r="V67" t="s">
        <v>40</v>
      </c>
      <c r="W67">
        <f>excelsalesdata[[#This Row],[Quantity]]*excelsalesdata[[#This Row],[Unit_Price]]</f>
        <v>2570</v>
      </c>
      <c r="X67">
        <f>excelsalesdata[[#This Row],[Gross_sales]]*excelsalesdata[[#This Row],[Discount_%]]</f>
        <v>0</v>
      </c>
      <c r="Y67">
        <f>excelsalesdata[[#This Row],[Gross_sales]]-excelsalesdata[[#This Row],[Discount_amt]]</f>
        <v>2570</v>
      </c>
      <c r="Z67" s="4">
        <f>excelsalesdata[[#This Row],[Net_sales]]-excelsalesdata[[#This Row],[Cost]]</f>
        <v>1130</v>
      </c>
      <c r="AA67" s="5">
        <f>excelsalesdata[[#This Row],[Profit]]/excelsalesdata[[#This Row],[Net_sales]]</f>
        <v>0.43968871595330739</v>
      </c>
      <c r="AB67" s="4">
        <f>YEAR(excelsalesdata[[#This Row],[Order_Date]])</f>
        <v>2025</v>
      </c>
      <c r="AC67" s="4" t="str">
        <f>TEXT(excelsalesdata[[#This Row],[Order_Date]],"mmm")</f>
        <v>Jun</v>
      </c>
      <c r="AD67" s="4" t="str">
        <f>"Q"&amp;ROUNDUP(MONTH(excelsalesdata[[#This Row],[Order_Date]])/3,0)</f>
        <v>Q2</v>
      </c>
    </row>
    <row r="68" spans="1:30" x14ac:dyDescent="0.35">
      <c r="A68" t="s">
        <v>283</v>
      </c>
      <c r="B68" s="3">
        <v>45826</v>
      </c>
      <c r="C68" t="s">
        <v>284</v>
      </c>
      <c r="D68" t="s">
        <v>201</v>
      </c>
      <c r="E68" t="str">
        <f>TRIM(excelsalesdata[[#This Row],[Customer_Name]])</f>
        <v>Nisha Verma</v>
      </c>
      <c r="F68" t="s">
        <v>23</v>
      </c>
      <c r="G68">
        <v>49</v>
      </c>
      <c r="H68" t="s">
        <v>190</v>
      </c>
      <c r="I68" t="str">
        <f>TRIM(excelsalesdata[[#This Row],[City]])</f>
        <v>Ahmedabad</v>
      </c>
      <c r="J68" t="s">
        <v>191</v>
      </c>
      <c r="K68" t="s">
        <v>26</v>
      </c>
      <c r="L68" t="s">
        <v>103</v>
      </c>
      <c r="M68" t="s">
        <v>104</v>
      </c>
      <c r="N68" t="s">
        <v>104</v>
      </c>
      <c r="O68">
        <v>4</v>
      </c>
      <c r="P68">
        <v>8010</v>
      </c>
      <c r="Q68">
        <v>0.1</v>
      </c>
      <c r="R68">
        <v>5500</v>
      </c>
      <c r="S68" t="s">
        <v>29</v>
      </c>
      <c r="T68" t="s">
        <v>30</v>
      </c>
      <c r="U68">
        <v>5</v>
      </c>
      <c r="V68" t="s">
        <v>31</v>
      </c>
      <c r="W68">
        <f>excelsalesdata[[#This Row],[Quantity]]*excelsalesdata[[#This Row],[Unit_Price]]</f>
        <v>32040</v>
      </c>
      <c r="X68">
        <f>excelsalesdata[[#This Row],[Gross_sales]]*excelsalesdata[[#This Row],[Discount_%]]</f>
        <v>3204</v>
      </c>
      <c r="Y68">
        <f>excelsalesdata[[#This Row],[Gross_sales]]-excelsalesdata[[#This Row],[Discount_amt]]</f>
        <v>28836</v>
      </c>
      <c r="Z68" s="4">
        <f>excelsalesdata[[#This Row],[Net_sales]]-excelsalesdata[[#This Row],[Cost]]</f>
        <v>23336</v>
      </c>
      <c r="AA68" s="5">
        <f>excelsalesdata[[#This Row],[Profit]]/excelsalesdata[[#This Row],[Net_sales]]</f>
        <v>0.80926619503398534</v>
      </c>
      <c r="AB68" s="4">
        <f>YEAR(excelsalesdata[[#This Row],[Order_Date]])</f>
        <v>2025</v>
      </c>
      <c r="AC68" s="4" t="str">
        <f>TEXT(excelsalesdata[[#This Row],[Order_Date]],"mmm")</f>
        <v>Jun</v>
      </c>
      <c r="AD68" s="4" t="str">
        <f>"Q"&amp;ROUNDUP(MONTH(excelsalesdata[[#This Row],[Order_Date]])/3,0)</f>
        <v>Q2</v>
      </c>
    </row>
    <row r="69" spans="1:30" x14ac:dyDescent="0.35">
      <c r="A69" t="s">
        <v>286</v>
      </c>
      <c r="B69" s="3">
        <v>45827</v>
      </c>
      <c r="C69" t="s">
        <v>287</v>
      </c>
      <c r="D69" t="s">
        <v>181</v>
      </c>
      <c r="E69" t="str">
        <f>TRIM(excelsalesdata[[#This Row],[Customer_Name]])</f>
        <v>Ananya Patel</v>
      </c>
      <c r="F69" t="s">
        <v>23</v>
      </c>
      <c r="G69">
        <v>46</v>
      </c>
      <c r="H69" t="s">
        <v>60</v>
      </c>
      <c r="I69" t="str">
        <f>TRIM(excelsalesdata[[#This Row],[City]])</f>
        <v>Chandigarh</v>
      </c>
      <c r="J69" t="s">
        <v>60</v>
      </c>
      <c r="K69" t="s">
        <v>61</v>
      </c>
      <c r="L69" t="s">
        <v>93</v>
      </c>
      <c r="M69" t="s">
        <v>206</v>
      </c>
      <c r="N69" t="s">
        <v>206</v>
      </c>
      <c r="O69">
        <v>3</v>
      </c>
      <c r="P69">
        <v>630</v>
      </c>
      <c r="Q69">
        <v>0.05</v>
      </c>
      <c r="R69">
        <v>300</v>
      </c>
      <c r="S69" t="s">
        <v>105</v>
      </c>
      <c r="T69" t="s">
        <v>30</v>
      </c>
      <c r="U69">
        <v>4</v>
      </c>
      <c r="V69" t="s">
        <v>40</v>
      </c>
      <c r="W69">
        <f>excelsalesdata[[#This Row],[Quantity]]*excelsalesdata[[#This Row],[Unit_Price]]</f>
        <v>1890</v>
      </c>
      <c r="X69">
        <f>excelsalesdata[[#This Row],[Gross_sales]]*excelsalesdata[[#This Row],[Discount_%]]</f>
        <v>94.5</v>
      </c>
      <c r="Y69">
        <f>excelsalesdata[[#This Row],[Gross_sales]]-excelsalesdata[[#This Row],[Discount_amt]]</f>
        <v>1795.5</v>
      </c>
      <c r="Z69" s="4">
        <f>excelsalesdata[[#This Row],[Net_sales]]-excelsalesdata[[#This Row],[Cost]]</f>
        <v>1495.5</v>
      </c>
      <c r="AA69" s="5">
        <f>excelsalesdata[[#This Row],[Profit]]/excelsalesdata[[#This Row],[Net_sales]]</f>
        <v>0.83291562238930661</v>
      </c>
      <c r="AB69" s="4">
        <f>YEAR(excelsalesdata[[#This Row],[Order_Date]])</f>
        <v>2025</v>
      </c>
      <c r="AC69" s="4" t="str">
        <f>TEXT(excelsalesdata[[#This Row],[Order_Date]],"mmm")</f>
        <v>Jun</v>
      </c>
      <c r="AD69" s="4" t="str">
        <f>"Q"&amp;ROUNDUP(MONTH(excelsalesdata[[#This Row],[Order_Date]])/3,0)</f>
        <v>Q2</v>
      </c>
    </row>
    <row r="70" spans="1:30" x14ac:dyDescent="0.35">
      <c r="A70" t="s">
        <v>288</v>
      </c>
      <c r="B70" s="3">
        <v>45828</v>
      </c>
      <c r="C70" t="s">
        <v>153</v>
      </c>
      <c r="D70" t="s">
        <v>291</v>
      </c>
      <c r="E70" t="str">
        <f>TRIM(excelsalesdata[[#This Row],[Customer_Name]])</f>
        <v>Vikram Patel</v>
      </c>
      <c r="F70" t="s">
        <v>23</v>
      </c>
      <c r="G70">
        <v>52</v>
      </c>
      <c r="H70" t="s">
        <v>155</v>
      </c>
      <c r="I70" t="str">
        <f>TRIM(excelsalesdata[[#This Row],[City]])</f>
        <v>Chennai</v>
      </c>
      <c r="J70" t="s">
        <v>156</v>
      </c>
      <c r="K70" t="s">
        <v>47</v>
      </c>
      <c r="L70" t="s">
        <v>85</v>
      </c>
      <c r="M70" t="s">
        <v>172</v>
      </c>
      <c r="N70" t="s">
        <v>172</v>
      </c>
      <c r="O70">
        <v>1</v>
      </c>
      <c r="P70">
        <v>4770</v>
      </c>
      <c r="Q70">
        <v>0.1</v>
      </c>
      <c r="R70">
        <v>2910</v>
      </c>
      <c r="S70" t="s">
        <v>151</v>
      </c>
      <c r="T70" t="s">
        <v>30</v>
      </c>
      <c r="U70">
        <v>1</v>
      </c>
      <c r="V70" t="s">
        <v>40</v>
      </c>
      <c r="W70">
        <f>excelsalesdata[[#This Row],[Quantity]]*excelsalesdata[[#This Row],[Unit_Price]]</f>
        <v>4770</v>
      </c>
      <c r="X70">
        <f>excelsalesdata[[#This Row],[Gross_sales]]*excelsalesdata[[#This Row],[Discount_%]]</f>
        <v>477</v>
      </c>
      <c r="Y70">
        <f>excelsalesdata[[#This Row],[Gross_sales]]-excelsalesdata[[#This Row],[Discount_amt]]</f>
        <v>4293</v>
      </c>
      <c r="Z70" s="4">
        <f>excelsalesdata[[#This Row],[Net_sales]]-excelsalesdata[[#This Row],[Cost]]</f>
        <v>1383</v>
      </c>
      <c r="AA70" s="5">
        <f>excelsalesdata[[#This Row],[Profit]]/excelsalesdata[[#This Row],[Net_sales]]</f>
        <v>0.32215234102026558</v>
      </c>
      <c r="AB70" s="4">
        <f>YEAR(excelsalesdata[[#This Row],[Order_Date]])</f>
        <v>2025</v>
      </c>
      <c r="AC70" s="4" t="str">
        <f>TEXT(excelsalesdata[[#This Row],[Order_Date]],"mmm")</f>
        <v>Jun</v>
      </c>
      <c r="AD70" s="4" t="str">
        <f>"Q"&amp;ROUNDUP(MONTH(excelsalesdata[[#This Row],[Order_Date]])/3,0)</f>
        <v>Q2</v>
      </c>
    </row>
    <row r="71" spans="1:30" x14ac:dyDescent="0.35">
      <c r="A71" t="s">
        <v>289</v>
      </c>
      <c r="B71" s="3">
        <v>45829</v>
      </c>
      <c r="C71" t="s">
        <v>290</v>
      </c>
      <c r="D71" t="s">
        <v>294</v>
      </c>
      <c r="E71" t="str">
        <f>TRIM(excelsalesdata[[#This Row],[Customer_Name]])</f>
        <v>Ananya Gupta</v>
      </c>
      <c r="F71" t="s">
        <v>23</v>
      </c>
      <c r="G71">
        <v>56</v>
      </c>
      <c r="H71" t="s">
        <v>133</v>
      </c>
      <c r="I71" t="str">
        <f>TRIM(excelsalesdata[[#This Row],[City]])</f>
        <v>Jaipur</v>
      </c>
      <c r="J71" t="s">
        <v>134</v>
      </c>
      <c r="K71" t="s">
        <v>61</v>
      </c>
      <c r="L71" t="s">
        <v>54</v>
      </c>
      <c r="M71" t="s">
        <v>66</v>
      </c>
      <c r="N71" t="s">
        <v>66</v>
      </c>
      <c r="O71">
        <v>1</v>
      </c>
      <c r="P71">
        <v>2350</v>
      </c>
      <c r="Q71">
        <v>0.2</v>
      </c>
      <c r="R71">
        <v>1530</v>
      </c>
      <c r="S71" t="s">
        <v>105</v>
      </c>
      <c r="T71" t="s">
        <v>74</v>
      </c>
      <c r="U71">
        <v>4</v>
      </c>
      <c r="V71" t="s">
        <v>40</v>
      </c>
      <c r="W71">
        <f>excelsalesdata[[#This Row],[Quantity]]*excelsalesdata[[#This Row],[Unit_Price]]</f>
        <v>2350</v>
      </c>
      <c r="X71">
        <f>excelsalesdata[[#This Row],[Gross_sales]]*excelsalesdata[[#This Row],[Discount_%]]</f>
        <v>470</v>
      </c>
      <c r="Y71">
        <f>excelsalesdata[[#This Row],[Gross_sales]]-excelsalesdata[[#This Row],[Discount_amt]]</f>
        <v>1880</v>
      </c>
      <c r="Z71" s="4">
        <f>excelsalesdata[[#This Row],[Net_sales]]-excelsalesdata[[#This Row],[Cost]]</f>
        <v>350</v>
      </c>
      <c r="AA71" s="5">
        <f>excelsalesdata[[#This Row],[Profit]]/excelsalesdata[[#This Row],[Net_sales]]</f>
        <v>0.18617021276595744</v>
      </c>
      <c r="AB71" s="4">
        <f>YEAR(excelsalesdata[[#This Row],[Order_Date]])</f>
        <v>2025</v>
      </c>
      <c r="AC71" s="4" t="str">
        <f>TEXT(excelsalesdata[[#This Row],[Order_Date]],"mmm")</f>
        <v>Jun</v>
      </c>
      <c r="AD71" s="4" t="str">
        <f>"Q"&amp;ROUNDUP(MONTH(excelsalesdata[[#This Row],[Order_Date]])/3,0)</f>
        <v>Q2</v>
      </c>
    </row>
    <row r="72" spans="1:30" x14ac:dyDescent="0.35">
      <c r="A72" t="s">
        <v>292</v>
      </c>
      <c r="B72" s="3">
        <v>45830</v>
      </c>
      <c r="C72" t="s">
        <v>293</v>
      </c>
      <c r="D72" t="s">
        <v>258</v>
      </c>
      <c r="E72" t="str">
        <f>TRIM(excelsalesdata[[#This Row],[Customer_Name]])</f>
        <v>Sneha Sharma</v>
      </c>
      <c r="F72" t="s">
        <v>44</v>
      </c>
      <c r="G72">
        <v>54</v>
      </c>
      <c r="H72" t="s">
        <v>133</v>
      </c>
      <c r="I72" t="str">
        <f>TRIM(excelsalesdata[[#This Row],[City]])</f>
        <v>Jaipur</v>
      </c>
      <c r="J72" t="s">
        <v>134</v>
      </c>
      <c r="K72" t="s">
        <v>61</v>
      </c>
      <c r="L72" t="s">
        <v>27</v>
      </c>
      <c r="M72" t="s">
        <v>295</v>
      </c>
      <c r="N72" t="s">
        <v>295</v>
      </c>
      <c r="O72">
        <v>1</v>
      </c>
      <c r="P72">
        <v>3870</v>
      </c>
      <c r="Q72">
        <v>0</v>
      </c>
      <c r="R72">
        <v>2700</v>
      </c>
      <c r="S72" t="s">
        <v>67</v>
      </c>
      <c r="T72" t="s">
        <v>30</v>
      </c>
      <c r="U72">
        <v>4</v>
      </c>
      <c r="V72" t="s">
        <v>31</v>
      </c>
      <c r="W72">
        <f>excelsalesdata[[#This Row],[Quantity]]*excelsalesdata[[#This Row],[Unit_Price]]</f>
        <v>3870</v>
      </c>
      <c r="X72">
        <f>excelsalesdata[[#This Row],[Gross_sales]]*excelsalesdata[[#This Row],[Discount_%]]</f>
        <v>0</v>
      </c>
      <c r="Y72">
        <f>excelsalesdata[[#This Row],[Gross_sales]]-excelsalesdata[[#This Row],[Discount_amt]]</f>
        <v>3870</v>
      </c>
      <c r="Z72" s="4">
        <f>excelsalesdata[[#This Row],[Net_sales]]-excelsalesdata[[#This Row],[Cost]]</f>
        <v>1170</v>
      </c>
      <c r="AA72" s="5">
        <f>excelsalesdata[[#This Row],[Profit]]/excelsalesdata[[#This Row],[Net_sales]]</f>
        <v>0.30232558139534882</v>
      </c>
      <c r="AB72" s="4">
        <f>YEAR(excelsalesdata[[#This Row],[Order_Date]])</f>
        <v>2025</v>
      </c>
      <c r="AC72" s="4" t="str">
        <f>TEXT(excelsalesdata[[#This Row],[Order_Date]],"mmm")</f>
        <v>Jun</v>
      </c>
      <c r="AD72" s="4" t="str">
        <f>"Q"&amp;ROUNDUP(MONTH(excelsalesdata[[#This Row],[Order_Date]])/3,0)</f>
        <v>Q2</v>
      </c>
    </row>
    <row r="73" spans="1:30" x14ac:dyDescent="0.35">
      <c r="A73" t="s">
        <v>296</v>
      </c>
      <c r="B73" s="3">
        <v>45831</v>
      </c>
      <c r="C73" t="s">
        <v>297</v>
      </c>
      <c r="D73" t="s">
        <v>299</v>
      </c>
      <c r="E73" t="str">
        <f>TRIM(excelsalesdata[[#This Row],[Customer_Name]])</f>
        <v>Aarav Joshi</v>
      </c>
      <c r="F73" t="s">
        <v>44</v>
      </c>
      <c r="G73">
        <v>45</v>
      </c>
      <c r="H73" t="s">
        <v>71</v>
      </c>
      <c r="I73" t="str">
        <f>TRIM(excelsalesdata[[#This Row],[City]])</f>
        <v>Bhubaneswar</v>
      </c>
      <c r="J73" t="s">
        <v>72</v>
      </c>
      <c r="K73" t="s">
        <v>37</v>
      </c>
      <c r="L73" t="s">
        <v>27</v>
      </c>
      <c r="M73" t="s">
        <v>48</v>
      </c>
      <c r="N73" t="s">
        <v>48</v>
      </c>
      <c r="O73">
        <v>1</v>
      </c>
      <c r="P73">
        <v>930</v>
      </c>
      <c r="Q73">
        <v>0</v>
      </c>
      <c r="R73">
        <v>450</v>
      </c>
      <c r="S73" t="s">
        <v>29</v>
      </c>
      <c r="T73" t="s">
        <v>30</v>
      </c>
      <c r="U73">
        <v>3</v>
      </c>
      <c r="V73" t="s">
        <v>31</v>
      </c>
      <c r="W73">
        <f>excelsalesdata[[#This Row],[Quantity]]*excelsalesdata[[#This Row],[Unit_Price]]</f>
        <v>930</v>
      </c>
      <c r="X73">
        <f>excelsalesdata[[#This Row],[Gross_sales]]*excelsalesdata[[#This Row],[Discount_%]]</f>
        <v>0</v>
      </c>
      <c r="Y73">
        <f>excelsalesdata[[#This Row],[Gross_sales]]-excelsalesdata[[#This Row],[Discount_amt]]</f>
        <v>930</v>
      </c>
      <c r="Z73" s="4">
        <f>excelsalesdata[[#This Row],[Net_sales]]-excelsalesdata[[#This Row],[Cost]]</f>
        <v>480</v>
      </c>
      <c r="AA73" s="5">
        <f>excelsalesdata[[#This Row],[Profit]]/excelsalesdata[[#This Row],[Net_sales]]</f>
        <v>0.5161290322580645</v>
      </c>
      <c r="AB73" s="4">
        <f>YEAR(excelsalesdata[[#This Row],[Order_Date]])</f>
        <v>2025</v>
      </c>
      <c r="AC73" s="4" t="str">
        <f>TEXT(excelsalesdata[[#This Row],[Order_Date]],"mmm")</f>
        <v>Jun</v>
      </c>
      <c r="AD73" s="4" t="str">
        <f>"Q"&amp;ROUNDUP(MONTH(excelsalesdata[[#This Row],[Order_Date]])/3,0)</f>
        <v>Q2</v>
      </c>
    </row>
    <row r="74" spans="1:30" x14ac:dyDescent="0.35">
      <c r="A74" t="s">
        <v>298</v>
      </c>
      <c r="B74" s="3">
        <v>45832</v>
      </c>
      <c r="C74" t="s">
        <v>193</v>
      </c>
      <c r="D74" t="s">
        <v>302</v>
      </c>
      <c r="E74" t="str">
        <f>TRIM(excelsalesdata[[#This Row],[Customer_Name]])</f>
        <v>Diya Patel</v>
      </c>
      <c r="F74" t="s">
        <v>44</v>
      </c>
      <c r="G74">
        <v>52</v>
      </c>
      <c r="H74" t="s">
        <v>98</v>
      </c>
      <c r="I74" t="str">
        <f>TRIM(excelsalesdata[[#This Row],[City]])</f>
        <v>Mumbai</v>
      </c>
      <c r="J74" t="s">
        <v>25</v>
      </c>
      <c r="K74" t="s">
        <v>26</v>
      </c>
      <c r="L74" t="s">
        <v>27</v>
      </c>
      <c r="M74" t="s">
        <v>123</v>
      </c>
      <c r="N74" t="s">
        <v>123</v>
      </c>
      <c r="O74">
        <v>2</v>
      </c>
      <c r="P74">
        <v>2700</v>
      </c>
      <c r="Q74">
        <v>0.1</v>
      </c>
      <c r="R74">
        <v>1550</v>
      </c>
      <c r="S74" t="s">
        <v>67</v>
      </c>
      <c r="T74" t="s">
        <v>74</v>
      </c>
      <c r="U74">
        <v>7</v>
      </c>
      <c r="V74" t="s">
        <v>40</v>
      </c>
      <c r="W74">
        <f>excelsalesdata[[#This Row],[Quantity]]*excelsalesdata[[#This Row],[Unit_Price]]</f>
        <v>5400</v>
      </c>
      <c r="X74">
        <f>excelsalesdata[[#This Row],[Gross_sales]]*excelsalesdata[[#This Row],[Discount_%]]</f>
        <v>540</v>
      </c>
      <c r="Y74">
        <f>excelsalesdata[[#This Row],[Gross_sales]]-excelsalesdata[[#This Row],[Discount_amt]]</f>
        <v>4860</v>
      </c>
      <c r="Z74" s="4">
        <f>excelsalesdata[[#This Row],[Net_sales]]-excelsalesdata[[#This Row],[Cost]]</f>
        <v>3310</v>
      </c>
      <c r="AA74" s="5">
        <f>excelsalesdata[[#This Row],[Profit]]/excelsalesdata[[#This Row],[Net_sales]]</f>
        <v>0.68106995884773658</v>
      </c>
      <c r="AB74" s="4">
        <f>YEAR(excelsalesdata[[#This Row],[Order_Date]])</f>
        <v>2025</v>
      </c>
      <c r="AC74" s="4" t="str">
        <f>TEXT(excelsalesdata[[#This Row],[Order_Date]],"mmm")</f>
        <v>Jun</v>
      </c>
      <c r="AD74" s="4" t="str">
        <f>"Q"&amp;ROUNDUP(MONTH(excelsalesdata[[#This Row],[Order_Date]])/3,0)</f>
        <v>Q2</v>
      </c>
    </row>
    <row r="75" spans="1:30" x14ac:dyDescent="0.35">
      <c r="A75" t="s">
        <v>300</v>
      </c>
      <c r="B75" s="3">
        <v>45833</v>
      </c>
      <c r="C75" t="s">
        <v>301</v>
      </c>
      <c r="D75" t="s">
        <v>305</v>
      </c>
      <c r="E75" t="str">
        <f>TRIM(excelsalesdata[[#This Row],[Customer_Name]])</f>
        <v>Priya Reddy</v>
      </c>
      <c r="F75" t="s">
        <v>44</v>
      </c>
      <c r="G75">
        <v>26</v>
      </c>
      <c r="H75" t="s">
        <v>190</v>
      </c>
      <c r="I75" t="str">
        <f>TRIM(excelsalesdata[[#This Row],[City]])</f>
        <v>Ahmedabad</v>
      </c>
      <c r="J75" t="s">
        <v>191</v>
      </c>
      <c r="K75" t="s">
        <v>26</v>
      </c>
      <c r="L75" t="s">
        <v>93</v>
      </c>
      <c r="M75" t="s">
        <v>206</v>
      </c>
      <c r="N75" t="s">
        <v>206</v>
      </c>
      <c r="O75">
        <v>2</v>
      </c>
      <c r="P75">
        <v>660</v>
      </c>
      <c r="Q75">
        <v>0.1</v>
      </c>
      <c r="R75">
        <v>290</v>
      </c>
      <c r="S75" t="s">
        <v>29</v>
      </c>
      <c r="T75" t="s">
        <v>30</v>
      </c>
      <c r="U75">
        <v>8</v>
      </c>
      <c r="V75" t="s">
        <v>40</v>
      </c>
      <c r="W75">
        <f>excelsalesdata[[#This Row],[Quantity]]*excelsalesdata[[#This Row],[Unit_Price]]</f>
        <v>1320</v>
      </c>
      <c r="X75">
        <f>excelsalesdata[[#This Row],[Gross_sales]]*excelsalesdata[[#This Row],[Discount_%]]</f>
        <v>132</v>
      </c>
      <c r="Y75">
        <f>excelsalesdata[[#This Row],[Gross_sales]]-excelsalesdata[[#This Row],[Discount_amt]]</f>
        <v>1188</v>
      </c>
      <c r="Z75" s="4">
        <f>excelsalesdata[[#This Row],[Net_sales]]-excelsalesdata[[#This Row],[Cost]]</f>
        <v>898</v>
      </c>
      <c r="AA75" s="5">
        <f>excelsalesdata[[#This Row],[Profit]]/excelsalesdata[[#This Row],[Net_sales]]</f>
        <v>0.75589225589225584</v>
      </c>
      <c r="AB75" s="4">
        <f>YEAR(excelsalesdata[[#This Row],[Order_Date]])</f>
        <v>2025</v>
      </c>
      <c r="AC75" s="4" t="str">
        <f>TEXT(excelsalesdata[[#This Row],[Order_Date]],"mmm")</f>
        <v>Jun</v>
      </c>
      <c r="AD75" s="4" t="str">
        <f>"Q"&amp;ROUNDUP(MONTH(excelsalesdata[[#This Row],[Order_Date]])/3,0)</f>
        <v>Q2</v>
      </c>
    </row>
    <row r="76" spans="1:30" x14ac:dyDescent="0.35">
      <c r="A76" t="s">
        <v>303</v>
      </c>
      <c r="B76" s="3">
        <v>45834</v>
      </c>
      <c r="C76" t="s">
        <v>304</v>
      </c>
      <c r="D76" t="s">
        <v>308</v>
      </c>
      <c r="E76" t="str">
        <f>TRIM(excelsalesdata[[#This Row],[Customer_Name]])</f>
        <v>Vivaan Nair</v>
      </c>
      <c r="F76" t="s">
        <v>44</v>
      </c>
      <c r="G76">
        <v>34</v>
      </c>
      <c r="H76" t="s">
        <v>168</v>
      </c>
      <c r="I76" t="str">
        <f>TRIM(excelsalesdata[[#This Row],[City]])</f>
        <v>Delhi</v>
      </c>
      <c r="J76" t="s">
        <v>168</v>
      </c>
      <c r="K76" t="s">
        <v>61</v>
      </c>
      <c r="L76" t="s">
        <v>93</v>
      </c>
      <c r="M76" t="s">
        <v>206</v>
      </c>
      <c r="N76" t="s">
        <v>206</v>
      </c>
      <c r="O76">
        <v>1</v>
      </c>
      <c r="P76">
        <v>650</v>
      </c>
      <c r="Q76">
        <v>0.2</v>
      </c>
      <c r="R76">
        <v>310</v>
      </c>
      <c r="S76" t="s">
        <v>151</v>
      </c>
      <c r="T76" t="s">
        <v>30</v>
      </c>
      <c r="U76">
        <v>4</v>
      </c>
      <c r="V76" t="s">
        <v>31</v>
      </c>
      <c r="W76">
        <f>excelsalesdata[[#This Row],[Quantity]]*excelsalesdata[[#This Row],[Unit_Price]]</f>
        <v>650</v>
      </c>
      <c r="X76">
        <f>excelsalesdata[[#This Row],[Gross_sales]]*excelsalesdata[[#This Row],[Discount_%]]</f>
        <v>130</v>
      </c>
      <c r="Y76">
        <f>excelsalesdata[[#This Row],[Gross_sales]]-excelsalesdata[[#This Row],[Discount_amt]]</f>
        <v>520</v>
      </c>
      <c r="Z76" s="4">
        <f>excelsalesdata[[#This Row],[Net_sales]]-excelsalesdata[[#This Row],[Cost]]</f>
        <v>210</v>
      </c>
      <c r="AA76" s="5">
        <f>excelsalesdata[[#This Row],[Profit]]/excelsalesdata[[#This Row],[Net_sales]]</f>
        <v>0.40384615384615385</v>
      </c>
      <c r="AB76" s="4">
        <f>YEAR(excelsalesdata[[#This Row],[Order_Date]])</f>
        <v>2025</v>
      </c>
      <c r="AC76" s="4" t="str">
        <f>TEXT(excelsalesdata[[#This Row],[Order_Date]],"mmm")</f>
        <v>Jun</v>
      </c>
      <c r="AD76" s="4" t="str">
        <f>"Q"&amp;ROUNDUP(MONTH(excelsalesdata[[#This Row],[Order_Date]])/3,0)</f>
        <v>Q2</v>
      </c>
    </row>
    <row r="77" spans="1:30" x14ac:dyDescent="0.35">
      <c r="A77" t="s">
        <v>306</v>
      </c>
      <c r="B77" s="3">
        <v>45835</v>
      </c>
      <c r="C77" t="s">
        <v>307</v>
      </c>
      <c r="D77" t="s">
        <v>311</v>
      </c>
      <c r="E77" t="str">
        <f>TRIM(excelsalesdata[[#This Row],[Customer_Name]])</f>
        <v>Karan Verma</v>
      </c>
      <c r="F77" t="s">
        <v>23</v>
      </c>
      <c r="G77">
        <v>43</v>
      </c>
      <c r="H77" t="s">
        <v>133</v>
      </c>
      <c r="I77" t="str">
        <f>TRIM(excelsalesdata[[#This Row],[City]])</f>
        <v>Jaipur</v>
      </c>
      <c r="J77" t="s">
        <v>134</v>
      </c>
      <c r="K77" t="s">
        <v>61</v>
      </c>
      <c r="L77" t="s">
        <v>85</v>
      </c>
      <c r="M77" t="s">
        <v>110</v>
      </c>
      <c r="N77" t="s">
        <v>110</v>
      </c>
      <c r="O77">
        <v>2</v>
      </c>
      <c r="P77">
        <v>1300</v>
      </c>
      <c r="Q77">
        <v>0.1</v>
      </c>
      <c r="R77">
        <v>600</v>
      </c>
      <c r="S77" t="s">
        <v>2848</v>
      </c>
      <c r="T77" t="s">
        <v>30</v>
      </c>
      <c r="U77">
        <v>5</v>
      </c>
      <c r="V77" t="s">
        <v>40</v>
      </c>
      <c r="W77">
        <f>excelsalesdata[[#This Row],[Quantity]]*excelsalesdata[[#This Row],[Unit_Price]]</f>
        <v>2600</v>
      </c>
      <c r="X77">
        <f>excelsalesdata[[#This Row],[Gross_sales]]*excelsalesdata[[#This Row],[Discount_%]]</f>
        <v>260</v>
      </c>
      <c r="Y77">
        <f>excelsalesdata[[#This Row],[Gross_sales]]-excelsalesdata[[#This Row],[Discount_amt]]</f>
        <v>2340</v>
      </c>
      <c r="Z77" s="4">
        <f>excelsalesdata[[#This Row],[Net_sales]]-excelsalesdata[[#This Row],[Cost]]</f>
        <v>1740</v>
      </c>
      <c r="AA77" s="5">
        <f>excelsalesdata[[#This Row],[Profit]]/excelsalesdata[[#This Row],[Net_sales]]</f>
        <v>0.74358974358974361</v>
      </c>
      <c r="AB77" s="4">
        <f>YEAR(excelsalesdata[[#This Row],[Order_Date]])</f>
        <v>2025</v>
      </c>
      <c r="AC77" s="4" t="str">
        <f>TEXT(excelsalesdata[[#This Row],[Order_Date]],"mmm")</f>
        <v>Jun</v>
      </c>
      <c r="AD77" s="4" t="str">
        <f>"Q"&amp;ROUNDUP(MONTH(excelsalesdata[[#This Row],[Order_Date]])/3,0)</f>
        <v>Q2</v>
      </c>
    </row>
    <row r="78" spans="1:30" x14ac:dyDescent="0.35">
      <c r="A78" t="s">
        <v>309</v>
      </c>
      <c r="B78" s="3">
        <v>45836</v>
      </c>
      <c r="C78" t="s">
        <v>310</v>
      </c>
      <c r="D78" t="s">
        <v>315</v>
      </c>
      <c r="E78" t="str">
        <f>TRIM(excelsalesdata[[#This Row],[Customer_Name]])</f>
        <v>Diya Rao</v>
      </c>
      <c r="F78" t="s">
        <v>44</v>
      </c>
      <c r="G78">
        <v>47</v>
      </c>
      <c r="H78" t="s">
        <v>155</v>
      </c>
      <c r="I78" t="str">
        <f>TRIM(excelsalesdata[[#This Row],[City]])</f>
        <v>Chennai</v>
      </c>
      <c r="J78" t="s">
        <v>156</v>
      </c>
      <c r="K78" t="s">
        <v>47</v>
      </c>
      <c r="L78" t="s">
        <v>103</v>
      </c>
      <c r="M78" t="s">
        <v>312</v>
      </c>
      <c r="N78" t="s">
        <v>312</v>
      </c>
      <c r="O78">
        <v>2</v>
      </c>
      <c r="P78">
        <v>6650</v>
      </c>
      <c r="Q78">
        <v>0.15</v>
      </c>
      <c r="R78">
        <v>4140</v>
      </c>
      <c r="S78" t="s">
        <v>105</v>
      </c>
      <c r="T78" t="s">
        <v>30</v>
      </c>
      <c r="U78">
        <v>6</v>
      </c>
      <c r="V78" t="s">
        <v>31</v>
      </c>
      <c r="W78">
        <f>excelsalesdata[[#This Row],[Quantity]]*excelsalesdata[[#This Row],[Unit_Price]]</f>
        <v>13300</v>
      </c>
      <c r="X78">
        <f>excelsalesdata[[#This Row],[Gross_sales]]*excelsalesdata[[#This Row],[Discount_%]]</f>
        <v>1995</v>
      </c>
      <c r="Y78">
        <f>excelsalesdata[[#This Row],[Gross_sales]]-excelsalesdata[[#This Row],[Discount_amt]]</f>
        <v>11305</v>
      </c>
      <c r="Z78" s="4">
        <f>excelsalesdata[[#This Row],[Net_sales]]-excelsalesdata[[#This Row],[Cost]]</f>
        <v>7165</v>
      </c>
      <c r="AA78" s="5">
        <f>excelsalesdata[[#This Row],[Profit]]/excelsalesdata[[#This Row],[Net_sales]]</f>
        <v>0.63379035824856256</v>
      </c>
      <c r="AB78" s="4">
        <f>YEAR(excelsalesdata[[#This Row],[Order_Date]])</f>
        <v>2025</v>
      </c>
      <c r="AC78" s="4" t="str">
        <f>TEXT(excelsalesdata[[#This Row],[Order_Date]],"mmm")</f>
        <v>Jun</v>
      </c>
      <c r="AD78" s="4" t="str">
        <f>"Q"&amp;ROUNDUP(MONTH(excelsalesdata[[#This Row],[Order_Date]])/3,0)</f>
        <v>Q2</v>
      </c>
    </row>
    <row r="79" spans="1:30" x14ac:dyDescent="0.35">
      <c r="A79" t="s">
        <v>313</v>
      </c>
      <c r="B79" s="3">
        <v>45837</v>
      </c>
      <c r="C79" t="s">
        <v>314</v>
      </c>
      <c r="D79" t="s">
        <v>318</v>
      </c>
      <c r="E79" t="str">
        <f>TRIM(excelsalesdata[[#This Row],[Customer_Name]])</f>
        <v>Kavya Joshi</v>
      </c>
      <c r="F79" t="s">
        <v>44</v>
      </c>
      <c r="G79">
        <v>56</v>
      </c>
      <c r="H79" t="s">
        <v>78</v>
      </c>
      <c r="I79" t="str">
        <f>TRIM(excelsalesdata[[#This Row],[City]])</f>
        <v>Guwahati</v>
      </c>
      <c r="J79" t="s">
        <v>79</v>
      </c>
      <c r="K79" t="s">
        <v>37</v>
      </c>
      <c r="L79" t="s">
        <v>103</v>
      </c>
      <c r="M79" t="s">
        <v>104</v>
      </c>
      <c r="N79" t="s">
        <v>104</v>
      </c>
      <c r="O79">
        <v>3</v>
      </c>
      <c r="P79">
        <v>8250</v>
      </c>
      <c r="Q79">
        <v>0.15</v>
      </c>
      <c r="R79">
        <v>5820</v>
      </c>
      <c r="S79" t="s">
        <v>105</v>
      </c>
      <c r="T79" t="s">
        <v>30</v>
      </c>
      <c r="U79">
        <v>1</v>
      </c>
      <c r="V79" t="s">
        <v>31</v>
      </c>
      <c r="W79">
        <f>excelsalesdata[[#This Row],[Quantity]]*excelsalesdata[[#This Row],[Unit_Price]]</f>
        <v>24750</v>
      </c>
      <c r="X79">
        <f>excelsalesdata[[#This Row],[Gross_sales]]*excelsalesdata[[#This Row],[Discount_%]]</f>
        <v>3712.5</v>
      </c>
      <c r="Y79">
        <f>excelsalesdata[[#This Row],[Gross_sales]]-excelsalesdata[[#This Row],[Discount_amt]]</f>
        <v>21037.5</v>
      </c>
      <c r="Z79" s="4">
        <f>excelsalesdata[[#This Row],[Net_sales]]-excelsalesdata[[#This Row],[Cost]]</f>
        <v>15217.5</v>
      </c>
      <c r="AA79" s="5">
        <f>excelsalesdata[[#This Row],[Profit]]/excelsalesdata[[#This Row],[Net_sales]]</f>
        <v>0.72335115864527633</v>
      </c>
      <c r="AB79" s="4">
        <f>YEAR(excelsalesdata[[#This Row],[Order_Date]])</f>
        <v>2025</v>
      </c>
      <c r="AC79" s="4" t="str">
        <f>TEXT(excelsalesdata[[#This Row],[Order_Date]],"mmm")</f>
        <v>Jun</v>
      </c>
      <c r="AD79" s="4" t="str">
        <f>"Q"&amp;ROUNDUP(MONTH(excelsalesdata[[#This Row],[Order_Date]])/3,0)</f>
        <v>Q2</v>
      </c>
    </row>
    <row r="80" spans="1:30" x14ac:dyDescent="0.35">
      <c r="A80" t="s">
        <v>316</v>
      </c>
      <c r="B80" s="3">
        <v>45838</v>
      </c>
      <c r="C80" t="s">
        <v>317</v>
      </c>
      <c r="D80" t="s">
        <v>268</v>
      </c>
      <c r="E80" t="str">
        <f>TRIM(excelsalesdata[[#This Row],[Customer_Name]])</f>
        <v>Diya Shah</v>
      </c>
      <c r="F80" t="s">
        <v>23</v>
      </c>
      <c r="G80">
        <v>30</v>
      </c>
      <c r="H80" t="s">
        <v>109</v>
      </c>
      <c r="I80" t="str">
        <f>TRIM(excelsalesdata[[#This Row],[City]])</f>
        <v>Mysuru</v>
      </c>
      <c r="J80" t="s">
        <v>53</v>
      </c>
      <c r="K80" t="s">
        <v>47</v>
      </c>
      <c r="L80" t="s">
        <v>85</v>
      </c>
      <c r="M80" t="s">
        <v>202</v>
      </c>
      <c r="N80" t="s">
        <v>202</v>
      </c>
      <c r="O80">
        <v>1</v>
      </c>
      <c r="P80">
        <v>830</v>
      </c>
      <c r="Q80">
        <v>0</v>
      </c>
      <c r="R80">
        <v>380</v>
      </c>
      <c r="S80" t="s">
        <v>29</v>
      </c>
      <c r="T80" t="s">
        <v>30</v>
      </c>
      <c r="U80">
        <v>4</v>
      </c>
      <c r="V80" t="s">
        <v>40</v>
      </c>
      <c r="W80">
        <f>excelsalesdata[[#This Row],[Quantity]]*excelsalesdata[[#This Row],[Unit_Price]]</f>
        <v>830</v>
      </c>
      <c r="X80">
        <f>excelsalesdata[[#This Row],[Gross_sales]]*excelsalesdata[[#This Row],[Discount_%]]</f>
        <v>0</v>
      </c>
      <c r="Y80">
        <f>excelsalesdata[[#This Row],[Gross_sales]]-excelsalesdata[[#This Row],[Discount_amt]]</f>
        <v>830</v>
      </c>
      <c r="Z80" s="4">
        <f>excelsalesdata[[#This Row],[Net_sales]]-excelsalesdata[[#This Row],[Cost]]</f>
        <v>450</v>
      </c>
      <c r="AA80" s="5">
        <f>excelsalesdata[[#This Row],[Profit]]/excelsalesdata[[#This Row],[Net_sales]]</f>
        <v>0.54216867469879515</v>
      </c>
      <c r="AB80" s="4">
        <f>YEAR(excelsalesdata[[#This Row],[Order_Date]])</f>
        <v>2025</v>
      </c>
      <c r="AC80" s="4" t="str">
        <f>TEXT(excelsalesdata[[#This Row],[Order_Date]],"mmm")</f>
        <v>Jun</v>
      </c>
      <c r="AD80" s="4" t="str">
        <f>"Q"&amp;ROUNDUP(MONTH(excelsalesdata[[#This Row],[Order_Date]])/3,0)</f>
        <v>Q2</v>
      </c>
    </row>
    <row r="81" spans="1:30" x14ac:dyDescent="0.35">
      <c r="A81" t="s">
        <v>319</v>
      </c>
      <c r="B81" s="3">
        <v>45839</v>
      </c>
      <c r="C81" t="s">
        <v>320</v>
      </c>
      <c r="D81" t="s">
        <v>65</v>
      </c>
      <c r="E81" t="str">
        <f>TRIM(excelsalesdata[[#This Row],[Customer_Name]])</f>
        <v>Aarav Nair</v>
      </c>
      <c r="F81" t="s">
        <v>44</v>
      </c>
      <c r="G81">
        <v>56</v>
      </c>
      <c r="H81" t="s">
        <v>155</v>
      </c>
      <c r="I81" t="str">
        <f>TRIM(excelsalesdata[[#This Row],[City]])</f>
        <v>Chennai</v>
      </c>
      <c r="J81" t="s">
        <v>156</v>
      </c>
      <c r="K81" t="s">
        <v>47</v>
      </c>
      <c r="L81" t="s">
        <v>93</v>
      </c>
      <c r="M81" t="s">
        <v>206</v>
      </c>
      <c r="N81" t="s">
        <v>206</v>
      </c>
      <c r="O81">
        <v>1</v>
      </c>
      <c r="P81">
        <v>630</v>
      </c>
      <c r="Q81">
        <v>0.05</v>
      </c>
      <c r="R81">
        <v>290</v>
      </c>
      <c r="S81" t="s">
        <v>29</v>
      </c>
      <c r="T81" t="s">
        <v>30</v>
      </c>
      <c r="U81">
        <v>1</v>
      </c>
      <c r="V81" t="s">
        <v>31</v>
      </c>
      <c r="W81">
        <f>excelsalesdata[[#This Row],[Quantity]]*excelsalesdata[[#This Row],[Unit_Price]]</f>
        <v>630</v>
      </c>
      <c r="X81">
        <f>excelsalesdata[[#This Row],[Gross_sales]]*excelsalesdata[[#This Row],[Discount_%]]</f>
        <v>31.5</v>
      </c>
      <c r="Y81">
        <f>excelsalesdata[[#This Row],[Gross_sales]]-excelsalesdata[[#This Row],[Discount_amt]]</f>
        <v>598.5</v>
      </c>
      <c r="Z81" s="4">
        <f>excelsalesdata[[#This Row],[Net_sales]]-excelsalesdata[[#This Row],[Cost]]</f>
        <v>308.5</v>
      </c>
      <c r="AA81" s="5">
        <f>excelsalesdata[[#This Row],[Profit]]/excelsalesdata[[#This Row],[Net_sales]]</f>
        <v>0.51545530492898917</v>
      </c>
      <c r="AB81" s="4">
        <f>YEAR(excelsalesdata[[#This Row],[Order_Date]])</f>
        <v>2025</v>
      </c>
      <c r="AC81" s="4" t="str">
        <f>TEXT(excelsalesdata[[#This Row],[Order_Date]],"mmm")</f>
        <v>Jul</v>
      </c>
      <c r="AD81" s="4" t="str">
        <f>"Q"&amp;ROUNDUP(MONTH(excelsalesdata[[#This Row],[Order_Date]])/3,0)</f>
        <v>Q3</v>
      </c>
    </row>
    <row r="82" spans="1:30" x14ac:dyDescent="0.35">
      <c r="A82" t="s">
        <v>321</v>
      </c>
      <c r="B82" s="3">
        <v>45840</v>
      </c>
      <c r="C82" t="s">
        <v>322</v>
      </c>
      <c r="D82" t="s">
        <v>325</v>
      </c>
      <c r="E82" t="str">
        <f>TRIM(excelsalesdata[[#This Row],[Customer_Name]])</f>
        <v>Ishita Iyer</v>
      </c>
      <c r="F82" t="s">
        <v>23</v>
      </c>
      <c r="G82">
        <v>29</v>
      </c>
      <c r="H82" t="s">
        <v>185</v>
      </c>
      <c r="I82" t="str">
        <f>TRIM(excelsalesdata[[#This Row],[City]])</f>
        <v>Lucknow</v>
      </c>
      <c r="J82" t="s">
        <v>186</v>
      </c>
      <c r="K82" t="s">
        <v>61</v>
      </c>
      <c r="L82" t="s">
        <v>85</v>
      </c>
      <c r="M82" t="s">
        <v>86</v>
      </c>
      <c r="N82" t="s">
        <v>86</v>
      </c>
      <c r="O82">
        <v>1</v>
      </c>
      <c r="P82">
        <v>2540</v>
      </c>
      <c r="Q82">
        <v>0.3</v>
      </c>
      <c r="R82">
        <v>1560</v>
      </c>
      <c r="S82" t="s">
        <v>105</v>
      </c>
      <c r="T82" t="s">
        <v>81</v>
      </c>
      <c r="U82">
        <v>0</v>
      </c>
      <c r="V82" t="s">
        <v>31</v>
      </c>
      <c r="W82">
        <f>excelsalesdata[[#This Row],[Quantity]]*excelsalesdata[[#This Row],[Unit_Price]]</f>
        <v>2540</v>
      </c>
      <c r="X82">
        <f>excelsalesdata[[#This Row],[Gross_sales]]*excelsalesdata[[#This Row],[Discount_%]]</f>
        <v>762</v>
      </c>
      <c r="Y82">
        <f>excelsalesdata[[#This Row],[Gross_sales]]-excelsalesdata[[#This Row],[Discount_amt]]</f>
        <v>1778</v>
      </c>
      <c r="Z82" s="4">
        <f>excelsalesdata[[#This Row],[Net_sales]]-excelsalesdata[[#This Row],[Cost]]</f>
        <v>218</v>
      </c>
      <c r="AA82" s="5">
        <f>excelsalesdata[[#This Row],[Profit]]/excelsalesdata[[#This Row],[Net_sales]]</f>
        <v>0.12260967379077616</v>
      </c>
      <c r="AB82" s="4">
        <f>YEAR(excelsalesdata[[#This Row],[Order_Date]])</f>
        <v>2025</v>
      </c>
      <c r="AC82" s="4" t="str">
        <f>TEXT(excelsalesdata[[#This Row],[Order_Date]],"mmm")</f>
        <v>Jul</v>
      </c>
      <c r="AD82" s="4" t="str">
        <f>"Q"&amp;ROUNDUP(MONTH(excelsalesdata[[#This Row],[Order_Date]])/3,0)</f>
        <v>Q3</v>
      </c>
    </row>
    <row r="83" spans="1:30" x14ac:dyDescent="0.35">
      <c r="A83" t="s">
        <v>323</v>
      </c>
      <c r="B83" s="3">
        <v>45841</v>
      </c>
      <c r="C83" t="s">
        <v>324</v>
      </c>
      <c r="D83" t="s">
        <v>328</v>
      </c>
      <c r="E83" t="str">
        <f>TRIM(excelsalesdata[[#This Row],[Customer_Name]])</f>
        <v>Aarav Verma</v>
      </c>
      <c r="F83" t="s">
        <v>23</v>
      </c>
      <c r="G83">
        <v>27</v>
      </c>
      <c r="H83" t="s">
        <v>185</v>
      </c>
      <c r="I83" t="str">
        <f>TRIM(excelsalesdata[[#This Row],[City]])</f>
        <v>Lucknow</v>
      </c>
      <c r="J83" t="s">
        <v>186</v>
      </c>
      <c r="K83" t="s">
        <v>61</v>
      </c>
      <c r="L83" t="s">
        <v>54</v>
      </c>
      <c r="M83" t="s">
        <v>157</v>
      </c>
      <c r="N83" t="s">
        <v>157</v>
      </c>
      <c r="O83">
        <v>1</v>
      </c>
      <c r="P83">
        <v>59020</v>
      </c>
      <c r="Q83">
        <v>0.2</v>
      </c>
      <c r="R83">
        <v>43260</v>
      </c>
      <c r="S83" t="s">
        <v>105</v>
      </c>
      <c r="T83" t="s">
        <v>30</v>
      </c>
      <c r="U83">
        <v>4</v>
      </c>
      <c r="V83" t="s">
        <v>40</v>
      </c>
      <c r="W83">
        <f>excelsalesdata[[#This Row],[Quantity]]*excelsalesdata[[#This Row],[Unit_Price]]</f>
        <v>59020</v>
      </c>
      <c r="X83">
        <f>excelsalesdata[[#This Row],[Gross_sales]]*excelsalesdata[[#This Row],[Discount_%]]</f>
        <v>11804</v>
      </c>
      <c r="Y83">
        <f>excelsalesdata[[#This Row],[Gross_sales]]-excelsalesdata[[#This Row],[Discount_amt]]</f>
        <v>47216</v>
      </c>
      <c r="Z83" s="4">
        <f>excelsalesdata[[#This Row],[Net_sales]]-excelsalesdata[[#This Row],[Cost]]</f>
        <v>3956</v>
      </c>
      <c r="AA83" s="5">
        <f>excelsalesdata[[#This Row],[Profit]]/excelsalesdata[[#This Row],[Net_sales]]</f>
        <v>8.3785157573703833E-2</v>
      </c>
      <c r="AB83" s="4">
        <f>YEAR(excelsalesdata[[#This Row],[Order_Date]])</f>
        <v>2025</v>
      </c>
      <c r="AC83" s="4" t="str">
        <f>TEXT(excelsalesdata[[#This Row],[Order_Date]],"mmm")</f>
        <v>Jul</v>
      </c>
      <c r="AD83" s="4" t="str">
        <f>"Q"&amp;ROUNDUP(MONTH(excelsalesdata[[#This Row],[Order_Date]])/3,0)</f>
        <v>Q3</v>
      </c>
    </row>
    <row r="84" spans="1:30" x14ac:dyDescent="0.35">
      <c r="A84" t="s">
        <v>326</v>
      </c>
      <c r="B84" s="3">
        <v>45842</v>
      </c>
      <c r="C84" t="s">
        <v>327</v>
      </c>
      <c r="D84" t="s">
        <v>331</v>
      </c>
      <c r="E84" t="str">
        <f>TRIM(excelsalesdata[[#This Row],[Customer_Name]])</f>
        <v>Ananya Iyer</v>
      </c>
      <c r="F84" t="s">
        <v>44</v>
      </c>
      <c r="G84">
        <v>52</v>
      </c>
      <c r="H84" t="s">
        <v>109</v>
      </c>
      <c r="I84" t="str">
        <f>TRIM(excelsalesdata[[#This Row],[City]])</f>
        <v>Mysuru</v>
      </c>
      <c r="J84" t="s">
        <v>53</v>
      </c>
      <c r="K84" t="s">
        <v>47</v>
      </c>
      <c r="L84" t="s">
        <v>27</v>
      </c>
      <c r="M84" t="s">
        <v>195</v>
      </c>
      <c r="N84" t="s">
        <v>195</v>
      </c>
      <c r="O84">
        <v>1</v>
      </c>
      <c r="P84">
        <v>2310</v>
      </c>
      <c r="Q84">
        <v>0.05</v>
      </c>
      <c r="R84">
        <v>1170</v>
      </c>
      <c r="S84" t="s">
        <v>80</v>
      </c>
      <c r="T84" t="s">
        <v>30</v>
      </c>
      <c r="U84">
        <v>4</v>
      </c>
      <c r="V84" t="s">
        <v>31</v>
      </c>
      <c r="W84">
        <f>excelsalesdata[[#This Row],[Quantity]]*excelsalesdata[[#This Row],[Unit_Price]]</f>
        <v>2310</v>
      </c>
      <c r="X84">
        <f>excelsalesdata[[#This Row],[Gross_sales]]*excelsalesdata[[#This Row],[Discount_%]]</f>
        <v>115.5</v>
      </c>
      <c r="Y84">
        <f>excelsalesdata[[#This Row],[Gross_sales]]-excelsalesdata[[#This Row],[Discount_amt]]</f>
        <v>2194.5</v>
      </c>
      <c r="Z84" s="4">
        <f>excelsalesdata[[#This Row],[Net_sales]]-excelsalesdata[[#This Row],[Cost]]</f>
        <v>1024.5</v>
      </c>
      <c r="AA84" s="5">
        <f>excelsalesdata[[#This Row],[Profit]]/excelsalesdata[[#This Row],[Net_sales]]</f>
        <v>0.46684894053315107</v>
      </c>
      <c r="AB84" s="4">
        <f>YEAR(excelsalesdata[[#This Row],[Order_Date]])</f>
        <v>2025</v>
      </c>
      <c r="AC84" s="4" t="str">
        <f>TEXT(excelsalesdata[[#This Row],[Order_Date]],"mmm")</f>
        <v>Jul</v>
      </c>
      <c r="AD84" s="4" t="str">
        <f>"Q"&amp;ROUNDUP(MONTH(excelsalesdata[[#This Row],[Order_Date]])/3,0)</f>
        <v>Q3</v>
      </c>
    </row>
    <row r="85" spans="1:30" x14ac:dyDescent="0.35">
      <c r="A85" t="s">
        <v>329</v>
      </c>
      <c r="B85" s="3">
        <v>45843</v>
      </c>
      <c r="C85" t="s">
        <v>330</v>
      </c>
      <c r="D85" t="s">
        <v>333</v>
      </c>
      <c r="E85" t="str">
        <f>TRIM(excelsalesdata[[#This Row],[Customer_Name]])</f>
        <v>Ishita Singh</v>
      </c>
      <c r="F85" t="s">
        <v>44</v>
      </c>
      <c r="G85">
        <v>45</v>
      </c>
      <c r="H85" t="s">
        <v>35</v>
      </c>
      <c r="I85" t="str">
        <f>TRIM(excelsalesdata[[#This Row],[City]])</f>
        <v>Kolkata</v>
      </c>
      <c r="J85" t="s">
        <v>36</v>
      </c>
      <c r="K85" t="s">
        <v>37</v>
      </c>
      <c r="L85" t="s">
        <v>103</v>
      </c>
      <c r="M85" t="s">
        <v>238</v>
      </c>
      <c r="N85" t="s">
        <v>238</v>
      </c>
      <c r="O85">
        <v>3</v>
      </c>
      <c r="P85">
        <v>3890</v>
      </c>
      <c r="Q85">
        <v>0.05</v>
      </c>
      <c r="R85">
        <v>2820</v>
      </c>
      <c r="S85" t="s">
        <v>151</v>
      </c>
      <c r="T85" t="s">
        <v>30</v>
      </c>
      <c r="U85">
        <v>2</v>
      </c>
      <c r="V85" t="s">
        <v>40</v>
      </c>
      <c r="W85">
        <f>excelsalesdata[[#This Row],[Quantity]]*excelsalesdata[[#This Row],[Unit_Price]]</f>
        <v>11670</v>
      </c>
      <c r="X85">
        <f>excelsalesdata[[#This Row],[Gross_sales]]*excelsalesdata[[#This Row],[Discount_%]]</f>
        <v>583.5</v>
      </c>
      <c r="Y85">
        <f>excelsalesdata[[#This Row],[Gross_sales]]-excelsalesdata[[#This Row],[Discount_amt]]</f>
        <v>11086.5</v>
      </c>
      <c r="Z85" s="4">
        <f>excelsalesdata[[#This Row],[Net_sales]]-excelsalesdata[[#This Row],[Cost]]</f>
        <v>8266.5</v>
      </c>
      <c r="AA85" s="5">
        <f>excelsalesdata[[#This Row],[Profit]]/excelsalesdata[[#This Row],[Net_sales]]</f>
        <v>0.74563658503585439</v>
      </c>
      <c r="AB85" s="4">
        <f>YEAR(excelsalesdata[[#This Row],[Order_Date]])</f>
        <v>2025</v>
      </c>
      <c r="AC85" s="4" t="str">
        <f>TEXT(excelsalesdata[[#This Row],[Order_Date]],"mmm")</f>
        <v>Jul</v>
      </c>
      <c r="AD85" s="4" t="str">
        <f>"Q"&amp;ROUNDUP(MONTH(excelsalesdata[[#This Row],[Order_Date]])/3,0)</f>
        <v>Q3</v>
      </c>
    </row>
    <row r="86" spans="1:30" x14ac:dyDescent="0.35">
      <c r="A86" t="s">
        <v>332</v>
      </c>
      <c r="B86" s="3">
        <v>45844</v>
      </c>
      <c r="C86" t="s">
        <v>69</v>
      </c>
      <c r="D86" t="s">
        <v>335</v>
      </c>
      <c r="E86" t="str">
        <f>TRIM(excelsalesdata[[#This Row],[Customer_Name]])</f>
        <v>Vikram Joshi</v>
      </c>
      <c r="F86" t="s">
        <v>44</v>
      </c>
      <c r="G86">
        <v>35</v>
      </c>
      <c r="H86" t="s">
        <v>98</v>
      </c>
      <c r="I86" t="str">
        <f>TRIM(excelsalesdata[[#This Row],[City]])</f>
        <v>Mumbai</v>
      </c>
      <c r="J86" t="s">
        <v>25</v>
      </c>
      <c r="K86" t="s">
        <v>26</v>
      </c>
      <c r="L86" t="s">
        <v>85</v>
      </c>
      <c r="M86" t="s">
        <v>86</v>
      </c>
      <c r="N86" t="s">
        <v>86</v>
      </c>
      <c r="O86">
        <v>4</v>
      </c>
      <c r="P86">
        <v>2700</v>
      </c>
      <c r="Q86">
        <v>0</v>
      </c>
      <c r="R86">
        <v>1560</v>
      </c>
      <c r="S86" t="s">
        <v>80</v>
      </c>
      <c r="T86" t="s">
        <v>81</v>
      </c>
      <c r="U86">
        <v>0</v>
      </c>
      <c r="V86" t="s">
        <v>31</v>
      </c>
      <c r="W86">
        <f>excelsalesdata[[#This Row],[Quantity]]*excelsalesdata[[#This Row],[Unit_Price]]</f>
        <v>10800</v>
      </c>
      <c r="X86">
        <f>excelsalesdata[[#This Row],[Gross_sales]]*excelsalesdata[[#This Row],[Discount_%]]</f>
        <v>0</v>
      </c>
      <c r="Y86">
        <f>excelsalesdata[[#This Row],[Gross_sales]]-excelsalesdata[[#This Row],[Discount_amt]]</f>
        <v>10800</v>
      </c>
      <c r="Z86" s="4">
        <f>excelsalesdata[[#This Row],[Net_sales]]-excelsalesdata[[#This Row],[Cost]]</f>
        <v>9240</v>
      </c>
      <c r="AA86" s="5">
        <f>excelsalesdata[[#This Row],[Profit]]/excelsalesdata[[#This Row],[Net_sales]]</f>
        <v>0.85555555555555551</v>
      </c>
      <c r="AB86" s="4">
        <f>YEAR(excelsalesdata[[#This Row],[Order_Date]])</f>
        <v>2025</v>
      </c>
      <c r="AC86" s="4" t="str">
        <f>TEXT(excelsalesdata[[#This Row],[Order_Date]],"mmm")</f>
        <v>Jul</v>
      </c>
      <c r="AD86" s="4" t="str">
        <f>"Q"&amp;ROUNDUP(MONTH(excelsalesdata[[#This Row],[Order_Date]])/3,0)</f>
        <v>Q3</v>
      </c>
    </row>
    <row r="87" spans="1:30" x14ac:dyDescent="0.35">
      <c r="A87" t="s">
        <v>334</v>
      </c>
      <c r="B87" s="3">
        <v>45845</v>
      </c>
      <c r="C87" t="s">
        <v>304</v>
      </c>
      <c r="D87" t="s">
        <v>338</v>
      </c>
      <c r="E87" t="str">
        <f>TRIM(excelsalesdata[[#This Row],[Customer_Name]])</f>
        <v>Karan Singh</v>
      </c>
      <c r="F87" t="s">
        <v>23</v>
      </c>
      <c r="G87">
        <v>50</v>
      </c>
      <c r="H87" t="s">
        <v>98</v>
      </c>
      <c r="I87" t="str">
        <f>TRIM(excelsalesdata[[#This Row],[City]])</f>
        <v>Mumbai</v>
      </c>
      <c r="J87" t="s">
        <v>25</v>
      </c>
      <c r="K87" t="s">
        <v>26</v>
      </c>
      <c r="L87" t="s">
        <v>27</v>
      </c>
      <c r="M87" t="s">
        <v>295</v>
      </c>
      <c r="N87" t="s">
        <v>295</v>
      </c>
      <c r="O87">
        <v>3</v>
      </c>
      <c r="P87">
        <v>4450</v>
      </c>
      <c r="Q87">
        <v>0.15</v>
      </c>
      <c r="R87">
        <v>2690</v>
      </c>
      <c r="S87" t="s">
        <v>105</v>
      </c>
      <c r="T87" t="s">
        <v>30</v>
      </c>
      <c r="U87">
        <v>4</v>
      </c>
      <c r="V87" t="s">
        <v>31</v>
      </c>
      <c r="W87">
        <f>excelsalesdata[[#This Row],[Quantity]]*excelsalesdata[[#This Row],[Unit_Price]]</f>
        <v>13350</v>
      </c>
      <c r="X87">
        <f>excelsalesdata[[#This Row],[Gross_sales]]*excelsalesdata[[#This Row],[Discount_%]]</f>
        <v>2002.5</v>
      </c>
      <c r="Y87">
        <f>excelsalesdata[[#This Row],[Gross_sales]]-excelsalesdata[[#This Row],[Discount_amt]]</f>
        <v>11347.5</v>
      </c>
      <c r="Z87" s="4">
        <f>excelsalesdata[[#This Row],[Net_sales]]-excelsalesdata[[#This Row],[Cost]]</f>
        <v>8657.5</v>
      </c>
      <c r="AA87" s="5">
        <f>excelsalesdata[[#This Row],[Profit]]/excelsalesdata[[#This Row],[Net_sales]]</f>
        <v>0.76294337959903058</v>
      </c>
      <c r="AB87" s="4">
        <f>YEAR(excelsalesdata[[#This Row],[Order_Date]])</f>
        <v>2025</v>
      </c>
      <c r="AC87" s="4" t="str">
        <f>TEXT(excelsalesdata[[#This Row],[Order_Date]],"mmm")</f>
        <v>Jul</v>
      </c>
      <c r="AD87" s="4" t="str">
        <f>"Q"&amp;ROUNDUP(MONTH(excelsalesdata[[#This Row],[Order_Date]])/3,0)</f>
        <v>Q3</v>
      </c>
    </row>
    <row r="88" spans="1:30" x14ac:dyDescent="0.35">
      <c r="A88" t="s">
        <v>336</v>
      </c>
      <c r="B88" s="3">
        <v>45846</v>
      </c>
      <c r="C88" t="s">
        <v>337</v>
      </c>
      <c r="D88" t="s">
        <v>340</v>
      </c>
      <c r="E88" t="str">
        <f>TRIM(excelsalesdata[[#This Row],[Customer_Name]])</f>
        <v>Ishita Sharma</v>
      </c>
      <c r="F88" t="s">
        <v>23</v>
      </c>
      <c r="G88">
        <v>48</v>
      </c>
      <c r="H88" t="s">
        <v>24</v>
      </c>
      <c r="I88" t="str">
        <f>TRIM(excelsalesdata[[#This Row],[City]])</f>
        <v>Pune</v>
      </c>
      <c r="J88" t="s">
        <v>25</v>
      </c>
      <c r="K88" t="s">
        <v>26</v>
      </c>
      <c r="L88" t="s">
        <v>54</v>
      </c>
      <c r="M88" t="s">
        <v>66</v>
      </c>
      <c r="N88" t="s">
        <v>66</v>
      </c>
      <c r="O88">
        <v>1</v>
      </c>
      <c r="P88">
        <v>2660</v>
      </c>
      <c r="Q88">
        <v>0</v>
      </c>
      <c r="R88">
        <v>1510</v>
      </c>
      <c r="S88" t="s">
        <v>151</v>
      </c>
      <c r="T88" t="s">
        <v>30</v>
      </c>
      <c r="U88">
        <v>2</v>
      </c>
      <c r="V88" t="s">
        <v>40</v>
      </c>
      <c r="W88">
        <f>excelsalesdata[[#This Row],[Quantity]]*excelsalesdata[[#This Row],[Unit_Price]]</f>
        <v>2660</v>
      </c>
      <c r="X88">
        <f>excelsalesdata[[#This Row],[Gross_sales]]*excelsalesdata[[#This Row],[Discount_%]]</f>
        <v>0</v>
      </c>
      <c r="Y88">
        <f>excelsalesdata[[#This Row],[Gross_sales]]-excelsalesdata[[#This Row],[Discount_amt]]</f>
        <v>2660</v>
      </c>
      <c r="Z88" s="4">
        <f>excelsalesdata[[#This Row],[Net_sales]]-excelsalesdata[[#This Row],[Cost]]</f>
        <v>1150</v>
      </c>
      <c r="AA88" s="5">
        <f>excelsalesdata[[#This Row],[Profit]]/excelsalesdata[[#This Row],[Net_sales]]</f>
        <v>0.43233082706766918</v>
      </c>
      <c r="AB88" s="4">
        <f>YEAR(excelsalesdata[[#This Row],[Order_Date]])</f>
        <v>2025</v>
      </c>
      <c r="AC88" s="4" t="str">
        <f>TEXT(excelsalesdata[[#This Row],[Order_Date]],"mmm")</f>
        <v>Jul</v>
      </c>
      <c r="AD88" s="4" t="str">
        <f>"Q"&amp;ROUNDUP(MONTH(excelsalesdata[[#This Row],[Order_Date]])/3,0)</f>
        <v>Q3</v>
      </c>
    </row>
    <row r="89" spans="1:30" x14ac:dyDescent="0.35">
      <c r="A89" t="s">
        <v>339</v>
      </c>
      <c r="B89" s="3">
        <v>45847</v>
      </c>
      <c r="C89" t="s">
        <v>223</v>
      </c>
      <c r="D89" t="s">
        <v>342</v>
      </c>
      <c r="E89" t="str">
        <f>TRIM(excelsalesdata[[#This Row],[Customer_Name]])</f>
        <v>Sneha Gupta</v>
      </c>
      <c r="F89" t="s">
        <v>23</v>
      </c>
      <c r="G89">
        <v>57</v>
      </c>
      <c r="H89" t="s">
        <v>78</v>
      </c>
      <c r="I89" t="str">
        <f>TRIM(excelsalesdata[[#This Row],[City]])</f>
        <v>Guwahati</v>
      </c>
      <c r="J89" t="s">
        <v>79</v>
      </c>
      <c r="K89" t="s">
        <v>37</v>
      </c>
      <c r="L89" t="s">
        <v>38</v>
      </c>
      <c r="M89" t="s">
        <v>255</v>
      </c>
      <c r="N89" t="s">
        <v>255</v>
      </c>
      <c r="O89">
        <v>3</v>
      </c>
      <c r="P89">
        <v>4220</v>
      </c>
      <c r="Q89">
        <v>0.15</v>
      </c>
      <c r="R89">
        <v>2910</v>
      </c>
      <c r="S89" t="s">
        <v>56</v>
      </c>
      <c r="T89" t="s">
        <v>30</v>
      </c>
      <c r="U89">
        <v>4</v>
      </c>
      <c r="V89" t="s">
        <v>40</v>
      </c>
      <c r="W89">
        <f>excelsalesdata[[#This Row],[Quantity]]*excelsalesdata[[#This Row],[Unit_Price]]</f>
        <v>12660</v>
      </c>
      <c r="X89">
        <f>excelsalesdata[[#This Row],[Gross_sales]]*excelsalesdata[[#This Row],[Discount_%]]</f>
        <v>1899</v>
      </c>
      <c r="Y89">
        <f>excelsalesdata[[#This Row],[Gross_sales]]-excelsalesdata[[#This Row],[Discount_amt]]</f>
        <v>10761</v>
      </c>
      <c r="Z89" s="4">
        <f>excelsalesdata[[#This Row],[Net_sales]]-excelsalesdata[[#This Row],[Cost]]</f>
        <v>7851</v>
      </c>
      <c r="AA89" s="5">
        <f>excelsalesdata[[#This Row],[Profit]]/excelsalesdata[[#This Row],[Net_sales]]</f>
        <v>0.7295790354056314</v>
      </c>
      <c r="AB89" s="4">
        <f>YEAR(excelsalesdata[[#This Row],[Order_Date]])</f>
        <v>2025</v>
      </c>
      <c r="AC89" s="4" t="str">
        <f>TEXT(excelsalesdata[[#This Row],[Order_Date]],"mmm")</f>
        <v>Jul</v>
      </c>
      <c r="AD89" s="4" t="str">
        <f>"Q"&amp;ROUNDUP(MONTH(excelsalesdata[[#This Row],[Order_Date]])/3,0)</f>
        <v>Q3</v>
      </c>
    </row>
    <row r="90" spans="1:30" x14ac:dyDescent="0.35">
      <c r="A90" t="s">
        <v>341</v>
      </c>
      <c r="B90" s="3">
        <v>45848</v>
      </c>
      <c r="C90" t="s">
        <v>112</v>
      </c>
      <c r="D90" t="s">
        <v>344</v>
      </c>
      <c r="E90" t="str">
        <f>TRIM(excelsalesdata[[#This Row],[Customer_Name]])</f>
        <v>Meera Verma</v>
      </c>
      <c r="F90" t="s">
        <v>23</v>
      </c>
      <c r="G90">
        <v>49</v>
      </c>
      <c r="H90" t="s">
        <v>155</v>
      </c>
      <c r="I90" t="str">
        <f>TRIM(excelsalesdata[[#This Row],[City]])</f>
        <v>Chennai</v>
      </c>
      <c r="J90" t="s">
        <v>156</v>
      </c>
      <c r="K90" t="s">
        <v>47</v>
      </c>
      <c r="L90" t="s">
        <v>54</v>
      </c>
      <c r="M90" t="s">
        <v>66</v>
      </c>
      <c r="N90" t="s">
        <v>66</v>
      </c>
      <c r="O90">
        <v>1</v>
      </c>
      <c r="P90">
        <v>2610</v>
      </c>
      <c r="Q90">
        <v>0.15</v>
      </c>
      <c r="R90">
        <v>1500</v>
      </c>
      <c r="S90" t="s">
        <v>29</v>
      </c>
      <c r="T90" t="s">
        <v>30</v>
      </c>
      <c r="U90">
        <v>6</v>
      </c>
      <c r="V90" t="s">
        <v>40</v>
      </c>
      <c r="W90">
        <f>excelsalesdata[[#This Row],[Quantity]]*excelsalesdata[[#This Row],[Unit_Price]]</f>
        <v>2610</v>
      </c>
      <c r="X90">
        <f>excelsalesdata[[#This Row],[Gross_sales]]*excelsalesdata[[#This Row],[Discount_%]]</f>
        <v>391.5</v>
      </c>
      <c r="Y90">
        <f>excelsalesdata[[#This Row],[Gross_sales]]-excelsalesdata[[#This Row],[Discount_amt]]</f>
        <v>2218.5</v>
      </c>
      <c r="Z90" s="4">
        <f>excelsalesdata[[#This Row],[Net_sales]]-excelsalesdata[[#This Row],[Cost]]</f>
        <v>718.5</v>
      </c>
      <c r="AA90" s="5">
        <f>excelsalesdata[[#This Row],[Profit]]/excelsalesdata[[#This Row],[Net_sales]]</f>
        <v>0.32386747802569305</v>
      </c>
      <c r="AB90" s="4">
        <f>YEAR(excelsalesdata[[#This Row],[Order_Date]])</f>
        <v>2025</v>
      </c>
      <c r="AC90" s="4" t="str">
        <f>TEXT(excelsalesdata[[#This Row],[Order_Date]],"mmm")</f>
        <v>Jul</v>
      </c>
      <c r="AD90" s="4" t="str">
        <f>"Q"&amp;ROUNDUP(MONTH(excelsalesdata[[#This Row],[Order_Date]])/3,0)</f>
        <v>Q3</v>
      </c>
    </row>
    <row r="91" spans="1:30" x14ac:dyDescent="0.35">
      <c r="A91" t="s">
        <v>343</v>
      </c>
      <c r="B91" s="3">
        <v>45849</v>
      </c>
      <c r="C91" t="s">
        <v>33</v>
      </c>
      <c r="D91" t="s">
        <v>189</v>
      </c>
      <c r="E91" t="str">
        <f>TRIM(excelsalesdata[[#This Row],[Customer_Name]])</f>
        <v>Aarav Reddy</v>
      </c>
      <c r="F91" t="s">
        <v>44</v>
      </c>
      <c r="G91">
        <v>52</v>
      </c>
      <c r="H91" t="s">
        <v>155</v>
      </c>
      <c r="I91" t="str">
        <f>TRIM(excelsalesdata[[#This Row],[City]])</f>
        <v>Chennai</v>
      </c>
      <c r="J91" t="s">
        <v>156</v>
      </c>
      <c r="K91" t="s">
        <v>47</v>
      </c>
      <c r="L91" t="s">
        <v>93</v>
      </c>
      <c r="M91" t="s">
        <v>135</v>
      </c>
      <c r="N91" t="s">
        <v>135</v>
      </c>
      <c r="O91">
        <v>1</v>
      </c>
      <c r="P91">
        <v>1750</v>
      </c>
      <c r="Q91">
        <v>0.1</v>
      </c>
      <c r="R91">
        <v>1030</v>
      </c>
      <c r="S91" t="s">
        <v>105</v>
      </c>
      <c r="T91" t="s">
        <v>30</v>
      </c>
      <c r="U91">
        <v>3</v>
      </c>
      <c r="V91" t="s">
        <v>40</v>
      </c>
      <c r="W91">
        <f>excelsalesdata[[#This Row],[Quantity]]*excelsalesdata[[#This Row],[Unit_Price]]</f>
        <v>1750</v>
      </c>
      <c r="X91">
        <f>excelsalesdata[[#This Row],[Gross_sales]]*excelsalesdata[[#This Row],[Discount_%]]</f>
        <v>175</v>
      </c>
      <c r="Y91">
        <f>excelsalesdata[[#This Row],[Gross_sales]]-excelsalesdata[[#This Row],[Discount_amt]]</f>
        <v>1575</v>
      </c>
      <c r="Z91" s="4">
        <f>excelsalesdata[[#This Row],[Net_sales]]-excelsalesdata[[#This Row],[Cost]]</f>
        <v>545</v>
      </c>
      <c r="AA91" s="5">
        <f>excelsalesdata[[#This Row],[Profit]]/excelsalesdata[[#This Row],[Net_sales]]</f>
        <v>0.34603174603174602</v>
      </c>
      <c r="AB91" s="4">
        <f>YEAR(excelsalesdata[[#This Row],[Order_Date]])</f>
        <v>2025</v>
      </c>
      <c r="AC91" s="4" t="str">
        <f>TEXT(excelsalesdata[[#This Row],[Order_Date]],"mmm")</f>
        <v>Jul</v>
      </c>
      <c r="AD91" s="4" t="str">
        <f>"Q"&amp;ROUNDUP(MONTH(excelsalesdata[[#This Row],[Order_Date]])/3,0)</f>
        <v>Q3</v>
      </c>
    </row>
    <row r="92" spans="1:30" x14ac:dyDescent="0.35">
      <c r="A92" t="s">
        <v>345</v>
      </c>
      <c r="B92" s="3">
        <v>45850</v>
      </c>
      <c r="C92" t="s">
        <v>346</v>
      </c>
      <c r="D92" t="s">
        <v>128</v>
      </c>
      <c r="E92" t="str">
        <f>TRIM(excelsalesdata[[#This Row],[Customer_Name]])</f>
        <v>Sneha Singh</v>
      </c>
      <c r="F92" t="s">
        <v>44</v>
      </c>
      <c r="G92">
        <v>56</v>
      </c>
      <c r="H92" t="s">
        <v>78</v>
      </c>
      <c r="I92" t="str">
        <f>TRIM(excelsalesdata[[#This Row],[City]])</f>
        <v>Guwahati</v>
      </c>
      <c r="J92" t="s">
        <v>79</v>
      </c>
      <c r="K92" t="s">
        <v>37</v>
      </c>
      <c r="L92" t="s">
        <v>103</v>
      </c>
      <c r="M92" t="s">
        <v>347</v>
      </c>
      <c r="N92" t="s">
        <v>347</v>
      </c>
      <c r="O92">
        <v>1</v>
      </c>
      <c r="P92">
        <v>12650</v>
      </c>
      <c r="Q92">
        <v>0.15</v>
      </c>
      <c r="R92">
        <v>7980</v>
      </c>
      <c r="S92" t="s">
        <v>29</v>
      </c>
      <c r="T92" t="s">
        <v>74</v>
      </c>
      <c r="U92">
        <v>8</v>
      </c>
      <c r="V92" t="s">
        <v>40</v>
      </c>
      <c r="W92">
        <f>excelsalesdata[[#This Row],[Quantity]]*excelsalesdata[[#This Row],[Unit_Price]]</f>
        <v>12650</v>
      </c>
      <c r="X92">
        <f>excelsalesdata[[#This Row],[Gross_sales]]*excelsalesdata[[#This Row],[Discount_%]]</f>
        <v>1897.5</v>
      </c>
      <c r="Y92">
        <f>excelsalesdata[[#This Row],[Gross_sales]]-excelsalesdata[[#This Row],[Discount_amt]]</f>
        <v>10752.5</v>
      </c>
      <c r="Z92" s="4">
        <f>excelsalesdata[[#This Row],[Net_sales]]-excelsalesdata[[#This Row],[Cost]]</f>
        <v>2772.5</v>
      </c>
      <c r="AA92" s="5">
        <f>excelsalesdata[[#This Row],[Profit]]/excelsalesdata[[#This Row],[Net_sales]]</f>
        <v>0.25784701232271567</v>
      </c>
      <c r="AB92" s="4">
        <f>YEAR(excelsalesdata[[#This Row],[Order_Date]])</f>
        <v>2025</v>
      </c>
      <c r="AC92" s="4" t="str">
        <f>TEXT(excelsalesdata[[#This Row],[Order_Date]],"mmm")</f>
        <v>Jul</v>
      </c>
      <c r="AD92" s="4" t="str">
        <f>"Q"&amp;ROUNDUP(MONTH(excelsalesdata[[#This Row],[Order_Date]])/3,0)</f>
        <v>Q3</v>
      </c>
    </row>
    <row r="93" spans="1:30" x14ac:dyDescent="0.35">
      <c r="A93" t="s">
        <v>348</v>
      </c>
      <c r="B93" s="3">
        <v>45851</v>
      </c>
      <c r="C93" t="s">
        <v>349</v>
      </c>
      <c r="D93" t="s">
        <v>352</v>
      </c>
      <c r="E93" t="str">
        <f>TRIM(excelsalesdata[[#This Row],[Customer_Name]])</f>
        <v>Meera Mehta</v>
      </c>
      <c r="F93" t="s">
        <v>23</v>
      </c>
      <c r="G93">
        <v>54</v>
      </c>
      <c r="H93" t="s">
        <v>185</v>
      </c>
      <c r="I93" t="str">
        <f>TRIM(excelsalesdata[[#This Row],[City]])</f>
        <v>Lucknow</v>
      </c>
      <c r="J93" t="s">
        <v>186</v>
      </c>
      <c r="K93" t="s">
        <v>61</v>
      </c>
      <c r="L93" t="s">
        <v>85</v>
      </c>
      <c r="M93" t="s">
        <v>202</v>
      </c>
      <c r="N93" t="s">
        <v>202</v>
      </c>
      <c r="O93">
        <v>1</v>
      </c>
      <c r="P93">
        <v>970</v>
      </c>
      <c r="Q93">
        <v>0.1</v>
      </c>
      <c r="R93">
        <v>420</v>
      </c>
      <c r="S93" t="s">
        <v>29</v>
      </c>
      <c r="T93" t="s">
        <v>30</v>
      </c>
      <c r="U93">
        <v>1</v>
      </c>
      <c r="V93" t="s">
        <v>40</v>
      </c>
      <c r="W93">
        <f>excelsalesdata[[#This Row],[Quantity]]*excelsalesdata[[#This Row],[Unit_Price]]</f>
        <v>970</v>
      </c>
      <c r="X93">
        <f>excelsalesdata[[#This Row],[Gross_sales]]*excelsalesdata[[#This Row],[Discount_%]]</f>
        <v>97</v>
      </c>
      <c r="Y93">
        <f>excelsalesdata[[#This Row],[Gross_sales]]-excelsalesdata[[#This Row],[Discount_amt]]</f>
        <v>873</v>
      </c>
      <c r="Z93" s="4">
        <f>excelsalesdata[[#This Row],[Net_sales]]-excelsalesdata[[#This Row],[Cost]]</f>
        <v>453</v>
      </c>
      <c r="AA93" s="5">
        <f>excelsalesdata[[#This Row],[Profit]]/excelsalesdata[[#This Row],[Net_sales]]</f>
        <v>0.51890034364261173</v>
      </c>
      <c r="AB93" s="4">
        <f>YEAR(excelsalesdata[[#This Row],[Order_Date]])</f>
        <v>2025</v>
      </c>
      <c r="AC93" s="4" t="str">
        <f>TEXT(excelsalesdata[[#This Row],[Order_Date]],"mmm")</f>
        <v>Jul</v>
      </c>
      <c r="AD93" s="4" t="str">
        <f>"Q"&amp;ROUNDUP(MONTH(excelsalesdata[[#This Row],[Order_Date]])/3,0)</f>
        <v>Q3</v>
      </c>
    </row>
    <row r="94" spans="1:30" x14ac:dyDescent="0.35">
      <c r="A94" t="s">
        <v>350</v>
      </c>
      <c r="B94" s="3">
        <v>45852</v>
      </c>
      <c r="C94" t="s">
        <v>351</v>
      </c>
      <c r="D94" t="s">
        <v>355</v>
      </c>
      <c r="E94" t="str">
        <f>TRIM(excelsalesdata[[#This Row],[Customer_Name]])</f>
        <v>Diya Reddy</v>
      </c>
      <c r="F94" t="s">
        <v>44</v>
      </c>
      <c r="G94">
        <v>25</v>
      </c>
      <c r="H94" t="s">
        <v>60</v>
      </c>
      <c r="I94" t="str">
        <f>TRIM(excelsalesdata[[#This Row],[City]])</f>
        <v>Chandigarh</v>
      </c>
      <c r="J94" t="s">
        <v>60</v>
      </c>
      <c r="K94" t="s">
        <v>61</v>
      </c>
      <c r="L94" t="s">
        <v>54</v>
      </c>
      <c r="M94" t="s">
        <v>129</v>
      </c>
      <c r="N94" t="s">
        <v>129</v>
      </c>
      <c r="O94">
        <v>1</v>
      </c>
      <c r="P94">
        <v>17000</v>
      </c>
      <c r="Q94">
        <v>0.1</v>
      </c>
      <c r="R94">
        <v>12540</v>
      </c>
      <c r="S94" t="s">
        <v>29</v>
      </c>
      <c r="T94" t="s">
        <v>30</v>
      </c>
      <c r="U94">
        <v>3</v>
      </c>
      <c r="V94" t="s">
        <v>40</v>
      </c>
      <c r="W94">
        <f>excelsalesdata[[#This Row],[Quantity]]*excelsalesdata[[#This Row],[Unit_Price]]</f>
        <v>17000</v>
      </c>
      <c r="X94">
        <f>excelsalesdata[[#This Row],[Gross_sales]]*excelsalesdata[[#This Row],[Discount_%]]</f>
        <v>1700</v>
      </c>
      <c r="Y94">
        <f>excelsalesdata[[#This Row],[Gross_sales]]-excelsalesdata[[#This Row],[Discount_amt]]</f>
        <v>15300</v>
      </c>
      <c r="Z94" s="4">
        <f>excelsalesdata[[#This Row],[Net_sales]]-excelsalesdata[[#This Row],[Cost]]</f>
        <v>2760</v>
      </c>
      <c r="AA94" s="5">
        <f>excelsalesdata[[#This Row],[Profit]]/excelsalesdata[[#This Row],[Net_sales]]</f>
        <v>0.1803921568627451</v>
      </c>
      <c r="AB94" s="4">
        <f>YEAR(excelsalesdata[[#This Row],[Order_Date]])</f>
        <v>2025</v>
      </c>
      <c r="AC94" s="4" t="str">
        <f>TEXT(excelsalesdata[[#This Row],[Order_Date]],"mmm")</f>
        <v>Jul</v>
      </c>
      <c r="AD94" s="4" t="str">
        <f>"Q"&amp;ROUNDUP(MONTH(excelsalesdata[[#This Row],[Order_Date]])/3,0)</f>
        <v>Q3</v>
      </c>
    </row>
    <row r="95" spans="1:30" x14ac:dyDescent="0.35">
      <c r="A95" t="s">
        <v>353</v>
      </c>
      <c r="B95" s="3">
        <v>45853</v>
      </c>
      <c r="C95" t="s">
        <v>354</v>
      </c>
      <c r="D95" t="s">
        <v>335</v>
      </c>
      <c r="E95" t="str">
        <f>TRIM(excelsalesdata[[#This Row],[Customer_Name]])</f>
        <v>Vikram Joshi</v>
      </c>
      <c r="F95" t="s">
        <v>44</v>
      </c>
      <c r="G95">
        <v>32</v>
      </c>
      <c r="H95" t="s">
        <v>133</v>
      </c>
      <c r="I95" t="str">
        <f>TRIM(excelsalesdata[[#This Row],[City]])</f>
        <v>Jaipur</v>
      </c>
      <c r="J95" t="s">
        <v>134</v>
      </c>
      <c r="K95" t="s">
        <v>61</v>
      </c>
      <c r="L95" t="s">
        <v>54</v>
      </c>
      <c r="M95" t="s">
        <v>129</v>
      </c>
      <c r="N95" t="s">
        <v>129</v>
      </c>
      <c r="O95">
        <v>2</v>
      </c>
      <c r="P95">
        <v>17270</v>
      </c>
      <c r="Q95">
        <v>0.1</v>
      </c>
      <c r="R95">
        <v>12160</v>
      </c>
      <c r="S95" t="s">
        <v>29</v>
      </c>
      <c r="T95" t="s">
        <v>30</v>
      </c>
      <c r="U95">
        <v>3</v>
      </c>
      <c r="V95" t="s">
        <v>31</v>
      </c>
      <c r="W95">
        <f>excelsalesdata[[#This Row],[Quantity]]*excelsalesdata[[#This Row],[Unit_Price]]</f>
        <v>34540</v>
      </c>
      <c r="X95">
        <f>excelsalesdata[[#This Row],[Gross_sales]]*excelsalesdata[[#This Row],[Discount_%]]</f>
        <v>3454</v>
      </c>
      <c r="Y95">
        <f>excelsalesdata[[#This Row],[Gross_sales]]-excelsalesdata[[#This Row],[Discount_amt]]</f>
        <v>31086</v>
      </c>
      <c r="Z95" s="4">
        <f>excelsalesdata[[#This Row],[Net_sales]]-excelsalesdata[[#This Row],[Cost]]</f>
        <v>18926</v>
      </c>
      <c r="AA95" s="5">
        <f>excelsalesdata[[#This Row],[Profit]]/excelsalesdata[[#This Row],[Net_sales]]</f>
        <v>0.60882712475069167</v>
      </c>
      <c r="AB95" s="4">
        <f>YEAR(excelsalesdata[[#This Row],[Order_Date]])</f>
        <v>2025</v>
      </c>
      <c r="AC95" s="4" t="str">
        <f>TEXT(excelsalesdata[[#This Row],[Order_Date]],"mmm")</f>
        <v>Jul</v>
      </c>
      <c r="AD95" s="4" t="str">
        <f>"Q"&amp;ROUNDUP(MONTH(excelsalesdata[[#This Row],[Order_Date]])/3,0)</f>
        <v>Q3</v>
      </c>
    </row>
    <row r="96" spans="1:30" x14ac:dyDescent="0.35">
      <c r="A96" t="s">
        <v>356</v>
      </c>
      <c r="B96" s="3">
        <v>45854</v>
      </c>
      <c r="C96" t="s">
        <v>272</v>
      </c>
      <c r="D96" t="s">
        <v>359</v>
      </c>
      <c r="E96" t="str">
        <f>TRIM(excelsalesdata[[#This Row],[Customer_Name]])</f>
        <v>Vikram Nair</v>
      </c>
      <c r="F96" t="s">
        <v>23</v>
      </c>
      <c r="G96">
        <v>34</v>
      </c>
      <c r="H96" t="s">
        <v>190</v>
      </c>
      <c r="I96" t="str">
        <f>TRIM(excelsalesdata[[#This Row],[City]])</f>
        <v>Ahmedabad</v>
      </c>
      <c r="J96" t="s">
        <v>191</v>
      </c>
      <c r="K96" t="s">
        <v>26</v>
      </c>
      <c r="L96" t="s">
        <v>27</v>
      </c>
      <c r="M96" t="s">
        <v>48</v>
      </c>
      <c r="N96" t="s">
        <v>48</v>
      </c>
      <c r="O96">
        <v>2</v>
      </c>
      <c r="P96">
        <v>910</v>
      </c>
      <c r="Q96">
        <v>0.05</v>
      </c>
      <c r="R96">
        <v>460</v>
      </c>
      <c r="S96" t="s">
        <v>67</v>
      </c>
      <c r="T96" t="s">
        <v>30</v>
      </c>
      <c r="U96">
        <v>1</v>
      </c>
      <c r="V96" t="s">
        <v>31</v>
      </c>
      <c r="W96">
        <f>excelsalesdata[[#This Row],[Quantity]]*excelsalesdata[[#This Row],[Unit_Price]]</f>
        <v>1820</v>
      </c>
      <c r="X96">
        <f>excelsalesdata[[#This Row],[Gross_sales]]*excelsalesdata[[#This Row],[Discount_%]]</f>
        <v>91</v>
      </c>
      <c r="Y96">
        <f>excelsalesdata[[#This Row],[Gross_sales]]-excelsalesdata[[#This Row],[Discount_amt]]</f>
        <v>1729</v>
      </c>
      <c r="Z96" s="4">
        <f>excelsalesdata[[#This Row],[Net_sales]]-excelsalesdata[[#This Row],[Cost]]</f>
        <v>1269</v>
      </c>
      <c r="AA96" s="5">
        <f>excelsalesdata[[#This Row],[Profit]]/excelsalesdata[[#This Row],[Net_sales]]</f>
        <v>0.7339502602660497</v>
      </c>
      <c r="AB96" s="4">
        <f>YEAR(excelsalesdata[[#This Row],[Order_Date]])</f>
        <v>2025</v>
      </c>
      <c r="AC96" s="4" t="str">
        <f>TEXT(excelsalesdata[[#This Row],[Order_Date]],"mmm")</f>
        <v>Jul</v>
      </c>
      <c r="AD96" s="4" t="str">
        <f>"Q"&amp;ROUNDUP(MONTH(excelsalesdata[[#This Row],[Order_Date]])/3,0)</f>
        <v>Q3</v>
      </c>
    </row>
    <row r="97" spans="1:30" x14ac:dyDescent="0.35">
      <c r="A97" t="s">
        <v>357</v>
      </c>
      <c r="B97" s="3">
        <v>45855</v>
      </c>
      <c r="C97" t="s">
        <v>358</v>
      </c>
      <c r="D97" t="s">
        <v>362</v>
      </c>
      <c r="E97" t="str">
        <f>TRIM(excelsalesdata[[#This Row],[Customer_Name]])</f>
        <v>Diya Gupta</v>
      </c>
      <c r="F97" t="s">
        <v>44</v>
      </c>
      <c r="G97">
        <v>49</v>
      </c>
      <c r="H97" t="s">
        <v>78</v>
      </c>
      <c r="I97" t="str">
        <f>TRIM(excelsalesdata[[#This Row],[City]])</f>
        <v>Guwahati</v>
      </c>
      <c r="J97" t="s">
        <v>79</v>
      </c>
      <c r="K97" t="s">
        <v>37</v>
      </c>
      <c r="L97" t="s">
        <v>27</v>
      </c>
      <c r="M97" t="s">
        <v>295</v>
      </c>
      <c r="N97" t="s">
        <v>295</v>
      </c>
      <c r="O97">
        <v>2</v>
      </c>
      <c r="P97">
        <v>4240</v>
      </c>
      <c r="Q97">
        <v>0</v>
      </c>
      <c r="R97">
        <v>2550</v>
      </c>
      <c r="S97" t="s">
        <v>80</v>
      </c>
      <c r="T97" t="s">
        <v>30</v>
      </c>
      <c r="U97">
        <v>3</v>
      </c>
      <c r="V97" t="s">
        <v>40</v>
      </c>
      <c r="W97">
        <f>excelsalesdata[[#This Row],[Quantity]]*excelsalesdata[[#This Row],[Unit_Price]]</f>
        <v>8480</v>
      </c>
      <c r="X97">
        <f>excelsalesdata[[#This Row],[Gross_sales]]*excelsalesdata[[#This Row],[Discount_%]]</f>
        <v>0</v>
      </c>
      <c r="Y97">
        <f>excelsalesdata[[#This Row],[Gross_sales]]-excelsalesdata[[#This Row],[Discount_amt]]</f>
        <v>8480</v>
      </c>
      <c r="Z97" s="4">
        <f>excelsalesdata[[#This Row],[Net_sales]]-excelsalesdata[[#This Row],[Cost]]</f>
        <v>5930</v>
      </c>
      <c r="AA97" s="5">
        <f>excelsalesdata[[#This Row],[Profit]]/excelsalesdata[[#This Row],[Net_sales]]</f>
        <v>0.6992924528301887</v>
      </c>
      <c r="AB97" s="4">
        <f>YEAR(excelsalesdata[[#This Row],[Order_Date]])</f>
        <v>2025</v>
      </c>
      <c r="AC97" s="4" t="str">
        <f>TEXT(excelsalesdata[[#This Row],[Order_Date]],"mmm")</f>
        <v>Jul</v>
      </c>
      <c r="AD97" s="4" t="str">
        <f>"Q"&amp;ROUNDUP(MONTH(excelsalesdata[[#This Row],[Order_Date]])/3,0)</f>
        <v>Q3</v>
      </c>
    </row>
    <row r="98" spans="1:30" x14ac:dyDescent="0.35">
      <c r="A98" t="s">
        <v>360</v>
      </c>
      <c r="B98" s="3">
        <v>45856</v>
      </c>
      <c r="C98" t="s">
        <v>361</v>
      </c>
      <c r="D98" t="s">
        <v>365</v>
      </c>
      <c r="E98" t="str">
        <f>TRIM(excelsalesdata[[#This Row],[Customer_Name]])</f>
        <v>Meera Bhat</v>
      </c>
      <c r="F98" t="s">
        <v>44</v>
      </c>
      <c r="G98">
        <v>55</v>
      </c>
      <c r="H98" t="s">
        <v>24</v>
      </c>
      <c r="I98" t="str">
        <f>TRIM(excelsalesdata[[#This Row],[City]])</f>
        <v>Pune</v>
      </c>
      <c r="J98" t="s">
        <v>25</v>
      </c>
      <c r="K98" t="s">
        <v>26</v>
      </c>
      <c r="L98" t="s">
        <v>54</v>
      </c>
      <c r="M98" t="s">
        <v>157</v>
      </c>
      <c r="N98" t="s">
        <v>157</v>
      </c>
      <c r="O98">
        <v>3</v>
      </c>
      <c r="P98">
        <v>52360</v>
      </c>
      <c r="Q98">
        <v>0.05</v>
      </c>
      <c r="R98">
        <v>40340</v>
      </c>
      <c r="S98" t="s">
        <v>105</v>
      </c>
      <c r="T98" t="s">
        <v>30</v>
      </c>
      <c r="U98">
        <v>1</v>
      </c>
      <c r="V98" t="s">
        <v>40</v>
      </c>
      <c r="W98">
        <f>excelsalesdata[[#This Row],[Quantity]]*excelsalesdata[[#This Row],[Unit_Price]]</f>
        <v>157080</v>
      </c>
      <c r="X98">
        <f>excelsalesdata[[#This Row],[Gross_sales]]*excelsalesdata[[#This Row],[Discount_%]]</f>
        <v>7854</v>
      </c>
      <c r="Y98">
        <f>excelsalesdata[[#This Row],[Gross_sales]]-excelsalesdata[[#This Row],[Discount_amt]]</f>
        <v>149226</v>
      </c>
      <c r="Z98" s="4">
        <f>excelsalesdata[[#This Row],[Net_sales]]-excelsalesdata[[#This Row],[Cost]]</f>
        <v>108886</v>
      </c>
      <c r="AA98" s="5">
        <f>excelsalesdata[[#This Row],[Profit]]/excelsalesdata[[#This Row],[Net_sales]]</f>
        <v>0.72967177301542629</v>
      </c>
      <c r="AB98" s="4">
        <f>YEAR(excelsalesdata[[#This Row],[Order_Date]])</f>
        <v>2025</v>
      </c>
      <c r="AC98" s="4" t="str">
        <f>TEXT(excelsalesdata[[#This Row],[Order_Date]],"mmm")</f>
        <v>Jul</v>
      </c>
      <c r="AD98" s="4" t="str">
        <f>"Q"&amp;ROUNDUP(MONTH(excelsalesdata[[#This Row],[Order_Date]])/3,0)</f>
        <v>Q3</v>
      </c>
    </row>
    <row r="99" spans="1:30" x14ac:dyDescent="0.35">
      <c r="A99" t="s">
        <v>363</v>
      </c>
      <c r="B99" s="3">
        <v>45857</v>
      </c>
      <c r="C99" t="s">
        <v>364</v>
      </c>
      <c r="D99" t="s">
        <v>368</v>
      </c>
      <c r="E99" t="str">
        <f>TRIM(excelsalesdata[[#This Row],[Customer_Name]])</f>
        <v>Aditya Naidu</v>
      </c>
      <c r="F99" t="s">
        <v>44</v>
      </c>
      <c r="G99">
        <v>29</v>
      </c>
      <c r="H99" t="s">
        <v>190</v>
      </c>
      <c r="I99" t="str">
        <f>TRIM(excelsalesdata[[#This Row],[City]])</f>
        <v>Ahmedabad</v>
      </c>
      <c r="J99" t="s">
        <v>191</v>
      </c>
      <c r="K99" t="s">
        <v>26</v>
      </c>
      <c r="L99" t="s">
        <v>85</v>
      </c>
      <c r="M99" t="s">
        <v>172</v>
      </c>
      <c r="N99" t="s">
        <v>172</v>
      </c>
      <c r="O99">
        <v>3</v>
      </c>
      <c r="P99">
        <v>4380</v>
      </c>
      <c r="Q99">
        <v>0.2</v>
      </c>
      <c r="R99">
        <v>2680</v>
      </c>
      <c r="S99" t="s">
        <v>67</v>
      </c>
      <c r="T99" t="s">
        <v>30</v>
      </c>
      <c r="U99">
        <v>5</v>
      </c>
      <c r="V99" t="s">
        <v>31</v>
      </c>
      <c r="W99">
        <f>excelsalesdata[[#This Row],[Quantity]]*excelsalesdata[[#This Row],[Unit_Price]]</f>
        <v>13140</v>
      </c>
      <c r="X99">
        <f>excelsalesdata[[#This Row],[Gross_sales]]*excelsalesdata[[#This Row],[Discount_%]]</f>
        <v>2628</v>
      </c>
      <c r="Y99">
        <f>excelsalesdata[[#This Row],[Gross_sales]]-excelsalesdata[[#This Row],[Discount_amt]]</f>
        <v>10512</v>
      </c>
      <c r="Z99" s="4">
        <f>excelsalesdata[[#This Row],[Net_sales]]-excelsalesdata[[#This Row],[Cost]]</f>
        <v>7832</v>
      </c>
      <c r="AA99" s="5">
        <f>excelsalesdata[[#This Row],[Profit]]/excelsalesdata[[#This Row],[Net_sales]]</f>
        <v>0.74505327245053277</v>
      </c>
      <c r="AB99" s="4">
        <f>YEAR(excelsalesdata[[#This Row],[Order_Date]])</f>
        <v>2025</v>
      </c>
      <c r="AC99" s="4" t="str">
        <f>TEXT(excelsalesdata[[#This Row],[Order_Date]],"mmm")</f>
        <v>Jul</v>
      </c>
      <c r="AD99" s="4" t="str">
        <f>"Q"&amp;ROUNDUP(MONTH(excelsalesdata[[#This Row],[Order_Date]])/3,0)</f>
        <v>Q3</v>
      </c>
    </row>
    <row r="100" spans="1:30" x14ac:dyDescent="0.35">
      <c r="A100" t="s">
        <v>366</v>
      </c>
      <c r="B100" s="3">
        <v>45858</v>
      </c>
      <c r="C100" t="s">
        <v>367</v>
      </c>
      <c r="D100" t="s">
        <v>371</v>
      </c>
      <c r="E100" t="str">
        <f>TRIM(excelsalesdata[[#This Row],[Customer_Name]])</f>
        <v>Karan Bhat</v>
      </c>
      <c r="F100" t="s">
        <v>23</v>
      </c>
      <c r="G100">
        <v>59</v>
      </c>
      <c r="H100" t="s">
        <v>71</v>
      </c>
      <c r="I100" t="str">
        <f>TRIM(excelsalesdata[[#This Row],[City]])</f>
        <v>Bhubaneswar</v>
      </c>
      <c r="J100" t="s">
        <v>72</v>
      </c>
      <c r="K100" t="s">
        <v>37</v>
      </c>
      <c r="L100" t="s">
        <v>54</v>
      </c>
      <c r="M100" t="s">
        <v>55</v>
      </c>
      <c r="N100" t="s">
        <v>55</v>
      </c>
      <c r="O100">
        <v>1</v>
      </c>
      <c r="P100">
        <v>6620</v>
      </c>
      <c r="Q100">
        <v>0.2</v>
      </c>
      <c r="R100">
        <v>4370</v>
      </c>
      <c r="S100" t="s">
        <v>56</v>
      </c>
      <c r="T100" t="s">
        <v>30</v>
      </c>
      <c r="U100">
        <v>2</v>
      </c>
      <c r="V100" t="s">
        <v>31</v>
      </c>
      <c r="W100">
        <f>excelsalesdata[[#This Row],[Quantity]]*excelsalesdata[[#This Row],[Unit_Price]]</f>
        <v>6620</v>
      </c>
      <c r="X100">
        <f>excelsalesdata[[#This Row],[Gross_sales]]*excelsalesdata[[#This Row],[Discount_%]]</f>
        <v>1324</v>
      </c>
      <c r="Y100">
        <f>excelsalesdata[[#This Row],[Gross_sales]]-excelsalesdata[[#This Row],[Discount_amt]]</f>
        <v>5296</v>
      </c>
      <c r="Z100" s="4">
        <f>excelsalesdata[[#This Row],[Net_sales]]-excelsalesdata[[#This Row],[Cost]]</f>
        <v>926</v>
      </c>
      <c r="AA100" s="5">
        <f>excelsalesdata[[#This Row],[Profit]]/excelsalesdata[[#This Row],[Net_sales]]</f>
        <v>0.17484894259818731</v>
      </c>
      <c r="AB100" s="4">
        <f>YEAR(excelsalesdata[[#This Row],[Order_Date]])</f>
        <v>2025</v>
      </c>
      <c r="AC100" s="4" t="str">
        <f>TEXT(excelsalesdata[[#This Row],[Order_Date]],"mmm")</f>
        <v>Jul</v>
      </c>
      <c r="AD100" s="4" t="str">
        <f>"Q"&amp;ROUNDUP(MONTH(excelsalesdata[[#This Row],[Order_Date]])/3,0)</f>
        <v>Q3</v>
      </c>
    </row>
    <row r="101" spans="1:30" x14ac:dyDescent="0.35">
      <c r="A101" t="s">
        <v>369</v>
      </c>
      <c r="B101" s="3">
        <v>45859</v>
      </c>
      <c r="C101" t="s">
        <v>370</v>
      </c>
      <c r="D101" t="s">
        <v>374</v>
      </c>
      <c r="E101" t="str">
        <f>TRIM(excelsalesdata[[#This Row],[Customer_Name]])</f>
        <v>Priya Sharma</v>
      </c>
      <c r="F101" t="s">
        <v>44</v>
      </c>
      <c r="G101">
        <v>35</v>
      </c>
      <c r="H101" t="s">
        <v>98</v>
      </c>
      <c r="I101" t="str">
        <f>TRIM(excelsalesdata[[#This Row],[City]])</f>
        <v>Mumbai</v>
      </c>
      <c r="J101" t="s">
        <v>25</v>
      </c>
      <c r="K101" t="s">
        <v>26</v>
      </c>
      <c r="L101" t="s">
        <v>93</v>
      </c>
      <c r="M101" t="s">
        <v>135</v>
      </c>
      <c r="N101" t="s">
        <v>135</v>
      </c>
      <c r="O101">
        <v>5</v>
      </c>
      <c r="P101">
        <v>1940</v>
      </c>
      <c r="Q101">
        <v>0.15</v>
      </c>
      <c r="R101">
        <v>970</v>
      </c>
      <c r="S101" t="s">
        <v>105</v>
      </c>
      <c r="T101" t="s">
        <v>30</v>
      </c>
      <c r="U101">
        <v>1</v>
      </c>
      <c r="V101" t="s">
        <v>31</v>
      </c>
      <c r="W101">
        <f>excelsalesdata[[#This Row],[Quantity]]*excelsalesdata[[#This Row],[Unit_Price]]</f>
        <v>9700</v>
      </c>
      <c r="X101">
        <f>excelsalesdata[[#This Row],[Gross_sales]]*excelsalesdata[[#This Row],[Discount_%]]</f>
        <v>1455</v>
      </c>
      <c r="Y101">
        <f>excelsalesdata[[#This Row],[Gross_sales]]-excelsalesdata[[#This Row],[Discount_amt]]</f>
        <v>8245</v>
      </c>
      <c r="Z101" s="4">
        <f>excelsalesdata[[#This Row],[Net_sales]]-excelsalesdata[[#This Row],[Cost]]</f>
        <v>7275</v>
      </c>
      <c r="AA101" s="5">
        <f>excelsalesdata[[#This Row],[Profit]]/excelsalesdata[[#This Row],[Net_sales]]</f>
        <v>0.88235294117647056</v>
      </c>
      <c r="AB101" s="4">
        <f>YEAR(excelsalesdata[[#This Row],[Order_Date]])</f>
        <v>2025</v>
      </c>
      <c r="AC101" s="4" t="str">
        <f>TEXT(excelsalesdata[[#This Row],[Order_Date]],"mmm")</f>
        <v>Jul</v>
      </c>
      <c r="AD101" s="4" t="str">
        <f>"Q"&amp;ROUNDUP(MONTH(excelsalesdata[[#This Row],[Order_Date]])/3,0)</f>
        <v>Q3</v>
      </c>
    </row>
    <row r="102" spans="1:30" x14ac:dyDescent="0.35">
      <c r="A102" t="s">
        <v>372</v>
      </c>
      <c r="B102" s="3">
        <v>45860</v>
      </c>
      <c r="C102" t="s">
        <v>373</v>
      </c>
      <c r="D102" t="s">
        <v>205</v>
      </c>
      <c r="E102" t="str">
        <f>TRIM(excelsalesdata[[#This Row],[Customer_Name]])</f>
        <v>Vivaan Bhat</v>
      </c>
      <c r="F102" t="s">
        <v>23</v>
      </c>
      <c r="G102">
        <v>48</v>
      </c>
      <c r="H102" t="s">
        <v>168</v>
      </c>
      <c r="I102" t="str">
        <f>TRIM(excelsalesdata[[#This Row],[City]])</f>
        <v>Delhi</v>
      </c>
      <c r="J102" t="s">
        <v>168</v>
      </c>
      <c r="K102" t="s">
        <v>61</v>
      </c>
      <c r="L102" t="s">
        <v>93</v>
      </c>
      <c r="M102" t="s">
        <v>375</v>
      </c>
      <c r="N102" t="s">
        <v>375</v>
      </c>
      <c r="O102">
        <v>2</v>
      </c>
      <c r="P102">
        <v>2280</v>
      </c>
      <c r="Q102">
        <v>0.15</v>
      </c>
      <c r="R102">
        <v>1200</v>
      </c>
      <c r="S102" t="s">
        <v>80</v>
      </c>
      <c r="T102" t="s">
        <v>30</v>
      </c>
      <c r="U102">
        <v>4</v>
      </c>
      <c r="V102" t="s">
        <v>31</v>
      </c>
      <c r="W102">
        <f>excelsalesdata[[#This Row],[Quantity]]*excelsalesdata[[#This Row],[Unit_Price]]</f>
        <v>4560</v>
      </c>
      <c r="X102">
        <f>excelsalesdata[[#This Row],[Gross_sales]]*excelsalesdata[[#This Row],[Discount_%]]</f>
        <v>684</v>
      </c>
      <c r="Y102">
        <f>excelsalesdata[[#This Row],[Gross_sales]]-excelsalesdata[[#This Row],[Discount_amt]]</f>
        <v>3876</v>
      </c>
      <c r="Z102" s="4">
        <f>excelsalesdata[[#This Row],[Net_sales]]-excelsalesdata[[#This Row],[Cost]]</f>
        <v>2676</v>
      </c>
      <c r="AA102" s="5">
        <f>excelsalesdata[[#This Row],[Profit]]/excelsalesdata[[#This Row],[Net_sales]]</f>
        <v>0.69040247678018574</v>
      </c>
      <c r="AB102" s="4">
        <f>YEAR(excelsalesdata[[#This Row],[Order_Date]])</f>
        <v>2025</v>
      </c>
      <c r="AC102" s="4" t="str">
        <f>TEXT(excelsalesdata[[#This Row],[Order_Date]],"mmm")</f>
        <v>Jul</v>
      </c>
      <c r="AD102" s="4" t="str">
        <f>"Q"&amp;ROUNDUP(MONTH(excelsalesdata[[#This Row],[Order_Date]])/3,0)</f>
        <v>Q3</v>
      </c>
    </row>
    <row r="103" spans="1:30" x14ac:dyDescent="0.35">
      <c r="A103" t="s">
        <v>376</v>
      </c>
      <c r="B103" s="3">
        <v>45861</v>
      </c>
      <c r="C103" t="s">
        <v>377</v>
      </c>
      <c r="D103" t="s">
        <v>118</v>
      </c>
      <c r="E103" t="str">
        <f>TRIM(excelsalesdata[[#This Row],[Customer_Name]])</f>
        <v>Nisha Shah</v>
      </c>
      <c r="F103" t="s">
        <v>23</v>
      </c>
      <c r="G103">
        <v>32</v>
      </c>
      <c r="H103" t="s">
        <v>109</v>
      </c>
      <c r="I103" t="str">
        <f>TRIM(excelsalesdata[[#This Row],[City]])</f>
        <v>Mysuru</v>
      </c>
      <c r="J103" t="s">
        <v>53</v>
      </c>
      <c r="K103" t="s">
        <v>47</v>
      </c>
      <c r="L103" t="s">
        <v>103</v>
      </c>
      <c r="M103" t="s">
        <v>312</v>
      </c>
      <c r="N103" t="s">
        <v>312</v>
      </c>
      <c r="O103">
        <v>5</v>
      </c>
      <c r="P103">
        <v>6280</v>
      </c>
      <c r="Q103">
        <v>0.05</v>
      </c>
      <c r="R103">
        <v>4150</v>
      </c>
      <c r="S103" t="s">
        <v>80</v>
      </c>
      <c r="T103" t="s">
        <v>74</v>
      </c>
      <c r="U103">
        <v>2</v>
      </c>
      <c r="V103" t="s">
        <v>40</v>
      </c>
      <c r="W103">
        <f>excelsalesdata[[#This Row],[Quantity]]*excelsalesdata[[#This Row],[Unit_Price]]</f>
        <v>31400</v>
      </c>
      <c r="X103">
        <f>excelsalesdata[[#This Row],[Gross_sales]]*excelsalesdata[[#This Row],[Discount_%]]</f>
        <v>1570</v>
      </c>
      <c r="Y103">
        <f>excelsalesdata[[#This Row],[Gross_sales]]-excelsalesdata[[#This Row],[Discount_amt]]</f>
        <v>29830</v>
      </c>
      <c r="Z103" s="4">
        <f>excelsalesdata[[#This Row],[Net_sales]]-excelsalesdata[[#This Row],[Cost]]</f>
        <v>25680</v>
      </c>
      <c r="AA103" s="5">
        <f>excelsalesdata[[#This Row],[Profit]]/excelsalesdata[[#This Row],[Net_sales]]</f>
        <v>0.86087831042574592</v>
      </c>
      <c r="AB103" s="4">
        <f>YEAR(excelsalesdata[[#This Row],[Order_Date]])</f>
        <v>2025</v>
      </c>
      <c r="AC103" s="4" t="str">
        <f>TEXT(excelsalesdata[[#This Row],[Order_Date]],"mmm")</f>
        <v>Jul</v>
      </c>
      <c r="AD103" s="4" t="str">
        <f>"Q"&amp;ROUNDUP(MONTH(excelsalesdata[[#This Row],[Order_Date]])/3,0)</f>
        <v>Q3</v>
      </c>
    </row>
    <row r="104" spans="1:30" x14ac:dyDescent="0.35">
      <c r="A104" t="s">
        <v>378</v>
      </c>
      <c r="B104" s="3">
        <v>45862</v>
      </c>
      <c r="C104" t="s">
        <v>379</v>
      </c>
      <c r="D104" t="s">
        <v>382</v>
      </c>
      <c r="E104" t="str">
        <f>TRIM(excelsalesdata[[#This Row],[Customer_Name]])</f>
        <v>Rahul Sharma</v>
      </c>
      <c r="F104" t="s">
        <v>44</v>
      </c>
      <c r="G104">
        <v>31</v>
      </c>
      <c r="H104" t="s">
        <v>71</v>
      </c>
      <c r="I104" t="str">
        <f>TRIM(excelsalesdata[[#This Row],[City]])</f>
        <v>Bhubaneswar</v>
      </c>
      <c r="J104" t="s">
        <v>72</v>
      </c>
      <c r="K104" t="s">
        <v>37</v>
      </c>
      <c r="L104" t="s">
        <v>27</v>
      </c>
      <c r="M104" t="s">
        <v>123</v>
      </c>
      <c r="N104" t="s">
        <v>123</v>
      </c>
      <c r="O104">
        <v>3</v>
      </c>
      <c r="P104">
        <v>2800</v>
      </c>
      <c r="Q104">
        <v>0.05</v>
      </c>
      <c r="R104">
        <v>1660</v>
      </c>
      <c r="S104" t="s">
        <v>80</v>
      </c>
      <c r="T104" t="s">
        <v>30</v>
      </c>
      <c r="U104">
        <v>3</v>
      </c>
      <c r="V104" t="s">
        <v>40</v>
      </c>
      <c r="W104">
        <f>excelsalesdata[[#This Row],[Quantity]]*excelsalesdata[[#This Row],[Unit_Price]]</f>
        <v>8400</v>
      </c>
      <c r="X104">
        <f>excelsalesdata[[#This Row],[Gross_sales]]*excelsalesdata[[#This Row],[Discount_%]]</f>
        <v>420</v>
      </c>
      <c r="Y104">
        <f>excelsalesdata[[#This Row],[Gross_sales]]-excelsalesdata[[#This Row],[Discount_amt]]</f>
        <v>7980</v>
      </c>
      <c r="Z104" s="4">
        <f>excelsalesdata[[#This Row],[Net_sales]]-excelsalesdata[[#This Row],[Cost]]</f>
        <v>6320</v>
      </c>
      <c r="AA104" s="5">
        <f>excelsalesdata[[#This Row],[Profit]]/excelsalesdata[[#This Row],[Net_sales]]</f>
        <v>0.79197994987468667</v>
      </c>
      <c r="AB104" s="4">
        <f>YEAR(excelsalesdata[[#This Row],[Order_Date]])</f>
        <v>2025</v>
      </c>
      <c r="AC104" s="4" t="str">
        <f>TEXT(excelsalesdata[[#This Row],[Order_Date]],"mmm")</f>
        <v>Jul</v>
      </c>
      <c r="AD104" s="4" t="str">
        <f>"Q"&amp;ROUNDUP(MONTH(excelsalesdata[[#This Row],[Order_Date]])/3,0)</f>
        <v>Q3</v>
      </c>
    </row>
    <row r="105" spans="1:30" x14ac:dyDescent="0.35">
      <c r="A105" t="s">
        <v>380</v>
      </c>
      <c r="B105" s="3">
        <v>45863</v>
      </c>
      <c r="C105" t="s">
        <v>381</v>
      </c>
      <c r="D105" t="s">
        <v>385</v>
      </c>
      <c r="E105" t="str">
        <f>TRIM(excelsalesdata[[#This Row],[Customer_Name]])</f>
        <v>Diya Verma</v>
      </c>
      <c r="F105" t="s">
        <v>44</v>
      </c>
      <c r="G105">
        <v>45</v>
      </c>
      <c r="H105" t="s">
        <v>109</v>
      </c>
      <c r="I105" t="str">
        <f>TRIM(excelsalesdata[[#This Row],[City]])</f>
        <v>Mysuru</v>
      </c>
      <c r="J105" t="s">
        <v>53</v>
      </c>
      <c r="K105" t="s">
        <v>47</v>
      </c>
      <c r="L105" t="s">
        <v>103</v>
      </c>
      <c r="M105" t="s">
        <v>347</v>
      </c>
      <c r="N105" t="s">
        <v>347</v>
      </c>
      <c r="O105">
        <v>1</v>
      </c>
      <c r="P105">
        <v>12530</v>
      </c>
      <c r="Q105">
        <v>0</v>
      </c>
      <c r="R105">
        <v>8590</v>
      </c>
      <c r="S105" t="s">
        <v>80</v>
      </c>
      <c r="T105" t="s">
        <v>30</v>
      </c>
      <c r="U105">
        <v>1</v>
      </c>
      <c r="V105" t="s">
        <v>40</v>
      </c>
      <c r="W105">
        <f>excelsalesdata[[#This Row],[Quantity]]*excelsalesdata[[#This Row],[Unit_Price]]</f>
        <v>12530</v>
      </c>
      <c r="X105">
        <f>excelsalesdata[[#This Row],[Gross_sales]]*excelsalesdata[[#This Row],[Discount_%]]</f>
        <v>0</v>
      </c>
      <c r="Y105">
        <f>excelsalesdata[[#This Row],[Gross_sales]]-excelsalesdata[[#This Row],[Discount_amt]]</f>
        <v>12530</v>
      </c>
      <c r="Z105" s="4">
        <f>excelsalesdata[[#This Row],[Net_sales]]-excelsalesdata[[#This Row],[Cost]]</f>
        <v>3940</v>
      </c>
      <c r="AA105" s="5">
        <f>excelsalesdata[[#This Row],[Profit]]/excelsalesdata[[#This Row],[Net_sales]]</f>
        <v>0.31444533120510776</v>
      </c>
      <c r="AB105" s="4">
        <f>YEAR(excelsalesdata[[#This Row],[Order_Date]])</f>
        <v>2025</v>
      </c>
      <c r="AC105" s="4" t="str">
        <f>TEXT(excelsalesdata[[#This Row],[Order_Date]],"mmm")</f>
        <v>Jul</v>
      </c>
      <c r="AD105" s="4" t="str">
        <f>"Q"&amp;ROUNDUP(MONTH(excelsalesdata[[#This Row],[Order_Date]])/3,0)</f>
        <v>Q3</v>
      </c>
    </row>
    <row r="106" spans="1:30" x14ac:dyDescent="0.35">
      <c r="A106" t="s">
        <v>383</v>
      </c>
      <c r="B106" s="3">
        <v>45864</v>
      </c>
      <c r="C106" t="s">
        <v>384</v>
      </c>
      <c r="D106" t="s">
        <v>273</v>
      </c>
      <c r="E106" t="str">
        <f>TRIM(excelsalesdata[[#This Row],[Customer_Name]])</f>
        <v>Aarav Sharma</v>
      </c>
      <c r="F106" t="s">
        <v>44</v>
      </c>
      <c r="G106">
        <v>47</v>
      </c>
      <c r="H106" t="s">
        <v>133</v>
      </c>
      <c r="I106" t="str">
        <f>TRIM(excelsalesdata[[#This Row],[City]])</f>
        <v>Jaipur</v>
      </c>
      <c r="J106" t="s">
        <v>134</v>
      </c>
      <c r="K106" t="s">
        <v>61</v>
      </c>
      <c r="L106" t="s">
        <v>38</v>
      </c>
      <c r="M106" t="s">
        <v>161</v>
      </c>
      <c r="N106" t="s">
        <v>161</v>
      </c>
      <c r="O106">
        <v>2</v>
      </c>
      <c r="P106">
        <v>30010</v>
      </c>
      <c r="Q106">
        <v>0.05</v>
      </c>
      <c r="R106">
        <v>20210</v>
      </c>
      <c r="S106" t="s">
        <v>80</v>
      </c>
      <c r="T106" t="s">
        <v>30</v>
      </c>
      <c r="U106">
        <v>3</v>
      </c>
      <c r="V106" t="s">
        <v>40</v>
      </c>
      <c r="W106">
        <f>excelsalesdata[[#This Row],[Quantity]]*excelsalesdata[[#This Row],[Unit_Price]]</f>
        <v>60020</v>
      </c>
      <c r="X106">
        <f>excelsalesdata[[#This Row],[Gross_sales]]*excelsalesdata[[#This Row],[Discount_%]]</f>
        <v>3001</v>
      </c>
      <c r="Y106">
        <f>excelsalesdata[[#This Row],[Gross_sales]]-excelsalesdata[[#This Row],[Discount_amt]]</f>
        <v>57019</v>
      </c>
      <c r="Z106" s="4">
        <f>excelsalesdata[[#This Row],[Net_sales]]-excelsalesdata[[#This Row],[Cost]]</f>
        <v>36809</v>
      </c>
      <c r="AA106" s="5">
        <f>excelsalesdata[[#This Row],[Profit]]/excelsalesdata[[#This Row],[Net_sales]]</f>
        <v>0.64555674424314702</v>
      </c>
      <c r="AB106" s="4">
        <f>YEAR(excelsalesdata[[#This Row],[Order_Date]])</f>
        <v>2025</v>
      </c>
      <c r="AC106" s="4" t="str">
        <f>TEXT(excelsalesdata[[#This Row],[Order_Date]],"mmm")</f>
        <v>Jul</v>
      </c>
      <c r="AD106" s="4" t="str">
        <f>"Q"&amp;ROUNDUP(MONTH(excelsalesdata[[#This Row],[Order_Date]])/3,0)</f>
        <v>Q3</v>
      </c>
    </row>
    <row r="107" spans="1:30" x14ac:dyDescent="0.35">
      <c r="A107" t="s">
        <v>386</v>
      </c>
      <c r="B107" s="3">
        <v>45865</v>
      </c>
      <c r="C107" t="s">
        <v>387</v>
      </c>
      <c r="D107" t="s">
        <v>250</v>
      </c>
      <c r="E107" t="str">
        <f>TRIM(excelsalesdata[[#This Row],[Customer_Name]])</f>
        <v>Rohan Singh</v>
      </c>
      <c r="F107" t="s">
        <v>23</v>
      </c>
      <c r="G107">
        <v>45</v>
      </c>
      <c r="H107" t="s">
        <v>78</v>
      </c>
      <c r="I107" t="str">
        <f>TRIM(excelsalesdata[[#This Row],[City]])</f>
        <v>Guwahati</v>
      </c>
      <c r="J107" t="s">
        <v>79</v>
      </c>
      <c r="K107" t="s">
        <v>37</v>
      </c>
      <c r="L107" t="s">
        <v>103</v>
      </c>
      <c r="M107" t="s">
        <v>104</v>
      </c>
      <c r="N107" t="s">
        <v>104</v>
      </c>
      <c r="O107">
        <v>2</v>
      </c>
      <c r="P107">
        <v>7870</v>
      </c>
      <c r="Q107">
        <v>0.3</v>
      </c>
      <c r="R107">
        <v>5390</v>
      </c>
      <c r="S107" t="s">
        <v>29</v>
      </c>
      <c r="T107" t="s">
        <v>30</v>
      </c>
      <c r="U107">
        <v>4</v>
      </c>
      <c r="V107" t="s">
        <v>40</v>
      </c>
      <c r="W107">
        <f>excelsalesdata[[#This Row],[Quantity]]*excelsalesdata[[#This Row],[Unit_Price]]</f>
        <v>15740</v>
      </c>
      <c r="X107">
        <f>excelsalesdata[[#This Row],[Gross_sales]]*excelsalesdata[[#This Row],[Discount_%]]</f>
        <v>4722</v>
      </c>
      <c r="Y107">
        <f>excelsalesdata[[#This Row],[Gross_sales]]-excelsalesdata[[#This Row],[Discount_amt]]</f>
        <v>11018</v>
      </c>
      <c r="Z107" s="4">
        <f>excelsalesdata[[#This Row],[Net_sales]]-excelsalesdata[[#This Row],[Cost]]</f>
        <v>5628</v>
      </c>
      <c r="AA107" s="5">
        <f>excelsalesdata[[#This Row],[Profit]]/excelsalesdata[[#This Row],[Net_sales]]</f>
        <v>0.51080050825921219</v>
      </c>
      <c r="AB107" s="4">
        <f>YEAR(excelsalesdata[[#This Row],[Order_Date]])</f>
        <v>2025</v>
      </c>
      <c r="AC107" s="4" t="str">
        <f>TEXT(excelsalesdata[[#This Row],[Order_Date]],"mmm")</f>
        <v>Jul</v>
      </c>
      <c r="AD107" s="4" t="str">
        <f>"Q"&amp;ROUNDUP(MONTH(excelsalesdata[[#This Row],[Order_Date]])/3,0)</f>
        <v>Q3</v>
      </c>
    </row>
    <row r="108" spans="1:30" x14ac:dyDescent="0.35">
      <c r="A108" t="s">
        <v>388</v>
      </c>
      <c r="B108" s="3">
        <v>45866</v>
      </c>
      <c r="C108" t="s">
        <v>389</v>
      </c>
      <c r="D108" t="s">
        <v>392</v>
      </c>
      <c r="E108" t="str">
        <f>TRIM(excelsalesdata[[#This Row],[Customer_Name]])</f>
        <v>Meera Joshi</v>
      </c>
      <c r="F108" t="s">
        <v>44</v>
      </c>
      <c r="G108">
        <v>50</v>
      </c>
      <c r="H108" t="s">
        <v>52</v>
      </c>
      <c r="I108" t="str">
        <f>TRIM(excelsalesdata[[#This Row],[City]])</f>
        <v>Bengaluru</v>
      </c>
      <c r="J108" t="s">
        <v>53</v>
      </c>
      <c r="K108" t="s">
        <v>47</v>
      </c>
      <c r="L108" t="s">
        <v>27</v>
      </c>
      <c r="M108" t="s">
        <v>295</v>
      </c>
      <c r="N108" t="s">
        <v>295</v>
      </c>
      <c r="O108">
        <v>1</v>
      </c>
      <c r="P108">
        <v>4530</v>
      </c>
      <c r="Q108">
        <v>0.25</v>
      </c>
      <c r="R108">
        <v>2470</v>
      </c>
      <c r="S108" t="s">
        <v>56</v>
      </c>
      <c r="T108" t="s">
        <v>30</v>
      </c>
      <c r="U108">
        <v>6</v>
      </c>
      <c r="V108" t="s">
        <v>40</v>
      </c>
      <c r="W108">
        <f>excelsalesdata[[#This Row],[Quantity]]*excelsalesdata[[#This Row],[Unit_Price]]</f>
        <v>4530</v>
      </c>
      <c r="X108">
        <f>excelsalesdata[[#This Row],[Gross_sales]]*excelsalesdata[[#This Row],[Discount_%]]</f>
        <v>1132.5</v>
      </c>
      <c r="Y108">
        <f>excelsalesdata[[#This Row],[Gross_sales]]-excelsalesdata[[#This Row],[Discount_amt]]</f>
        <v>3397.5</v>
      </c>
      <c r="Z108" s="4">
        <f>excelsalesdata[[#This Row],[Net_sales]]-excelsalesdata[[#This Row],[Cost]]</f>
        <v>927.5</v>
      </c>
      <c r="AA108" s="5">
        <f>excelsalesdata[[#This Row],[Profit]]/excelsalesdata[[#This Row],[Net_sales]]</f>
        <v>0.27299484915378958</v>
      </c>
      <c r="AB108" s="4">
        <f>YEAR(excelsalesdata[[#This Row],[Order_Date]])</f>
        <v>2025</v>
      </c>
      <c r="AC108" s="4" t="str">
        <f>TEXT(excelsalesdata[[#This Row],[Order_Date]],"mmm")</f>
        <v>Jul</v>
      </c>
      <c r="AD108" s="4" t="str">
        <f>"Q"&amp;ROUNDUP(MONTH(excelsalesdata[[#This Row],[Order_Date]])/3,0)</f>
        <v>Q3</v>
      </c>
    </row>
    <row r="109" spans="1:30" x14ac:dyDescent="0.35">
      <c r="A109" t="s">
        <v>390</v>
      </c>
      <c r="B109" s="3">
        <v>45867</v>
      </c>
      <c r="C109" t="s">
        <v>391</v>
      </c>
      <c r="D109" t="s">
        <v>395</v>
      </c>
      <c r="E109" t="str">
        <f>TRIM(excelsalesdata[[#This Row],[Customer_Name]])</f>
        <v>Meera Gupta</v>
      </c>
      <c r="F109" t="s">
        <v>44</v>
      </c>
      <c r="G109">
        <v>55</v>
      </c>
      <c r="H109" t="s">
        <v>155</v>
      </c>
      <c r="I109" t="str">
        <f>TRIM(excelsalesdata[[#This Row],[City]])</f>
        <v>Chennai</v>
      </c>
      <c r="J109" t="s">
        <v>156</v>
      </c>
      <c r="K109" t="s">
        <v>47</v>
      </c>
      <c r="L109" t="s">
        <v>54</v>
      </c>
      <c r="M109" t="s">
        <v>62</v>
      </c>
      <c r="N109" t="s">
        <v>62</v>
      </c>
      <c r="O109">
        <v>1</v>
      </c>
      <c r="P109">
        <v>23550</v>
      </c>
      <c r="Q109">
        <v>0.15</v>
      </c>
      <c r="R109">
        <v>14980</v>
      </c>
      <c r="S109" t="s">
        <v>29</v>
      </c>
      <c r="T109" t="s">
        <v>30</v>
      </c>
      <c r="U109">
        <v>2</v>
      </c>
      <c r="V109" t="s">
        <v>40</v>
      </c>
      <c r="W109">
        <f>excelsalesdata[[#This Row],[Quantity]]*excelsalesdata[[#This Row],[Unit_Price]]</f>
        <v>23550</v>
      </c>
      <c r="X109">
        <f>excelsalesdata[[#This Row],[Gross_sales]]*excelsalesdata[[#This Row],[Discount_%]]</f>
        <v>3532.5</v>
      </c>
      <c r="Y109">
        <f>excelsalesdata[[#This Row],[Gross_sales]]-excelsalesdata[[#This Row],[Discount_amt]]</f>
        <v>20017.5</v>
      </c>
      <c r="Z109" s="4">
        <f>excelsalesdata[[#This Row],[Net_sales]]-excelsalesdata[[#This Row],[Cost]]</f>
        <v>5037.5</v>
      </c>
      <c r="AA109" s="5">
        <f>excelsalesdata[[#This Row],[Profit]]/excelsalesdata[[#This Row],[Net_sales]]</f>
        <v>0.25165480204820784</v>
      </c>
      <c r="AB109" s="4">
        <f>YEAR(excelsalesdata[[#This Row],[Order_Date]])</f>
        <v>2025</v>
      </c>
      <c r="AC109" s="4" t="str">
        <f>TEXT(excelsalesdata[[#This Row],[Order_Date]],"mmm")</f>
        <v>Jul</v>
      </c>
      <c r="AD109" s="4" t="str">
        <f>"Q"&amp;ROUNDUP(MONTH(excelsalesdata[[#This Row],[Order_Date]])/3,0)</f>
        <v>Q3</v>
      </c>
    </row>
    <row r="110" spans="1:30" x14ac:dyDescent="0.35">
      <c r="A110" t="s">
        <v>393</v>
      </c>
      <c r="B110" s="3">
        <v>45868</v>
      </c>
      <c r="C110" t="s">
        <v>394</v>
      </c>
      <c r="D110" t="s">
        <v>365</v>
      </c>
      <c r="E110" t="str">
        <f>TRIM(excelsalesdata[[#This Row],[Customer_Name]])</f>
        <v>Meera Bhat</v>
      </c>
      <c r="F110" t="s">
        <v>44</v>
      </c>
      <c r="G110">
        <v>18</v>
      </c>
      <c r="H110" t="s">
        <v>24</v>
      </c>
      <c r="I110" t="str">
        <f>TRIM(excelsalesdata[[#This Row],[City]])</f>
        <v>Pune</v>
      </c>
      <c r="J110" t="s">
        <v>25</v>
      </c>
      <c r="K110" t="s">
        <v>26</v>
      </c>
      <c r="L110" t="s">
        <v>85</v>
      </c>
      <c r="M110" t="s">
        <v>202</v>
      </c>
      <c r="N110" t="s">
        <v>202</v>
      </c>
      <c r="O110">
        <v>2</v>
      </c>
      <c r="P110">
        <v>900</v>
      </c>
      <c r="Q110">
        <v>0.15</v>
      </c>
      <c r="R110">
        <v>410</v>
      </c>
      <c r="S110" t="s">
        <v>105</v>
      </c>
      <c r="T110" t="s">
        <v>30</v>
      </c>
      <c r="U110">
        <v>7</v>
      </c>
      <c r="V110" t="s">
        <v>40</v>
      </c>
      <c r="W110">
        <f>excelsalesdata[[#This Row],[Quantity]]*excelsalesdata[[#This Row],[Unit_Price]]</f>
        <v>1800</v>
      </c>
      <c r="X110">
        <f>excelsalesdata[[#This Row],[Gross_sales]]*excelsalesdata[[#This Row],[Discount_%]]</f>
        <v>270</v>
      </c>
      <c r="Y110">
        <f>excelsalesdata[[#This Row],[Gross_sales]]-excelsalesdata[[#This Row],[Discount_amt]]</f>
        <v>1530</v>
      </c>
      <c r="Z110" s="4">
        <f>excelsalesdata[[#This Row],[Net_sales]]-excelsalesdata[[#This Row],[Cost]]</f>
        <v>1120</v>
      </c>
      <c r="AA110" s="5">
        <f>excelsalesdata[[#This Row],[Profit]]/excelsalesdata[[#This Row],[Net_sales]]</f>
        <v>0.73202614379084963</v>
      </c>
      <c r="AB110" s="4">
        <f>YEAR(excelsalesdata[[#This Row],[Order_Date]])</f>
        <v>2025</v>
      </c>
      <c r="AC110" s="4" t="str">
        <f>TEXT(excelsalesdata[[#This Row],[Order_Date]],"mmm")</f>
        <v>Jul</v>
      </c>
      <c r="AD110" s="4" t="str">
        <f>"Q"&amp;ROUNDUP(MONTH(excelsalesdata[[#This Row],[Order_Date]])/3,0)</f>
        <v>Q3</v>
      </c>
    </row>
    <row r="111" spans="1:30" x14ac:dyDescent="0.35">
      <c r="A111" t="s">
        <v>396</v>
      </c>
      <c r="B111" s="3">
        <v>45869</v>
      </c>
      <c r="C111" t="s">
        <v>287</v>
      </c>
      <c r="D111" t="s">
        <v>399</v>
      </c>
      <c r="E111" t="str">
        <f>TRIM(excelsalesdata[[#This Row],[Customer_Name]])</f>
        <v>Ishita Kumar</v>
      </c>
      <c r="F111" t="s">
        <v>23</v>
      </c>
      <c r="G111">
        <v>22</v>
      </c>
      <c r="H111" t="s">
        <v>133</v>
      </c>
      <c r="I111" t="str">
        <f>TRIM(excelsalesdata[[#This Row],[City]])</f>
        <v>Jaipur</v>
      </c>
      <c r="J111" t="s">
        <v>134</v>
      </c>
      <c r="K111" t="s">
        <v>61</v>
      </c>
      <c r="L111" t="s">
        <v>54</v>
      </c>
      <c r="M111" t="s">
        <v>55</v>
      </c>
      <c r="N111" t="s">
        <v>55</v>
      </c>
      <c r="O111">
        <v>1</v>
      </c>
      <c r="P111">
        <v>7120</v>
      </c>
      <c r="Q111">
        <v>0.05</v>
      </c>
      <c r="R111">
        <v>4660</v>
      </c>
      <c r="S111" t="s">
        <v>56</v>
      </c>
      <c r="T111" t="s">
        <v>30</v>
      </c>
      <c r="U111">
        <v>2</v>
      </c>
      <c r="V111" t="s">
        <v>40</v>
      </c>
      <c r="W111">
        <f>excelsalesdata[[#This Row],[Quantity]]*excelsalesdata[[#This Row],[Unit_Price]]</f>
        <v>7120</v>
      </c>
      <c r="X111">
        <f>excelsalesdata[[#This Row],[Gross_sales]]*excelsalesdata[[#This Row],[Discount_%]]</f>
        <v>356</v>
      </c>
      <c r="Y111">
        <f>excelsalesdata[[#This Row],[Gross_sales]]-excelsalesdata[[#This Row],[Discount_amt]]</f>
        <v>6764</v>
      </c>
      <c r="Z111" s="4">
        <f>excelsalesdata[[#This Row],[Net_sales]]-excelsalesdata[[#This Row],[Cost]]</f>
        <v>2104</v>
      </c>
      <c r="AA111" s="5">
        <f>excelsalesdata[[#This Row],[Profit]]/excelsalesdata[[#This Row],[Net_sales]]</f>
        <v>0.31105854523950327</v>
      </c>
      <c r="AB111" s="4">
        <f>YEAR(excelsalesdata[[#This Row],[Order_Date]])</f>
        <v>2025</v>
      </c>
      <c r="AC111" s="4" t="str">
        <f>TEXT(excelsalesdata[[#This Row],[Order_Date]],"mmm")</f>
        <v>Jul</v>
      </c>
      <c r="AD111" s="4" t="str">
        <f>"Q"&amp;ROUNDUP(MONTH(excelsalesdata[[#This Row],[Order_Date]])/3,0)</f>
        <v>Q3</v>
      </c>
    </row>
    <row r="112" spans="1:30" x14ac:dyDescent="0.35">
      <c r="A112" t="s">
        <v>397</v>
      </c>
      <c r="B112" s="3">
        <v>45870</v>
      </c>
      <c r="C112" t="s">
        <v>398</v>
      </c>
      <c r="D112" t="s">
        <v>254</v>
      </c>
      <c r="E112" t="str">
        <f>TRIM(excelsalesdata[[#This Row],[Customer_Name]])</f>
        <v>Meera Sharma</v>
      </c>
      <c r="F112" t="s">
        <v>23</v>
      </c>
      <c r="G112">
        <v>55</v>
      </c>
      <c r="H112" t="s">
        <v>71</v>
      </c>
      <c r="I112" t="str">
        <f>TRIM(excelsalesdata[[#This Row],[City]])</f>
        <v>Bhubaneswar</v>
      </c>
      <c r="J112" t="s">
        <v>72</v>
      </c>
      <c r="K112" t="s">
        <v>37</v>
      </c>
      <c r="L112" t="s">
        <v>85</v>
      </c>
      <c r="M112" t="s">
        <v>202</v>
      </c>
      <c r="N112" t="s">
        <v>202</v>
      </c>
      <c r="O112">
        <v>3</v>
      </c>
      <c r="P112">
        <v>940</v>
      </c>
      <c r="Q112">
        <v>0.2</v>
      </c>
      <c r="R112">
        <v>400</v>
      </c>
      <c r="S112" t="s">
        <v>151</v>
      </c>
      <c r="T112" t="s">
        <v>30</v>
      </c>
      <c r="U112">
        <v>4</v>
      </c>
      <c r="V112" t="s">
        <v>31</v>
      </c>
      <c r="W112">
        <f>excelsalesdata[[#This Row],[Quantity]]*excelsalesdata[[#This Row],[Unit_Price]]</f>
        <v>2820</v>
      </c>
      <c r="X112">
        <f>excelsalesdata[[#This Row],[Gross_sales]]*excelsalesdata[[#This Row],[Discount_%]]</f>
        <v>564</v>
      </c>
      <c r="Y112">
        <f>excelsalesdata[[#This Row],[Gross_sales]]-excelsalesdata[[#This Row],[Discount_amt]]</f>
        <v>2256</v>
      </c>
      <c r="Z112" s="4">
        <f>excelsalesdata[[#This Row],[Net_sales]]-excelsalesdata[[#This Row],[Cost]]</f>
        <v>1856</v>
      </c>
      <c r="AA112" s="5">
        <f>excelsalesdata[[#This Row],[Profit]]/excelsalesdata[[#This Row],[Net_sales]]</f>
        <v>0.82269503546099287</v>
      </c>
      <c r="AB112" s="4">
        <f>YEAR(excelsalesdata[[#This Row],[Order_Date]])</f>
        <v>2025</v>
      </c>
      <c r="AC112" s="4" t="str">
        <f>TEXT(excelsalesdata[[#This Row],[Order_Date]],"mmm")</f>
        <v>Aug</v>
      </c>
      <c r="AD112" s="4" t="str">
        <f>"Q"&amp;ROUNDUP(MONTH(excelsalesdata[[#This Row],[Order_Date]])/3,0)</f>
        <v>Q3</v>
      </c>
    </row>
    <row r="113" spans="1:30" x14ac:dyDescent="0.35">
      <c r="A113" t="s">
        <v>400</v>
      </c>
      <c r="B113" s="3">
        <v>45871</v>
      </c>
      <c r="C113" t="s">
        <v>249</v>
      </c>
      <c r="D113" t="s">
        <v>403</v>
      </c>
      <c r="E113" t="str">
        <f>TRIM(excelsalesdata[[#This Row],[Customer_Name]])</f>
        <v>Diya Iyer</v>
      </c>
      <c r="F113" t="s">
        <v>44</v>
      </c>
      <c r="G113">
        <v>24</v>
      </c>
      <c r="H113" t="s">
        <v>78</v>
      </c>
      <c r="I113" t="str">
        <f>TRIM(excelsalesdata[[#This Row],[City]])</f>
        <v>Guwahati</v>
      </c>
      <c r="J113" t="s">
        <v>79</v>
      </c>
      <c r="K113" t="s">
        <v>37</v>
      </c>
      <c r="L113" t="s">
        <v>93</v>
      </c>
      <c r="M113" t="s">
        <v>375</v>
      </c>
      <c r="N113" t="s">
        <v>375</v>
      </c>
      <c r="O113">
        <v>2</v>
      </c>
      <c r="P113">
        <v>2230</v>
      </c>
      <c r="Q113">
        <v>0.1</v>
      </c>
      <c r="R113">
        <v>1190</v>
      </c>
      <c r="S113" t="s">
        <v>29</v>
      </c>
      <c r="T113" t="s">
        <v>30</v>
      </c>
      <c r="U113">
        <v>2</v>
      </c>
      <c r="V113" t="s">
        <v>40</v>
      </c>
      <c r="W113">
        <f>excelsalesdata[[#This Row],[Quantity]]*excelsalesdata[[#This Row],[Unit_Price]]</f>
        <v>4460</v>
      </c>
      <c r="X113">
        <f>excelsalesdata[[#This Row],[Gross_sales]]*excelsalesdata[[#This Row],[Discount_%]]</f>
        <v>446</v>
      </c>
      <c r="Y113">
        <f>excelsalesdata[[#This Row],[Gross_sales]]-excelsalesdata[[#This Row],[Discount_amt]]</f>
        <v>4014</v>
      </c>
      <c r="Z113" s="4">
        <f>excelsalesdata[[#This Row],[Net_sales]]-excelsalesdata[[#This Row],[Cost]]</f>
        <v>2824</v>
      </c>
      <c r="AA113" s="5">
        <f>excelsalesdata[[#This Row],[Profit]]/excelsalesdata[[#This Row],[Net_sales]]</f>
        <v>0.70353761833582462</v>
      </c>
      <c r="AB113" s="4">
        <f>YEAR(excelsalesdata[[#This Row],[Order_Date]])</f>
        <v>2025</v>
      </c>
      <c r="AC113" s="4" t="str">
        <f>TEXT(excelsalesdata[[#This Row],[Order_Date]],"mmm")</f>
        <v>Aug</v>
      </c>
      <c r="AD113" s="4" t="str">
        <f>"Q"&amp;ROUNDUP(MONTH(excelsalesdata[[#This Row],[Order_Date]])/3,0)</f>
        <v>Q3</v>
      </c>
    </row>
    <row r="114" spans="1:30" x14ac:dyDescent="0.35">
      <c r="A114" t="s">
        <v>401</v>
      </c>
      <c r="B114" s="3">
        <v>45872</v>
      </c>
      <c r="C114" t="s">
        <v>402</v>
      </c>
      <c r="D114" t="s">
        <v>406</v>
      </c>
      <c r="E114" t="str">
        <f>TRIM(excelsalesdata[[#This Row],[Customer_Name]])</f>
        <v>Ishita Joshi</v>
      </c>
      <c r="F114" t="s">
        <v>44</v>
      </c>
      <c r="G114">
        <v>23</v>
      </c>
      <c r="H114" t="s">
        <v>60</v>
      </c>
      <c r="I114" t="str">
        <f>TRIM(excelsalesdata[[#This Row],[City]])</f>
        <v>Chandigarh</v>
      </c>
      <c r="J114" t="s">
        <v>60</v>
      </c>
      <c r="K114" t="s">
        <v>61</v>
      </c>
      <c r="L114" t="s">
        <v>54</v>
      </c>
      <c r="M114" t="s">
        <v>157</v>
      </c>
      <c r="N114" t="s">
        <v>157</v>
      </c>
      <c r="O114">
        <v>1</v>
      </c>
      <c r="P114">
        <v>51910</v>
      </c>
      <c r="Q114">
        <v>0.1</v>
      </c>
      <c r="R114">
        <v>40930</v>
      </c>
      <c r="S114" t="s">
        <v>80</v>
      </c>
      <c r="T114" t="s">
        <v>30</v>
      </c>
      <c r="U114">
        <v>4</v>
      </c>
      <c r="V114" t="s">
        <v>40</v>
      </c>
      <c r="W114">
        <f>excelsalesdata[[#This Row],[Quantity]]*excelsalesdata[[#This Row],[Unit_Price]]</f>
        <v>51910</v>
      </c>
      <c r="X114">
        <f>excelsalesdata[[#This Row],[Gross_sales]]*excelsalesdata[[#This Row],[Discount_%]]</f>
        <v>5191</v>
      </c>
      <c r="Y114">
        <f>excelsalesdata[[#This Row],[Gross_sales]]-excelsalesdata[[#This Row],[Discount_amt]]</f>
        <v>46719</v>
      </c>
      <c r="Z114" s="4">
        <f>excelsalesdata[[#This Row],[Net_sales]]-excelsalesdata[[#This Row],[Cost]]</f>
        <v>5789</v>
      </c>
      <c r="AA114" s="5">
        <f>excelsalesdata[[#This Row],[Profit]]/excelsalesdata[[#This Row],[Net_sales]]</f>
        <v>0.12391104261649435</v>
      </c>
      <c r="AB114" s="4">
        <f>YEAR(excelsalesdata[[#This Row],[Order_Date]])</f>
        <v>2025</v>
      </c>
      <c r="AC114" s="4" t="str">
        <f>TEXT(excelsalesdata[[#This Row],[Order_Date]],"mmm")</f>
        <v>Aug</v>
      </c>
      <c r="AD114" s="4" t="str">
        <f>"Q"&amp;ROUNDUP(MONTH(excelsalesdata[[#This Row],[Order_Date]])/3,0)</f>
        <v>Q3</v>
      </c>
    </row>
    <row r="115" spans="1:30" x14ac:dyDescent="0.35">
      <c r="A115" t="s">
        <v>404</v>
      </c>
      <c r="B115" s="3">
        <v>45873</v>
      </c>
      <c r="C115" t="s">
        <v>405</v>
      </c>
      <c r="D115" t="s">
        <v>318</v>
      </c>
      <c r="E115" t="str">
        <f>TRIM(excelsalesdata[[#This Row],[Customer_Name]])</f>
        <v>Kavya Joshi</v>
      </c>
      <c r="F115" t="s">
        <v>44</v>
      </c>
      <c r="G115">
        <v>40</v>
      </c>
      <c r="H115" t="s">
        <v>185</v>
      </c>
      <c r="I115" t="str">
        <f>TRIM(excelsalesdata[[#This Row],[City]])</f>
        <v>Lucknow</v>
      </c>
      <c r="J115" t="s">
        <v>186</v>
      </c>
      <c r="K115" t="s">
        <v>61</v>
      </c>
      <c r="L115" t="s">
        <v>54</v>
      </c>
      <c r="M115" t="s">
        <v>62</v>
      </c>
      <c r="N115" t="s">
        <v>62</v>
      </c>
      <c r="O115">
        <v>4</v>
      </c>
      <c r="P115">
        <v>21100</v>
      </c>
      <c r="Q115">
        <v>0.25</v>
      </c>
      <c r="R115">
        <v>14820</v>
      </c>
      <c r="S115" t="s">
        <v>67</v>
      </c>
      <c r="T115" t="s">
        <v>30</v>
      </c>
      <c r="U115">
        <v>2</v>
      </c>
      <c r="V115" t="s">
        <v>31</v>
      </c>
      <c r="W115">
        <f>excelsalesdata[[#This Row],[Quantity]]*excelsalesdata[[#This Row],[Unit_Price]]</f>
        <v>84400</v>
      </c>
      <c r="X115">
        <f>excelsalesdata[[#This Row],[Gross_sales]]*excelsalesdata[[#This Row],[Discount_%]]</f>
        <v>21100</v>
      </c>
      <c r="Y115">
        <f>excelsalesdata[[#This Row],[Gross_sales]]-excelsalesdata[[#This Row],[Discount_amt]]</f>
        <v>63300</v>
      </c>
      <c r="Z115" s="4">
        <f>excelsalesdata[[#This Row],[Net_sales]]-excelsalesdata[[#This Row],[Cost]]</f>
        <v>48480</v>
      </c>
      <c r="AA115" s="5">
        <f>excelsalesdata[[#This Row],[Profit]]/excelsalesdata[[#This Row],[Net_sales]]</f>
        <v>0.76587677725118486</v>
      </c>
      <c r="AB115" s="4">
        <f>YEAR(excelsalesdata[[#This Row],[Order_Date]])</f>
        <v>2025</v>
      </c>
      <c r="AC115" s="4" t="str">
        <f>TEXT(excelsalesdata[[#This Row],[Order_Date]],"mmm")</f>
        <v>Aug</v>
      </c>
      <c r="AD115" s="4" t="str">
        <f>"Q"&amp;ROUNDUP(MONTH(excelsalesdata[[#This Row],[Order_Date]])/3,0)</f>
        <v>Q3</v>
      </c>
    </row>
    <row r="116" spans="1:30" x14ac:dyDescent="0.35">
      <c r="A116" t="s">
        <v>407</v>
      </c>
      <c r="B116" s="3">
        <v>45874</v>
      </c>
      <c r="C116" t="s">
        <v>408</v>
      </c>
      <c r="D116" t="s">
        <v>22</v>
      </c>
      <c r="E116" t="str">
        <f>TRIM(excelsalesdata[[#This Row],[Customer_Name]])</f>
        <v>Sneha Naidu</v>
      </c>
      <c r="F116" t="s">
        <v>23</v>
      </c>
      <c r="G116">
        <v>45</v>
      </c>
      <c r="H116" t="s">
        <v>114</v>
      </c>
      <c r="I116" t="str">
        <f>TRIM(excelsalesdata[[#This Row],[City]])</f>
        <v>Hyderabad</v>
      </c>
      <c r="J116" t="s">
        <v>115</v>
      </c>
      <c r="K116" t="s">
        <v>47</v>
      </c>
      <c r="L116" t="s">
        <v>27</v>
      </c>
      <c r="M116" t="s">
        <v>48</v>
      </c>
      <c r="N116" t="s">
        <v>48</v>
      </c>
      <c r="O116">
        <v>2</v>
      </c>
      <c r="P116">
        <v>930</v>
      </c>
      <c r="Q116">
        <v>0.05</v>
      </c>
      <c r="R116">
        <v>450</v>
      </c>
      <c r="S116" t="s">
        <v>29</v>
      </c>
      <c r="T116" t="s">
        <v>30</v>
      </c>
      <c r="U116">
        <v>4</v>
      </c>
      <c r="V116" t="s">
        <v>40</v>
      </c>
      <c r="W116">
        <f>excelsalesdata[[#This Row],[Quantity]]*excelsalesdata[[#This Row],[Unit_Price]]</f>
        <v>1860</v>
      </c>
      <c r="X116">
        <f>excelsalesdata[[#This Row],[Gross_sales]]*excelsalesdata[[#This Row],[Discount_%]]</f>
        <v>93</v>
      </c>
      <c r="Y116">
        <f>excelsalesdata[[#This Row],[Gross_sales]]-excelsalesdata[[#This Row],[Discount_amt]]</f>
        <v>1767</v>
      </c>
      <c r="Z116" s="4">
        <f>excelsalesdata[[#This Row],[Net_sales]]-excelsalesdata[[#This Row],[Cost]]</f>
        <v>1317</v>
      </c>
      <c r="AA116" s="5">
        <f>excelsalesdata[[#This Row],[Profit]]/excelsalesdata[[#This Row],[Net_sales]]</f>
        <v>0.74533106960950768</v>
      </c>
      <c r="AB116" s="4">
        <f>YEAR(excelsalesdata[[#This Row],[Order_Date]])</f>
        <v>2025</v>
      </c>
      <c r="AC116" s="4" t="str">
        <f>TEXT(excelsalesdata[[#This Row],[Order_Date]],"mmm")</f>
        <v>Aug</v>
      </c>
      <c r="AD116" s="4" t="str">
        <f>"Q"&amp;ROUNDUP(MONTH(excelsalesdata[[#This Row],[Order_Date]])/3,0)</f>
        <v>Q3</v>
      </c>
    </row>
    <row r="117" spans="1:30" x14ac:dyDescent="0.35">
      <c r="A117" t="s">
        <v>409</v>
      </c>
      <c r="B117" s="3">
        <v>45875</v>
      </c>
      <c r="C117" t="s">
        <v>410</v>
      </c>
      <c r="D117" t="s">
        <v>413</v>
      </c>
      <c r="E117" t="str">
        <f>TRIM(excelsalesdata[[#This Row],[Customer_Name]])</f>
        <v>Rahul Mehta</v>
      </c>
      <c r="F117" t="s">
        <v>23</v>
      </c>
      <c r="G117">
        <v>59</v>
      </c>
      <c r="H117" t="s">
        <v>35</v>
      </c>
      <c r="I117" t="str">
        <f>TRIM(excelsalesdata[[#This Row],[City]])</f>
        <v>Kolkata</v>
      </c>
      <c r="J117" t="s">
        <v>36</v>
      </c>
      <c r="K117" t="s">
        <v>37</v>
      </c>
      <c r="L117" t="s">
        <v>54</v>
      </c>
      <c r="M117" t="s">
        <v>55</v>
      </c>
      <c r="N117" t="s">
        <v>55</v>
      </c>
      <c r="O117">
        <v>1</v>
      </c>
      <c r="P117">
        <v>6540</v>
      </c>
      <c r="Q117">
        <v>0.2</v>
      </c>
      <c r="R117">
        <v>4440</v>
      </c>
      <c r="S117" t="s">
        <v>80</v>
      </c>
      <c r="T117" t="s">
        <v>30</v>
      </c>
      <c r="U117">
        <v>1</v>
      </c>
      <c r="V117" t="s">
        <v>40</v>
      </c>
      <c r="W117">
        <f>excelsalesdata[[#This Row],[Quantity]]*excelsalesdata[[#This Row],[Unit_Price]]</f>
        <v>6540</v>
      </c>
      <c r="X117">
        <f>excelsalesdata[[#This Row],[Gross_sales]]*excelsalesdata[[#This Row],[Discount_%]]</f>
        <v>1308</v>
      </c>
      <c r="Y117">
        <f>excelsalesdata[[#This Row],[Gross_sales]]-excelsalesdata[[#This Row],[Discount_amt]]</f>
        <v>5232</v>
      </c>
      <c r="Z117" s="4">
        <f>excelsalesdata[[#This Row],[Net_sales]]-excelsalesdata[[#This Row],[Cost]]</f>
        <v>792</v>
      </c>
      <c r="AA117" s="5">
        <f>excelsalesdata[[#This Row],[Profit]]/excelsalesdata[[#This Row],[Net_sales]]</f>
        <v>0.15137614678899083</v>
      </c>
      <c r="AB117" s="4">
        <f>YEAR(excelsalesdata[[#This Row],[Order_Date]])</f>
        <v>2025</v>
      </c>
      <c r="AC117" s="4" t="str">
        <f>TEXT(excelsalesdata[[#This Row],[Order_Date]],"mmm")</f>
        <v>Aug</v>
      </c>
      <c r="AD117" s="4" t="str">
        <f>"Q"&amp;ROUNDUP(MONTH(excelsalesdata[[#This Row],[Order_Date]])/3,0)</f>
        <v>Q3</v>
      </c>
    </row>
    <row r="118" spans="1:30" x14ac:dyDescent="0.35">
      <c r="A118" t="s">
        <v>411</v>
      </c>
      <c r="B118" s="3">
        <v>45876</v>
      </c>
      <c r="C118" t="s">
        <v>412</v>
      </c>
      <c r="D118" t="s">
        <v>244</v>
      </c>
      <c r="E118" t="str">
        <f>TRIM(excelsalesdata[[#This Row],[Customer_Name]])</f>
        <v>Karan Das</v>
      </c>
      <c r="F118" t="s">
        <v>44</v>
      </c>
      <c r="G118">
        <v>26</v>
      </c>
      <c r="H118" t="s">
        <v>78</v>
      </c>
      <c r="I118" t="str">
        <f>TRIM(excelsalesdata[[#This Row],[City]])</f>
        <v>Guwahati</v>
      </c>
      <c r="J118" t="s">
        <v>79</v>
      </c>
      <c r="K118" t="s">
        <v>37</v>
      </c>
      <c r="L118" t="s">
        <v>27</v>
      </c>
      <c r="M118" t="s">
        <v>48</v>
      </c>
      <c r="N118" t="s">
        <v>48</v>
      </c>
      <c r="O118">
        <v>1</v>
      </c>
      <c r="P118">
        <v>960</v>
      </c>
      <c r="Q118">
        <v>0.15</v>
      </c>
      <c r="R118">
        <v>450</v>
      </c>
      <c r="S118" t="s">
        <v>29</v>
      </c>
      <c r="T118" t="s">
        <v>30</v>
      </c>
      <c r="U118">
        <v>5</v>
      </c>
      <c r="V118" t="s">
        <v>40</v>
      </c>
      <c r="W118">
        <f>excelsalesdata[[#This Row],[Quantity]]*excelsalesdata[[#This Row],[Unit_Price]]</f>
        <v>960</v>
      </c>
      <c r="X118">
        <f>excelsalesdata[[#This Row],[Gross_sales]]*excelsalesdata[[#This Row],[Discount_%]]</f>
        <v>144</v>
      </c>
      <c r="Y118">
        <f>excelsalesdata[[#This Row],[Gross_sales]]-excelsalesdata[[#This Row],[Discount_amt]]</f>
        <v>816</v>
      </c>
      <c r="Z118" s="4">
        <f>excelsalesdata[[#This Row],[Net_sales]]-excelsalesdata[[#This Row],[Cost]]</f>
        <v>366</v>
      </c>
      <c r="AA118" s="5">
        <f>excelsalesdata[[#This Row],[Profit]]/excelsalesdata[[#This Row],[Net_sales]]</f>
        <v>0.4485294117647059</v>
      </c>
      <c r="AB118" s="4">
        <f>YEAR(excelsalesdata[[#This Row],[Order_Date]])</f>
        <v>2025</v>
      </c>
      <c r="AC118" s="4" t="str">
        <f>TEXT(excelsalesdata[[#This Row],[Order_Date]],"mmm")</f>
        <v>Aug</v>
      </c>
      <c r="AD118" s="4" t="str">
        <f>"Q"&amp;ROUNDUP(MONTH(excelsalesdata[[#This Row],[Order_Date]])/3,0)</f>
        <v>Q3</v>
      </c>
    </row>
    <row r="119" spans="1:30" x14ac:dyDescent="0.35">
      <c r="A119" t="s">
        <v>414</v>
      </c>
      <c r="B119" s="3">
        <v>45877</v>
      </c>
      <c r="C119" t="s">
        <v>415</v>
      </c>
      <c r="D119" t="s">
        <v>371</v>
      </c>
      <c r="E119" t="str">
        <f>TRIM(excelsalesdata[[#This Row],[Customer_Name]])</f>
        <v>Karan Bhat</v>
      </c>
      <c r="F119" t="s">
        <v>23</v>
      </c>
      <c r="G119">
        <v>36</v>
      </c>
      <c r="H119" t="s">
        <v>155</v>
      </c>
      <c r="I119" t="str">
        <f>TRIM(excelsalesdata[[#This Row],[City]])</f>
        <v>Chennai</v>
      </c>
      <c r="J119" t="s">
        <v>156</v>
      </c>
      <c r="K119" t="s">
        <v>47</v>
      </c>
      <c r="L119" t="s">
        <v>54</v>
      </c>
      <c r="M119" t="s">
        <v>157</v>
      </c>
      <c r="N119" t="s">
        <v>157</v>
      </c>
      <c r="O119">
        <v>1</v>
      </c>
      <c r="P119">
        <v>52670</v>
      </c>
      <c r="Q119">
        <v>0.2</v>
      </c>
      <c r="R119">
        <v>41890</v>
      </c>
      <c r="S119" t="s">
        <v>80</v>
      </c>
      <c r="T119" t="s">
        <v>30</v>
      </c>
      <c r="U119">
        <v>3</v>
      </c>
      <c r="V119" t="s">
        <v>40</v>
      </c>
      <c r="W119">
        <f>excelsalesdata[[#This Row],[Quantity]]*excelsalesdata[[#This Row],[Unit_Price]]</f>
        <v>52670</v>
      </c>
      <c r="X119">
        <f>excelsalesdata[[#This Row],[Gross_sales]]*excelsalesdata[[#This Row],[Discount_%]]</f>
        <v>10534</v>
      </c>
      <c r="Y119">
        <f>excelsalesdata[[#This Row],[Gross_sales]]-excelsalesdata[[#This Row],[Discount_amt]]</f>
        <v>42136</v>
      </c>
      <c r="Z119" s="4">
        <f>excelsalesdata[[#This Row],[Net_sales]]-excelsalesdata[[#This Row],[Cost]]</f>
        <v>246</v>
      </c>
      <c r="AA119" s="5">
        <f>excelsalesdata[[#This Row],[Profit]]/excelsalesdata[[#This Row],[Net_sales]]</f>
        <v>5.8382380861970763E-3</v>
      </c>
      <c r="AB119" s="4">
        <f>YEAR(excelsalesdata[[#This Row],[Order_Date]])</f>
        <v>2025</v>
      </c>
      <c r="AC119" s="4" t="str">
        <f>TEXT(excelsalesdata[[#This Row],[Order_Date]],"mmm")</f>
        <v>Aug</v>
      </c>
      <c r="AD119" s="4" t="str">
        <f>"Q"&amp;ROUNDUP(MONTH(excelsalesdata[[#This Row],[Order_Date]])/3,0)</f>
        <v>Q3</v>
      </c>
    </row>
    <row r="120" spans="1:30" x14ac:dyDescent="0.35">
      <c r="A120" t="s">
        <v>416</v>
      </c>
      <c r="B120" s="3">
        <v>45878</v>
      </c>
      <c r="C120" t="s">
        <v>159</v>
      </c>
      <c r="D120" t="s">
        <v>658</v>
      </c>
      <c r="E120" t="str">
        <f>TRIM(excelsalesdata[[#This Row],[Customer_Name]])</f>
        <v>Vikram Mehta</v>
      </c>
      <c r="F120" t="s">
        <v>23</v>
      </c>
      <c r="G120">
        <v>26</v>
      </c>
      <c r="H120" t="s">
        <v>71</v>
      </c>
      <c r="I120" t="str">
        <f>TRIM(excelsalesdata[[#This Row],[City]])</f>
        <v>Bhubaneswar</v>
      </c>
      <c r="J120" t="s">
        <v>72</v>
      </c>
      <c r="K120" t="s">
        <v>37</v>
      </c>
      <c r="L120" t="s">
        <v>27</v>
      </c>
      <c r="M120" t="s">
        <v>195</v>
      </c>
      <c r="N120" t="s">
        <v>195</v>
      </c>
      <c r="O120">
        <v>2</v>
      </c>
      <c r="P120">
        <v>2370</v>
      </c>
      <c r="Q120">
        <v>0</v>
      </c>
      <c r="R120">
        <v>1220</v>
      </c>
      <c r="S120" t="s">
        <v>80</v>
      </c>
      <c r="T120" t="s">
        <v>30</v>
      </c>
      <c r="U120">
        <v>5</v>
      </c>
      <c r="V120" t="s">
        <v>31</v>
      </c>
      <c r="W120">
        <f>excelsalesdata[[#This Row],[Quantity]]*excelsalesdata[[#This Row],[Unit_Price]]</f>
        <v>4740</v>
      </c>
      <c r="X120">
        <f>excelsalesdata[[#This Row],[Gross_sales]]*excelsalesdata[[#This Row],[Discount_%]]</f>
        <v>0</v>
      </c>
      <c r="Y120">
        <f>excelsalesdata[[#This Row],[Gross_sales]]-excelsalesdata[[#This Row],[Discount_amt]]</f>
        <v>4740</v>
      </c>
      <c r="Z120" s="4">
        <f>excelsalesdata[[#This Row],[Net_sales]]-excelsalesdata[[#This Row],[Cost]]</f>
        <v>3520</v>
      </c>
      <c r="AA120" s="5">
        <f>excelsalesdata[[#This Row],[Profit]]/excelsalesdata[[#This Row],[Net_sales]]</f>
        <v>0.7426160337552743</v>
      </c>
      <c r="AB120" s="4">
        <f>YEAR(excelsalesdata[[#This Row],[Order_Date]])</f>
        <v>2025</v>
      </c>
      <c r="AC120" s="4" t="str">
        <f>TEXT(excelsalesdata[[#This Row],[Order_Date]],"mmm")</f>
        <v>Aug</v>
      </c>
      <c r="AD120" s="4" t="str">
        <f>"Q"&amp;ROUNDUP(MONTH(excelsalesdata[[#This Row],[Order_Date]])/3,0)</f>
        <v>Q3</v>
      </c>
    </row>
    <row r="121" spans="1:30" x14ac:dyDescent="0.35">
      <c r="A121" t="s">
        <v>417</v>
      </c>
      <c r="B121" s="3">
        <v>45879</v>
      </c>
      <c r="C121" t="s">
        <v>418</v>
      </c>
      <c r="D121" t="s">
        <v>420</v>
      </c>
      <c r="E121" t="str">
        <f>TRIM(excelsalesdata[[#This Row],[Customer_Name]])</f>
        <v>Vivaan Mehta</v>
      </c>
      <c r="F121" t="s">
        <v>23</v>
      </c>
      <c r="G121">
        <v>21</v>
      </c>
      <c r="H121" t="s">
        <v>168</v>
      </c>
      <c r="I121" t="str">
        <f>TRIM(excelsalesdata[[#This Row],[City]])</f>
        <v>Delhi</v>
      </c>
      <c r="J121" t="s">
        <v>168</v>
      </c>
      <c r="K121" t="s">
        <v>61</v>
      </c>
      <c r="L121" t="s">
        <v>38</v>
      </c>
      <c r="M121" t="s">
        <v>255</v>
      </c>
      <c r="N121" t="s">
        <v>255</v>
      </c>
      <c r="O121">
        <v>1</v>
      </c>
      <c r="P121">
        <v>4200</v>
      </c>
      <c r="Q121">
        <v>0.2</v>
      </c>
      <c r="R121">
        <v>2810</v>
      </c>
      <c r="S121" t="s">
        <v>80</v>
      </c>
      <c r="T121" t="s">
        <v>30</v>
      </c>
      <c r="U121">
        <v>3</v>
      </c>
      <c r="V121" t="s">
        <v>31</v>
      </c>
      <c r="W121">
        <f>excelsalesdata[[#This Row],[Quantity]]*excelsalesdata[[#This Row],[Unit_Price]]</f>
        <v>4200</v>
      </c>
      <c r="X121">
        <f>excelsalesdata[[#This Row],[Gross_sales]]*excelsalesdata[[#This Row],[Discount_%]]</f>
        <v>840</v>
      </c>
      <c r="Y121">
        <f>excelsalesdata[[#This Row],[Gross_sales]]-excelsalesdata[[#This Row],[Discount_amt]]</f>
        <v>3360</v>
      </c>
      <c r="Z121" s="4">
        <f>excelsalesdata[[#This Row],[Net_sales]]-excelsalesdata[[#This Row],[Cost]]</f>
        <v>550</v>
      </c>
      <c r="AA121" s="5">
        <f>excelsalesdata[[#This Row],[Profit]]/excelsalesdata[[#This Row],[Net_sales]]</f>
        <v>0.16369047619047619</v>
      </c>
      <c r="AB121" s="4">
        <f>YEAR(excelsalesdata[[#This Row],[Order_Date]])</f>
        <v>2025</v>
      </c>
      <c r="AC121" s="4" t="str">
        <f>TEXT(excelsalesdata[[#This Row],[Order_Date]],"mmm")</f>
        <v>Aug</v>
      </c>
      <c r="AD121" s="4" t="str">
        <f>"Q"&amp;ROUNDUP(MONTH(excelsalesdata[[#This Row],[Order_Date]])/3,0)</f>
        <v>Q3</v>
      </c>
    </row>
    <row r="122" spans="1:30" x14ac:dyDescent="0.35">
      <c r="A122" t="s">
        <v>419</v>
      </c>
      <c r="B122" s="3">
        <v>45880</v>
      </c>
      <c r="C122" t="s">
        <v>354</v>
      </c>
      <c r="D122" t="s">
        <v>423</v>
      </c>
      <c r="E122" t="str">
        <f>TRIM(excelsalesdata[[#This Row],[Customer_Name]])</f>
        <v>Kavya Kumar</v>
      </c>
      <c r="F122" t="s">
        <v>23</v>
      </c>
      <c r="G122">
        <v>44</v>
      </c>
      <c r="H122" t="s">
        <v>45</v>
      </c>
      <c r="I122" t="str">
        <f>TRIM(excelsalesdata[[#This Row],[City]])</f>
        <v>Kochi</v>
      </c>
      <c r="J122" t="s">
        <v>46</v>
      </c>
      <c r="K122" t="s">
        <v>47</v>
      </c>
      <c r="L122" t="s">
        <v>54</v>
      </c>
      <c r="M122" t="s">
        <v>157</v>
      </c>
      <c r="N122" t="s">
        <v>157</v>
      </c>
      <c r="O122">
        <v>2</v>
      </c>
      <c r="P122">
        <v>52630</v>
      </c>
      <c r="Q122">
        <v>0.1</v>
      </c>
      <c r="R122">
        <v>40700</v>
      </c>
      <c r="S122" t="s">
        <v>29</v>
      </c>
      <c r="T122" t="s">
        <v>30</v>
      </c>
      <c r="U122">
        <v>3</v>
      </c>
      <c r="V122" t="s">
        <v>31</v>
      </c>
      <c r="W122">
        <f>excelsalesdata[[#This Row],[Quantity]]*excelsalesdata[[#This Row],[Unit_Price]]</f>
        <v>105260</v>
      </c>
      <c r="X122">
        <f>excelsalesdata[[#This Row],[Gross_sales]]*excelsalesdata[[#This Row],[Discount_%]]</f>
        <v>10526</v>
      </c>
      <c r="Y122">
        <f>excelsalesdata[[#This Row],[Gross_sales]]-excelsalesdata[[#This Row],[Discount_amt]]</f>
        <v>94734</v>
      </c>
      <c r="Z122" s="4">
        <f>excelsalesdata[[#This Row],[Net_sales]]-excelsalesdata[[#This Row],[Cost]]</f>
        <v>54034</v>
      </c>
      <c r="AA122" s="5">
        <f>excelsalesdata[[#This Row],[Profit]]/excelsalesdata[[#This Row],[Net_sales]]</f>
        <v>0.570376000168894</v>
      </c>
      <c r="AB122" s="4">
        <f>YEAR(excelsalesdata[[#This Row],[Order_Date]])</f>
        <v>2025</v>
      </c>
      <c r="AC122" s="4" t="str">
        <f>TEXT(excelsalesdata[[#This Row],[Order_Date]],"mmm")</f>
        <v>Aug</v>
      </c>
      <c r="AD122" s="4" t="str">
        <f>"Q"&amp;ROUNDUP(MONTH(excelsalesdata[[#This Row],[Order_Date]])/3,0)</f>
        <v>Q3</v>
      </c>
    </row>
    <row r="123" spans="1:30" x14ac:dyDescent="0.35">
      <c r="A123" t="s">
        <v>421</v>
      </c>
      <c r="B123" s="3">
        <v>45881</v>
      </c>
      <c r="C123" t="s">
        <v>422</v>
      </c>
      <c r="D123" t="s">
        <v>426</v>
      </c>
      <c r="E123" t="str">
        <f>TRIM(excelsalesdata[[#This Row],[Customer_Name]])</f>
        <v>Kavya Verma</v>
      </c>
      <c r="F123" t="s">
        <v>44</v>
      </c>
      <c r="G123">
        <v>53</v>
      </c>
      <c r="H123" t="s">
        <v>45</v>
      </c>
      <c r="I123" t="str">
        <f>TRIM(excelsalesdata[[#This Row],[City]])</f>
        <v>Kochi</v>
      </c>
      <c r="J123" t="s">
        <v>46</v>
      </c>
      <c r="K123" t="s">
        <v>47</v>
      </c>
      <c r="L123" t="s">
        <v>54</v>
      </c>
      <c r="M123" t="s">
        <v>129</v>
      </c>
      <c r="N123" t="s">
        <v>129</v>
      </c>
      <c r="O123">
        <v>1</v>
      </c>
      <c r="P123">
        <v>17740</v>
      </c>
      <c r="Q123">
        <v>0.1</v>
      </c>
      <c r="R123">
        <v>12900</v>
      </c>
      <c r="S123" t="s">
        <v>29</v>
      </c>
      <c r="T123" t="s">
        <v>30</v>
      </c>
      <c r="U123">
        <v>8</v>
      </c>
      <c r="V123" t="s">
        <v>31</v>
      </c>
      <c r="W123">
        <f>excelsalesdata[[#This Row],[Quantity]]*excelsalesdata[[#This Row],[Unit_Price]]</f>
        <v>17740</v>
      </c>
      <c r="X123">
        <f>excelsalesdata[[#This Row],[Gross_sales]]*excelsalesdata[[#This Row],[Discount_%]]</f>
        <v>1774</v>
      </c>
      <c r="Y123">
        <f>excelsalesdata[[#This Row],[Gross_sales]]-excelsalesdata[[#This Row],[Discount_amt]]</f>
        <v>15966</v>
      </c>
      <c r="Z123" s="4">
        <f>excelsalesdata[[#This Row],[Net_sales]]-excelsalesdata[[#This Row],[Cost]]</f>
        <v>3066</v>
      </c>
      <c r="AA123" s="5">
        <f>excelsalesdata[[#This Row],[Profit]]/excelsalesdata[[#This Row],[Net_sales]]</f>
        <v>0.19203307027433295</v>
      </c>
      <c r="AB123" s="4">
        <f>YEAR(excelsalesdata[[#This Row],[Order_Date]])</f>
        <v>2025</v>
      </c>
      <c r="AC123" s="4" t="str">
        <f>TEXT(excelsalesdata[[#This Row],[Order_Date]],"mmm")</f>
        <v>Aug</v>
      </c>
      <c r="AD123" s="4" t="str">
        <f>"Q"&amp;ROUNDUP(MONTH(excelsalesdata[[#This Row],[Order_Date]])/3,0)</f>
        <v>Q3</v>
      </c>
    </row>
    <row r="124" spans="1:30" x14ac:dyDescent="0.35">
      <c r="A124" t="s">
        <v>424</v>
      </c>
      <c r="B124" s="3">
        <v>45882</v>
      </c>
      <c r="C124" t="s">
        <v>425</v>
      </c>
      <c r="D124" t="s">
        <v>429</v>
      </c>
      <c r="E124" t="str">
        <f>TRIM(excelsalesdata[[#This Row],[Customer_Name]])</f>
        <v>Arjun Patel</v>
      </c>
      <c r="F124" t="s">
        <v>44</v>
      </c>
      <c r="G124">
        <v>57</v>
      </c>
      <c r="H124" t="s">
        <v>98</v>
      </c>
      <c r="I124" t="str">
        <f>TRIM(excelsalesdata[[#This Row],[City]])</f>
        <v>Mumbai</v>
      </c>
      <c r="J124" t="s">
        <v>25</v>
      </c>
      <c r="K124" t="s">
        <v>26</v>
      </c>
      <c r="L124" t="s">
        <v>85</v>
      </c>
      <c r="M124" t="s">
        <v>172</v>
      </c>
      <c r="N124" t="s">
        <v>172</v>
      </c>
      <c r="O124">
        <v>1</v>
      </c>
      <c r="P124">
        <v>4620</v>
      </c>
      <c r="Q124">
        <v>0</v>
      </c>
      <c r="R124">
        <v>2730</v>
      </c>
      <c r="S124" t="s">
        <v>151</v>
      </c>
      <c r="T124" t="s">
        <v>74</v>
      </c>
      <c r="U124">
        <v>4</v>
      </c>
      <c r="V124" t="s">
        <v>40</v>
      </c>
      <c r="W124">
        <f>excelsalesdata[[#This Row],[Quantity]]*excelsalesdata[[#This Row],[Unit_Price]]</f>
        <v>4620</v>
      </c>
      <c r="X124">
        <f>excelsalesdata[[#This Row],[Gross_sales]]*excelsalesdata[[#This Row],[Discount_%]]</f>
        <v>0</v>
      </c>
      <c r="Y124">
        <f>excelsalesdata[[#This Row],[Gross_sales]]-excelsalesdata[[#This Row],[Discount_amt]]</f>
        <v>4620</v>
      </c>
      <c r="Z124" s="4">
        <f>excelsalesdata[[#This Row],[Net_sales]]-excelsalesdata[[#This Row],[Cost]]</f>
        <v>1890</v>
      </c>
      <c r="AA124" s="5">
        <f>excelsalesdata[[#This Row],[Profit]]/excelsalesdata[[#This Row],[Net_sales]]</f>
        <v>0.40909090909090912</v>
      </c>
      <c r="AB124" s="4">
        <f>YEAR(excelsalesdata[[#This Row],[Order_Date]])</f>
        <v>2025</v>
      </c>
      <c r="AC124" s="4" t="str">
        <f>TEXT(excelsalesdata[[#This Row],[Order_Date]],"mmm")</f>
        <v>Aug</v>
      </c>
      <c r="AD124" s="4" t="str">
        <f>"Q"&amp;ROUNDUP(MONTH(excelsalesdata[[#This Row],[Order_Date]])/3,0)</f>
        <v>Q3</v>
      </c>
    </row>
    <row r="125" spans="1:30" x14ac:dyDescent="0.35">
      <c r="A125" t="s">
        <v>427</v>
      </c>
      <c r="B125" s="3">
        <v>45883</v>
      </c>
      <c r="C125" t="s">
        <v>428</v>
      </c>
      <c r="D125" t="s">
        <v>432</v>
      </c>
      <c r="E125" t="str">
        <f>TRIM(excelsalesdata[[#This Row],[Customer_Name]])</f>
        <v>Karan Gupta</v>
      </c>
      <c r="F125" t="s">
        <v>44</v>
      </c>
      <c r="G125">
        <v>53</v>
      </c>
      <c r="H125" t="s">
        <v>52</v>
      </c>
      <c r="I125" t="str">
        <f>TRIM(excelsalesdata[[#This Row],[City]])</f>
        <v>Bengaluru</v>
      </c>
      <c r="J125" t="s">
        <v>53</v>
      </c>
      <c r="K125" t="s">
        <v>47</v>
      </c>
      <c r="L125" t="s">
        <v>54</v>
      </c>
      <c r="M125" t="s">
        <v>62</v>
      </c>
      <c r="N125" t="s">
        <v>62</v>
      </c>
      <c r="O125">
        <v>1</v>
      </c>
      <c r="P125">
        <v>20550</v>
      </c>
      <c r="Q125">
        <v>0.25</v>
      </c>
      <c r="R125">
        <v>15580</v>
      </c>
      <c r="S125" t="s">
        <v>80</v>
      </c>
      <c r="T125" t="s">
        <v>30</v>
      </c>
      <c r="U125">
        <v>3</v>
      </c>
      <c r="V125" t="s">
        <v>40</v>
      </c>
      <c r="W125">
        <f>excelsalesdata[[#This Row],[Quantity]]*excelsalesdata[[#This Row],[Unit_Price]]</f>
        <v>20550</v>
      </c>
      <c r="X125">
        <f>excelsalesdata[[#This Row],[Gross_sales]]*excelsalesdata[[#This Row],[Discount_%]]</f>
        <v>5137.5</v>
      </c>
      <c r="Y125">
        <f>excelsalesdata[[#This Row],[Gross_sales]]-excelsalesdata[[#This Row],[Discount_amt]]</f>
        <v>15412.5</v>
      </c>
      <c r="Z125" s="4">
        <f>excelsalesdata[[#This Row],[Net_sales]]-excelsalesdata[[#This Row],[Cost]]</f>
        <v>-167.5</v>
      </c>
      <c r="AA125" s="5">
        <f>excelsalesdata[[#This Row],[Profit]]/excelsalesdata[[#This Row],[Net_sales]]</f>
        <v>-1.0867802108678021E-2</v>
      </c>
      <c r="AB125" s="4">
        <f>YEAR(excelsalesdata[[#This Row],[Order_Date]])</f>
        <v>2025</v>
      </c>
      <c r="AC125" s="4" t="str">
        <f>TEXT(excelsalesdata[[#This Row],[Order_Date]],"mmm")</f>
        <v>Aug</v>
      </c>
      <c r="AD125" s="4" t="str">
        <f>"Q"&amp;ROUNDUP(MONTH(excelsalesdata[[#This Row],[Order_Date]])/3,0)</f>
        <v>Q3</v>
      </c>
    </row>
    <row r="126" spans="1:30" x14ac:dyDescent="0.35">
      <c r="A126" t="s">
        <v>430</v>
      </c>
      <c r="B126" s="3">
        <v>45884</v>
      </c>
      <c r="C126" t="s">
        <v>431</v>
      </c>
      <c r="D126" t="s">
        <v>285</v>
      </c>
      <c r="E126" t="str">
        <f>TRIM(excelsalesdata[[#This Row],[Customer_Name]])</f>
        <v>Aditya Bhat</v>
      </c>
      <c r="F126" t="s">
        <v>23</v>
      </c>
      <c r="G126">
        <v>60</v>
      </c>
      <c r="H126" t="s">
        <v>78</v>
      </c>
      <c r="I126" t="str">
        <f>TRIM(excelsalesdata[[#This Row],[City]])</f>
        <v>Guwahati</v>
      </c>
      <c r="J126" t="s">
        <v>79</v>
      </c>
      <c r="K126" t="s">
        <v>37</v>
      </c>
      <c r="L126" t="s">
        <v>85</v>
      </c>
      <c r="M126" t="s">
        <v>86</v>
      </c>
      <c r="N126" t="s">
        <v>86</v>
      </c>
      <c r="O126">
        <v>1</v>
      </c>
      <c r="P126">
        <v>2500</v>
      </c>
      <c r="Q126">
        <v>0.1</v>
      </c>
      <c r="R126">
        <v>1510</v>
      </c>
      <c r="S126" t="s">
        <v>105</v>
      </c>
      <c r="T126" t="s">
        <v>30</v>
      </c>
      <c r="U126">
        <v>4</v>
      </c>
      <c r="V126" t="s">
        <v>31</v>
      </c>
      <c r="W126">
        <f>excelsalesdata[[#This Row],[Quantity]]*excelsalesdata[[#This Row],[Unit_Price]]</f>
        <v>2500</v>
      </c>
      <c r="X126">
        <f>excelsalesdata[[#This Row],[Gross_sales]]*excelsalesdata[[#This Row],[Discount_%]]</f>
        <v>250</v>
      </c>
      <c r="Y126">
        <f>excelsalesdata[[#This Row],[Gross_sales]]-excelsalesdata[[#This Row],[Discount_amt]]</f>
        <v>2250</v>
      </c>
      <c r="Z126" s="4">
        <f>excelsalesdata[[#This Row],[Net_sales]]-excelsalesdata[[#This Row],[Cost]]</f>
        <v>740</v>
      </c>
      <c r="AA126" s="5">
        <f>excelsalesdata[[#This Row],[Profit]]/excelsalesdata[[#This Row],[Net_sales]]</f>
        <v>0.3288888888888889</v>
      </c>
      <c r="AB126" s="4">
        <f>YEAR(excelsalesdata[[#This Row],[Order_Date]])</f>
        <v>2025</v>
      </c>
      <c r="AC126" s="4" t="str">
        <f>TEXT(excelsalesdata[[#This Row],[Order_Date]],"mmm")</f>
        <v>Aug</v>
      </c>
      <c r="AD126" s="4" t="str">
        <f>"Q"&amp;ROUNDUP(MONTH(excelsalesdata[[#This Row],[Order_Date]])/3,0)</f>
        <v>Q3</v>
      </c>
    </row>
    <row r="127" spans="1:30" x14ac:dyDescent="0.35">
      <c r="A127" t="s">
        <v>433</v>
      </c>
      <c r="B127" s="3">
        <v>45885</v>
      </c>
      <c r="C127" t="s">
        <v>434</v>
      </c>
      <c r="D127" t="s">
        <v>436</v>
      </c>
      <c r="E127" t="str">
        <f>TRIM(excelsalesdata[[#This Row],[Customer_Name]])</f>
        <v>Meera Shah</v>
      </c>
      <c r="F127" t="s">
        <v>44</v>
      </c>
      <c r="G127">
        <v>31</v>
      </c>
      <c r="H127" t="s">
        <v>133</v>
      </c>
      <c r="I127" t="str">
        <f>TRIM(excelsalesdata[[#This Row],[City]])</f>
        <v>Jaipur</v>
      </c>
      <c r="J127" t="s">
        <v>134</v>
      </c>
      <c r="K127" t="s">
        <v>61</v>
      </c>
      <c r="L127" t="s">
        <v>38</v>
      </c>
      <c r="M127" t="s">
        <v>73</v>
      </c>
      <c r="N127" t="s">
        <v>73</v>
      </c>
      <c r="O127">
        <v>1</v>
      </c>
      <c r="P127">
        <v>5160</v>
      </c>
      <c r="Q127">
        <v>0.05</v>
      </c>
      <c r="R127">
        <v>3350</v>
      </c>
      <c r="S127" t="s">
        <v>105</v>
      </c>
      <c r="T127" t="s">
        <v>74</v>
      </c>
      <c r="U127">
        <v>2</v>
      </c>
      <c r="V127" t="s">
        <v>40</v>
      </c>
      <c r="W127">
        <f>excelsalesdata[[#This Row],[Quantity]]*excelsalesdata[[#This Row],[Unit_Price]]</f>
        <v>5160</v>
      </c>
      <c r="X127">
        <f>excelsalesdata[[#This Row],[Gross_sales]]*excelsalesdata[[#This Row],[Discount_%]]</f>
        <v>258</v>
      </c>
      <c r="Y127">
        <f>excelsalesdata[[#This Row],[Gross_sales]]-excelsalesdata[[#This Row],[Discount_amt]]</f>
        <v>4902</v>
      </c>
      <c r="Z127" s="4">
        <f>excelsalesdata[[#This Row],[Net_sales]]-excelsalesdata[[#This Row],[Cost]]</f>
        <v>1552</v>
      </c>
      <c r="AA127" s="5">
        <f>excelsalesdata[[#This Row],[Profit]]/excelsalesdata[[#This Row],[Net_sales]]</f>
        <v>0.31660546715626275</v>
      </c>
      <c r="AB127" s="4">
        <f>YEAR(excelsalesdata[[#This Row],[Order_Date]])</f>
        <v>2025</v>
      </c>
      <c r="AC127" s="4" t="str">
        <f>TEXT(excelsalesdata[[#This Row],[Order_Date]],"mmm")</f>
        <v>Aug</v>
      </c>
      <c r="AD127" s="4" t="str">
        <f>"Q"&amp;ROUNDUP(MONTH(excelsalesdata[[#This Row],[Order_Date]])/3,0)</f>
        <v>Q3</v>
      </c>
    </row>
    <row r="128" spans="1:30" x14ac:dyDescent="0.35">
      <c r="A128" t="s">
        <v>435</v>
      </c>
      <c r="B128" s="3">
        <v>45886</v>
      </c>
      <c r="C128" t="s">
        <v>193</v>
      </c>
      <c r="D128" t="s">
        <v>247</v>
      </c>
      <c r="E128" t="str">
        <f>TRIM(excelsalesdata[[#This Row],[Customer_Name]])</f>
        <v>Priya Mehta</v>
      </c>
      <c r="F128" t="s">
        <v>44</v>
      </c>
      <c r="G128">
        <v>33</v>
      </c>
      <c r="H128" t="s">
        <v>98</v>
      </c>
      <c r="I128" t="str">
        <f>TRIM(excelsalesdata[[#This Row],[City]])</f>
        <v>Mumbai</v>
      </c>
      <c r="J128" t="s">
        <v>25</v>
      </c>
      <c r="K128" t="s">
        <v>26</v>
      </c>
      <c r="L128" t="s">
        <v>103</v>
      </c>
      <c r="M128" t="s">
        <v>104</v>
      </c>
      <c r="N128" t="s">
        <v>104</v>
      </c>
      <c r="O128">
        <v>2</v>
      </c>
      <c r="P128">
        <v>8360</v>
      </c>
      <c r="Q128">
        <v>0</v>
      </c>
      <c r="R128">
        <v>5530</v>
      </c>
      <c r="S128" t="s">
        <v>29</v>
      </c>
      <c r="T128" t="s">
        <v>30</v>
      </c>
      <c r="U128">
        <v>2</v>
      </c>
      <c r="V128" t="s">
        <v>40</v>
      </c>
      <c r="W128">
        <f>excelsalesdata[[#This Row],[Quantity]]*excelsalesdata[[#This Row],[Unit_Price]]</f>
        <v>16720</v>
      </c>
      <c r="X128">
        <f>excelsalesdata[[#This Row],[Gross_sales]]*excelsalesdata[[#This Row],[Discount_%]]</f>
        <v>0</v>
      </c>
      <c r="Y128">
        <f>excelsalesdata[[#This Row],[Gross_sales]]-excelsalesdata[[#This Row],[Discount_amt]]</f>
        <v>16720</v>
      </c>
      <c r="Z128" s="4">
        <f>excelsalesdata[[#This Row],[Net_sales]]-excelsalesdata[[#This Row],[Cost]]</f>
        <v>11190</v>
      </c>
      <c r="AA128" s="5">
        <f>excelsalesdata[[#This Row],[Profit]]/excelsalesdata[[#This Row],[Net_sales]]</f>
        <v>0.66925837320574166</v>
      </c>
      <c r="AB128" s="4">
        <f>YEAR(excelsalesdata[[#This Row],[Order_Date]])</f>
        <v>2025</v>
      </c>
      <c r="AC128" s="4" t="str">
        <f>TEXT(excelsalesdata[[#This Row],[Order_Date]],"mmm")</f>
        <v>Aug</v>
      </c>
      <c r="AD128" s="4" t="str">
        <f>"Q"&amp;ROUNDUP(MONTH(excelsalesdata[[#This Row],[Order_Date]])/3,0)</f>
        <v>Q3</v>
      </c>
    </row>
    <row r="129" spans="1:30" x14ac:dyDescent="0.35">
      <c r="A129" t="s">
        <v>437</v>
      </c>
      <c r="B129" s="3">
        <v>45887</v>
      </c>
      <c r="C129" t="s">
        <v>438</v>
      </c>
      <c r="D129" t="s">
        <v>132</v>
      </c>
      <c r="E129" t="str">
        <f>TRIM(excelsalesdata[[#This Row],[Customer_Name]])</f>
        <v>Vivaan Das</v>
      </c>
      <c r="F129" t="s">
        <v>23</v>
      </c>
      <c r="G129">
        <v>49</v>
      </c>
      <c r="H129" t="s">
        <v>60</v>
      </c>
      <c r="I129" t="str">
        <f>TRIM(excelsalesdata[[#This Row],[City]])</f>
        <v>Chandigarh</v>
      </c>
      <c r="J129" t="s">
        <v>60</v>
      </c>
      <c r="K129" t="s">
        <v>61</v>
      </c>
      <c r="L129" t="s">
        <v>38</v>
      </c>
      <c r="M129" t="s">
        <v>161</v>
      </c>
      <c r="N129" t="s">
        <v>161</v>
      </c>
      <c r="O129">
        <v>2</v>
      </c>
      <c r="P129">
        <v>26230</v>
      </c>
      <c r="Q129">
        <v>0.15</v>
      </c>
      <c r="R129">
        <v>19920</v>
      </c>
      <c r="S129" t="s">
        <v>105</v>
      </c>
      <c r="T129" t="s">
        <v>30</v>
      </c>
      <c r="U129">
        <v>2</v>
      </c>
      <c r="V129" t="s">
        <v>40</v>
      </c>
      <c r="W129">
        <f>excelsalesdata[[#This Row],[Quantity]]*excelsalesdata[[#This Row],[Unit_Price]]</f>
        <v>52460</v>
      </c>
      <c r="X129">
        <f>excelsalesdata[[#This Row],[Gross_sales]]*excelsalesdata[[#This Row],[Discount_%]]</f>
        <v>7869</v>
      </c>
      <c r="Y129">
        <f>excelsalesdata[[#This Row],[Gross_sales]]-excelsalesdata[[#This Row],[Discount_amt]]</f>
        <v>44591</v>
      </c>
      <c r="Z129" s="4">
        <f>excelsalesdata[[#This Row],[Net_sales]]-excelsalesdata[[#This Row],[Cost]]</f>
        <v>24671</v>
      </c>
      <c r="AA129" s="5">
        <f>excelsalesdata[[#This Row],[Profit]]/excelsalesdata[[#This Row],[Net_sales]]</f>
        <v>0.55327308201206526</v>
      </c>
      <c r="AB129" s="4">
        <f>YEAR(excelsalesdata[[#This Row],[Order_Date]])</f>
        <v>2025</v>
      </c>
      <c r="AC129" s="4" t="str">
        <f>TEXT(excelsalesdata[[#This Row],[Order_Date]],"mmm")</f>
        <v>Aug</v>
      </c>
      <c r="AD129" s="4" t="str">
        <f>"Q"&amp;ROUNDUP(MONTH(excelsalesdata[[#This Row],[Order_Date]])/3,0)</f>
        <v>Q3</v>
      </c>
    </row>
    <row r="130" spans="1:30" x14ac:dyDescent="0.35">
      <c r="A130" t="s">
        <v>439</v>
      </c>
      <c r="B130" s="3">
        <v>45888</v>
      </c>
      <c r="C130" t="s">
        <v>440</v>
      </c>
      <c r="D130" t="s">
        <v>442</v>
      </c>
      <c r="E130" t="str">
        <f>TRIM(excelsalesdata[[#This Row],[Customer_Name]])</f>
        <v>Arjun Rao</v>
      </c>
      <c r="F130" t="s">
        <v>44</v>
      </c>
      <c r="G130">
        <v>28</v>
      </c>
      <c r="H130" t="s">
        <v>109</v>
      </c>
      <c r="I130" t="str">
        <f>TRIM(excelsalesdata[[#This Row],[City]])</f>
        <v>Mysuru</v>
      </c>
      <c r="J130" t="s">
        <v>53</v>
      </c>
      <c r="K130" t="s">
        <v>47</v>
      </c>
      <c r="L130" t="s">
        <v>54</v>
      </c>
      <c r="M130" t="s">
        <v>129</v>
      </c>
      <c r="N130" t="s">
        <v>129</v>
      </c>
      <c r="O130">
        <v>2</v>
      </c>
      <c r="P130">
        <v>17050</v>
      </c>
      <c r="Q130">
        <v>0</v>
      </c>
      <c r="R130">
        <v>12850</v>
      </c>
      <c r="S130" t="s">
        <v>29</v>
      </c>
      <c r="T130" t="s">
        <v>30</v>
      </c>
      <c r="U130">
        <v>4</v>
      </c>
      <c r="V130" t="s">
        <v>31</v>
      </c>
      <c r="W130">
        <f>excelsalesdata[[#This Row],[Quantity]]*excelsalesdata[[#This Row],[Unit_Price]]</f>
        <v>34100</v>
      </c>
      <c r="X130">
        <f>excelsalesdata[[#This Row],[Gross_sales]]*excelsalesdata[[#This Row],[Discount_%]]</f>
        <v>0</v>
      </c>
      <c r="Y130">
        <f>excelsalesdata[[#This Row],[Gross_sales]]-excelsalesdata[[#This Row],[Discount_amt]]</f>
        <v>34100</v>
      </c>
      <c r="Z130" s="4">
        <f>excelsalesdata[[#This Row],[Net_sales]]-excelsalesdata[[#This Row],[Cost]]</f>
        <v>21250</v>
      </c>
      <c r="AA130" s="5">
        <f>excelsalesdata[[#This Row],[Profit]]/excelsalesdata[[#This Row],[Net_sales]]</f>
        <v>0.62316715542521994</v>
      </c>
      <c r="AB130" s="4">
        <f>YEAR(excelsalesdata[[#This Row],[Order_Date]])</f>
        <v>2025</v>
      </c>
      <c r="AC130" s="4" t="str">
        <f>TEXT(excelsalesdata[[#This Row],[Order_Date]],"mmm")</f>
        <v>Aug</v>
      </c>
      <c r="AD130" s="4" t="str">
        <f>"Q"&amp;ROUNDUP(MONTH(excelsalesdata[[#This Row],[Order_Date]])/3,0)</f>
        <v>Q3</v>
      </c>
    </row>
    <row r="131" spans="1:30" x14ac:dyDescent="0.35">
      <c r="A131" t="s">
        <v>441</v>
      </c>
      <c r="B131" s="3">
        <v>45889</v>
      </c>
      <c r="C131" t="s">
        <v>324</v>
      </c>
      <c r="D131" t="s">
        <v>445</v>
      </c>
      <c r="E131" t="str">
        <f>TRIM(excelsalesdata[[#This Row],[Customer_Name]])</f>
        <v>Priya Gupta</v>
      </c>
      <c r="F131" t="s">
        <v>44</v>
      </c>
      <c r="G131">
        <v>54</v>
      </c>
      <c r="H131" t="s">
        <v>24</v>
      </c>
      <c r="I131" t="str">
        <f>TRIM(excelsalesdata[[#This Row],[City]])</f>
        <v>Pune</v>
      </c>
      <c r="J131" t="s">
        <v>25</v>
      </c>
      <c r="K131" t="s">
        <v>26</v>
      </c>
      <c r="L131" t="s">
        <v>54</v>
      </c>
      <c r="M131" t="s">
        <v>62</v>
      </c>
      <c r="N131" t="s">
        <v>62</v>
      </c>
      <c r="O131">
        <v>2</v>
      </c>
      <c r="P131">
        <v>22100</v>
      </c>
      <c r="Q131">
        <v>0.1</v>
      </c>
      <c r="R131">
        <v>14930</v>
      </c>
      <c r="S131" t="s">
        <v>67</v>
      </c>
      <c r="T131" t="s">
        <v>30</v>
      </c>
      <c r="U131">
        <v>2</v>
      </c>
      <c r="V131" t="s">
        <v>40</v>
      </c>
      <c r="W131">
        <f>excelsalesdata[[#This Row],[Quantity]]*excelsalesdata[[#This Row],[Unit_Price]]</f>
        <v>44200</v>
      </c>
      <c r="X131">
        <f>excelsalesdata[[#This Row],[Gross_sales]]*excelsalesdata[[#This Row],[Discount_%]]</f>
        <v>4420</v>
      </c>
      <c r="Y131">
        <f>excelsalesdata[[#This Row],[Gross_sales]]-excelsalesdata[[#This Row],[Discount_amt]]</f>
        <v>39780</v>
      </c>
      <c r="Z131" s="4">
        <f>excelsalesdata[[#This Row],[Net_sales]]-excelsalesdata[[#This Row],[Cost]]</f>
        <v>24850</v>
      </c>
      <c r="AA131" s="5">
        <f>excelsalesdata[[#This Row],[Profit]]/excelsalesdata[[#This Row],[Net_sales]]</f>
        <v>0.62468577174459528</v>
      </c>
      <c r="AB131" s="4">
        <f>YEAR(excelsalesdata[[#This Row],[Order_Date]])</f>
        <v>2025</v>
      </c>
      <c r="AC131" s="4" t="str">
        <f>TEXT(excelsalesdata[[#This Row],[Order_Date]],"mmm")</f>
        <v>Aug</v>
      </c>
      <c r="AD131" s="4" t="str">
        <f>"Q"&amp;ROUNDUP(MONTH(excelsalesdata[[#This Row],[Order_Date]])/3,0)</f>
        <v>Q3</v>
      </c>
    </row>
    <row r="132" spans="1:30" x14ac:dyDescent="0.35">
      <c r="A132" t="s">
        <v>443</v>
      </c>
      <c r="B132" s="3">
        <v>45890</v>
      </c>
      <c r="C132" t="s">
        <v>444</v>
      </c>
      <c r="D132" t="s">
        <v>302</v>
      </c>
      <c r="E132" t="str">
        <f>TRIM(excelsalesdata[[#This Row],[Customer_Name]])</f>
        <v>Diya Patel</v>
      </c>
      <c r="F132" t="s">
        <v>23</v>
      </c>
      <c r="G132">
        <v>54</v>
      </c>
      <c r="H132" t="s">
        <v>35</v>
      </c>
      <c r="I132" t="str">
        <f>TRIM(excelsalesdata[[#This Row],[City]])</f>
        <v>Kolkata</v>
      </c>
      <c r="J132" t="s">
        <v>36</v>
      </c>
      <c r="K132" t="s">
        <v>37</v>
      </c>
      <c r="L132" t="s">
        <v>103</v>
      </c>
      <c r="M132" t="s">
        <v>312</v>
      </c>
      <c r="N132" t="s">
        <v>312</v>
      </c>
      <c r="O132">
        <v>1</v>
      </c>
      <c r="P132">
        <v>6420</v>
      </c>
      <c r="Q132">
        <v>0.2</v>
      </c>
      <c r="R132">
        <v>4230</v>
      </c>
      <c r="S132" t="s">
        <v>105</v>
      </c>
      <c r="T132" t="s">
        <v>30</v>
      </c>
      <c r="U132">
        <v>4</v>
      </c>
      <c r="V132" t="s">
        <v>40</v>
      </c>
      <c r="W132">
        <f>excelsalesdata[[#This Row],[Quantity]]*excelsalesdata[[#This Row],[Unit_Price]]</f>
        <v>6420</v>
      </c>
      <c r="X132">
        <f>excelsalesdata[[#This Row],[Gross_sales]]*excelsalesdata[[#This Row],[Discount_%]]</f>
        <v>1284</v>
      </c>
      <c r="Y132">
        <f>excelsalesdata[[#This Row],[Gross_sales]]-excelsalesdata[[#This Row],[Discount_amt]]</f>
        <v>5136</v>
      </c>
      <c r="Z132" s="4">
        <f>excelsalesdata[[#This Row],[Net_sales]]-excelsalesdata[[#This Row],[Cost]]</f>
        <v>906</v>
      </c>
      <c r="AA132" s="5">
        <f>excelsalesdata[[#This Row],[Profit]]/excelsalesdata[[#This Row],[Net_sales]]</f>
        <v>0.17640186915887851</v>
      </c>
      <c r="AB132" s="4">
        <f>YEAR(excelsalesdata[[#This Row],[Order_Date]])</f>
        <v>2025</v>
      </c>
      <c r="AC132" s="4" t="str">
        <f>TEXT(excelsalesdata[[#This Row],[Order_Date]],"mmm")</f>
        <v>Aug</v>
      </c>
      <c r="AD132" s="4" t="str">
        <f>"Q"&amp;ROUNDUP(MONTH(excelsalesdata[[#This Row],[Order_Date]])/3,0)</f>
        <v>Q3</v>
      </c>
    </row>
    <row r="133" spans="1:30" x14ac:dyDescent="0.35">
      <c r="A133" t="s">
        <v>446</v>
      </c>
      <c r="B133" s="3">
        <v>45891</v>
      </c>
      <c r="C133" t="s">
        <v>249</v>
      </c>
      <c r="D133" t="s">
        <v>448</v>
      </c>
      <c r="E133" t="str">
        <f>TRIM(excelsalesdata[[#This Row],[Customer_Name]])</f>
        <v>Nisha Mehta</v>
      </c>
      <c r="F133" t="s">
        <v>23</v>
      </c>
      <c r="G133">
        <v>35</v>
      </c>
      <c r="H133" t="s">
        <v>45</v>
      </c>
      <c r="I133" t="str">
        <f>TRIM(excelsalesdata[[#This Row],[City]])</f>
        <v>Kochi</v>
      </c>
      <c r="J133" t="s">
        <v>46</v>
      </c>
      <c r="K133" t="s">
        <v>47</v>
      </c>
      <c r="L133" t="s">
        <v>85</v>
      </c>
      <c r="M133" t="s">
        <v>172</v>
      </c>
      <c r="N133" t="s">
        <v>172</v>
      </c>
      <c r="O133">
        <v>1</v>
      </c>
      <c r="P133">
        <v>4330</v>
      </c>
      <c r="Q133">
        <v>0.15</v>
      </c>
      <c r="R133">
        <v>2800</v>
      </c>
      <c r="S133" t="s">
        <v>29</v>
      </c>
      <c r="T133" t="s">
        <v>30</v>
      </c>
      <c r="U133">
        <v>2</v>
      </c>
      <c r="V133" t="s">
        <v>40</v>
      </c>
      <c r="W133">
        <f>excelsalesdata[[#This Row],[Quantity]]*excelsalesdata[[#This Row],[Unit_Price]]</f>
        <v>4330</v>
      </c>
      <c r="X133">
        <f>excelsalesdata[[#This Row],[Gross_sales]]*excelsalesdata[[#This Row],[Discount_%]]</f>
        <v>649.5</v>
      </c>
      <c r="Y133">
        <f>excelsalesdata[[#This Row],[Gross_sales]]-excelsalesdata[[#This Row],[Discount_amt]]</f>
        <v>3680.5</v>
      </c>
      <c r="Z133" s="4">
        <f>excelsalesdata[[#This Row],[Net_sales]]-excelsalesdata[[#This Row],[Cost]]</f>
        <v>880.5</v>
      </c>
      <c r="AA133" s="5">
        <f>excelsalesdata[[#This Row],[Profit]]/excelsalesdata[[#This Row],[Net_sales]]</f>
        <v>0.23923379975546802</v>
      </c>
      <c r="AB133" s="4">
        <f>YEAR(excelsalesdata[[#This Row],[Order_Date]])</f>
        <v>2025</v>
      </c>
      <c r="AC133" s="4" t="str">
        <f>TEXT(excelsalesdata[[#This Row],[Order_Date]],"mmm")</f>
        <v>Aug</v>
      </c>
      <c r="AD133" s="4" t="str">
        <f>"Q"&amp;ROUNDUP(MONTH(excelsalesdata[[#This Row],[Order_Date]])/3,0)</f>
        <v>Q3</v>
      </c>
    </row>
    <row r="134" spans="1:30" x14ac:dyDescent="0.35">
      <c r="A134" t="s">
        <v>447</v>
      </c>
      <c r="B134" s="3">
        <v>45892</v>
      </c>
      <c r="C134" t="s">
        <v>408</v>
      </c>
      <c r="D134" t="s">
        <v>258</v>
      </c>
      <c r="E134" t="str">
        <f>TRIM(excelsalesdata[[#This Row],[Customer_Name]])</f>
        <v>Sneha Sharma</v>
      </c>
      <c r="F134" t="s">
        <v>23</v>
      </c>
      <c r="G134">
        <v>52</v>
      </c>
      <c r="H134" t="s">
        <v>133</v>
      </c>
      <c r="I134" t="str">
        <f>TRIM(excelsalesdata[[#This Row],[City]])</f>
        <v>Jaipur</v>
      </c>
      <c r="J134" t="s">
        <v>134</v>
      </c>
      <c r="K134" t="s">
        <v>61</v>
      </c>
      <c r="L134" t="s">
        <v>27</v>
      </c>
      <c r="M134" t="s">
        <v>123</v>
      </c>
      <c r="N134" t="s">
        <v>123</v>
      </c>
      <c r="O134">
        <v>2</v>
      </c>
      <c r="P134">
        <v>2930</v>
      </c>
      <c r="Q134">
        <v>0.2</v>
      </c>
      <c r="R134">
        <v>1670</v>
      </c>
      <c r="S134" t="s">
        <v>151</v>
      </c>
      <c r="T134" t="s">
        <v>30</v>
      </c>
      <c r="U134">
        <v>4</v>
      </c>
      <c r="V134" t="s">
        <v>40</v>
      </c>
      <c r="W134">
        <f>excelsalesdata[[#This Row],[Quantity]]*excelsalesdata[[#This Row],[Unit_Price]]</f>
        <v>5860</v>
      </c>
      <c r="X134">
        <f>excelsalesdata[[#This Row],[Gross_sales]]*excelsalesdata[[#This Row],[Discount_%]]</f>
        <v>1172</v>
      </c>
      <c r="Y134">
        <f>excelsalesdata[[#This Row],[Gross_sales]]-excelsalesdata[[#This Row],[Discount_amt]]</f>
        <v>4688</v>
      </c>
      <c r="Z134" s="4">
        <f>excelsalesdata[[#This Row],[Net_sales]]-excelsalesdata[[#This Row],[Cost]]</f>
        <v>3018</v>
      </c>
      <c r="AA134" s="5">
        <f>excelsalesdata[[#This Row],[Profit]]/excelsalesdata[[#This Row],[Net_sales]]</f>
        <v>0.64377133105802042</v>
      </c>
      <c r="AB134" s="4">
        <f>YEAR(excelsalesdata[[#This Row],[Order_Date]])</f>
        <v>2025</v>
      </c>
      <c r="AC134" s="4" t="str">
        <f>TEXT(excelsalesdata[[#This Row],[Order_Date]],"mmm")</f>
        <v>Aug</v>
      </c>
      <c r="AD134" s="4" t="str">
        <f>"Q"&amp;ROUNDUP(MONTH(excelsalesdata[[#This Row],[Order_Date]])/3,0)</f>
        <v>Q3</v>
      </c>
    </row>
    <row r="135" spans="1:30" x14ac:dyDescent="0.35">
      <c r="A135" t="s">
        <v>449</v>
      </c>
      <c r="B135" s="3">
        <v>45893</v>
      </c>
      <c r="C135" t="s">
        <v>450</v>
      </c>
      <c r="D135" t="s">
        <v>198</v>
      </c>
      <c r="E135" t="str">
        <f>TRIM(excelsalesdata[[#This Row],[Customer_Name]])</f>
        <v>Rohan Iyer</v>
      </c>
      <c r="F135" t="s">
        <v>23</v>
      </c>
      <c r="G135">
        <v>57</v>
      </c>
      <c r="H135" t="s">
        <v>45</v>
      </c>
      <c r="I135" t="str">
        <f>TRIM(excelsalesdata[[#This Row],[City]])</f>
        <v>Kochi</v>
      </c>
      <c r="J135" t="s">
        <v>46</v>
      </c>
      <c r="K135" t="s">
        <v>47</v>
      </c>
      <c r="L135" t="s">
        <v>103</v>
      </c>
      <c r="M135" t="s">
        <v>312</v>
      </c>
      <c r="N135" t="s">
        <v>312</v>
      </c>
      <c r="O135">
        <v>1</v>
      </c>
      <c r="P135">
        <v>6450</v>
      </c>
      <c r="Q135">
        <v>0.05</v>
      </c>
      <c r="R135">
        <v>4360</v>
      </c>
      <c r="S135" t="s">
        <v>80</v>
      </c>
      <c r="T135" t="s">
        <v>74</v>
      </c>
      <c r="U135">
        <v>2</v>
      </c>
      <c r="V135" t="s">
        <v>40</v>
      </c>
      <c r="W135">
        <f>excelsalesdata[[#This Row],[Quantity]]*excelsalesdata[[#This Row],[Unit_Price]]</f>
        <v>6450</v>
      </c>
      <c r="X135">
        <f>excelsalesdata[[#This Row],[Gross_sales]]*excelsalesdata[[#This Row],[Discount_%]]</f>
        <v>322.5</v>
      </c>
      <c r="Y135">
        <f>excelsalesdata[[#This Row],[Gross_sales]]-excelsalesdata[[#This Row],[Discount_amt]]</f>
        <v>6127.5</v>
      </c>
      <c r="Z135" s="4">
        <f>excelsalesdata[[#This Row],[Net_sales]]-excelsalesdata[[#This Row],[Cost]]</f>
        <v>1767.5</v>
      </c>
      <c r="AA135" s="5">
        <f>excelsalesdata[[#This Row],[Profit]]/excelsalesdata[[#This Row],[Net_sales]]</f>
        <v>0.28845369237046103</v>
      </c>
      <c r="AB135" s="4">
        <f>YEAR(excelsalesdata[[#This Row],[Order_Date]])</f>
        <v>2025</v>
      </c>
      <c r="AC135" s="4" t="str">
        <f>TEXT(excelsalesdata[[#This Row],[Order_Date]],"mmm")</f>
        <v>Aug</v>
      </c>
      <c r="AD135" s="4" t="str">
        <f>"Q"&amp;ROUNDUP(MONTH(excelsalesdata[[#This Row],[Order_Date]])/3,0)</f>
        <v>Q3</v>
      </c>
    </row>
    <row r="136" spans="1:30" x14ac:dyDescent="0.35">
      <c r="A136" t="s">
        <v>451</v>
      </c>
      <c r="B136" s="3">
        <v>45894</v>
      </c>
      <c r="C136" t="s">
        <v>452</v>
      </c>
      <c r="D136" t="s">
        <v>455</v>
      </c>
      <c r="E136" t="str">
        <f>TRIM(excelsalesdata[[#This Row],[Customer_Name]])</f>
        <v>Karan Reddy</v>
      </c>
      <c r="F136" t="s">
        <v>44</v>
      </c>
      <c r="G136">
        <v>40</v>
      </c>
      <c r="H136" t="s">
        <v>185</v>
      </c>
      <c r="I136" t="str">
        <f>TRIM(excelsalesdata[[#This Row],[City]])</f>
        <v>Lucknow</v>
      </c>
      <c r="J136" t="s">
        <v>186</v>
      </c>
      <c r="K136" t="s">
        <v>61</v>
      </c>
      <c r="L136" t="s">
        <v>93</v>
      </c>
      <c r="M136" t="s">
        <v>94</v>
      </c>
      <c r="N136" t="s">
        <v>94</v>
      </c>
      <c r="O136">
        <v>1</v>
      </c>
      <c r="P136">
        <v>460</v>
      </c>
      <c r="Q136">
        <v>0.25</v>
      </c>
      <c r="R136">
        <v>240</v>
      </c>
      <c r="S136" t="s">
        <v>80</v>
      </c>
      <c r="T136" t="s">
        <v>30</v>
      </c>
      <c r="U136">
        <v>3</v>
      </c>
      <c r="V136" t="s">
        <v>40</v>
      </c>
      <c r="W136">
        <f>excelsalesdata[[#This Row],[Quantity]]*excelsalesdata[[#This Row],[Unit_Price]]</f>
        <v>460</v>
      </c>
      <c r="X136">
        <f>excelsalesdata[[#This Row],[Gross_sales]]*excelsalesdata[[#This Row],[Discount_%]]</f>
        <v>115</v>
      </c>
      <c r="Y136">
        <f>excelsalesdata[[#This Row],[Gross_sales]]-excelsalesdata[[#This Row],[Discount_amt]]</f>
        <v>345</v>
      </c>
      <c r="Z136" s="4">
        <f>excelsalesdata[[#This Row],[Net_sales]]-excelsalesdata[[#This Row],[Cost]]</f>
        <v>105</v>
      </c>
      <c r="AA136" s="5">
        <f>excelsalesdata[[#This Row],[Profit]]/excelsalesdata[[#This Row],[Net_sales]]</f>
        <v>0.30434782608695654</v>
      </c>
      <c r="AB136" s="4">
        <f>YEAR(excelsalesdata[[#This Row],[Order_Date]])</f>
        <v>2025</v>
      </c>
      <c r="AC136" s="4" t="str">
        <f>TEXT(excelsalesdata[[#This Row],[Order_Date]],"mmm")</f>
        <v>Aug</v>
      </c>
      <c r="AD136" s="4" t="str">
        <f>"Q"&amp;ROUNDUP(MONTH(excelsalesdata[[#This Row],[Order_Date]])/3,0)</f>
        <v>Q3</v>
      </c>
    </row>
    <row r="137" spans="1:30" x14ac:dyDescent="0.35">
      <c r="A137" t="s">
        <v>453</v>
      </c>
      <c r="B137" s="3">
        <v>45895</v>
      </c>
      <c r="C137" t="s">
        <v>454</v>
      </c>
      <c r="D137" t="s">
        <v>423</v>
      </c>
      <c r="E137" t="str">
        <f>TRIM(excelsalesdata[[#This Row],[Customer_Name]])</f>
        <v>Kavya Kumar</v>
      </c>
      <c r="F137" t="s">
        <v>44</v>
      </c>
      <c r="G137">
        <v>60</v>
      </c>
      <c r="H137" t="s">
        <v>168</v>
      </c>
      <c r="I137" t="str">
        <f>TRIM(excelsalesdata[[#This Row],[City]])</f>
        <v>Delhi</v>
      </c>
      <c r="J137" t="s">
        <v>168</v>
      </c>
      <c r="K137" t="s">
        <v>61</v>
      </c>
      <c r="L137" t="s">
        <v>54</v>
      </c>
      <c r="M137" t="s">
        <v>157</v>
      </c>
      <c r="N137" t="s">
        <v>157</v>
      </c>
      <c r="O137">
        <v>1</v>
      </c>
      <c r="P137">
        <v>51320</v>
      </c>
      <c r="Q137">
        <v>0.25</v>
      </c>
      <c r="R137">
        <v>41140</v>
      </c>
      <c r="S137" t="s">
        <v>151</v>
      </c>
      <c r="T137" t="s">
        <v>30</v>
      </c>
      <c r="U137">
        <v>3</v>
      </c>
      <c r="V137" t="s">
        <v>40</v>
      </c>
      <c r="W137">
        <f>excelsalesdata[[#This Row],[Quantity]]*excelsalesdata[[#This Row],[Unit_Price]]</f>
        <v>51320</v>
      </c>
      <c r="X137">
        <f>excelsalesdata[[#This Row],[Gross_sales]]*excelsalesdata[[#This Row],[Discount_%]]</f>
        <v>12830</v>
      </c>
      <c r="Y137">
        <f>excelsalesdata[[#This Row],[Gross_sales]]-excelsalesdata[[#This Row],[Discount_amt]]</f>
        <v>38490</v>
      </c>
      <c r="Z137" s="4">
        <f>excelsalesdata[[#This Row],[Net_sales]]-excelsalesdata[[#This Row],[Cost]]</f>
        <v>-2650</v>
      </c>
      <c r="AA137" s="5">
        <f>excelsalesdata[[#This Row],[Profit]]/excelsalesdata[[#This Row],[Net_sales]]</f>
        <v>-6.8849051701740716E-2</v>
      </c>
      <c r="AB137" s="4">
        <f>YEAR(excelsalesdata[[#This Row],[Order_Date]])</f>
        <v>2025</v>
      </c>
      <c r="AC137" s="4" t="str">
        <f>TEXT(excelsalesdata[[#This Row],[Order_Date]],"mmm")</f>
        <v>Aug</v>
      </c>
      <c r="AD137" s="4" t="str">
        <f>"Q"&amp;ROUNDUP(MONTH(excelsalesdata[[#This Row],[Order_Date]])/3,0)</f>
        <v>Q3</v>
      </c>
    </row>
    <row r="138" spans="1:30" x14ac:dyDescent="0.35">
      <c r="A138" t="s">
        <v>456</v>
      </c>
      <c r="B138" s="3">
        <v>45896</v>
      </c>
      <c r="C138" t="s">
        <v>457</v>
      </c>
      <c r="D138" t="s">
        <v>460</v>
      </c>
      <c r="E138" t="str">
        <f>TRIM(excelsalesdata[[#This Row],[Customer_Name]])</f>
        <v>Vivaan Joshi</v>
      </c>
      <c r="F138" t="s">
        <v>23</v>
      </c>
      <c r="G138">
        <v>58</v>
      </c>
      <c r="H138" t="s">
        <v>133</v>
      </c>
      <c r="I138" t="str">
        <f>TRIM(excelsalesdata[[#This Row],[City]])</f>
        <v>Jaipur</v>
      </c>
      <c r="J138" t="s">
        <v>134</v>
      </c>
      <c r="K138" t="s">
        <v>61</v>
      </c>
      <c r="L138" t="s">
        <v>27</v>
      </c>
      <c r="M138" t="s">
        <v>48</v>
      </c>
      <c r="N138" t="s">
        <v>48</v>
      </c>
      <c r="O138">
        <v>1</v>
      </c>
      <c r="P138">
        <v>850</v>
      </c>
      <c r="Q138">
        <v>0.1</v>
      </c>
      <c r="R138">
        <v>430</v>
      </c>
      <c r="S138" t="s">
        <v>80</v>
      </c>
      <c r="T138" t="s">
        <v>81</v>
      </c>
      <c r="U138">
        <v>0</v>
      </c>
      <c r="V138" t="s">
        <v>40</v>
      </c>
      <c r="W138">
        <f>excelsalesdata[[#This Row],[Quantity]]*excelsalesdata[[#This Row],[Unit_Price]]</f>
        <v>850</v>
      </c>
      <c r="X138">
        <f>excelsalesdata[[#This Row],[Gross_sales]]*excelsalesdata[[#This Row],[Discount_%]]</f>
        <v>85</v>
      </c>
      <c r="Y138">
        <f>excelsalesdata[[#This Row],[Gross_sales]]-excelsalesdata[[#This Row],[Discount_amt]]</f>
        <v>765</v>
      </c>
      <c r="Z138" s="4">
        <f>excelsalesdata[[#This Row],[Net_sales]]-excelsalesdata[[#This Row],[Cost]]</f>
        <v>335</v>
      </c>
      <c r="AA138" s="5">
        <f>excelsalesdata[[#This Row],[Profit]]/excelsalesdata[[#This Row],[Net_sales]]</f>
        <v>0.43790849673202614</v>
      </c>
      <c r="AB138" s="4">
        <f>YEAR(excelsalesdata[[#This Row],[Order_Date]])</f>
        <v>2025</v>
      </c>
      <c r="AC138" s="4" t="str">
        <f>TEXT(excelsalesdata[[#This Row],[Order_Date]],"mmm")</f>
        <v>Aug</v>
      </c>
      <c r="AD138" s="4" t="str">
        <f>"Q"&amp;ROUNDUP(MONTH(excelsalesdata[[#This Row],[Order_Date]])/3,0)</f>
        <v>Q3</v>
      </c>
    </row>
    <row r="139" spans="1:30" x14ac:dyDescent="0.35">
      <c r="A139" t="s">
        <v>458</v>
      </c>
      <c r="B139" s="3">
        <v>45897</v>
      </c>
      <c r="C139" t="s">
        <v>459</v>
      </c>
      <c r="D139" t="s">
        <v>463</v>
      </c>
      <c r="E139" t="str">
        <f>TRIM(excelsalesdata[[#This Row],[Customer_Name]])</f>
        <v>Kavya Sharma</v>
      </c>
      <c r="F139" t="s">
        <v>44</v>
      </c>
      <c r="G139">
        <v>34</v>
      </c>
      <c r="H139" t="s">
        <v>190</v>
      </c>
      <c r="I139" t="str">
        <f>TRIM(excelsalesdata[[#This Row],[City]])</f>
        <v>Ahmedabad</v>
      </c>
      <c r="J139" t="s">
        <v>191</v>
      </c>
      <c r="K139" t="s">
        <v>26</v>
      </c>
      <c r="L139" t="s">
        <v>27</v>
      </c>
      <c r="M139" t="s">
        <v>195</v>
      </c>
      <c r="N139" t="s">
        <v>195</v>
      </c>
      <c r="O139">
        <v>1</v>
      </c>
      <c r="P139">
        <v>2180</v>
      </c>
      <c r="Q139">
        <v>0.1</v>
      </c>
      <c r="R139">
        <v>1210</v>
      </c>
      <c r="S139" t="s">
        <v>67</v>
      </c>
      <c r="T139" t="s">
        <v>30</v>
      </c>
      <c r="U139">
        <v>2</v>
      </c>
      <c r="V139" t="s">
        <v>31</v>
      </c>
      <c r="W139">
        <f>excelsalesdata[[#This Row],[Quantity]]*excelsalesdata[[#This Row],[Unit_Price]]</f>
        <v>2180</v>
      </c>
      <c r="X139">
        <f>excelsalesdata[[#This Row],[Gross_sales]]*excelsalesdata[[#This Row],[Discount_%]]</f>
        <v>218</v>
      </c>
      <c r="Y139">
        <f>excelsalesdata[[#This Row],[Gross_sales]]-excelsalesdata[[#This Row],[Discount_amt]]</f>
        <v>1962</v>
      </c>
      <c r="Z139" s="4">
        <f>excelsalesdata[[#This Row],[Net_sales]]-excelsalesdata[[#This Row],[Cost]]</f>
        <v>752</v>
      </c>
      <c r="AA139" s="5">
        <f>excelsalesdata[[#This Row],[Profit]]/excelsalesdata[[#This Row],[Net_sales]]</f>
        <v>0.38328236493374107</v>
      </c>
      <c r="AB139" s="4">
        <f>YEAR(excelsalesdata[[#This Row],[Order_Date]])</f>
        <v>2025</v>
      </c>
      <c r="AC139" s="4" t="str">
        <f>TEXT(excelsalesdata[[#This Row],[Order_Date]],"mmm")</f>
        <v>Aug</v>
      </c>
      <c r="AD139" s="4" t="str">
        <f>"Q"&amp;ROUNDUP(MONTH(excelsalesdata[[#This Row],[Order_Date]])/3,0)</f>
        <v>Q3</v>
      </c>
    </row>
    <row r="140" spans="1:30" x14ac:dyDescent="0.35">
      <c r="A140" t="s">
        <v>461</v>
      </c>
      <c r="B140" s="3">
        <v>45898</v>
      </c>
      <c r="C140" t="s">
        <v>462</v>
      </c>
      <c r="D140" t="s">
        <v>466</v>
      </c>
      <c r="E140" t="str">
        <f>TRIM(excelsalesdata[[#This Row],[Customer_Name]])</f>
        <v>Ishita Bhat</v>
      </c>
      <c r="F140" t="s">
        <v>23</v>
      </c>
      <c r="G140">
        <v>52</v>
      </c>
      <c r="H140" t="s">
        <v>168</v>
      </c>
      <c r="I140" t="str">
        <f>TRIM(excelsalesdata[[#This Row],[City]])</f>
        <v>Delhi</v>
      </c>
      <c r="J140" t="s">
        <v>168</v>
      </c>
      <c r="K140" t="s">
        <v>61</v>
      </c>
      <c r="L140" t="s">
        <v>103</v>
      </c>
      <c r="M140" t="s">
        <v>238</v>
      </c>
      <c r="N140" t="s">
        <v>238</v>
      </c>
      <c r="O140">
        <v>1</v>
      </c>
      <c r="P140">
        <v>4230</v>
      </c>
      <c r="Q140">
        <v>0.15</v>
      </c>
      <c r="R140">
        <v>2620</v>
      </c>
      <c r="S140" t="s">
        <v>56</v>
      </c>
      <c r="T140" t="s">
        <v>30</v>
      </c>
      <c r="U140">
        <v>4</v>
      </c>
      <c r="V140" t="s">
        <v>31</v>
      </c>
      <c r="W140">
        <f>excelsalesdata[[#This Row],[Quantity]]*excelsalesdata[[#This Row],[Unit_Price]]</f>
        <v>4230</v>
      </c>
      <c r="X140">
        <f>excelsalesdata[[#This Row],[Gross_sales]]*excelsalesdata[[#This Row],[Discount_%]]</f>
        <v>634.5</v>
      </c>
      <c r="Y140">
        <f>excelsalesdata[[#This Row],[Gross_sales]]-excelsalesdata[[#This Row],[Discount_amt]]</f>
        <v>3595.5</v>
      </c>
      <c r="Z140" s="4">
        <f>excelsalesdata[[#This Row],[Net_sales]]-excelsalesdata[[#This Row],[Cost]]</f>
        <v>975.5</v>
      </c>
      <c r="AA140" s="5">
        <f>excelsalesdata[[#This Row],[Profit]]/excelsalesdata[[#This Row],[Net_sales]]</f>
        <v>0.27131136142400225</v>
      </c>
      <c r="AB140" s="4">
        <f>YEAR(excelsalesdata[[#This Row],[Order_Date]])</f>
        <v>2025</v>
      </c>
      <c r="AC140" s="4" t="str">
        <f>TEXT(excelsalesdata[[#This Row],[Order_Date]],"mmm")</f>
        <v>Aug</v>
      </c>
      <c r="AD140" s="4" t="str">
        <f>"Q"&amp;ROUNDUP(MONTH(excelsalesdata[[#This Row],[Order_Date]])/3,0)</f>
        <v>Q3</v>
      </c>
    </row>
    <row r="141" spans="1:30" x14ac:dyDescent="0.35">
      <c r="A141" t="s">
        <v>464</v>
      </c>
      <c r="B141" s="3">
        <v>45899</v>
      </c>
      <c r="C141" t="s">
        <v>465</v>
      </c>
      <c r="D141" t="s">
        <v>469</v>
      </c>
      <c r="E141" t="str">
        <f>TRIM(excelsalesdata[[#This Row],[Customer_Name]])</f>
        <v>Rahul Joshi</v>
      </c>
      <c r="F141" t="s">
        <v>23</v>
      </c>
      <c r="G141">
        <v>60</v>
      </c>
      <c r="H141" t="s">
        <v>133</v>
      </c>
      <c r="I141" t="str">
        <f>TRIM(excelsalesdata[[#This Row],[City]])</f>
        <v>Jaipur</v>
      </c>
      <c r="J141" t="s">
        <v>134</v>
      </c>
      <c r="K141" t="s">
        <v>61</v>
      </c>
      <c r="L141" t="s">
        <v>85</v>
      </c>
      <c r="M141" t="s">
        <v>86</v>
      </c>
      <c r="N141" t="s">
        <v>86</v>
      </c>
      <c r="O141">
        <v>2</v>
      </c>
      <c r="P141">
        <v>2340</v>
      </c>
      <c r="Q141">
        <v>0.15</v>
      </c>
      <c r="R141">
        <v>1440</v>
      </c>
      <c r="S141" t="s">
        <v>56</v>
      </c>
      <c r="T141" t="s">
        <v>30</v>
      </c>
      <c r="U141">
        <v>2</v>
      </c>
      <c r="V141" t="s">
        <v>40</v>
      </c>
      <c r="W141">
        <f>excelsalesdata[[#This Row],[Quantity]]*excelsalesdata[[#This Row],[Unit_Price]]</f>
        <v>4680</v>
      </c>
      <c r="X141">
        <f>excelsalesdata[[#This Row],[Gross_sales]]*excelsalesdata[[#This Row],[Discount_%]]</f>
        <v>702</v>
      </c>
      <c r="Y141">
        <f>excelsalesdata[[#This Row],[Gross_sales]]-excelsalesdata[[#This Row],[Discount_amt]]</f>
        <v>3978</v>
      </c>
      <c r="Z141" s="4">
        <f>excelsalesdata[[#This Row],[Net_sales]]-excelsalesdata[[#This Row],[Cost]]</f>
        <v>2538</v>
      </c>
      <c r="AA141" s="5">
        <f>excelsalesdata[[#This Row],[Profit]]/excelsalesdata[[#This Row],[Net_sales]]</f>
        <v>0.63800904977375561</v>
      </c>
      <c r="AB141" s="4">
        <f>YEAR(excelsalesdata[[#This Row],[Order_Date]])</f>
        <v>2025</v>
      </c>
      <c r="AC141" s="4" t="str">
        <f>TEXT(excelsalesdata[[#This Row],[Order_Date]],"mmm")</f>
        <v>Aug</v>
      </c>
      <c r="AD141" s="4" t="str">
        <f>"Q"&amp;ROUNDUP(MONTH(excelsalesdata[[#This Row],[Order_Date]])/3,0)</f>
        <v>Q3</v>
      </c>
    </row>
    <row r="142" spans="1:30" x14ac:dyDescent="0.35">
      <c r="A142" t="s">
        <v>467</v>
      </c>
      <c r="B142" s="3">
        <v>45900</v>
      </c>
      <c r="C142" t="s">
        <v>468</v>
      </c>
      <c r="D142" t="s">
        <v>34</v>
      </c>
      <c r="E142" t="str">
        <f>TRIM(excelsalesdata[[#This Row],[Customer_Name]])</f>
        <v>Priya Singh</v>
      </c>
      <c r="F142" t="s">
        <v>23</v>
      </c>
      <c r="G142">
        <v>50</v>
      </c>
      <c r="H142" t="s">
        <v>190</v>
      </c>
      <c r="I142" t="str">
        <f>TRIM(excelsalesdata[[#This Row],[City]])</f>
        <v>Ahmedabad</v>
      </c>
      <c r="J142" t="s">
        <v>191</v>
      </c>
      <c r="K142" t="s">
        <v>26</v>
      </c>
      <c r="L142" t="s">
        <v>27</v>
      </c>
      <c r="M142" t="s">
        <v>28</v>
      </c>
      <c r="N142" t="s">
        <v>28</v>
      </c>
      <c r="O142">
        <v>1</v>
      </c>
      <c r="P142">
        <v>3270</v>
      </c>
      <c r="Q142">
        <v>0.1</v>
      </c>
      <c r="R142">
        <v>2180</v>
      </c>
      <c r="S142" t="s">
        <v>80</v>
      </c>
      <c r="T142" t="s">
        <v>30</v>
      </c>
      <c r="U142">
        <v>4</v>
      </c>
      <c r="V142" t="s">
        <v>31</v>
      </c>
      <c r="W142">
        <f>excelsalesdata[[#This Row],[Quantity]]*excelsalesdata[[#This Row],[Unit_Price]]</f>
        <v>3270</v>
      </c>
      <c r="X142">
        <f>excelsalesdata[[#This Row],[Gross_sales]]*excelsalesdata[[#This Row],[Discount_%]]</f>
        <v>327</v>
      </c>
      <c r="Y142">
        <f>excelsalesdata[[#This Row],[Gross_sales]]-excelsalesdata[[#This Row],[Discount_amt]]</f>
        <v>2943</v>
      </c>
      <c r="Z142" s="4">
        <f>excelsalesdata[[#This Row],[Net_sales]]-excelsalesdata[[#This Row],[Cost]]</f>
        <v>763</v>
      </c>
      <c r="AA142" s="5">
        <f>excelsalesdata[[#This Row],[Profit]]/excelsalesdata[[#This Row],[Net_sales]]</f>
        <v>0.25925925925925924</v>
      </c>
      <c r="AB142" s="4">
        <f>YEAR(excelsalesdata[[#This Row],[Order_Date]])</f>
        <v>2025</v>
      </c>
      <c r="AC142" s="4" t="str">
        <f>TEXT(excelsalesdata[[#This Row],[Order_Date]],"mmm")</f>
        <v>Aug</v>
      </c>
      <c r="AD142" s="4" t="str">
        <f>"Q"&amp;ROUNDUP(MONTH(excelsalesdata[[#This Row],[Order_Date]])/3,0)</f>
        <v>Q3</v>
      </c>
    </row>
    <row r="143" spans="1:30" x14ac:dyDescent="0.35">
      <c r="A143" t="s">
        <v>470</v>
      </c>
      <c r="B143" s="3">
        <v>45901</v>
      </c>
      <c r="C143" t="s">
        <v>471</v>
      </c>
      <c r="D143" t="s">
        <v>474</v>
      </c>
      <c r="E143" t="str">
        <f>TRIM(excelsalesdata[[#This Row],[Customer_Name]])</f>
        <v>Arjun Gupta</v>
      </c>
      <c r="F143" t="s">
        <v>23</v>
      </c>
      <c r="G143">
        <v>21</v>
      </c>
      <c r="H143" t="s">
        <v>190</v>
      </c>
      <c r="I143" t="str">
        <f>TRIM(excelsalesdata[[#This Row],[City]])</f>
        <v>Ahmedabad</v>
      </c>
      <c r="J143" t="s">
        <v>191</v>
      </c>
      <c r="K143" t="s">
        <v>26</v>
      </c>
      <c r="L143" t="s">
        <v>54</v>
      </c>
      <c r="M143" t="s">
        <v>157</v>
      </c>
      <c r="N143" t="s">
        <v>157</v>
      </c>
      <c r="O143">
        <v>2</v>
      </c>
      <c r="P143">
        <v>53340</v>
      </c>
      <c r="Q143">
        <v>0.15</v>
      </c>
      <c r="R143">
        <v>43320</v>
      </c>
      <c r="S143" t="s">
        <v>105</v>
      </c>
      <c r="T143" t="s">
        <v>30</v>
      </c>
      <c r="U143">
        <v>3</v>
      </c>
      <c r="V143" t="s">
        <v>40</v>
      </c>
      <c r="W143">
        <f>excelsalesdata[[#This Row],[Quantity]]*excelsalesdata[[#This Row],[Unit_Price]]</f>
        <v>106680</v>
      </c>
      <c r="X143">
        <f>excelsalesdata[[#This Row],[Gross_sales]]*excelsalesdata[[#This Row],[Discount_%]]</f>
        <v>16002</v>
      </c>
      <c r="Y143">
        <f>excelsalesdata[[#This Row],[Gross_sales]]-excelsalesdata[[#This Row],[Discount_amt]]</f>
        <v>90678</v>
      </c>
      <c r="Z143" s="4">
        <f>excelsalesdata[[#This Row],[Net_sales]]-excelsalesdata[[#This Row],[Cost]]</f>
        <v>47358</v>
      </c>
      <c r="AA143" s="5">
        <f>excelsalesdata[[#This Row],[Profit]]/excelsalesdata[[#This Row],[Net_sales]]</f>
        <v>0.52226559915304704</v>
      </c>
      <c r="AB143" s="4">
        <f>YEAR(excelsalesdata[[#This Row],[Order_Date]])</f>
        <v>2025</v>
      </c>
      <c r="AC143" s="4" t="str">
        <f>TEXT(excelsalesdata[[#This Row],[Order_Date]],"mmm")</f>
        <v>Sep</v>
      </c>
      <c r="AD143" s="4" t="str">
        <f>"Q"&amp;ROUNDUP(MONTH(excelsalesdata[[#This Row],[Order_Date]])/3,0)</f>
        <v>Q3</v>
      </c>
    </row>
    <row r="144" spans="1:30" x14ac:dyDescent="0.35">
      <c r="A144" t="s">
        <v>472</v>
      </c>
      <c r="B144" s="3">
        <v>45902</v>
      </c>
      <c r="C144" t="s">
        <v>473</v>
      </c>
      <c r="D144" t="s">
        <v>476</v>
      </c>
      <c r="E144" t="str">
        <f>TRIM(excelsalesdata[[#This Row],[Customer_Name]])</f>
        <v>Sneha Kumar</v>
      </c>
      <c r="F144" t="s">
        <v>23</v>
      </c>
      <c r="G144">
        <v>29</v>
      </c>
      <c r="H144" t="s">
        <v>52</v>
      </c>
      <c r="I144" t="str">
        <f>TRIM(excelsalesdata[[#This Row],[City]])</f>
        <v>Bengaluru</v>
      </c>
      <c r="J144" t="s">
        <v>53</v>
      </c>
      <c r="K144" t="s">
        <v>47</v>
      </c>
      <c r="L144" t="s">
        <v>54</v>
      </c>
      <c r="M144" t="s">
        <v>129</v>
      </c>
      <c r="N144" t="s">
        <v>129</v>
      </c>
      <c r="O144">
        <v>4</v>
      </c>
      <c r="P144">
        <v>17620</v>
      </c>
      <c r="Q144">
        <v>0.05</v>
      </c>
      <c r="R144">
        <v>12060</v>
      </c>
      <c r="S144" t="s">
        <v>80</v>
      </c>
      <c r="T144" t="s">
        <v>74</v>
      </c>
      <c r="U144">
        <v>10</v>
      </c>
      <c r="V144" t="s">
        <v>31</v>
      </c>
      <c r="W144">
        <f>excelsalesdata[[#This Row],[Quantity]]*excelsalesdata[[#This Row],[Unit_Price]]</f>
        <v>70480</v>
      </c>
      <c r="X144">
        <f>excelsalesdata[[#This Row],[Gross_sales]]*excelsalesdata[[#This Row],[Discount_%]]</f>
        <v>3524</v>
      </c>
      <c r="Y144">
        <f>excelsalesdata[[#This Row],[Gross_sales]]-excelsalesdata[[#This Row],[Discount_amt]]</f>
        <v>66956</v>
      </c>
      <c r="Z144" s="4">
        <f>excelsalesdata[[#This Row],[Net_sales]]-excelsalesdata[[#This Row],[Cost]]</f>
        <v>54896</v>
      </c>
      <c r="AA144" s="5">
        <f>excelsalesdata[[#This Row],[Profit]]/excelsalesdata[[#This Row],[Net_sales]]</f>
        <v>0.81988171336400029</v>
      </c>
      <c r="AB144" s="4">
        <f>YEAR(excelsalesdata[[#This Row],[Order_Date]])</f>
        <v>2025</v>
      </c>
      <c r="AC144" s="4" t="str">
        <f>TEXT(excelsalesdata[[#This Row],[Order_Date]],"mmm")</f>
        <v>Sep</v>
      </c>
      <c r="AD144" s="4" t="str">
        <f>"Q"&amp;ROUNDUP(MONTH(excelsalesdata[[#This Row],[Order_Date]])/3,0)</f>
        <v>Q3</v>
      </c>
    </row>
    <row r="145" spans="1:30" x14ac:dyDescent="0.35">
      <c r="A145" t="s">
        <v>475</v>
      </c>
      <c r="B145" s="3">
        <v>45903</v>
      </c>
      <c r="C145" t="s">
        <v>257</v>
      </c>
      <c r="D145" t="s">
        <v>479</v>
      </c>
      <c r="E145" t="str">
        <f>TRIM(excelsalesdata[[#This Row],[Customer_Name]])</f>
        <v>Karan Kumar</v>
      </c>
      <c r="F145" t="s">
        <v>23</v>
      </c>
      <c r="G145">
        <v>41</v>
      </c>
      <c r="H145" t="s">
        <v>98</v>
      </c>
      <c r="I145" t="str">
        <f>TRIM(excelsalesdata[[#This Row],[City]])</f>
        <v>Mumbai</v>
      </c>
      <c r="J145" t="s">
        <v>25</v>
      </c>
      <c r="K145" t="s">
        <v>26</v>
      </c>
      <c r="L145" t="s">
        <v>27</v>
      </c>
      <c r="M145" t="s">
        <v>123</v>
      </c>
      <c r="N145" t="s">
        <v>123</v>
      </c>
      <c r="O145">
        <v>2</v>
      </c>
      <c r="P145">
        <v>2580</v>
      </c>
      <c r="Q145">
        <v>0.05</v>
      </c>
      <c r="R145">
        <v>1520</v>
      </c>
      <c r="S145" t="s">
        <v>29</v>
      </c>
      <c r="T145" t="s">
        <v>30</v>
      </c>
      <c r="U145">
        <v>3</v>
      </c>
      <c r="V145" t="s">
        <v>40</v>
      </c>
      <c r="W145">
        <f>excelsalesdata[[#This Row],[Quantity]]*excelsalesdata[[#This Row],[Unit_Price]]</f>
        <v>5160</v>
      </c>
      <c r="X145">
        <f>excelsalesdata[[#This Row],[Gross_sales]]*excelsalesdata[[#This Row],[Discount_%]]</f>
        <v>258</v>
      </c>
      <c r="Y145">
        <f>excelsalesdata[[#This Row],[Gross_sales]]-excelsalesdata[[#This Row],[Discount_amt]]</f>
        <v>4902</v>
      </c>
      <c r="Z145" s="4">
        <f>excelsalesdata[[#This Row],[Net_sales]]-excelsalesdata[[#This Row],[Cost]]</f>
        <v>3382</v>
      </c>
      <c r="AA145" s="5">
        <f>excelsalesdata[[#This Row],[Profit]]/excelsalesdata[[#This Row],[Net_sales]]</f>
        <v>0.68992248062015504</v>
      </c>
      <c r="AB145" s="4">
        <f>YEAR(excelsalesdata[[#This Row],[Order_Date]])</f>
        <v>2025</v>
      </c>
      <c r="AC145" s="4" t="str">
        <f>TEXT(excelsalesdata[[#This Row],[Order_Date]],"mmm")</f>
        <v>Sep</v>
      </c>
      <c r="AD145" s="4" t="str">
        <f>"Q"&amp;ROUNDUP(MONTH(excelsalesdata[[#This Row],[Order_Date]])/3,0)</f>
        <v>Q3</v>
      </c>
    </row>
    <row r="146" spans="1:30" x14ac:dyDescent="0.35">
      <c r="A146" t="s">
        <v>477</v>
      </c>
      <c r="B146" s="3">
        <v>45904</v>
      </c>
      <c r="C146" t="s">
        <v>478</v>
      </c>
      <c r="D146" t="s">
        <v>482</v>
      </c>
      <c r="E146" t="str">
        <f>TRIM(excelsalesdata[[#This Row],[Customer_Name]])</f>
        <v>Aditya Gupta</v>
      </c>
      <c r="F146" t="s">
        <v>44</v>
      </c>
      <c r="G146">
        <v>20</v>
      </c>
      <c r="H146" t="s">
        <v>190</v>
      </c>
      <c r="I146" t="str">
        <f>TRIM(excelsalesdata[[#This Row],[City]])</f>
        <v>Ahmedabad</v>
      </c>
      <c r="J146" t="s">
        <v>191</v>
      </c>
      <c r="K146" t="s">
        <v>26</v>
      </c>
      <c r="L146" t="s">
        <v>54</v>
      </c>
      <c r="M146" t="s">
        <v>157</v>
      </c>
      <c r="N146" t="s">
        <v>157</v>
      </c>
      <c r="O146">
        <v>2</v>
      </c>
      <c r="P146">
        <v>55530</v>
      </c>
      <c r="Q146">
        <v>0.1</v>
      </c>
      <c r="R146">
        <v>42740</v>
      </c>
      <c r="S146" t="s">
        <v>151</v>
      </c>
      <c r="T146" t="s">
        <v>30</v>
      </c>
      <c r="U146">
        <v>5</v>
      </c>
      <c r="V146" t="s">
        <v>40</v>
      </c>
      <c r="W146">
        <f>excelsalesdata[[#This Row],[Quantity]]*excelsalesdata[[#This Row],[Unit_Price]]</f>
        <v>111060</v>
      </c>
      <c r="X146">
        <f>excelsalesdata[[#This Row],[Gross_sales]]*excelsalesdata[[#This Row],[Discount_%]]</f>
        <v>11106</v>
      </c>
      <c r="Y146">
        <f>excelsalesdata[[#This Row],[Gross_sales]]-excelsalesdata[[#This Row],[Discount_amt]]</f>
        <v>99954</v>
      </c>
      <c r="Z146" s="4">
        <f>excelsalesdata[[#This Row],[Net_sales]]-excelsalesdata[[#This Row],[Cost]]</f>
        <v>57214</v>
      </c>
      <c r="AA146" s="5">
        <f>excelsalesdata[[#This Row],[Profit]]/excelsalesdata[[#This Row],[Net_sales]]</f>
        <v>0.57240330552053942</v>
      </c>
      <c r="AB146" s="4">
        <f>YEAR(excelsalesdata[[#This Row],[Order_Date]])</f>
        <v>2025</v>
      </c>
      <c r="AC146" s="4" t="str">
        <f>TEXT(excelsalesdata[[#This Row],[Order_Date]],"mmm")</f>
        <v>Sep</v>
      </c>
      <c r="AD146" s="4" t="str">
        <f>"Q"&amp;ROUNDUP(MONTH(excelsalesdata[[#This Row],[Order_Date]])/3,0)</f>
        <v>Q3</v>
      </c>
    </row>
    <row r="147" spans="1:30" x14ac:dyDescent="0.35">
      <c r="A147" t="s">
        <v>480</v>
      </c>
      <c r="B147" s="3">
        <v>45905</v>
      </c>
      <c r="C147" t="s">
        <v>481</v>
      </c>
      <c r="D147" t="s">
        <v>485</v>
      </c>
      <c r="E147" t="str">
        <f>TRIM(excelsalesdata[[#This Row],[Customer_Name]])</f>
        <v>Ishita Mehta</v>
      </c>
      <c r="F147" t="s">
        <v>23</v>
      </c>
      <c r="G147">
        <v>29</v>
      </c>
      <c r="H147" t="s">
        <v>71</v>
      </c>
      <c r="I147" t="str">
        <f>TRIM(excelsalesdata[[#This Row],[City]])</f>
        <v>Bhubaneswar</v>
      </c>
      <c r="J147" t="s">
        <v>72</v>
      </c>
      <c r="K147" t="s">
        <v>37</v>
      </c>
      <c r="L147" t="s">
        <v>85</v>
      </c>
      <c r="M147" t="s">
        <v>86</v>
      </c>
      <c r="N147" t="s">
        <v>86</v>
      </c>
      <c r="O147">
        <v>3</v>
      </c>
      <c r="P147">
        <v>2510</v>
      </c>
      <c r="Q147">
        <v>0.1</v>
      </c>
      <c r="R147">
        <v>1450</v>
      </c>
      <c r="S147" t="s">
        <v>80</v>
      </c>
      <c r="T147" t="s">
        <v>30</v>
      </c>
      <c r="U147">
        <v>2</v>
      </c>
      <c r="V147" t="s">
        <v>31</v>
      </c>
      <c r="W147">
        <f>excelsalesdata[[#This Row],[Quantity]]*excelsalesdata[[#This Row],[Unit_Price]]</f>
        <v>7530</v>
      </c>
      <c r="X147">
        <f>excelsalesdata[[#This Row],[Gross_sales]]*excelsalesdata[[#This Row],[Discount_%]]</f>
        <v>753</v>
      </c>
      <c r="Y147">
        <f>excelsalesdata[[#This Row],[Gross_sales]]-excelsalesdata[[#This Row],[Discount_amt]]</f>
        <v>6777</v>
      </c>
      <c r="Z147" s="4">
        <f>excelsalesdata[[#This Row],[Net_sales]]-excelsalesdata[[#This Row],[Cost]]</f>
        <v>5327</v>
      </c>
      <c r="AA147" s="5">
        <f>excelsalesdata[[#This Row],[Profit]]/excelsalesdata[[#This Row],[Net_sales]]</f>
        <v>0.78604102110078211</v>
      </c>
      <c r="AB147" s="4">
        <f>YEAR(excelsalesdata[[#This Row],[Order_Date]])</f>
        <v>2025</v>
      </c>
      <c r="AC147" s="4" t="str">
        <f>TEXT(excelsalesdata[[#This Row],[Order_Date]],"mmm")</f>
        <v>Sep</v>
      </c>
      <c r="AD147" s="4" t="str">
        <f>"Q"&amp;ROUNDUP(MONTH(excelsalesdata[[#This Row],[Order_Date]])/3,0)</f>
        <v>Q3</v>
      </c>
    </row>
    <row r="148" spans="1:30" x14ac:dyDescent="0.35">
      <c r="A148" t="s">
        <v>483</v>
      </c>
      <c r="B148" s="3">
        <v>45906</v>
      </c>
      <c r="C148" t="s">
        <v>484</v>
      </c>
      <c r="D148" t="s">
        <v>488</v>
      </c>
      <c r="E148" t="str">
        <f>TRIM(excelsalesdata[[#This Row],[Customer_Name]])</f>
        <v>Nisha Singh</v>
      </c>
      <c r="F148" t="s">
        <v>23</v>
      </c>
      <c r="G148">
        <v>28</v>
      </c>
      <c r="H148" t="s">
        <v>133</v>
      </c>
      <c r="I148" t="str">
        <f>TRIM(excelsalesdata[[#This Row],[City]])</f>
        <v>Jaipur</v>
      </c>
      <c r="J148" t="s">
        <v>134</v>
      </c>
      <c r="K148" t="s">
        <v>61</v>
      </c>
      <c r="L148" t="s">
        <v>85</v>
      </c>
      <c r="M148" t="s">
        <v>86</v>
      </c>
      <c r="N148" t="s">
        <v>86</v>
      </c>
      <c r="O148">
        <v>1</v>
      </c>
      <c r="P148">
        <v>2560</v>
      </c>
      <c r="Q148">
        <v>0.1</v>
      </c>
      <c r="R148">
        <v>1450</v>
      </c>
      <c r="S148" t="s">
        <v>105</v>
      </c>
      <c r="T148" t="s">
        <v>99</v>
      </c>
      <c r="U148">
        <v>5</v>
      </c>
      <c r="V148" t="s">
        <v>40</v>
      </c>
      <c r="W148">
        <f>excelsalesdata[[#This Row],[Quantity]]*excelsalesdata[[#This Row],[Unit_Price]]</f>
        <v>2560</v>
      </c>
      <c r="X148">
        <f>excelsalesdata[[#This Row],[Gross_sales]]*excelsalesdata[[#This Row],[Discount_%]]</f>
        <v>256</v>
      </c>
      <c r="Y148">
        <f>excelsalesdata[[#This Row],[Gross_sales]]-excelsalesdata[[#This Row],[Discount_amt]]</f>
        <v>2304</v>
      </c>
      <c r="Z148" s="4">
        <f>excelsalesdata[[#This Row],[Net_sales]]-excelsalesdata[[#This Row],[Cost]]</f>
        <v>854</v>
      </c>
      <c r="AA148" s="5">
        <f>excelsalesdata[[#This Row],[Profit]]/excelsalesdata[[#This Row],[Net_sales]]</f>
        <v>0.37065972222222221</v>
      </c>
      <c r="AB148" s="4">
        <f>YEAR(excelsalesdata[[#This Row],[Order_Date]])</f>
        <v>2025</v>
      </c>
      <c r="AC148" s="4" t="str">
        <f>TEXT(excelsalesdata[[#This Row],[Order_Date]],"mmm")</f>
        <v>Sep</v>
      </c>
      <c r="AD148" s="4" t="str">
        <f>"Q"&amp;ROUNDUP(MONTH(excelsalesdata[[#This Row],[Order_Date]])/3,0)</f>
        <v>Q3</v>
      </c>
    </row>
    <row r="149" spans="1:30" x14ac:dyDescent="0.35">
      <c r="A149" t="s">
        <v>486</v>
      </c>
      <c r="B149" s="3">
        <v>45907</v>
      </c>
      <c r="C149" t="s">
        <v>487</v>
      </c>
      <c r="D149" t="s">
        <v>490</v>
      </c>
      <c r="E149" t="str">
        <f>TRIM(excelsalesdata[[#This Row],[Customer_Name]])</f>
        <v>Aditya Singh</v>
      </c>
      <c r="F149" t="s">
        <v>44</v>
      </c>
      <c r="G149">
        <v>27</v>
      </c>
      <c r="H149" t="s">
        <v>109</v>
      </c>
      <c r="I149" t="str">
        <f>TRIM(excelsalesdata[[#This Row],[City]])</f>
        <v>Mysuru</v>
      </c>
      <c r="J149" t="s">
        <v>53</v>
      </c>
      <c r="K149" t="s">
        <v>47</v>
      </c>
      <c r="L149" t="s">
        <v>54</v>
      </c>
      <c r="M149" t="s">
        <v>66</v>
      </c>
      <c r="N149" t="s">
        <v>66</v>
      </c>
      <c r="O149">
        <v>1</v>
      </c>
      <c r="P149">
        <v>2630</v>
      </c>
      <c r="Q149">
        <v>0.05</v>
      </c>
      <c r="R149">
        <v>1500</v>
      </c>
      <c r="S149" t="s">
        <v>29</v>
      </c>
      <c r="T149" t="s">
        <v>81</v>
      </c>
      <c r="U149">
        <v>0</v>
      </c>
      <c r="V149" t="s">
        <v>40</v>
      </c>
      <c r="W149">
        <f>excelsalesdata[[#This Row],[Quantity]]*excelsalesdata[[#This Row],[Unit_Price]]</f>
        <v>2630</v>
      </c>
      <c r="X149">
        <f>excelsalesdata[[#This Row],[Gross_sales]]*excelsalesdata[[#This Row],[Discount_%]]</f>
        <v>131.5</v>
      </c>
      <c r="Y149">
        <f>excelsalesdata[[#This Row],[Gross_sales]]-excelsalesdata[[#This Row],[Discount_amt]]</f>
        <v>2498.5</v>
      </c>
      <c r="Z149" s="4">
        <f>excelsalesdata[[#This Row],[Net_sales]]-excelsalesdata[[#This Row],[Cost]]</f>
        <v>998.5</v>
      </c>
      <c r="AA149" s="5">
        <f>excelsalesdata[[#This Row],[Profit]]/excelsalesdata[[#This Row],[Net_sales]]</f>
        <v>0.39963978387032217</v>
      </c>
      <c r="AB149" s="4">
        <f>YEAR(excelsalesdata[[#This Row],[Order_Date]])</f>
        <v>2025</v>
      </c>
      <c r="AC149" s="4" t="str">
        <f>TEXT(excelsalesdata[[#This Row],[Order_Date]],"mmm")</f>
        <v>Sep</v>
      </c>
      <c r="AD149" s="4" t="str">
        <f>"Q"&amp;ROUNDUP(MONTH(excelsalesdata[[#This Row],[Order_Date]])/3,0)</f>
        <v>Q3</v>
      </c>
    </row>
    <row r="150" spans="1:30" x14ac:dyDescent="0.35">
      <c r="A150" t="s">
        <v>489</v>
      </c>
      <c r="B150" s="3">
        <v>45908</v>
      </c>
      <c r="C150" t="s">
        <v>240</v>
      </c>
      <c r="D150" t="s">
        <v>294</v>
      </c>
      <c r="E150" t="str">
        <f>TRIM(excelsalesdata[[#This Row],[Customer_Name]])</f>
        <v>Ananya Gupta</v>
      </c>
      <c r="F150" t="s">
        <v>23</v>
      </c>
      <c r="G150">
        <v>54</v>
      </c>
      <c r="H150" t="s">
        <v>155</v>
      </c>
      <c r="I150" t="str">
        <f>TRIM(excelsalesdata[[#This Row],[City]])</f>
        <v>Chennai</v>
      </c>
      <c r="J150" t="s">
        <v>156</v>
      </c>
      <c r="K150" t="s">
        <v>47</v>
      </c>
      <c r="L150" t="s">
        <v>103</v>
      </c>
      <c r="M150" t="s">
        <v>312</v>
      </c>
      <c r="N150" t="s">
        <v>312</v>
      </c>
      <c r="O150">
        <v>4</v>
      </c>
      <c r="P150">
        <v>6710</v>
      </c>
      <c r="Q150">
        <v>0.15</v>
      </c>
      <c r="R150">
        <v>4010</v>
      </c>
      <c r="S150" t="s">
        <v>67</v>
      </c>
      <c r="T150" t="s">
        <v>81</v>
      </c>
      <c r="U150">
        <v>0</v>
      </c>
      <c r="V150" t="s">
        <v>31</v>
      </c>
      <c r="W150">
        <f>excelsalesdata[[#This Row],[Quantity]]*excelsalesdata[[#This Row],[Unit_Price]]</f>
        <v>26840</v>
      </c>
      <c r="X150">
        <f>excelsalesdata[[#This Row],[Gross_sales]]*excelsalesdata[[#This Row],[Discount_%]]</f>
        <v>4026</v>
      </c>
      <c r="Y150">
        <f>excelsalesdata[[#This Row],[Gross_sales]]-excelsalesdata[[#This Row],[Discount_amt]]</f>
        <v>22814</v>
      </c>
      <c r="Z150" s="4">
        <f>excelsalesdata[[#This Row],[Net_sales]]-excelsalesdata[[#This Row],[Cost]]</f>
        <v>18804</v>
      </c>
      <c r="AA150" s="5">
        <f>excelsalesdata[[#This Row],[Profit]]/excelsalesdata[[#This Row],[Net_sales]]</f>
        <v>0.8242307355132813</v>
      </c>
      <c r="AB150" s="4">
        <f>YEAR(excelsalesdata[[#This Row],[Order_Date]])</f>
        <v>2025</v>
      </c>
      <c r="AC150" s="4" t="str">
        <f>TEXT(excelsalesdata[[#This Row],[Order_Date]],"mmm")</f>
        <v>Sep</v>
      </c>
      <c r="AD150" s="4" t="str">
        <f>"Q"&amp;ROUNDUP(MONTH(excelsalesdata[[#This Row],[Order_Date]])/3,0)</f>
        <v>Q3</v>
      </c>
    </row>
    <row r="151" spans="1:30" x14ac:dyDescent="0.35">
      <c r="A151" t="s">
        <v>491</v>
      </c>
      <c r="B151" s="3">
        <v>45909</v>
      </c>
      <c r="C151" t="s">
        <v>492</v>
      </c>
      <c r="D151" t="s">
        <v>495</v>
      </c>
      <c r="E151" t="str">
        <f>TRIM(excelsalesdata[[#This Row],[Customer_Name]])</f>
        <v>Meera Das</v>
      </c>
      <c r="F151" t="s">
        <v>44</v>
      </c>
      <c r="G151">
        <v>48</v>
      </c>
      <c r="H151" t="s">
        <v>155</v>
      </c>
      <c r="I151" t="str">
        <f>TRIM(excelsalesdata[[#This Row],[City]])</f>
        <v>Chennai</v>
      </c>
      <c r="J151" t="s">
        <v>156</v>
      </c>
      <c r="K151" t="s">
        <v>47</v>
      </c>
      <c r="L151" t="s">
        <v>93</v>
      </c>
      <c r="M151" t="s">
        <v>375</v>
      </c>
      <c r="N151" t="s">
        <v>375</v>
      </c>
      <c r="O151">
        <v>1</v>
      </c>
      <c r="P151">
        <v>2120</v>
      </c>
      <c r="Q151">
        <v>0</v>
      </c>
      <c r="R151">
        <v>1140</v>
      </c>
      <c r="S151" t="s">
        <v>29</v>
      </c>
      <c r="T151" t="s">
        <v>30</v>
      </c>
      <c r="U151">
        <v>5</v>
      </c>
      <c r="V151" t="s">
        <v>31</v>
      </c>
      <c r="W151">
        <f>excelsalesdata[[#This Row],[Quantity]]*excelsalesdata[[#This Row],[Unit_Price]]</f>
        <v>2120</v>
      </c>
      <c r="X151">
        <f>excelsalesdata[[#This Row],[Gross_sales]]*excelsalesdata[[#This Row],[Discount_%]]</f>
        <v>0</v>
      </c>
      <c r="Y151">
        <f>excelsalesdata[[#This Row],[Gross_sales]]-excelsalesdata[[#This Row],[Discount_amt]]</f>
        <v>2120</v>
      </c>
      <c r="Z151" s="4">
        <f>excelsalesdata[[#This Row],[Net_sales]]-excelsalesdata[[#This Row],[Cost]]</f>
        <v>980</v>
      </c>
      <c r="AA151" s="5">
        <f>excelsalesdata[[#This Row],[Profit]]/excelsalesdata[[#This Row],[Net_sales]]</f>
        <v>0.46226415094339623</v>
      </c>
      <c r="AB151" s="4">
        <f>YEAR(excelsalesdata[[#This Row],[Order_Date]])</f>
        <v>2025</v>
      </c>
      <c r="AC151" s="4" t="str">
        <f>TEXT(excelsalesdata[[#This Row],[Order_Date]],"mmm")</f>
        <v>Sep</v>
      </c>
      <c r="AD151" s="4" t="str">
        <f>"Q"&amp;ROUNDUP(MONTH(excelsalesdata[[#This Row],[Order_Date]])/3,0)</f>
        <v>Q3</v>
      </c>
    </row>
    <row r="152" spans="1:30" x14ac:dyDescent="0.35">
      <c r="A152" t="s">
        <v>493</v>
      </c>
      <c r="B152" s="3">
        <v>45910</v>
      </c>
      <c r="C152" t="s">
        <v>494</v>
      </c>
      <c r="D152" t="s">
        <v>92</v>
      </c>
      <c r="E152" t="str">
        <f>TRIM(excelsalesdata[[#This Row],[Customer_Name]])</f>
        <v>Nisha Iyer</v>
      </c>
      <c r="F152" t="s">
        <v>23</v>
      </c>
      <c r="G152">
        <v>23</v>
      </c>
      <c r="H152" t="s">
        <v>60</v>
      </c>
      <c r="I152" t="str">
        <f>TRIM(excelsalesdata[[#This Row],[City]])</f>
        <v>Chandigarh</v>
      </c>
      <c r="J152" t="s">
        <v>60</v>
      </c>
      <c r="K152" t="s">
        <v>61</v>
      </c>
      <c r="L152" t="s">
        <v>54</v>
      </c>
      <c r="M152" t="s">
        <v>55</v>
      </c>
      <c r="N152" t="s">
        <v>55</v>
      </c>
      <c r="O152">
        <v>1</v>
      </c>
      <c r="P152">
        <v>6510</v>
      </c>
      <c r="Q152">
        <v>0.2</v>
      </c>
      <c r="R152">
        <v>4340</v>
      </c>
      <c r="S152" t="s">
        <v>80</v>
      </c>
      <c r="T152" t="s">
        <v>30</v>
      </c>
      <c r="U152">
        <v>3</v>
      </c>
      <c r="V152" t="s">
        <v>40</v>
      </c>
      <c r="W152">
        <f>excelsalesdata[[#This Row],[Quantity]]*excelsalesdata[[#This Row],[Unit_Price]]</f>
        <v>6510</v>
      </c>
      <c r="X152">
        <f>excelsalesdata[[#This Row],[Gross_sales]]*excelsalesdata[[#This Row],[Discount_%]]</f>
        <v>1302</v>
      </c>
      <c r="Y152">
        <f>excelsalesdata[[#This Row],[Gross_sales]]-excelsalesdata[[#This Row],[Discount_amt]]</f>
        <v>5208</v>
      </c>
      <c r="Z152" s="4">
        <f>excelsalesdata[[#This Row],[Net_sales]]-excelsalesdata[[#This Row],[Cost]]</f>
        <v>868</v>
      </c>
      <c r="AA152" s="5">
        <f>excelsalesdata[[#This Row],[Profit]]/excelsalesdata[[#This Row],[Net_sales]]</f>
        <v>0.16666666666666666</v>
      </c>
      <c r="AB152" s="4">
        <f>YEAR(excelsalesdata[[#This Row],[Order_Date]])</f>
        <v>2025</v>
      </c>
      <c r="AC152" s="4" t="str">
        <f>TEXT(excelsalesdata[[#This Row],[Order_Date]],"mmm")</f>
        <v>Sep</v>
      </c>
      <c r="AD152" s="4" t="str">
        <f>"Q"&amp;ROUNDUP(MONTH(excelsalesdata[[#This Row],[Order_Date]])/3,0)</f>
        <v>Q3</v>
      </c>
    </row>
    <row r="153" spans="1:30" x14ac:dyDescent="0.35">
      <c r="A153" t="s">
        <v>496</v>
      </c>
      <c r="B153" s="3">
        <v>45911</v>
      </c>
      <c r="C153" t="s">
        <v>431</v>
      </c>
      <c r="D153" t="s">
        <v>499</v>
      </c>
      <c r="E153" t="str">
        <f>TRIM(excelsalesdata[[#This Row],[Customer_Name]])</f>
        <v>Aditya Nair</v>
      </c>
      <c r="F153" t="s">
        <v>23</v>
      </c>
      <c r="G153">
        <v>41</v>
      </c>
      <c r="H153" t="s">
        <v>78</v>
      </c>
      <c r="I153" t="str">
        <f>TRIM(excelsalesdata[[#This Row],[City]])</f>
        <v>Guwahati</v>
      </c>
      <c r="J153" t="s">
        <v>79</v>
      </c>
      <c r="K153" t="s">
        <v>37</v>
      </c>
      <c r="L153" t="s">
        <v>103</v>
      </c>
      <c r="M153" t="s">
        <v>347</v>
      </c>
      <c r="N153" t="s">
        <v>347</v>
      </c>
      <c r="O153">
        <v>1</v>
      </c>
      <c r="P153">
        <v>11840</v>
      </c>
      <c r="Q153">
        <v>0.05</v>
      </c>
      <c r="R153">
        <v>8390</v>
      </c>
      <c r="S153" t="s">
        <v>56</v>
      </c>
      <c r="T153" t="s">
        <v>30</v>
      </c>
      <c r="U153">
        <v>4</v>
      </c>
      <c r="V153" t="s">
        <v>31</v>
      </c>
      <c r="W153">
        <f>excelsalesdata[[#This Row],[Quantity]]*excelsalesdata[[#This Row],[Unit_Price]]</f>
        <v>11840</v>
      </c>
      <c r="X153">
        <f>excelsalesdata[[#This Row],[Gross_sales]]*excelsalesdata[[#This Row],[Discount_%]]</f>
        <v>592</v>
      </c>
      <c r="Y153">
        <f>excelsalesdata[[#This Row],[Gross_sales]]-excelsalesdata[[#This Row],[Discount_amt]]</f>
        <v>11248</v>
      </c>
      <c r="Z153" s="4">
        <f>excelsalesdata[[#This Row],[Net_sales]]-excelsalesdata[[#This Row],[Cost]]</f>
        <v>2858</v>
      </c>
      <c r="AA153" s="5">
        <f>excelsalesdata[[#This Row],[Profit]]/excelsalesdata[[#This Row],[Net_sales]]</f>
        <v>0.25408961593172119</v>
      </c>
      <c r="AB153" s="4">
        <f>YEAR(excelsalesdata[[#This Row],[Order_Date]])</f>
        <v>2025</v>
      </c>
      <c r="AC153" s="4" t="str">
        <f>TEXT(excelsalesdata[[#This Row],[Order_Date]],"mmm")</f>
        <v>Sep</v>
      </c>
      <c r="AD153" s="4" t="str">
        <f>"Q"&amp;ROUNDUP(MONTH(excelsalesdata[[#This Row],[Order_Date]])/3,0)</f>
        <v>Q3</v>
      </c>
    </row>
    <row r="154" spans="1:30" x14ac:dyDescent="0.35">
      <c r="A154" t="s">
        <v>497</v>
      </c>
      <c r="B154" s="3">
        <v>45912</v>
      </c>
      <c r="C154" t="s">
        <v>498</v>
      </c>
      <c r="D154" t="s">
        <v>502</v>
      </c>
      <c r="E154" t="str">
        <f>TRIM(excelsalesdata[[#This Row],[Customer_Name]])</f>
        <v>Diya Joshi</v>
      </c>
      <c r="F154" t="s">
        <v>23</v>
      </c>
      <c r="G154">
        <v>29</v>
      </c>
      <c r="H154" t="s">
        <v>133</v>
      </c>
      <c r="I154" t="str">
        <f>TRIM(excelsalesdata[[#This Row],[City]])</f>
        <v>Jaipur</v>
      </c>
      <c r="J154" t="s">
        <v>134</v>
      </c>
      <c r="K154" t="s">
        <v>61</v>
      </c>
      <c r="L154" t="s">
        <v>54</v>
      </c>
      <c r="M154" t="s">
        <v>129</v>
      </c>
      <c r="N154" t="s">
        <v>129</v>
      </c>
      <c r="O154">
        <v>1</v>
      </c>
      <c r="P154">
        <v>17210</v>
      </c>
      <c r="Q154">
        <v>0.05</v>
      </c>
      <c r="R154">
        <v>12940</v>
      </c>
      <c r="S154" t="s">
        <v>105</v>
      </c>
      <c r="T154" t="s">
        <v>30</v>
      </c>
      <c r="U154">
        <v>2</v>
      </c>
      <c r="V154" t="s">
        <v>31</v>
      </c>
      <c r="W154">
        <f>excelsalesdata[[#This Row],[Quantity]]*excelsalesdata[[#This Row],[Unit_Price]]</f>
        <v>17210</v>
      </c>
      <c r="X154">
        <f>excelsalesdata[[#This Row],[Gross_sales]]*excelsalesdata[[#This Row],[Discount_%]]</f>
        <v>860.5</v>
      </c>
      <c r="Y154">
        <f>excelsalesdata[[#This Row],[Gross_sales]]-excelsalesdata[[#This Row],[Discount_amt]]</f>
        <v>16349.5</v>
      </c>
      <c r="Z154" s="4">
        <f>excelsalesdata[[#This Row],[Net_sales]]-excelsalesdata[[#This Row],[Cost]]</f>
        <v>3409.5</v>
      </c>
      <c r="AA154" s="5">
        <f>excelsalesdata[[#This Row],[Profit]]/excelsalesdata[[#This Row],[Net_sales]]</f>
        <v>0.20853848741551728</v>
      </c>
      <c r="AB154" s="4">
        <f>YEAR(excelsalesdata[[#This Row],[Order_Date]])</f>
        <v>2025</v>
      </c>
      <c r="AC154" s="4" t="str">
        <f>TEXT(excelsalesdata[[#This Row],[Order_Date]],"mmm")</f>
        <v>Sep</v>
      </c>
      <c r="AD154" s="4" t="str">
        <f>"Q"&amp;ROUNDUP(MONTH(excelsalesdata[[#This Row],[Order_Date]])/3,0)</f>
        <v>Q3</v>
      </c>
    </row>
    <row r="155" spans="1:30" x14ac:dyDescent="0.35">
      <c r="A155" t="s">
        <v>500</v>
      </c>
      <c r="B155" s="3">
        <v>45913</v>
      </c>
      <c r="C155" t="s">
        <v>501</v>
      </c>
      <c r="D155" t="s">
        <v>413</v>
      </c>
      <c r="E155" t="str">
        <f>TRIM(excelsalesdata[[#This Row],[Customer_Name]])</f>
        <v>Rahul Mehta</v>
      </c>
      <c r="F155" t="s">
        <v>44</v>
      </c>
      <c r="G155">
        <v>39</v>
      </c>
      <c r="H155" t="s">
        <v>52</v>
      </c>
      <c r="I155" t="str">
        <f>TRIM(excelsalesdata[[#This Row],[City]])</f>
        <v>Bengaluru</v>
      </c>
      <c r="J155" t="s">
        <v>53</v>
      </c>
      <c r="K155" t="s">
        <v>47</v>
      </c>
      <c r="L155" t="s">
        <v>27</v>
      </c>
      <c r="M155" t="s">
        <v>48</v>
      </c>
      <c r="N155" t="s">
        <v>48</v>
      </c>
      <c r="O155">
        <v>2</v>
      </c>
      <c r="P155">
        <v>850</v>
      </c>
      <c r="Q155">
        <v>0.25</v>
      </c>
      <c r="R155">
        <v>470</v>
      </c>
      <c r="S155" t="s">
        <v>105</v>
      </c>
      <c r="T155" t="s">
        <v>30</v>
      </c>
      <c r="U155">
        <v>3</v>
      </c>
      <c r="V155" t="s">
        <v>40</v>
      </c>
      <c r="W155">
        <f>excelsalesdata[[#This Row],[Quantity]]*excelsalesdata[[#This Row],[Unit_Price]]</f>
        <v>1700</v>
      </c>
      <c r="X155">
        <f>excelsalesdata[[#This Row],[Gross_sales]]*excelsalesdata[[#This Row],[Discount_%]]</f>
        <v>425</v>
      </c>
      <c r="Y155">
        <f>excelsalesdata[[#This Row],[Gross_sales]]-excelsalesdata[[#This Row],[Discount_amt]]</f>
        <v>1275</v>
      </c>
      <c r="Z155" s="4">
        <f>excelsalesdata[[#This Row],[Net_sales]]-excelsalesdata[[#This Row],[Cost]]</f>
        <v>805</v>
      </c>
      <c r="AA155" s="5">
        <f>excelsalesdata[[#This Row],[Profit]]/excelsalesdata[[#This Row],[Net_sales]]</f>
        <v>0.63137254901960782</v>
      </c>
      <c r="AB155" s="4">
        <f>YEAR(excelsalesdata[[#This Row],[Order_Date]])</f>
        <v>2025</v>
      </c>
      <c r="AC155" s="4" t="str">
        <f>TEXT(excelsalesdata[[#This Row],[Order_Date]],"mmm")</f>
        <v>Sep</v>
      </c>
      <c r="AD155" s="4" t="str">
        <f>"Q"&amp;ROUNDUP(MONTH(excelsalesdata[[#This Row],[Order_Date]])/3,0)</f>
        <v>Q3</v>
      </c>
    </row>
    <row r="156" spans="1:30" x14ac:dyDescent="0.35">
      <c r="A156" t="s">
        <v>503</v>
      </c>
      <c r="B156" s="3">
        <v>45914</v>
      </c>
      <c r="C156" t="s">
        <v>504</v>
      </c>
      <c r="D156" t="s">
        <v>507</v>
      </c>
      <c r="E156" t="str">
        <f>TRIM(excelsalesdata[[#This Row],[Customer_Name]])</f>
        <v>Vikram Iyer</v>
      </c>
      <c r="F156" t="s">
        <v>44</v>
      </c>
      <c r="G156">
        <v>57</v>
      </c>
      <c r="H156" t="s">
        <v>98</v>
      </c>
      <c r="I156" t="str">
        <f>TRIM(excelsalesdata[[#This Row],[City]])</f>
        <v>Mumbai</v>
      </c>
      <c r="J156" t="s">
        <v>25</v>
      </c>
      <c r="K156" t="s">
        <v>26</v>
      </c>
      <c r="L156" t="s">
        <v>103</v>
      </c>
      <c r="M156" t="s">
        <v>312</v>
      </c>
      <c r="N156" t="s">
        <v>312</v>
      </c>
      <c r="O156">
        <v>5</v>
      </c>
      <c r="P156">
        <v>6810</v>
      </c>
      <c r="Q156">
        <v>0.1</v>
      </c>
      <c r="R156">
        <v>4130</v>
      </c>
      <c r="S156" t="s">
        <v>67</v>
      </c>
      <c r="T156" t="s">
        <v>30</v>
      </c>
      <c r="U156">
        <v>5</v>
      </c>
      <c r="V156" t="s">
        <v>40</v>
      </c>
      <c r="W156">
        <f>excelsalesdata[[#This Row],[Quantity]]*excelsalesdata[[#This Row],[Unit_Price]]</f>
        <v>34050</v>
      </c>
      <c r="X156">
        <f>excelsalesdata[[#This Row],[Gross_sales]]*excelsalesdata[[#This Row],[Discount_%]]</f>
        <v>3405</v>
      </c>
      <c r="Y156">
        <f>excelsalesdata[[#This Row],[Gross_sales]]-excelsalesdata[[#This Row],[Discount_amt]]</f>
        <v>30645</v>
      </c>
      <c r="Z156" s="4">
        <f>excelsalesdata[[#This Row],[Net_sales]]-excelsalesdata[[#This Row],[Cost]]</f>
        <v>26515</v>
      </c>
      <c r="AA156" s="5">
        <f>excelsalesdata[[#This Row],[Profit]]/excelsalesdata[[#This Row],[Net_sales]]</f>
        <v>0.86523086963615603</v>
      </c>
      <c r="AB156" s="4">
        <f>YEAR(excelsalesdata[[#This Row],[Order_Date]])</f>
        <v>2025</v>
      </c>
      <c r="AC156" s="4" t="str">
        <f>TEXT(excelsalesdata[[#This Row],[Order_Date]],"mmm")</f>
        <v>Sep</v>
      </c>
      <c r="AD156" s="4" t="str">
        <f>"Q"&amp;ROUNDUP(MONTH(excelsalesdata[[#This Row],[Order_Date]])/3,0)</f>
        <v>Q3</v>
      </c>
    </row>
    <row r="157" spans="1:30" x14ac:dyDescent="0.35">
      <c r="A157" t="s">
        <v>505</v>
      </c>
      <c r="B157" s="3">
        <v>45915</v>
      </c>
      <c r="C157" t="s">
        <v>506</v>
      </c>
      <c r="D157" t="s">
        <v>510</v>
      </c>
      <c r="E157" t="str">
        <f>TRIM(excelsalesdata[[#This Row],[Customer_Name]])</f>
        <v>Diya Kumar</v>
      </c>
      <c r="F157" t="s">
        <v>23</v>
      </c>
      <c r="G157">
        <v>39</v>
      </c>
      <c r="H157" t="s">
        <v>155</v>
      </c>
      <c r="I157" t="str">
        <f>TRIM(excelsalesdata[[#This Row],[City]])</f>
        <v>Chennai</v>
      </c>
      <c r="J157" t="s">
        <v>156</v>
      </c>
      <c r="K157" t="s">
        <v>47</v>
      </c>
      <c r="L157" t="s">
        <v>103</v>
      </c>
      <c r="M157" t="s">
        <v>178</v>
      </c>
      <c r="N157" t="s">
        <v>178</v>
      </c>
      <c r="O157">
        <v>4</v>
      </c>
      <c r="P157">
        <v>1820</v>
      </c>
      <c r="Q157">
        <v>0.15</v>
      </c>
      <c r="R157">
        <v>960</v>
      </c>
      <c r="S157" t="s">
        <v>105</v>
      </c>
      <c r="T157" t="s">
        <v>30</v>
      </c>
      <c r="U157">
        <v>3</v>
      </c>
      <c r="V157" t="s">
        <v>40</v>
      </c>
      <c r="W157">
        <f>excelsalesdata[[#This Row],[Quantity]]*excelsalesdata[[#This Row],[Unit_Price]]</f>
        <v>7280</v>
      </c>
      <c r="X157">
        <f>excelsalesdata[[#This Row],[Gross_sales]]*excelsalesdata[[#This Row],[Discount_%]]</f>
        <v>1092</v>
      </c>
      <c r="Y157">
        <f>excelsalesdata[[#This Row],[Gross_sales]]-excelsalesdata[[#This Row],[Discount_amt]]</f>
        <v>6188</v>
      </c>
      <c r="Z157" s="4">
        <f>excelsalesdata[[#This Row],[Net_sales]]-excelsalesdata[[#This Row],[Cost]]</f>
        <v>5228</v>
      </c>
      <c r="AA157" s="5">
        <f>excelsalesdata[[#This Row],[Profit]]/excelsalesdata[[#This Row],[Net_sales]]</f>
        <v>0.84486102133160956</v>
      </c>
      <c r="AB157" s="4">
        <f>YEAR(excelsalesdata[[#This Row],[Order_Date]])</f>
        <v>2025</v>
      </c>
      <c r="AC157" s="4" t="str">
        <f>TEXT(excelsalesdata[[#This Row],[Order_Date]],"mmm")</f>
        <v>Sep</v>
      </c>
      <c r="AD157" s="4" t="str">
        <f>"Q"&amp;ROUNDUP(MONTH(excelsalesdata[[#This Row],[Order_Date]])/3,0)</f>
        <v>Q3</v>
      </c>
    </row>
    <row r="158" spans="1:30" x14ac:dyDescent="0.35">
      <c r="A158" t="s">
        <v>508</v>
      </c>
      <c r="B158" s="3">
        <v>45916</v>
      </c>
      <c r="C158" t="s">
        <v>509</v>
      </c>
      <c r="D158" t="s">
        <v>198</v>
      </c>
      <c r="E158" t="str">
        <f>TRIM(excelsalesdata[[#This Row],[Customer_Name]])</f>
        <v>Rohan Iyer</v>
      </c>
      <c r="F158" t="s">
        <v>23</v>
      </c>
      <c r="G158">
        <v>56</v>
      </c>
      <c r="H158" t="s">
        <v>155</v>
      </c>
      <c r="I158" t="str">
        <f>TRIM(excelsalesdata[[#This Row],[City]])</f>
        <v>Chennai</v>
      </c>
      <c r="J158" t="s">
        <v>156</v>
      </c>
      <c r="K158" t="s">
        <v>47</v>
      </c>
      <c r="L158" t="s">
        <v>27</v>
      </c>
      <c r="M158" t="s">
        <v>28</v>
      </c>
      <c r="N158" t="s">
        <v>28</v>
      </c>
      <c r="O158">
        <v>1</v>
      </c>
      <c r="P158">
        <v>3650</v>
      </c>
      <c r="Q158">
        <v>0.25</v>
      </c>
      <c r="R158">
        <v>2040</v>
      </c>
      <c r="S158" t="s">
        <v>80</v>
      </c>
      <c r="T158" t="s">
        <v>30</v>
      </c>
      <c r="U158">
        <v>5</v>
      </c>
      <c r="V158" t="s">
        <v>40</v>
      </c>
      <c r="W158">
        <f>excelsalesdata[[#This Row],[Quantity]]*excelsalesdata[[#This Row],[Unit_Price]]</f>
        <v>3650</v>
      </c>
      <c r="X158">
        <f>excelsalesdata[[#This Row],[Gross_sales]]*excelsalesdata[[#This Row],[Discount_%]]</f>
        <v>912.5</v>
      </c>
      <c r="Y158">
        <f>excelsalesdata[[#This Row],[Gross_sales]]-excelsalesdata[[#This Row],[Discount_amt]]</f>
        <v>2737.5</v>
      </c>
      <c r="Z158" s="4">
        <f>excelsalesdata[[#This Row],[Net_sales]]-excelsalesdata[[#This Row],[Cost]]</f>
        <v>697.5</v>
      </c>
      <c r="AA158" s="5">
        <f>excelsalesdata[[#This Row],[Profit]]/excelsalesdata[[#This Row],[Net_sales]]</f>
        <v>0.25479452054794521</v>
      </c>
      <c r="AB158" s="4">
        <f>YEAR(excelsalesdata[[#This Row],[Order_Date]])</f>
        <v>2025</v>
      </c>
      <c r="AC158" s="4" t="str">
        <f>TEXT(excelsalesdata[[#This Row],[Order_Date]],"mmm")</f>
        <v>Sep</v>
      </c>
      <c r="AD158" s="4" t="str">
        <f>"Q"&amp;ROUNDUP(MONTH(excelsalesdata[[#This Row],[Order_Date]])/3,0)</f>
        <v>Q3</v>
      </c>
    </row>
    <row r="159" spans="1:30" x14ac:dyDescent="0.35">
      <c r="A159" t="s">
        <v>511</v>
      </c>
      <c r="B159" s="3">
        <v>45917</v>
      </c>
      <c r="C159" t="s">
        <v>512</v>
      </c>
      <c r="D159" t="s">
        <v>374</v>
      </c>
      <c r="E159" t="str">
        <f>TRIM(excelsalesdata[[#This Row],[Customer_Name]])</f>
        <v>Priya Sharma</v>
      </c>
      <c r="F159" t="s">
        <v>23</v>
      </c>
      <c r="G159">
        <v>32</v>
      </c>
      <c r="H159" t="s">
        <v>71</v>
      </c>
      <c r="I159" t="str">
        <f>TRIM(excelsalesdata[[#This Row],[City]])</f>
        <v>Bhubaneswar</v>
      </c>
      <c r="J159" t="s">
        <v>72</v>
      </c>
      <c r="K159" t="s">
        <v>37</v>
      </c>
      <c r="L159" t="s">
        <v>27</v>
      </c>
      <c r="M159" t="s">
        <v>48</v>
      </c>
      <c r="N159" t="s">
        <v>48</v>
      </c>
      <c r="O159">
        <v>2</v>
      </c>
      <c r="P159">
        <v>910</v>
      </c>
      <c r="Q159">
        <v>0.05</v>
      </c>
      <c r="R159">
        <v>460</v>
      </c>
      <c r="S159" t="s">
        <v>80</v>
      </c>
      <c r="T159" t="s">
        <v>74</v>
      </c>
      <c r="U159">
        <v>2</v>
      </c>
      <c r="V159" t="s">
        <v>31</v>
      </c>
      <c r="W159">
        <f>excelsalesdata[[#This Row],[Quantity]]*excelsalesdata[[#This Row],[Unit_Price]]</f>
        <v>1820</v>
      </c>
      <c r="X159">
        <f>excelsalesdata[[#This Row],[Gross_sales]]*excelsalesdata[[#This Row],[Discount_%]]</f>
        <v>91</v>
      </c>
      <c r="Y159">
        <f>excelsalesdata[[#This Row],[Gross_sales]]-excelsalesdata[[#This Row],[Discount_amt]]</f>
        <v>1729</v>
      </c>
      <c r="Z159" s="4">
        <f>excelsalesdata[[#This Row],[Net_sales]]-excelsalesdata[[#This Row],[Cost]]</f>
        <v>1269</v>
      </c>
      <c r="AA159" s="5">
        <f>excelsalesdata[[#This Row],[Profit]]/excelsalesdata[[#This Row],[Net_sales]]</f>
        <v>0.7339502602660497</v>
      </c>
      <c r="AB159" s="4">
        <f>YEAR(excelsalesdata[[#This Row],[Order_Date]])</f>
        <v>2025</v>
      </c>
      <c r="AC159" s="4" t="str">
        <f>TEXT(excelsalesdata[[#This Row],[Order_Date]],"mmm")</f>
        <v>Sep</v>
      </c>
      <c r="AD159" s="4" t="str">
        <f>"Q"&amp;ROUNDUP(MONTH(excelsalesdata[[#This Row],[Order_Date]])/3,0)</f>
        <v>Q3</v>
      </c>
    </row>
    <row r="160" spans="1:30" x14ac:dyDescent="0.35">
      <c r="A160" t="s">
        <v>513</v>
      </c>
      <c r="B160" s="3">
        <v>45918</v>
      </c>
      <c r="C160" t="s">
        <v>514</v>
      </c>
      <c r="D160" t="s">
        <v>171</v>
      </c>
      <c r="E160" t="str">
        <f>TRIM(excelsalesdata[[#This Row],[Customer_Name]])</f>
        <v>Sneha Rao</v>
      </c>
      <c r="F160" t="s">
        <v>44</v>
      </c>
      <c r="G160">
        <v>25</v>
      </c>
      <c r="H160" t="s">
        <v>45</v>
      </c>
      <c r="I160" t="str">
        <f>TRIM(excelsalesdata[[#This Row],[City]])</f>
        <v>Kochi</v>
      </c>
      <c r="J160" t="s">
        <v>46</v>
      </c>
      <c r="K160" t="s">
        <v>47</v>
      </c>
      <c r="L160" t="s">
        <v>93</v>
      </c>
      <c r="M160" t="s">
        <v>94</v>
      </c>
      <c r="N160" t="s">
        <v>94</v>
      </c>
      <c r="O160">
        <v>1</v>
      </c>
      <c r="P160">
        <v>520</v>
      </c>
      <c r="Q160">
        <v>0.25</v>
      </c>
      <c r="R160">
        <v>240</v>
      </c>
      <c r="S160" t="s">
        <v>29</v>
      </c>
      <c r="T160" t="s">
        <v>30</v>
      </c>
      <c r="U160">
        <v>3</v>
      </c>
      <c r="V160" t="s">
        <v>31</v>
      </c>
      <c r="W160">
        <f>excelsalesdata[[#This Row],[Quantity]]*excelsalesdata[[#This Row],[Unit_Price]]</f>
        <v>520</v>
      </c>
      <c r="X160">
        <f>excelsalesdata[[#This Row],[Gross_sales]]*excelsalesdata[[#This Row],[Discount_%]]</f>
        <v>130</v>
      </c>
      <c r="Y160">
        <f>excelsalesdata[[#This Row],[Gross_sales]]-excelsalesdata[[#This Row],[Discount_amt]]</f>
        <v>390</v>
      </c>
      <c r="Z160" s="4">
        <f>excelsalesdata[[#This Row],[Net_sales]]-excelsalesdata[[#This Row],[Cost]]</f>
        <v>150</v>
      </c>
      <c r="AA160" s="5">
        <f>excelsalesdata[[#This Row],[Profit]]/excelsalesdata[[#This Row],[Net_sales]]</f>
        <v>0.38461538461538464</v>
      </c>
      <c r="AB160" s="4">
        <f>YEAR(excelsalesdata[[#This Row],[Order_Date]])</f>
        <v>2025</v>
      </c>
      <c r="AC160" s="4" t="str">
        <f>TEXT(excelsalesdata[[#This Row],[Order_Date]],"mmm")</f>
        <v>Sep</v>
      </c>
      <c r="AD160" s="4" t="str">
        <f>"Q"&amp;ROUNDUP(MONTH(excelsalesdata[[#This Row],[Order_Date]])/3,0)</f>
        <v>Q3</v>
      </c>
    </row>
    <row r="161" spans="1:30" x14ac:dyDescent="0.35">
      <c r="A161" t="s">
        <v>515</v>
      </c>
      <c r="B161" s="3">
        <v>45919</v>
      </c>
      <c r="C161" t="s">
        <v>253</v>
      </c>
      <c r="D161" t="s">
        <v>184</v>
      </c>
      <c r="E161" t="str">
        <f>TRIM(excelsalesdata[[#This Row],[Customer_Name]])</f>
        <v>Aditya Verma</v>
      </c>
      <c r="F161" t="s">
        <v>44</v>
      </c>
      <c r="G161">
        <v>47</v>
      </c>
      <c r="H161" t="s">
        <v>35</v>
      </c>
      <c r="I161" t="str">
        <f>TRIM(excelsalesdata[[#This Row],[City]])</f>
        <v>Kolkata</v>
      </c>
      <c r="J161" t="s">
        <v>36</v>
      </c>
      <c r="K161" t="s">
        <v>37</v>
      </c>
      <c r="L161" t="s">
        <v>38</v>
      </c>
      <c r="M161" t="s">
        <v>161</v>
      </c>
      <c r="N161" t="s">
        <v>161</v>
      </c>
      <c r="O161">
        <v>3</v>
      </c>
      <c r="P161">
        <v>27680</v>
      </c>
      <c r="Q161">
        <v>0.05</v>
      </c>
      <c r="R161">
        <v>19500</v>
      </c>
      <c r="S161" t="s">
        <v>105</v>
      </c>
      <c r="T161" t="s">
        <v>30</v>
      </c>
      <c r="U161">
        <v>5</v>
      </c>
      <c r="V161" t="s">
        <v>40</v>
      </c>
      <c r="W161">
        <f>excelsalesdata[[#This Row],[Quantity]]*excelsalesdata[[#This Row],[Unit_Price]]</f>
        <v>83040</v>
      </c>
      <c r="X161">
        <f>excelsalesdata[[#This Row],[Gross_sales]]*excelsalesdata[[#This Row],[Discount_%]]</f>
        <v>4152</v>
      </c>
      <c r="Y161">
        <f>excelsalesdata[[#This Row],[Gross_sales]]-excelsalesdata[[#This Row],[Discount_amt]]</f>
        <v>78888</v>
      </c>
      <c r="Z161" s="4">
        <f>excelsalesdata[[#This Row],[Net_sales]]-excelsalesdata[[#This Row],[Cost]]</f>
        <v>59388</v>
      </c>
      <c r="AA161" s="5">
        <f>excelsalesdata[[#This Row],[Profit]]/excelsalesdata[[#This Row],[Net_sales]]</f>
        <v>0.75281411621539396</v>
      </c>
      <c r="AB161" s="4">
        <f>YEAR(excelsalesdata[[#This Row],[Order_Date]])</f>
        <v>2025</v>
      </c>
      <c r="AC161" s="4" t="str">
        <f>TEXT(excelsalesdata[[#This Row],[Order_Date]],"mmm")</f>
        <v>Sep</v>
      </c>
      <c r="AD161" s="4" t="str">
        <f>"Q"&amp;ROUNDUP(MONTH(excelsalesdata[[#This Row],[Order_Date]])/3,0)</f>
        <v>Q3</v>
      </c>
    </row>
    <row r="162" spans="1:30" x14ac:dyDescent="0.35">
      <c r="A162" t="s">
        <v>516</v>
      </c>
      <c r="B162" s="3">
        <v>45920</v>
      </c>
      <c r="C162" t="s">
        <v>517</v>
      </c>
      <c r="D162" t="s">
        <v>519</v>
      </c>
      <c r="E162" t="str">
        <f>TRIM(excelsalesdata[[#This Row],[Customer_Name]])</f>
        <v>Kavya Das</v>
      </c>
      <c r="F162" t="s">
        <v>44</v>
      </c>
      <c r="G162">
        <v>26</v>
      </c>
      <c r="H162" t="s">
        <v>155</v>
      </c>
      <c r="I162" t="str">
        <f>TRIM(excelsalesdata[[#This Row],[City]])</f>
        <v>Chennai</v>
      </c>
      <c r="J162" t="s">
        <v>156</v>
      </c>
      <c r="K162" t="s">
        <v>47</v>
      </c>
      <c r="L162" t="s">
        <v>85</v>
      </c>
      <c r="M162" t="s">
        <v>202</v>
      </c>
      <c r="N162" t="s">
        <v>202</v>
      </c>
      <c r="O162">
        <v>3</v>
      </c>
      <c r="P162">
        <v>970</v>
      </c>
      <c r="Q162">
        <v>0.2</v>
      </c>
      <c r="R162">
        <v>410</v>
      </c>
      <c r="S162" t="s">
        <v>80</v>
      </c>
      <c r="T162" t="s">
        <v>30</v>
      </c>
      <c r="U162">
        <v>5</v>
      </c>
      <c r="V162" t="s">
        <v>40</v>
      </c>
      <c r="W162">
        <f>excelsalesdata[[#This Row],[Quantity]]*excelsalesdata[[#This Row],[Unit_Price]]</f>
        <v>2910</v>
      </c>
      <c r="X162">
        <f>excelsalesdata[[#This Row],[Gross_sales]]*excelsalesdata[[#This Row],[Discount_%]]</f>
        <v>582</v>
      </c>
      <c r="Y162">
        <f>excelsalesdata[[#This Row],[Gross_sales]]-excelsalesdata[[#This Row],[Discount_amt]]</f>
        <v>2328</v>
      </c>
      <c r="Z162" s="4">
        <f>excelsalesdata[[#This Row],[Net_sales]]-excelsalesdata[[#This Row],[Cost]]</f>
        <v>1918</v>
      </c>
      <c r="AA162" s="5">
        <f>excelsalesdata[[#This Row],[Profit]]/excelsalesdata[[#This Row],[Net_sales]]</f>
        <v>0.82388316151202745</v>
      </c>
      <c r="AB162" s="4">
        <f>YEAR(excelsalesdata[[#This Row],[Order_Date]])</f>
        <v>2025</v>
      </c>
      <c r="AC162" s="4" t="str">
        <f>TEXT(excelsalesdata[[#This Row],[Order_Date]],"mmm")</f>
        <v>Sep</v>
      </c>
      <c r="AD162" s="4" t="str">
        <f>"Q"&amp;ROUNDUP(MONTH(excelsalesdata[[#This Row],[Order_Date]])/3,0)</f>
        <v>Q3</v>
      </c>
    </row>
    <row r="163" spans="1:30" x14ac:dyDescent="0.35">
      <c r="A163" t="s">
        <v>518</v>
      </c>
      <c r="B163" s="3">
        <v>45921</v>
      </c>
      <c r="C163" t="s">
        <v>159</v>
      </c>
      <c r="D163" t="s">
        <v>522</v>
      </c>
      <c r="E163" t="str">
        <f>TRIM(excelsalesdata[[#This Row],[Customer_Name]])</f>
        <v>Priya Joshi</v>
      </c>
      <c r="F163" t="s">
        <v>44</v>
      </c>
      <c r="G163">
        <v>45</v>
      </c>
      <c r="H163" t="s">
        <v>190</v>
      </c>
      <c r="I163" t="str">
        <f>TRIM(excelsalesdata[[#This Row],[City]])</f>
        <v>Ahmedabad</v>
      </c>
      <c r="J163" t="s">
        <v>191</v>
      </c>
      <c r="K163" t="s">
        <v>26</v>
      </c>
      <c r="L163" t="s">
        <v>54</v>
      </c>
      <c r="M163" t="s">
        <v>129</v>
      </c>
      <c r="N163" t="s">
        <v>129</v>
      </c>
      <c r="O163">
        <v>1</v>
      </c>
      <c r="P163">
        <v>16970</v>
      </c>
      <c r="Q163">
        <v>0.05</v>
      </c>
      <c r="R163">
        <v>12440</v>
      </c>
      <c r="S163" t="s">
        <v>151</v>
      </c>
      <c r="T163" t="s">
        <v>30</v>
      </c>
      <c r="U163">
        <v>4</v>
      </c>
      <c r="V163" t="s">
        <v>31</v>
      </c>
      <c r="W163">
        <f>excelsalesdata[[#This Row],[Quantity]]*excelsalesdata[[#This Row],[Unit_Price]]</f>
        <v>16970</v>
      </c>
      <c r="X163">
        <f>excelsalesdata[[#This Row],[Gross_sales]]*excelsalesdata[[#This Row],[Discount_%]]</f>
        <v>848.5</v>
      </c>
      <c r="Y163">
        <f>excelsalesdata[[#This Row],[Gross_sales]]-excelsalesdata[[#This Row],[Discount_amt]]</f>
        <v>16121.5</v>
      </c>
      <c r="Z163" s="4">
        <f>excelsalesdata[[#This Row],[Net_sales]]-excelsalesdata[[#This Row],[Cost]]</f>
        <v>3681.5</v>
      </c>
      <c r="AA163" s="5">
        <f>excelsalesdata[[#This Row],[Profit]]/excelsalesdata[[#This Row],[Net_sales]]</f>
        <v>0.22835964395372638</v>
      </c>
      <c r="AB163" s="4">
        <f>YEAR(excelsalesdata[[#This Row],[Order_Date]])</f>
        <v>2025</v>
      </c>
      <c r="AC163" s="4" t="str">
        <f>TEXT(excelsalesdata[[#This Row],[Order_Date]],"mmm")</f>
        <v>Sep</v>
      </c>
      <c r="AD163" s="4" t="str">
        <f>"Q"&amp;ROUNDUP(MONTH(excelsalesdata[[#This Row],[Order_Date]])/3,0)</f>
        <v>Q3</v>
      </c>
    </row>
    <row r="164" spans="1:30" x14ac:dyDescent="0.35">
      <c r="A164" t="s">
        <v>520</v>
      </c>
      <c r="B164" s="3">
        <v>45922</v>
      </c>
      <c r="C164" t="s">
        <v>521</v>
      </c>
      <c r="D164" t="s">
        <v>524</v>
      </c>
      <c r="E164" t="str">
        <f>TRIM(excelsalesdata[[#This Row],[Customer_Name]])</f>
        <v>Arjun Das</v>
      </c>
      <c r="F164" t="s">
        <v>23</v>
      </c>
      <c r="G164">
        <v>44</v>
      </c>
      <c r="H164" t="s">
        <v>114</v>
      </c>
      <c r="I164" t="str">
        <f>TRIM(excelsalesdata[[#This Row],[City]])</f>
        <v>Hyderabad</v>
      </c>
      <c r="J164" t="s">
        <v>115</v>
      </c>
      <c r="K164" t="s">
        <v>47</v>
      </c>
      <c r="L164" t="s">
        <v>54</v>
      </c>
      <c r="M164" t="s">
        <v>62</v>
      </c>
      <c r="N164" t="s">
        <v>62</v>
      </c>
      <c r="O164">
        <v>2</v>
      </c>
      <c r="P164">
        <v>21380</v>
      </c>
      <c r="Q164">
        <v>0.15</v>
      </c>
      <c r="R164">
        <v>14830</v>
      </c>
      <c r="S164" t="s">
        <v>29</v>
      </c>
      <c r="T164" t="s">
        <v>74</v>
      </c>
      <c r="U164">
        <v>2</v>
      </c>
      <c r="V164" t="s">
        <v>31</v>
      </c>
      <c r="W164">
        <f>excelsalesdata[[#This Row],[Quantity]]*excelsalesdata[[#This Row],[Unit_Price]]</f>
        <v>42760</v>
      </c>
      <c r="X164">
        <f>excelsalesdata[[#This Row],[Gross_sales]]*excelsalesdata[[#This Row],[Discount_%]]</f>
        <v>6414</v>
      </c>
      <c r="Y164">
        <f>excelsalesdata[[#This Row],[Gross_sales]]-excelsalesdata[[#This Row],[Discount_amt]]</f>
        <v>36346</v>
      </c>
      <c r="Z164" s="4">
        <f>excelsalesdata[[#This Row],[Net_sales]]-excelsalesdata[[#This Row],[Cost]]</f>
        <v>21516</v>
      </c>
      <c r="AA164" s="5">
        <f>excelsalesdata[[#This Row],[Profit]]/excelsalesdata[[#This Row],[Net_sales]]</f>
        <v>0.59197710889781541</v>
      </c>
      <c r="AB164" s="4">
        <f>YEAR(excelsalesdata[[#This Row],[Order_Date]])</f>
        <v>2025</v>
      </c>
      <c r="AC164" s="4" t="str">
        <f>TEXT(excelsalesdata[[#This Row],[Order_Date]],"mmm")</f>
        <v>Sep</v>
      </c>
      <c r="AD164" s="4" t="str">
        <f>"Q"&amp;ROUNDUP(MONTH(excelsalesdata[[#This Row],[Order_Date]])/3,0)</f>
        <v>Q3</v>
      </c>
    </row>
    <row r="165" spans="1:30" x14ac:dyDescent="0.35">
      <c r="A165" t="s">
        <v>523</v>
      </c>
      <c r="B165" s="3">
        <v>45923</v>
      </c>
      <c r="C165" t="s">
        <v>230</v>
      </c>
      <c r="D165" t="s">
        <v>527</v>
      </c>
      <c r="E165" t="str">
        <f>TRIM(excelsalesdata[[#This Row],[Customer_Name]])</f>
        <v>Aditya Sharma</v>
      </c>
      <c r="F165" t="s">
        <v>44</v>
      </c>
      <c r="G165">
        <v>55</v>
      </c>
      <c r="H165" t="s">
        <v>78</v>
      </c>
      <c r="I165" t="str">
        <f>TRIM(excelsalesdata[[#This Row],[City]])</f>
        <v>Guwahati</v>
      </c>
      <c r="J165" t="s">
        <v>79</v>
      </c>
      <c r="K165" t="s">
        <v>37</v>
      </c>
      <c r="L165" t="s">
        <v>54</v>
      </c>
      <c r="M165" t="s">
        <v>66</v>
      </c>
      <c r="N165" t="s">
        <v>66</v>
      </c>
      <c r="O165">
        <v>3</v>
      </c>
      <c r="P165">
        <v>2460</v>
      </c>
      <c r="Q165">
        <v>0.15</v>
      </c>
      <c r="R165">
        <v>1560</v>
      </c>
      <c r="S165" t="s">
        <v>29</v>
      </c>
      <c r="T165" t="s">
        <v>30</v>
      </c>
      <c r="U165">
        <v>1</v>
      </c>
      <c r="V165" t="s">
        <v>40</v>
      </c>
      <c r="W165">
        <f>excelsalesdata[[#This Row],[Quantity]]*excelsalesdata[[#This Row],[Unit_Price]]</f>
        <v>7380</v>
      </c>
      <c r="X165">
        <f>excelsalesdata[[#This Row],[Gross_sales]]*excelsalesdata[[#This Row],[Discount_%]]</f>
        <v>1107</v>
      </c>
      <c r="Y165">
        <f>excelsalesdata[[#This Row],[Gross_sales]]-excelsalesdata[[#This Row],[Discount_amt]]</f>
        <v>6273</v>
      </c>
      <c r="Z165" s="4">
        <f>excelsalesdata[[#This Row],[Net_sales]]-excelsalesdata[[#This Row],[Cost]]</f>
        <v>4713</v>
      </c>
      <c r="AA165" s="5">
        <f>excelsalesdata[[#This Row],[Profit]]/excelsalesdata[[#This Row],[Net_sales]]</f>
        <v>0.75131516021042566</v>
      </c>
      <c r="AB165" s="4">
        <f>YEAR(excelsalesdata[[#This Row],[Order_Date]])</f>
        <v>2025</v>
      </c>
      <c r="AC165" s="4" t="str">
        <f>TEXT(excelsalesdata[[#This Row],[Order_Date]],"mmm")</f>
        <v>Sep</v>
      </c>
      <c r="AD165" s="4" t="str">
        <f>"Q"&amp;ROUNDUP(MONTH(excelsalesdata[[#This Row],[Order_Date]])/3,0)</f>
        <v>Q3</v>
      </c>
    </row>
    <row r="166" spans="1:30" x14ac:dyDescent="0.35">
      <c r="A166" t="s">
        <v>525</v>
      </c>
      <c r="B166" s="3">
        <v>45924</v>
      </c>
      <c r="C166" t="s">
        <v>526</v>
      </c>
      <c r="D166" t="s">
        <v>331</v>
      </c>
      <c r="E166" t="str">
        <f>TRIM(excelsalesdata[[#This Row],[Customer_Name]])</f>
        <v>Ananya Iyer</v>
      </c>
      <c r="F166" t="s">
        <v>23</v>
      </c>
      <c r="G166">
        <v>44</v>
      </c>
      <c r="H166" t="s">
        <v>24</v>
      </c>
      <c r="I166" t="str">
        <f>TRIM(excelsalesdata[[#This Row],[City]])</f>
        <v>Pune</v>
      </c>
      <c r="J166" t="s">
        <v>25</v>
      </c>
      <c r="K166" t="s">
        <v>26</v>
      </c>
      <c r="L166" t="s">
        <v>54</v>
      </c>
      <c r="M166" t="s">
        <v>157</v>
      </c>
      <c r="N166" t="s">
        <v>157</v>
      </c>
      <c r="O166">
        <v>2</v>
      </c>
      <c r="P166">
        <v>54650</v>
      </c>
      <c r="Q166">
        <v>0.2</v>
      </c>
      <c r="R166">
        <v>42200</v>
      </c>
      <c r="S166" t="s">
        <v>80</v>
      </c>
      <c r="T166" t="s">
        <v>99</v>
      </c>
      <c r="U166">
        <v>2</v>
      </c>
      <c r="V166" t="s">
        <v>40</v>
      </c>
      <c r="W166">
        <f>excelsalesdata[[#This Row],[Quantity]]*excelsalesdata[[#This Row],[Unit_Price]]</f>
        <v>109300</v>
      </c>
      <c r="X166">
        <f>excelsalesdata[[#This Row],[Gross_sales]]*excelsalesdata[[#This Row],[Discount_%]]</f>
        <v>21860</v>
      </c>
      <c r="Y166">
        <f>excelsalesdata[[#This Row],[Gross_sales]]-excelsalesdata[[#This Row],[Discount_amt]]</f>
        <v>87440</v>
      </c>
      <c r="Z166" s="4">
        <f>excelsalesdata[[#This Row],[Net_sales]]-excelsalesdata[[#This Row],[Cost]]</f>
        <v>45240</v>
      </c>
      <c r="AA166" s="5">
        <f>excelsalesdata[[#This Row],[Profit]]/excelsalesdata[[#This Row],[Net_sales]]</f>
        <v>0.51738334858188473</v>
      </c>
      <c r="AB166" s="4">
        <f>YEAR(excelsalesdata[[#This Row],[Order_Date]])</f>
        <v>2025</v>
      </c>
      <c r="AC166" s="4" t="str">
        <f>TEXT(excelsalesdata[[#This Row],[Order_Date]],"mmm")</f>
        <v>Sep</v>
      </c>
      <c r="AD166" s="4" t="str">
        <f>"Q"&amp;ROUNDUP(MONTH(excelsalesdata[[#This Row],[Order_Date]])/3,0)</f>
        <v>Q3</v>
      </c>
    </row>
    <row r="167" spans="1:30" x14ac:dyDescent="0.35">
      <c r="A167" t="s">
        <v>528</v>
      </c>
      <c r="B167" s="3">
        <v>45925</v>
      </c>
      <c r="C167" t="s">
        <v>529</v>
      </c>
      <c r="D167" t="s">
        <v>532</v>
      </c>
      <c r="E167" t="str">
        <f>TRIM(excelsalesdata[[#This Row],[Customer_Name]])</f>
        <v>Ananya Mehta</v>
      </c>
      <c r="F167" t="s">
        <v>23</v>
      </c>
      <c r="G167">
        <v>43</v>
      </c>
      <c r="H167" t="s">
        <v>98</v>
      </c>
      <c r="I167" t="str">
        <f>TRIM(excelsalesdata[[#This Row],[City]])</f>
        <v>Mumbai</v>
      </c>
      <c r="J167" t="s">
        <v>25</v>
      </c>
      <c r="K167" t="s">
        <v>26</v>
      </c>
      <c r="L167" t="s">
        <v>38</v>
      </c>
      <c r="M167" t="s">
        <v>39</v>
      </c>
      <c r="N167" t="s">
        <v>39</v>
      </c>
      <c r="O167">
        <v>1</v>
      </c>
      <c r="P167">
        <v>6930</v>
      </c>
      <c r="Q167">
        <v>0.15</v>
      </c>
      <c r="R167">
        <v>4330</v>
      </c>
      <c r="S167" t="s">
        <v>29</v>
      </c>
      <c r="T167" t="s">
        <v>99</v>
      </c>
      <c r="U167">
        <v>5</v>
      </c>
      <c r="V167" t="s">
        <v>31</v>
      </c>
      <c r="W167">
        <f>excelsalesdata[[#This Row],[Quantity]]*excelsalesdata[[#This Row],[Unit_Price]]</f>
        <v>6930</v>
      </c>
      <c r="X167">
        <f>excelsalesdata[[#This Row],[Gross_sales]]*excelsalesdata[[#This Row],[Discount_%]]</f>
        <v>1039.5</v>
      </c>
      <c r="Y167">
        <f>excelsalesdata[[#This Row],[Gross_sales]]-excelsalesdata[[#This Row],[Discount_amt]]</f>
        <v>5890.5</v>
      </c>
      <c r="Z167" s="4">
        <f>excelsalesdata[[#This Row],[Net_sales]]-excelsalesdata[[#This Row],[Cost]]</f>
        <v>1560.5</v>
      </c>
      <c r="AA167" s="5">
        <f>excelsalesdata[[#This Row],[Profit]]/excelsalesdata[[#This Row],[Net_sales]]</f>
        <v>0.2649180884475002</v>
      </c>
      <c r="AB167" s="4">
        <f>YEAR(excelsalesdata[[#This Row],[Order_Date]])</f>
        <v>2025</v>
      </c>
      <c r="AC167" s="4" t="str">
        <f>TEXT(excelsalesdata[[#This Row],[Order_Date]],"mmm")</f>
        <v>Sep</v>
      </c>
      <c r="AD167" s="4" t="str">
        <f>"Q"&amp;ROUNDUP(MONTH(excelsalesdata[[#This Row],[Order_Date]])/3,0)</f>
        <v>Q3</v>
      </c>
    </row>
    <row r="168" spans="1:30" x14ac:dyDescent="0.35">
      <c r="A168" t="s">
        <v>530</v>
      </c>
      <c r="B168" s="3">
        <v>45926</v>
      </c>
      <c r="C168" t="s">
        <v>531</v>
      </c>
      <c r="D168" t="s">
        <v>534</v>
      </c>
      <c r="E168" t="str">
        <f>TRIM(excelsalesdata[[#This Row],[Customer_Name]])</f>
        <v>Ananya Kumar</v>
      </c>
      <c r="F168" t="s">
        <v>23</v>
      </c>
      <c r="G168">
        <v>31</v>
      </c>
      <c r="H168" t="s">
        <v>190</v>
      </c>
      <c r="I168" t="str">
        <f>TRIM(excelsalesdata[[#This Row],[City]])</f>
        <v>Ahmedabad</v>
      </c>
      <c r="J168" t="s">
        <v>191</v>
      </c>
      <c r="K168" t="s">
        <v>26</v>
      </c>
      <c r="L168" t="s">
        <v>93</v>
      </c>
      <c r="M168" t="s">
        <v>135</v>
      </c>
      <c r="N168" t="s">
        <v>135</v>
      </c>
      <c r="O168">
        <v>1</v>
      </c>
      <c r="P168">
        <v>1730</v>
      </c>
      <c r="Q168">
        <v>0</v>
      </c>
      <c r="R168">
        <v>1010</v>
      </c>
      <c r="S168" t="s">
        <v>29</v>
      </c>
      <c r="T168" t="s">
        <v>74</v>
      </c>
      <c r="U168">
        <v>1</v>
      </c>
      <c r="V168" t="s">
        <v>31</v>
      </c>
      <c r="W168">
        <f>excelsalesdata[[#This Row],[Quantity]]*excelsalesdata[[#This Row],[Unit_Price]]</f>
        <v>1730</v>
      </c>
      <c r="X168">
        <f>excelsalesdata[[#This Row],[Gross_sales]]*excelsalesdata[[#This Row],[Discount_%]]</f>
        <v>0</v>
      </c>
      <c r="Y168">
        <f>excelsalesdata[[#This Row],[Gross_sales]]-excelsalesdata[[#This Row],[Discount_amt]]</f>
        <v>1730</v>
      </c>
      <c r="Z168" s="4">
        <f>excelsalesdata[[#This Row],[Net_sales]]-excelsalesdata[[#This Row],[Cost]]</f>
        <v>720</v>
      </c>
      <c r="AA168" s="5">
        <f>excelsalesdata[[#This Row],[Profit]]/excelsalesdata[[#This Row],[Net_sales]]</f>
        <v>0.41618497109826591</v>
      </c>
      <c r="AB168" s="4">
        <f>YEAR(excelsalesdata[[#This Row],[Order_Date]])</f>
        <v>2025</v>
      </c>
      <c r="AC168" s="4" t="str">
        <f>TEXT(excelsalesdata[[#This Row],[Order_Date]],"mmm")</f>
        <v>Sep</v>
      </c>
      <c r="AD168" s="4" t="str">
        <f>"Q"&amp;ROUNDUP(MONTH(excelsalesdata[[#This Row],[Order_Date]])/3,0)</f>
        <v>Q3</v>
      </c>
    </row>
    <row r="169" spans="1:30" x14ac:dyDescent="0.35">
      <c r="A169" t="s">
        <v>533</v>
      </c>
      <c r="B169" s="3">
        <v>45927</v>
      </c>
      <c r="C169" t="s">
        <v>153</v>
      </c>
      <c r="D169" t="s">
        <v>118</v>
      </c>
      <c r="E169" t="str">
        <f>TRIM(excelsalesdata[[#This Row],[Customer_Name]])</f>
        <v>Nisha Shah</v>
      </c>
      <c r="F169" t="s">
        <v>44</v>
      </c>
      <c r="G169">
        <v>45</v>
      </c>
      <c r="H169" t="s">
        <v>190</v>
      </c>
      <c r="I169" t="str">
        <f>TRIM(excelsalesdata[[#This Row],[City]])</f>
        <v>Ahmedabad</v>
      </c>
      <c r="J169" t="s">
        <v>191</v>
      </c>
      <c r="K169" t="s">
        <v>26</v>
      </c>
      <c r="L169" t="s">
        <v>103</v>
      </c>
      <c r="M169" t="s">
        <v>347</v>
      </c>
      <c r="N169" t="s">
        <v>347</v>
      </c>
      <c r="O169">
        <v>2</v>
      </c>
      <c r="P169">
        <v>12750</v>
      </c>
      <c r="Q169">
        <v>0.05</v>
      </c>
      <c r="R169">
        <v>7850</v>
      </c>
      <c r="S169" t="s">
        <v>29</v>
      </c>
      <c r="T169" t="s">
        <v>30</v>
      </c>
      <c r="U169">
        <v>1</v>
      </c>
      <c r="V169" t="s">
        <v>40</v>
      </c>
      <c r="W169">
        <f>excelsalesdata[[#This Row],[Quantity]]*excelsalesdata[[#This Row],[Unit_Price]]</f>
        <v>25500</v>
      </c>
      <c r="X169">
        <f>excelsalesdata[[#This Row],[Gross_sales]]*excelsalesdata[[#This Row],[Discount_%]]</f>
        <v>1275</v>
      </c>
      <c r="Y169">
        <f>excelsalesdata[[#This Row],[Gross_sales]]-excelsalesdata[[#This Row],[Discount_amt]]</f>
        <v>24225</v>
      </c>
      <c r="Z169" s="4">
        <f>excelsalesdata[[#This Row],[Net_sales]]-excelsalesdata[[#This Row],[Cost]]</f>
        <v>16375</v>
      </c>
      <c r="AA169" s="5">
        <f>excelsalesdata[[#This Row],[Profit]]/excelsalesdata[[#This Row],[Net_sales]]</f>
        <v>0.67595459236326105</v>
      </c>
      <c r="AB169" s="4">
        <f>YEAR(excelsalesdata[[#This Row],[Order_Date]])</f>
        <v>2025</v>
      </c>
      <c r="AC169" s="4" t="str">
        <f>TEXT(excelsalesdata[[#This Row],[Order_Date]],"mmm")</f>
        <v>Sep</v>
      </c>
      <c r="AD169" s="4" t="str">
        <f>"Q"&amp;ROUNDUP(MONTH(excelsalesdata[[#This Row],[Order_Date]])/3,0)</f>
        <v>Q3</v>
      </c>
    </row>
    <row r="170" spans="1:30" x14ac:dyDescent="0.35">
      <c r="A170" t="s">
        <v>535</v>
      </c>
      <c r="B170" s="3">
        <v>45928</v>
      </c>
      <c r="C170" t="s">
        <v>330</v>
      </c>
      <c r="D170" t="s">
        <v>171</v>
      </c>
      <c r="E170" t="str">
        <f>TRIM(excelsalesdata[[#This Row],[Customer_Name]])</f>
        <v>Sneha Rao</v>
      </c>
      <c r="F170" t="s">
        <v>23</v>
      </c>
      <c r="G170">
        <v>38</v>
      </c>
      <c r="H170" t="s">
        <v>45</v>
      </c>
      <c r="I170" t="str">
        <f>TRIM(excelsalesdata[[#This Row],[City]])</f>
        <v>Kochi</v>
      </c>
      <c r="J170" t="s">
        <v>46</v>
      </c>
      <c r="K170" t="s">
        <v>47</v>
      </c>
      <c r="L170" t="s">
        <v>54</v>
      </c>
      <c r="M170" t="s">
        <v>62</v>
      </c>
      <c r="N170" t="s">
        <v>62</v>
      </c>
      <c r="O170">
        <v>2</v>
      </c>
      <c r="P170">
        <v>20640</v>
      </c>
      <c r="Q170">
        <v>0</v>
      </c>
      <c r="R170">
        <v>16130</v>
      </c>
      <c r="S170" t="s">
        <v>105</v>
      </c>
      <c r="T170" t="s">
        <v>74</v>
      </c>
      <c r="U170">
        <v>6</v>
      </c>
      <c r="V170" t="s">
        <v>40</v>
      </c>
      <c r="W170">
        <f>excelsalesdata[[#This Row],[Quantity]]*excelsalesdata[[#This Row],[Unit_Price]]</f>
        <v>41280</v>
      </c>
      <c r="X170">
        <f>excelsalesdata[[#This Row],[Gross_sales]]*excelsalesdata[[#This Row],[Discount_%]]</f>
        <v>0</v>
      </c>
      <c r="Y170">
        <f>excelsalesdata[[#This Row],[Gross_sales]]-excelsalesdata[[#This Row],[Discount_amt]]</f>
        <v>41280</v>
      </c>
      <c r="Z170" s="4">
        <f>excelsalesdata[[#This Row],[Net_sales]]-excelsalesdata[[#This Row],[Cost]]</f>
        <v>25150</v>
      </c>
      <c r="AA170" s="5">
        <f>excelsalesdata[[#This Row],[Profit]]/excelsalesdata[[#This Row],[Net_sales]]</f>
        <v>0.60925387596899228</v>
      </c>
      <c r="AB170" s="4">
        <f>YEAR(excelsalesdata[[#This Row],[Order_Date]])</f>
        <v>2025</v>
      </c>
      <c r="AC170" s="4" t="str">
        <f>TEXT(excelsalesdata[[#This Row],[Order_Date]],"mmm")</f>
        <v>Sep</v>
      </c>
      <c r="AD170" s="4" t="str">
        <f>"Q"&amp;ROUNDUP(MONTH(excelsalesdata[[#This Row],[Order_Date]])/3,0)</f>
        <v>Q3</v>
      </c>
    </row>
    <row r="171" spans="1:30" x14ac:dyDescent="0.35">
      <c r="A171" t="s">
        <v>536</v>
      </c>
      <c r="B171" s="3">
        <v>45929</v>
      </c>
      <c r="C171" t="s">
        <v>537</v>
      </c>
      <c r="D171" t="s">
        <v>540</v>
      </c>
      <c r="E171" t="str">
        <f>TRIM(excelsalesdata[[#This Row],[Customer_Name]])</f>
        <v>Priya Kumar</v>
      </c>
      <c r="F171" t="s">
        <v>44</v>
      </c>
      <c r="G171">
        <v>29</v>
      </c>
      <c r="H171" t="s">
        <v>98</v>
      </c>
      <c r="I171" t="str">
        <f>TRIM(excelsalesdata[[#This Row],[City]])</f>
        <v>Mumbai</v>
      </c>
      <c r="J171" t="s">
        <v>25</v>
      </c>
      <c r="K171" t="s">
        <v>26</v>
      </c>
      <c r="L171" t="s">
        <v>38</v>
      </c>
      <c r="M171" t="s">
        <v>39</v>
      </c>
      <c r="N171" t="s">
        <v>39</v>
      </c>
      <c r="O171">
        <v>1</v>
      </c>
      <c r="P171">
        <v>6150</v>
      </c>
      <c r="Q171">
        <v>0.05</v>
      </c>
      <c r="R171">
        <v>4390</v>
      </c>
      <c r="S171" t="s">
        <v>80</v>
      </c>
      <c r="T171" t="s">
        <v>30</v>
      </c>
      <c r="U171">
        <v>4</v>
      </c>
      <c r="V171" t="s">
        <v>40</v>
      </c>
      <c r="W171">
        <f>excelsalesdata[[#This Row],[Quantity]]*excelsalesdata[[#This Row],[Unit_Price]]</f>
        <v>6150</v>
      </c>
      <c r="X171">
        <f>excelsalesdata[[#This Row],[Gross_sales]]*excelsalesdata[[#This Row],[Discount_%]]</f>
        <v>307.5</v>
      </c>
      <c r="Y171">
        <f>excelsalesdata[[#This Row],[Gross_sales]]-excelsalesdata[[#This Row],[Discount_amt]]</f>
        <v>5842.5</v>
      </c>
      <c r="Z171" s="4">
        <f>excelsalesdata[[#This Row],[Net_sales]]-excelsalesdata[[#This Row],[Cost]]</f>
        <v>1452.5</v>
      </c>
      <c r="AA171" s="5">
        <f>excelsalesdata[[#This Row],[Profit]]/excelsalesdata[[#This Row],[Net_sales]]</f>
        <v>0.24860932819854514</v>
      </c>
      <c r="AB171" s="4">
        <f>YEAR(excelsalesdata[[#This Row],[Order_Date]])</f>
        <v>2025</v>
      </c>
      <c r="AC171" s="4" t="str">
        <f>TEXT(excelsalesdata[[#This Row],[Order_Date]],"mmm")</f>
        <v>Sep</v>
      </c>
      <c r="AD171" s="4" t="str">
        <f>"Q"&amp;ROUNDUP(MONTH(excelsalesdata[[#This Row],[Order_Date]])/3,0)</f>
        <v>Q3</v>
      </c>
    </row>
    <row r="172" spans="1:30" x14ac:dyDescent="0.35">
      <c r="A172" t="s">
        <v>538</v>
      </c>
      <c r="B172" s="3">
        <v>45930</v>
      </c>
      <c r="C172" t="s">
        <v>539</v>
      </c>
      <c r="D172" t="s">
        <v>325</v>
      </c>
      <c r="E172" t="str">
        <f>TRIM(excelsalesdata[[#This Row],[Customer_Name]])</f>
        <v>Ishita Iyer</v>
      </c>
      <c r="F172" t="s">
        <v>44</v>
      </c>
      <c r="G172">
        <v>20</v>
      </c>
      <c r="H172" t="s">
        <v>98</v>
      </c>
      <c r="I172" t="str">
        <f>TRIM(excelsalesdata[[#This Row],[City]])</f>
        <v>Mumbai</v>
      </c>
      <c r="J172" t="s">
        <v>25</v>
      </c>
      <c r="K172" t="s">
        <v>26</v>
      </c>
      <c r="L172" t="s">
        <v>54</v>
      </c>
      <c r="M172" t="s">
        <v>157</v>
      </c>
      <c r="N172" t="s">
        <v>157</v>
      </c>
      <c r="O172">
        <v>2</v>
      </c>
      <c r="P172">
        <v>59260</v>
      </c>
      <c r="Q172">
        <v>0.05</v>
      </c>
      <c r="R172">
        <v>41610</v>
      </c>
      <c r="S172" t="s">
        <v>67</v>
      </c>
      <c r="T172" t="s">
        <v>30</v>
      </c>
      <c r="U172">
        <v>1</v>
      </c>
      <c r="V172" t="s">
        <v>31</v>
      </c>
      <c r="W172">
        <f>excelsalesdata[[#This Row],[Quantity]]*excelsalesdata[[#This Row],[Unit_Price]]</f>
        <v>118520</v>
      </c>
      <c r="X172">
        <f>excelsalesdata[[#This Row],[Gross_sales]]*excelsalesdata[[#This Row],[Discount_%]]</f>
        <v>5926</v>
      </c>
      <c r="Y172">
        <f>excelsalesdata[[#This Row],[Gross_sales]]-excelsalesdata[[#This Row],[Discount_amt]]</f>
        <v>112594</v>
      </c>
      <c r="Z172" s="4">
        <f>excelsalesdata[[#This Row],[Net_sales]]-excelsalesdata[[#This Row],[Cost]]</f>
        <v>70984</v>
      </c>
      <c r="AA172" s="5">
        <f>excelsalesdata[[#This Row],[Profit]]/excelsalesdata[[#This Row],[Net_sales]]</f>
        <v>0.63044211947350659</v>
      </c>
      <c r="AB172" s="4">
        <f>YEAR(excelsalesdata[[#This Row],[Order_Date]])</f>
        <v>2025</v>
      </c>
      <c r="AC172" s="4" t="str">
        <f>TEXT(excelsalesdata[[#This Row],[Order_Date]],"mmm")</f>
        <v>Sep</v>
      </c>
      <c r="AD172" s="4" t="str">
        <f>"Q"&amp;ROUNDUP(MONTH(excelsalesdata[[#This Row],[Order_Date]])/3,0)</f>
        <v>Q3</v>
      </c>
    </row>
    <row r="173" spans="1:30" x14ac:dyDescent="0.35">
      <c r="A173" t="s">
        <v>541</v>
      </c>
      <c r="B173" s="3">
        <v>45931</v>
      </c>
      <c r="C173" t="s">
        <v>542</v>
      </c>
      <c r="D173" t="s">
        <v>544</v>
      </c>
      <c r="E173" t="str">
        <f>TRIM(excelsalesdata[[#This Row],[Customer_Name]])</f>
        <v>Kavya Iyer</v>
      </c>
      <c r="F173" t="s">
        <v>44</v>
      </c>
      <c r="G173">
        <v>59</v>
      </c>
      <c r="H173" t="s">
        <v>52</v>
      </c>
      <c r="I173" t="str">
        <f>TRIM(excelsalesdata[[#This Row],[City]])</f>
        <v>Bengaluru</v>
      </c>
      <c r="J173" t="s">
        <v>53</v>
      </c>
      <c r="K173" t="s">
        <v>47</v>
      </c>
      <c r="L173" t="s">
        <v>27</v>
      </c>
      <c r="M173" t="s">
        <v>123</v>
      </c>
      <c r="N173" t="s">
        <v>123</v>
      </c>
      <c r="O173">
        <v>2</v>
      </c>
      <c r="P173">
        <v>2660</v>
      </c>
      <c r="Q173">
        <v>0.15</v>
      </c>
      <c r="R173">
        <v>1560</v>
      </c>
      <c r="S173" t="s">
        <v>29</v>
      </c>
      <c r="T173" t="s">
        <v>30</v>
      </c>
      <c r="U173">
        <v>1</v>
      </c>
      <c r="V173" t="s">
        <v>40</v>
      </c>
      <c r="W173">
        <f>excelsalesdata[[#This Row],[Quantity]]*excelsalesdata[[#This Row],[Unit_Price]]</f>
        <v>5320</v>
      </c>
      <c r="X173">
        <f>excelsalesdata[[#This Row],[Gross_sales]]*excelsalesdata[[#This Row],[Discount_%]]</f>
        <v>798</v>
      </c>
      <c r="Y173">
        <f>excelsalesdata[[#This Row],[Gross_sales]]-excelsalesdata[[#This Row],[Discount_amt]]</f>
        <v>4522</v>
      </c>
      <c r="Z173" s="4">
        <f>excelsalesdata[[#This Row],[Net_sales]]-excelsalesdata[[#This Row],[Cost]]</f>
        <v>2962</v>
      </c>
      <c r="AA173" s="5">
        <f>excelsalesdata[[#This Row],[Profit]]/excelsalesdata[[#This Row],[Net_sales]]</f>
        <v>0.65501990269792132</v>
      </c>
      <c r="AB173" s="4">
        <f>YEAR(excelsalesdata[[#This Row],[Order_Date]])</f>
        <v>2025</v>
      </c>
      <c r="AC173" s="4" t="str">
        <f>TEXT(excelsalesdata[[#This Row],[Order_Date]],"mmm")</f>
        <v>Oct</v>
      </c>
      <c r="AD173" s="4" t="str">
        <f>"Q"&amp;ROUNDUP(MONTH(excelsalesdata[[#This Row],[Order_Date]])/3,0)</f>
        <v>Q4</v>
      </c>
    </row>
    <row r="174" spans="1:30" x14ac:dyDescent="0.35">
      <c r="A174" t="s">
        <v>543</v>
      </c>
      <c r="B174" s="3">
        <v>45932</v>
      </c>
      <c r="C174" t="s">
        <v>529</v>
      </c>
      <c r="D174" t="s">
        <v>546</v>
      </c>
      <c r="E174" t="str">
        <f>TRIM(excelsalesdata[[#This Row],[Customer_Name]])</f>
        <v>Karan Nair</v>
      </c>
      <c r="F174" t="s">
        <v>44</v>
      </c>
      <c r="G174">
        <v>50</v>
      </c>
      <c r="H174" t="s">
        <v>168</v>
      </c>
      <c r="I174" t="str">
        <f>TRIM(excelsalesdata[[#This Row],[City]])</f>
        <v>Delhi</v>
      </c>
      <c r="J174" t="s">
        <v>168</v>
      </c>
      <c r="K174" t="s">
        <v>61</v>
      </c>
      <c r="L174" t="s">
        <v>27</v>
      </c>
      <c r="M174" t="s">
        <v>123</v>
      </c>
      <c r="N174" t="s">
        <v>123</v>
      </c>
      <c r="O174">
        <v>2</v>
      </c>
      <c r="P174">
        <v>2810</v>
      </c>
      <c r="Q174">
        <v>0.05</v>
      </c>
      <c r="R174">
        <v>1670</v>
      </c>
      <c r="S174" t="s">
        <v>80</v>
      </c>
      <c r="T174" t="s">
        <v>30</v>
      </c>
      <c r="U174">
        <v>4</v>
      </c>
      <c r="V174" t="s">
        <v>31</v>
      </c>
      <c r="W174">
        <f>excelsalesdata[[#This Row],[Quantity]]*excelsalesdata[[#This Row],[Unit_Price]]</f>
        <v>5620</v>
      </c>
      <c r="X174">
        <f>excelsalesdata[[#This Row],[Gross_sales]]*excelsalesdata[[#This Row],[Discount_%]]</f>
        <v>281</v>
      </c>
      <c r="Y174">
        <f>excelsalesdata[[#This Row],[Gross_sales]]-excelsalesdata[[#This Row],[Discount_amt]]</f>
        <v>5339</v>
      </c>
      <c r="Z174" s="4">
        <f>excelsalesdata[[#This Row],[Net_sales]]-excelsalesdata[[#This Row],[Cost]]</f>
        <v>3669</v>
      </c>
      <c r="AA174" s="5">
        <f>excelsalesdata[[#This Row],[Profit]]/excelsalesdata[[#This Row],[Net_sales]]</f>
        <v>0.68720734219891366</v>
      </c>
      <c r="AB174" s="4">
        <f>YEAR(excelsalesdata[[#This Row],[Order_Date]])</f>
        <v>2025</v>
      </c>
      <c r="AC174" s="4" t="str">
        <f>TEXT(excelsalesdata[[#This Row],[Order_Date]],"mmm")</f>
        <v>Oct</v>
      </c>
      <c r="AD174" s="4" t="str">
        <f>"Q"&amp;ROUNDUP(MONTH(excelsalesdata[[#This Row],[Order_Date]])/3,0)</f>
        <v>Q4</v>
      </c>
    </row>
    <row r="175" spans="1:30" x14ac:dyDescent="0.35">
      <c r="A175" t="s">
        <v>545</v>
      </c>
      <c r="B175" s="3">
        <v>45933</v>
      </c>
      <c r="C175" t="s">
        <v>188</v>
      </c>
      <c r="D175" t="s">
        <v>328</v>
      </c>
      <c r="E175" t="str">
        <f>TRIM(excelsalesdata[[#This Row],[Customer_Name]])</f>
        <v>Aarav Verma</v>
      </c>
      <c r="F175" t="s">
        <v>44</v>
      </c>
      <c r="G175">
        <v>28</v>
      </c>
      <c r="H175" t="s">
        <v>71</v>
      </c>
      <c r="I175" t="str">
        <f>TRIM(excelsalesdata[[#This Row],[City]])</f>
        <v>Bhubaneswar</v>
      </c>
      <c r="J175" t="s">
        <v>72</v>
      </c>
      <c r="K175" t="s">
        <v>37</v>
      </c>
      <c r="L175" t="s">
        <v>85</v>
      </c>
      <c r="M175" t="s">
        <v>86</v>
      </c>
      <c r="N175" t="s">
        <v>86</v>
      </c>
      <c r="O175">
        <v>4</v>
      </c>
      <c r="P175">
        <v>2370</v>
      </c>
      <c r="Q175">
        <v>0.1</v>
      </c>
      <c r="R175">
        <v>1530</v>
      </c>
      <c r="S175" t="s">
        <v>67</v>
      </c>
      <c r="T175" t="s">
        <v>30</v>
      </c>
      <c r="U175">
        <v>2</v>
      </c>
      <c r="V175" t="s">
        <v>31</v>
      </c>
      <c r="W175">
        <f>excelsalesdata[[#This Row],[Quantity]]*excelsalesdata[[#This Row],[Unit_Price]]</f>
        <v>9480</v>
      </c>
      <c r="X175">
        <f>excelsalesdata[[#This Row],[Gross_sales]]*excelsalesdata[[#This Row],[Discount_%]]</f>
        <v>948</v>
      </c>
      <c r="Y175">
        <f>excelsalesdata[[#This Row],[Gross_sales]]-excelsalesdata[[#This Row],[Discount_amt]]</f>
        <v>8532</v>
      </c>
      <c r="Z175" s="4">
        <f>excelsalesdata[[#This Row],[Net_sales]]-excelsalesdata[[#This Row],[Cost]]</f>
        <v>7002</v>
      </c>
      <c r="AA175" s="5">
        <f>excelsalesdata[[#This Row],[Profit]]/excelsalesdata[[#This Row],[Net_sales]]</f>
        <v>0.82067510548523204</v>
      </c>
      <c r="AB175" s="4">
        <f>YEAR(excelsalesdata[[#This Row],[Order_Date]])</f>
        <v>2025</v>
      </c>
      <c r="AC175" s="4" t="str">
        <f>TEXT(excelsalesdata[[#This Row],[Order_Date]],"mmm")</f>
        <v>Oct</v>
      </c>
      <c r="AD175" s="4" t="str">
        <f>"Q"&amp;ROUNDUP(MONTH(excelsalesdata[[#This Row],[Order_Date]])/3,0)</f>
        <v>Q4</v>
      </c>
    </row>
    <row r="176" spans="1:30" x14ac:dyDescent="0.35">
      <c r="A176" t="s">
        <v>547</v>
      </c>
      <c r="B176" s="3">
        <v>45934</v>
      </c>
      <c r="C176" t="s">
        <v>101</v>
      </c>
      <c r="D176" t="s">
        <v>550</v>
      </c>
      <c r="E176" t="str">
        <f>TRIM(excelsalesdata[[#This Row],[Customer_Name]])</f>
        <v>Rohan Reddy</v>
      </c>
      <c r="F176" t="s">
        <v>23</v>
      </c>
      <c r="G176">
        <v>45</v>
      </c>
      <c r="H176" t="s">
        <v>168</v>
      </c>
      <c r="I176" t="str">
        <f>TRIM(excelsalesdata[[#This Row],[City]])</f>
        <v>Delhi</v>
      </c>
      <c r="J176" t="s">
        <v>168</v>
      </c>
      <c r="K176" t="s">
        <v>61</v>
      </c>
      <c r="L176" t="s">
        <v>93</v>
      </c>
      <c r="M176" t="s">
        <v>206</v>
      </c>
      <c r="N176" t="s">
        <v>206</v>
      </c>
      <c r="O176">
        <v>2</v>
      </c>
      <c r="P176">
        <v>600</v>
      </c>
      <c r="Q176">
        <v>0.05</v>
      </c>
      <c r="R176">
        <v>290</v>
      </c>
      <c r="S176" t="s">
        <v>105</v>
      </c>
      <c r="T176" t="s">
        <v>30</v>
      </c>
      <c r="U176">
        <v>2</v>
      </c>
      <c r="V176" t="s">
        <v>40</v>
      </c>
      <c r="W176">
        <f>excelsalesdata[[#This Row],[Quantity]]*excelsalesdata[[#This Row],[Unit_Price]]</f>
        <v>1200</v>
      </c>
      <c r="X176">
        <f>excelsalesdata[[#This Row],[Gross_sales]]*excelsalesdata[[#This Row],[Discount_%]]</f>
        <v>60</v>
      </c>
      <c r="Y176">
        <f>excelsalesdata[[#This Row],[Gross_sales]]-excelsalesdata[[#This Row],[Discount_amt]]</f>
        <v>1140</v>
      </c>
      <c r="Z176" s="4">
        <f>excelsalesdata[[#This Row],[Net_sales]]-excelsalesdata[[#This Row],[Cost]]</f>
        <v>850</v>
      </c>
      <c r="AA176" s="5">
        <f>excelsalesdata[[#This Row],[Profit]]/excelsalesdata[[#This Row],[Net_sales]]</f>
        <v>0.74561403508771928</v>
      </c>
      <c r="AB176" s="4">
        <f>YEAR(excelsalesdata[[#This Row],[Order_Date]])</f>
        <v>2025</v>
      </c>
      <c r="AC176" s="4" t="str">
        <f>TEXT(excelsalesdata[[#This Row],[Order_Date]],"mmm")</f>
        <v>Oct</v>
      </c>
      <c r="AD176" s="4" t="str">
        <f>"Q"&amp;ROUNDUP(MONTH(excelsalesdata[[#This Row],[Order_Date]])/3,0)</f>
        <v>Q4</v>
      </c>
    </row>
    <row r="177" spans="1:30" x14ac:dyDescent="0.35">
      <c r="A177" t="s">
        <v>548</v>
      </c>
      <c r="B177" s="3">
        <v>45935</v>
      </c>
      <c r="C177" t="s">
        <v>549</v>
      </c>
      <c r="D177" t="s">
        <v>553</v>
      </c>
      <c r="E177" t="str">
        <f>TRIM(excelsalesdata[[#This Row],[Customer_Name]])</f>
        <v>Vivaan Reddy</v>
      </c>
      <c r="F177" t="s">
        <v>23</v>
      </c>
      <c r="G177">
        <v>57</v>
      </c>
      <c r="H177" t="s">
        <v>155</v>
      </c>
      <c r="I177" t="str">
        <f>TRIM(excelsalesdata[[#This Row],[City]])</f>
        <v>Chennai</v>
      </c>
      <c r="J177" t="s">
        <v>156</v>
      </c>
      <c r="K177" t="s">
        <v>47</v>
      </c>
      <c r="L177" t="s">
        <v>85</v>
      </c>
      <c r="M177" t="s">
        <v>172</v>
      </c>
      <c r="N177" t="s">
        <v>172</v>
      </c>
      <c r="O177">
        <v>1</v>
      </c>
      <c r="P177">
        <v>4400</v>
      </c>
      <c r="Q177">
        <v>0.25</v>
      </c>
      <c r="R177">
        <v>2850</v>
      </c>
      <c r="S177" t="s">
        <v>105</v>
      </c>
      <c r="T177" t="s">
        <v>30</v>
      </c>
      <c r="U177">
        <v>4</v>
      </c>
      <c r="V177" t="s">
        <v>40</v>
      </c>
      <c r="W177">
        <f>excelsalesdata[[#This Row],[Quantity]]*excelsalesdata[[#This Row],[Unit_Price]]</f>
        <v>4400</v>
      </c>
      <c r="X177">
        <f>excelsalesdata[[#This Row],[Gross_sales]]*excelsalesdata[[#This Row],[Discount_%]]</f>
        <v>1100</v>
      </c>
      <c r="Y177">
        <f>excelsalesdata[[#This Row],[Gross_sales]]-excelsalesdata[[#This Row],[Discount_amt]]</f>
        <v>3300</v>
      </c>
      <c r="Z177" s="4">
        <f>excelsalesdata[[#This Row],[Net_sales]]-excelsalesdata[[#This Row],[Cost]]</f>
        <v>450</v>
      </c>
      <c r="AA177" s="5">
        <f>excelsalesdata[[#This Row],[Profit]]/excelsalesdata[[#This Row],[Net_sales]]</f>
        <v>0.13636363636363635</v>
      </c>
      <c r="AB177" s="4">
        <f>YEAR(excelsalesdata[[#This Row],[Order_Date]])</f>
        <v>2025</v>
      </c>
      <c r="AC177" s="4" t="str">
        <f>TEXT(excelsalesdata[[#This Row],[Order_Date]],"mmm")</f>
        <v>Oct</v>
      </c>
      <c r="AD177" s="4" t="str">
        <f>"Q"&amp;ROUNDUP(MONTH(excelsalesdata[[#This Row],[Order_Date]])/3,0)</f>
        <v>Q4</v>
      </c>
    </row>
    <row r="178" spans="1:30" x14ac:dyDescent="0.35">
      <c r="A178" t="s">
        <v>551</v>
      </c>
      <c r="B178" s="3">
        <v>45936</v>
      </c>
      <c r="C178" t="s">
        <v>552</v>
      </c>
      <c r="D178" t="s">
        <v>311</v>
      </c>
      <c r="E178" t="str">
        <f>TRIM(excelsalesdata[[#This Row],[Customer_Name]])</f>
        <v>Karan Verma</v>
      </c>
      <c r="F178" t="s">
        <v>23</v>
      </c>
      <c r="G178">
        <v>56</v>
      </c>
      <c r="H178" t="s">
        <v>60</v>
      </c>
      <c r="I178" t="str">
        <f>TRIM(excelsalesdata[[#This Row],[City]])</f>
        <v>Chandigarh</v>
      </c>
      <c r="J178" t="s">
        <v>60</v>
      </c>
      <c r="K178" t="s">
        <v>61</v>
      </c>
      <c r="L178" t="s">
        <v>54</v>
      </c>
      <c r="M178" t="s">
        <v>66</v>
      </c>
      <c r="N178" t="s">
        <v>66</v>
      </c>
      <c r="O178">
        <v>3</v>
      </c>
      <c r="P178">
        <v>2510</v>
      </c>
      <c r="Q178">
        <v>0.2</v>
      </c>
      <c r="R178">
        <v>1570</v>
      </c>
      <c r="S178" t="s">
        <v>151</v>
      </c>
      <c r="T178" t="s">
        <v>30</v>
      </c>
      <c r="U178">
        <v>4</v>
      </c>
      <c r="V178" t="s">
        <v>31</v>
      </c>
      <c r="W178">
        <f>excelsalesdata[[#This Row],[Quantity]]*excelsalesdata[[#This Row],[Unit_Price]]</f>
        <v>7530</v>
      </c>
      <c r="X178">
        <f>excelsalesdata[[#This Row],[Gross_sales]]*excelsalesdata[[#This Row],[Discount_%]]</f>
        <v>1506</v>
      </c>
      <c r="Y178">
        <f>excelsalesdata[[#This Row],[Gross_sales]]-excelsalesdata[[#This Row],[Discount_amt]]</f>
        <v>6024</v>
      </c>
      <c r="Z178" s="4">
        <f>excelsalesdata[[#This Row],[Net_sales]]-excelsalesdata[[#This Row],[Cost]]</f>
        <v>4454</v>
      </c>
      <c r="AA178" s="5">
        <f>excelsalesdata[[#This Row],[Profit]]/excelsalesdata[[#This Row],[Net_sales]]</f>
        <v>0.73937583001328022</v>
      </c>
      <c r="AB178" s="4">
        <f>YEAR(excelsalesdata[[#This Row],[Order_Date]])</f>
        <v>2025</v>
      </c>
      <c r="AC178" s="4" t="str">
        <f>TEXT(excelsalesdata[[#This Row],[Order_Date]],"mmm")</f>
        <v>Oct</v>
      </c>
      <c r="AD178" s="4" t="str">
        <f>"Q"&amp;ROUNDUP(MONTH(excelsalesdata[[#This Row],[Order_Date]])/3,0)</f>
        <v>Q4</v>
      </c>
    </row>
    <row r="179" spans="1:30" x14ac:dyDescent="0.35">
      <c r="A179" t="s">
        <v>554</v>
      </c>
      <c r="B179" s="3">
        <v>45937</v>
      </c>
      <c r="C179" t="s">
        <v>137</v>
      </c>
      <c r="D179" t="s">
        <v>247</v>
      </c>
      <c r="E179" t="str">
        <f>TRIM(excelsalesdata[[#This Row],[Customer_Name]])</f>
        <v>Priya Mehta</v>
      </c>
      <c r="F179" t="s">
        <v>44</v>
      </c>
      <c r="G179">
        <v>54</v>
      </c>
      <c r="H179" t="s">
        <v>45</v>
      </c>
      <c r="I179" t="str">
        <f>TRIM(excelsalesdata[[#This Row],[City]])</f>
        <v>Kochi</v>
      </c>
      <c r="J179" t="s">
        <v>46</v>
      </c>
      <c r="K179" t="s">
        <v>47</v>
      </c>
      <c r="L179" t="s">
        <v>103</v>
      </c>
      <c r="M179" t="s">
        <v>238</v>
      </c>
      <c r="N179" t="s">
        <v>238</v>
      </c>
      <c r="O179">
        <v>2</v>
      </c>
      <c r="P179">
        <v>4300</v>
      </c>
      <c r="Q179">
        <v>0.2</v>
      </c>
      <c r="R179">
        <v>2750</v>
      </c>
      <c r="S179" t="s">
        <v>80</v>
      </c>
      <c r="T179" t="s">
        <v>30</v>
      </c>
      <c r="U179">
        <v>3</v>
      </c>
      <c r="V179" t="s">
        <v>31</v>
      </c>
      <c r="W179">
        <f>excelsalesdata[[#This Row],[Quantity]]*excelsalesdata[[#This Row],[Unit_Price]]</f>
        <v>8600</v>
      </c>
      <c r="X179">
        <f>excelsalesdata[[#This Row],[Gross_sales]]*excelsalesdata[[#This Row],[Discount_%]]</f>
        <v>1720</v>
      </c>
      <c r="Y179">
        <f>excelsalesdata[[#This Row],[Gross_sales]]-excelsalesdata[[#This Row],[Discount_amt]]</f>
        <v>6880</v>
      </c>
      <c r="Z179" s="4">
        <f>excelsalesdata[[#This Row],[Net_sales]]-excelsalesdata[[#This Row],[Cost]]</f>
        <v>4130</v>
      </c>
      <c r="AA179" s="5">
        <f>excelsalesdata[[#This Row],[Profit]]/excelsalesdata[[#This Row],[Net_sales]]</f>
        <v>0.60029069767441856</v>
      </c>
      <c r="AB179" s="4">
        <f>YEAR(excelsalesdata[[#This Row],[Order_Date]])</f>
        <v>2025</v>
      </c>
      <c r="AC179" s="4" t="str">
        <f>TEXT(excelsalesdata[[#This Row],[Order_Date]],"mmm")</f>
        <v>Oct</v>
      </c>
      <c r="AD179" s="4" t="str">
        <f>"Q"&amp;ROUNDUP(MONTH(excelsalesdata[[#This Row],[Order_Date]])/3,0)</f>
        <v>Q4</v>
      </c>
    </row>
    <row r="180" spans="1:30" x14ac:dyDescent="0.35">
      <c r="A180" t="s">
        <v>555</v>
      </c>
      <c r="B180" s="3">
        <v>45938</v>
      </c>
      <c r="C180" t="s">
        <v>556</v>
      </c>
      <c r="D180" t="s">
        <v>34</v>
      </c>
      <c r="E180" t="str">
        <f>TRIM(excelsalesdata[[#This Row],[Customer_Name]])</f>
        <v>Priya Singh</v>
      </c>
      <c r="F180" t="s">
        <v>23</v>
      </c>
      <c r="G180">
        <v>20</v>
      </c>
      <c r="H180" t="s">
        <v>114</v>
      </c>
      <c r="I180" t="str">
        <f>TRIM(excelsalesdata[[#This Row],[City]])</f>
        <v>Hyderabad</v>
      </c>
      <c r="J180" t="s">
        <v>115</v>
      </c>
      <c r="K180" t="s">
        <v>47</v>
      </c>
      <c r="L180" t="s">
        <v>103</v>
      </c>
      <c r="M180" t="s">
        <v>238</v>
      </c>
      <c r="N180" t="s">
        <v>238</v>
      </c>
      <c r="O180">
        <v>2</v>
      </c>
      <c r="P180">
        <v>4080</v>
      </c>
      <c r="Q180">
        <v>0.1</v>
      </c>
      <c r="R180">
        <v>2670</v>
      </c>
      <c r="S180" t="s">
        <v>105</v>
      </c>
      <c r="T180" t="s">
        <v>30</v>
      </c>
      <c r="U180">
        <v>4</v>
      </c>
      <c r="V180" t="s">
        <v>40</v>
      </c>
      <c r="W180">
        <f>excelsalesdata[[#This Row],[Quantity]]*excelsalesdata[[#This Row],[Unit_Price]]</f>
        <v>8160</v>
      </c>
      <c r="X180">
        <f>excelsalesdata[[#This Row],[Gross_sales]]*excelsalesdata[[#This Row],[Discount_%]]</f>
        <v>816</v>
      </c>
      <c r="Y180">
        <f>excelsalesdata[[#This Row],[Gross_sales]]-excelsalesdata[[#This Row],[Discount_amt]]</f>
        <v>7344</v>
      </c>
      <c r="Z180" s="4">
        <f>excelsalesdata[[#This Row],[Net_sales]]-excelsalesdata[[#This Row],[Cost]]</f>
        <v>4674</v>
      </c>
      <c r="AA180" s="5">
        <f>excelsalesdata[[#This Row],[Profit]]/excelsalesdata[[#This Row],[Net_sales]]</f>
        <v>0.63643790849673199</v>
      </c>
      <c r="AB180" s="4">
        <f>YEAR(excelsalesdata[[#This Row],[Order_Date]])</f>
        <v>2025</v>
      </c>
      <c r="AC180" s="4" t="str">
        <f>TEXT(excelsalesdata[[#This Row],[Order_Date]],"mmm")</f>
        <v>Oct</v>
      </c>
      <c r="AD180" s="4" t="str">
        <f>"Q"&amp;ROUNDUP(MONTH(excelsalesdata[[#This Row],[Order_Date]])/3,0)</f>
        <v>Q4</v>
      </c>
    </row>
    <row r="181" spans="1:30" x14ac:dyDescent="0.35">
      <c r="A181" t="s">
        <v>557</v>
      </c>
      <c r="B181" s="3">
        <v>45939</v>
      </c>
      <c r="C181" t="s">
        <v>558</v>
      </c>
      <c r="D181" t="s">
        <v>291</v>
      </c>
      <c r="E181" t="str">
        <f>TRIM(excelsalesdata[[#This Row],[Customer_Name]])</f>
        <v>Vikram Patel</v>
      </c>
      <c r="F181" t="s">
        <v>23</v>
      </c>
      <c r="G181">
        <v>54</v>
      </c>
      <c r="H181" t="s">
        <v>190</v>
      </c>
      <c r="I181" t="str">
        <f>TRIM(excelsalesdata[[#This Row],[City]])</f>
        <v>Ahmedabad</v>
      </c>
      <c r="J181" t="s">
        <v>191</v>
      </c>
      <c r="K181" t="s">
        <v>26</v>
      </c>
      <c r="L181" t="s">
        <v>103</v>
      </c>
      <c r="M181" t="s">
        <v>104</v>
      </c>
      <c r="N181" t="s">
        <v>104</v>
      </c>
      <c r="O181">
        <v>1</v>
      </c>
      <c r="P181">
        <v>8520</v>
      </c>
      <c r="Q181">
        <v>0.1</v>
      </c>
      <c r="R181">
        <v>5320</v>
      </c>
      <c r="S181" t="s">
        <v>80</v>
      </c>
      <c r="T181" t="s">
        <v>30</v>
      </c>
      <c r="U181">
        <v>4</v>
      </c>
      <c r="V181" t="s">
        <v>31</v>
      </c>
      <c r="W181">
        <f>excelsalesdata[[#This Row],[Quantity]]*excelsalesdata[[#This Row],[Unit_Price]]</f>
        <v>8520</v>
      </c>
      <c r="X181">
        <f>excelsalesdata[[#This Row],[Gross_sales]]*excelsalesdata[[#This Row],[Discount_%]]</f>
        <v>852</v>
      </c>
      <c r="Y181">
        <f>excelsalesdata[[#This Row],[Gross_sales]]-excelsalesdata[[#This Row],[Discount_amt]]</f>
        <v>7668</v>
      </c>
      <c r="Z181" s="4">
        <f>excelsalesdata[[#This Row],[Net_sales]]-excelsalesdata[[#This Row],[Cost]]</f>
        <v>2348</v>
      </c>
      <c r="AA181" s="5">
        <f>excelsalesdata[[#This Row],[Profit]]/excelsalesdata[[#This Row],[Net_sales]]</f>
        <v>0.30620761606677099</v>
      </c>
      <c r="AB181" s="4">
        <f>YEAR(excelsalesdata[[#This Row],[Order_Date]])</f>
        <v>2025</v>
      </c>
      <c r="AC181" s="4" t="str">
        <f>TEXT(excelsalesdata[[#This Row],[Order_Date]],"mmm")</f>
        <v>Oct</v>
      </c>
      <c r="AD181" s="4" t="str">
        <f>"Q"&amp;ROUNDUP(MONTH(excelsalesdata[[#This Row],[Order_Date]])/3,0)</f>
        <v>Q4</v>
      </c>
    </row>
    <row r="182" spans="1:30" x14ac:dyDescent="0.35">
      <c r="A182" t="s">
        <v>559</v>
      </c>
      <c r="B182" s="3">
        <v>45940</v>
      </c>
      <c r="C182" t="s">
        <v>521</v>
      </c>
      <c r="D182" t="s">
        <v>113</v>
      </c>
      <c r="E182" t="str">
        <f>TRIM(excelsalesdata[[#This Row],[Customer_Name]])</f>
        <v>Nisha Joshi</v>
      </c>
      <c r="F182" t="s">
        <v>23</v>
      </c>
      <c r="G182">
        <v>29</v>
      </c>
      <c r="H182" t="s">
        <v>98</v>
      </c>
      <c r="I182" t="str">
        <f>TRIM(excelsalesdata[[#This Row],[City]])</f>
        <v>Mumbai</v>
      </c>
      <c r="J182" t="s">
        <v>25</v>
      </c>
      <c r="K182" t="s">
        <v>26</v>
      </c>
      <c r="L182" t="s">
        <v>27</v>
      </c>
      <c r="M182" t="s">
        <v>295</v>
      </c>
      <c r="N182" t="s">
        <v>295</v>
      </c>
      <c r="O182">
        <v>1</v>
      </c>
      <c r="P182">
        <v>4520</v>
      </c>
      <c r="Q182">
        <v>0.05</v>
      </c>
      <c r="R182">
        <v>2720</v>
      </c>
      <c r="S182" t="s">
        <v>80</v>
      </c>
      <c r="T182" t="s">
        <v>30</v>
      </c>
      <c r="U182">
        <v>2</v>
      </c>
      <c r="V182" t="s">
        <v>31</v>
      </c>
      <c r="W182">
        <f>excelsalesdata[[#This Row],[Quantity]]*excelsalesdata[[#This Row],[Unit_Price]]</f>
        <v>4520</v>
      </c>
      <c r="X182">
        <f>excelsalesdata[[#This Row],[Gross_sales]]*excelsalesdata[[#This Row],[Discount_%]]</f>
        <v>226</v>
      </c>
      <c r="Y182">
        <f>excelsalesdata[[#This Row],[Gross_sales]]-excelsalesdata[[#This Row],[Discount_amt]]</f>
        <v>4294</v>
      </c>
      <c r="Z182" s="4">
        <f>excelsalesdata[[#This Row],[Net_sales]]-excelsalesdata[[#This Row],[Cost]]</f>
        <v>1574</v>
      </c>
      <c r="AA182" s="5">
        <f>excelsalesdata[[#This Row],[Profit]]/excelsalesdata[[#This Row],[Net_sales]]</f>
        <v>0.36655798789007921</v>
      </c>
      <c r="AB182" s="4">
        <f>YEAR(excelsalesdata[[#This Row],[Order_Date]])</f>
        <v>2025</v>
      </c>
      <c r="AC182" s="4" t="str">
        <f>TEXT(excelsalesdata[[#This Row],[Order_Date]],"mmm")</f>
        <v>Oct</v>
      </c>
      <c r="AD182" s="4" t="str">
        <f>"Q"&amp;ROUNDUP(MONTH(excelsalesdata[[#This Row],[Order_Date]])/3,0)</f>
        <v>Q4</v>
      </c>
    </row>
    <row r="183" spans="1:30" x14ac:dyDescent="0.35">
      <c r="A183" t="s">
        <v>560</v>
      </c>
      <c r="B183" s="3">
        <v>45941</v>
      </c>
      <c r="C183" t="s">
        <v>561</v>
      </c>
      <c r="D183" t="s">
        <v>563</v>
      </c>
      <c r="E183" t="str">
        <f>TRIM(excelsalesdata[[#This Row],[Customer_Name]])</f>
        <v>Sneha Verma</v>
      </c>
      <c r="F183" t="s">
        <v>44</v>
      </c>
      <c r="G183">
        <v>23</v>
      </c>
      <c r="H183" t="s">
        <v>185</v>
      </c>
      <c r="I183" t="str">
        <f>TRIM(excelsalesdata[[#This Row],[City]])</f>
        <v>Lucknow</v>
      </c>
      <c r="J183" t="s">
        <v>186</v>
      </c>
      <c r="K183" t="s">
        <v>61</v>
      </c>
      <c r="L183" t="s">
        <v>54</v>
      </c>
      <c r="M183" t="s">
        <v>62</v>
      </c>
      <c r="N183" t="s">
        <v>62</v>
      </c>
      <c r="O183">
        <v>1</v>
      </c>
      <c r="P183">
        <v>23410</v>
      </c>
      <c r="Q183">
        <v>0</v>
      </c>
      <c r="R183">
        <v>16210</v>
      </c>
      <c r="S183" t="s">
        <v>80</v>
      </c>
      <c r="T183" t="s">
        <v>74</v>
      </c>
      <c r="U183">
        <v>4</v>
      </c>
      <c r="V183" t="s">
        <v>31</v>
      </c>
      <c r="W183">
        <f>excelsalesdata[[#This Row],[Quantity]]*excelsalesdata[[#This Row],[Unit_Price]]</f>
        <v>23410</v>
      </c>
      <c r="X183">
        <f>excelsalesdata[[#This Row],[Gross_sales]]*excelsalesdata[[#This Row],[Discount_%]]</f>
        <v>0</v>
      </c>
      <c r="Y183">
        <f>excelsalesdata[[#This Row],[Gross_sales]]-excelsalesdata[[#This Row],[Discount_amt]]</f>
        <v>23410</v>
      </c>
      <c r="Z183" s="4">
        <f>excelsalesdata[[#This Row],[Net_sales]]-excelsalesdata[[#This Row],[Cost]]</f>
        <v>7200</v>
      </c>
      <c r="AA183" s="5">
        <f>excelsalesdata[[#This Row],[Profit]]/excelsalesdata[[#This Row],[Net_sales]]</f>
        <v>0.30756087142246902</v>
      </c>
      <c r="AB183" s="4">
        <f>YEAR(excelsalesdata[[#This Row],[Order_Date]])</f>
        <v>2025</v>
      </c>
      <c r="AC183" s="4" t="str">
        <f>TEXT(excelsalesdata[[#This Row],[Order_Date]],"mmm")</f>
        <v>Oct</v>
      </c>
      <c r="AD183" s="4" t="str">
        <f>"Q"&amp;ROUNDUP(MONTH(excelsalesdata[[#This Row],[Order_Date]])/3,0)</f>
        <v>Q4</v>
      </c>
    </row>
    <row r="184" spans="1:30" x14ac:dyDescent="0.35">
      <c r="A184" t="s">
        <v>562</v>
      </c>
      <c r="B184" s="3">
        <v>45942</v>
      </c>
      <c r="C184" t="s">
        <v>529</v>
      </c>
      <c r="D184" t="s">
        <v>566</v>
      </c>
      <c r="E184" t="str">
        <f>TRIM(excelsalesdata[[#This Row],[Customer_Name]])</f>
        <v>Sneha Reddy</v>
      </c>
      <c r="F184" t="s">
        <v>23</v>
      </c>
      <c r="G184">
        <v>34</v>
      </c>
      <c r="H184" t="s">
        <v>35</v>
      </c>
      <c r="I184" t="str">
        <f>TRIM(excelsalesdata[[#This Row],[City]])</f>
        <v>Kolkata</v>
      </c>
      <c r="J184" t="s">
        <v>36</v>
      </c>
      <c r="K184" t="s">
        <v>37</v>
      </c>
      <c r="L184" t="s">
        <v>85</v>
      </c>
      <c r="M184" t="s">
        <v>172</v>
      </c>
      <c r="N184" t="s">
        <v>172</v>
      </c>
      <c r="O184">
        <v>5</v>
      </c>
      <c r="P184">
        <v>4480</v>
      </c>
      <c r="Q184">
        <v>0.1</v>
      </c>
      <c r="R184">
        <v>2710</v>
      </c>
      <c r="S184" t="s">
        <v>29</v>
      </c>
      <c r="T184" t="s">
        <v>74</v>
      </c>
      <c r="U184">
        <v>3</v>
      </c>
      <c r="V184" t="s">
        <v>31</v>
      </c>
      <c r="W184">
        <f>excelsalesdata[[#This Row],[Quantity]]*excelsalesdata[[#This Row],[Unit_Price]]</f>
        <v>22400</v>
      </c>
      <c r="X184">
        <f>excelsalesdata[[#This Row],[Gross_sales]]*excelsalesdata[[#This Row],[Discount_%]]</f>
        <v>2240</v>
      </c>
      <c r="Y184">
        <f>excelsalesdata[[#This Row],[Gross_sales]]-excelsalesdata[[#This Row],[Discount_amt]]</f>
        <v>20160</v>
      </c>
      <c r="Z184" s="4">
        <f>excelsalesdata[[#This Row],[Net_sales]]-excelsalesdata[[#This Row],[Cost]]</f>
        <v>17450</v>
      </c>
      <c r="AA184" s="5">
        <f>excelsalesdata[[#This Row],[Profit]]/excelsalesdata[[#This Row],[Net_sales]]</f>
        <v>0.86557539682539686</v>
      </c>
      <c r="AB184" s="4">
        <f>YEAR(excelsalesdata[[#This Row],[Order_Date]])</f>
        <v>2025</v>
      </c>
      <c r="AC184" s="4" t="str">
        <f>TEXT(excelsalesdata[[#This Row],[Order_Date]],"mmm")</f>
        <v>Oct</v>
      </c>
      <c r="AD184" s="4" t="str">
        <f>"Q"&amp;ROUNDUP(MONTH(excelsalesdata[[#This Row],[Order_Date]])/3,0)</f>
        <v>Q4</v>
      </c>
    </row>
    <row r="185" spans="1:30" x14ac:dyDescent="0.35">
      <c r="A185" t="s">
        <v>564</v>
      </c>
      <c r="B185" s="3">
        <v>45943</v>
      </c>
      <c r="C185" t="s">
        <v>565</v>
      </c>
      <c r="D185" t="s">
        <v>184</v>
      </c>
      <c r="E185" t="str">
        <f>TRIM(excelsalesdata[[#This Row],[Customer_Name]])</f>
        <v>Aditya Verma</v>
      </c>
      <c r="F185" t="s">
        <v>44</v>
      </c>
      <c r="G185">
        <v>38</v>
      </c>
      <c r="H185" t="s">
        <v>71</v>
      </c>
      <c r="I185" t="str">
        <f>TRIM(excelsalesdata[[#This Row],[City]])</f>
        <v>Bhubaneswar</v>
      </c>
      <c r="J185" t="s">
        <v>72</v>
      </c>
      <c r="K185" t="s">
        <v>37</v>
      </c>
      <c r="L185" t="s">
        <v>93</v>
      </c>
      <c r="M185" t="s">
        <v>135</v>
      </c>
      <c r="N185" t="s">
        <v>135</v>
      </c>
      <c r="O185">
        <v>4</v>
      </c>
      <c r="P185">
        <v>1820</v>
      </c>
      <c r="Q185">
        <v>0.05</v>
      </c>
      <c r="R185">
        <v>1010</v>
      </c>
      <c r="S185" t="s">
        <v>29</v>
      </c>
      <c r="T185" t="s">
        <v>30</v>
      </c>
      <c r="U185">
        <v>4</v>
      </c>
      <c r="V185" t="s">
        <v>31</v>
      </c>
      <c r="W185">
        <f>excelsalesdata[[#This Row],[Quantity]]*excelsalesdata[[#This Row],[Unit_Price]]</f>
        <v>7280</v>
      </c>
      <c r="X185">
        <f>excelsalesdata[[#This Row],[Gross_sales]]*excelsalesdata[[#This Row],[Discount_%]]</f>
        <v>364</v>
      </c>
      <c r="Y185">
        <f>excelsalesdata[[#This Row],[Gross_sales]]-excelsalesdata[[#This Row],[Discount_amt]]</f>
        <v>6916</v>
      </c>
      <c r="Z185" s="4">
        <f>excelsalesdata[[#This Row],[Net_sales]]-excelsalesdata[[#This Row],[Cost]]</f>
        <v>5906</v>
      </c>
      <c r="AA185" s="5">
        <f>excelsalesdata[[#This Row],[Profit]]/excelsalesdata[[#This Row],[Net_sales]]</f>
        <v>0.85396182764603812</v>
      </c>
      <c r="AB185" s="4">
        <f>YEAR(excelsalesdata[[#This Row],[Order_Date]])</f>
        <v>2025</v>
      </c>
      <c r="AC185" s="4" t="str">
        <f>TEXT(excelsalesdata[[#This Row],[Order_Date]],"mmm")</f>
        <v>Oct</v>
      </c>
      <c r="AD185" s="4" t="str">
        <f>"Q"&amp;ROUNDUP(MONTH(excelsalesdata[[#This Row],[Order_Date]])/3,0)</f>
        <v>Q4</v>
      </c>
    </row>
    <row r="186" spans="1:30" x14ac:dyDescent="0.35">
      <c r="A186" t="s">
        <v>567</v>
      </c>
      <c r="B186" s="3">
        <v>45944</v>
      </c>
      <c r="C186" t="s">
        <v>568</v>
      </c>
      <c r="D186" t="s">
        <v>460</v>
      </c>
      <c r="E186" t="str">
        <f>TRIM(excelsalesdata[[#This Row],[Customer_Name]])</f>
        <v>Vivaan Joshi</v>
      </c>
      <c r="F186" t="s">
        <v>23</v>
      </c>
      <c r="G186">
        <v>35</v>
      </c>
      <c r="H186" t="s">
        <v>190</v>
      </c>
      <c r="I186" t="str">
        <f>TRIM(excelsalesdata[[#This Row],[City]])</f>
        <v>Ahmedabad</v>
      </c>
      <c r="J186" t="s">
        <v>191</v>
      </c>
      <c r="K186" t="s">
        <v>26</v>
      </c>
      <c r="L186" t="s">
        <v>38</v>
      </c>
      <c r="M186" t="s">
        <v>119</v>
      </c>
      <c r="N186" t="s">
        <v>119</v>
      </c>
      <c r="O186">
        <v>2</v>
      </c>
      <c r="P186">
        <v>8810</v>
      </c>
      <c r="Q186">
        <v>0</v>
      </c>
      <c r="R186">
        <v>5800</v>
      </c>
      <c r="S186" t="s">
        <v>151</v>
      </c>
      <c r="T186" t="s">
        <v>81</v>
      </c>
      <c r="U186">
        <v>0</v>
      </c>
      <c r="V186" t="s">
        <v>31</v>
      </c>
      <c r="W186">
        <f>excelsalesdata[[#This Row],[Quantity]]*excelsalesdata[[#This Row],[Unit_Price]]</f>
        <v>17620</v>
      </c>
      <c r="X186">
        <f>excelsalesdata[[#This Row],[Gross_sales]]*excelsalesdata[[#This Row],[Discount_%]]</f>
        <v>0</v>
      </c>
      <c r="Y186">
        <f>excelsalesdata[[#This Row],[Gross_sales]]-excelsalesdata[[#This Row],[Discount_amt]]</f>
        <v>17620</v>
      </c>
      <c r="Z186" s="4">
        <f>excelsalesdata[[#This Row],[Net_sales]]-excelsalesdata[[#This Row],[Cost]]</f>
        <v>11820</v>
      </c>
      <c r="AA186" s="5">
        <f>excelsalesdata[[#This Row],[Profit]]/excelsalesdata[[#This Row],[Net_sales]]</f>
        <v>0.6708286038592508</v>
      </c>
      <c r="AB186" s="4">
        <f>YEAR(excelsalesdata[[#This Row],[Order_Date]])</f>
        <v>2025</v>
      </c>
      <c r="AC186" s="4" t="str">
        <f>TEXT(excelsalesdata[[#This Row],[Order_Date]],"mmm")</f>
        <v>Oct</v>
      </c>
      <c r="AD186" s="4" t="str">
        <f>"Q"&amp;ROUNDUP(MONTH(excelsalesdata[[#This Row],[Order_Date]])/3,0)</f>
        <v>Q4</v>
      </c>
    </row>
    <row r="187" spans="1:30" x14ac:dyDescent="0.35">
      <c r="A187" t="s">
        <v>569</v>
      </c>
      <c r="B187" s="3">
        <v>45945</v>
      </c>
      <c r="C187" t="s">
        <v>377</v>
      </c>
      <c r="D187" t="s">
        <v>540</v>
      </c>
      <c r="E187" t="str">
        <f>TRIM(excelsalesdata[[#This Row],[Customer_Name]])</f>
        <v>Priya Kumar</v>
      </c>
      <c r="F187" t="s">
        <v>44</v>
      </c>
      <c r="G187">
        <v>29</v>
      </c>
      <c r="H187" t="s">
        <v>98</v>
      </c>
      <c r="I187" t="str">
        <f>TRIM(excelsalesdata[[#This Row],[City]])</f>
        <v>Mumbai</v>
      </c>
      <c r="J187" t="s">
        <v>25</v>
      </c>
      <c r="K187" t="s">
        <v>26</v>
      </c>
      <c r="L187" t="s">
        <v>54</v>
      </c>
      <c r="M187" t="s">
        <v>66</v>
      </c>
      <c r="N187" t="s">
        <v>66</v>
      </c>
      <c r="O187">
        <v>2</v>
      </c>
      <c r="P187">
        <v>2320</v>
      </c>
      <c r="Q187">
        <v>0.15</v>
      </c>
      <c r="R187">
        <v>1500</v>
      </c>
      <c r="S187" t="s">
        <v>29</v>
      </c>
      <c r="T187" t="s">
        <v>99</v>
      </c>
      <c r="U187">
        <v>7</v>
      </c>
      <c r="V187" t="s">
        <v>40</v>
      </c>
      <c r="W187">
        <f>excelsalesdata[[#This Row],[Quantity]]*excelsalesdata[[#This Row],[Unit_Price]]</f>
        <v>4640</v>
      </c>
      <c r="X187">
        <f>excelsalesdata[[#This Row],[Gross_sales]]*excelsalesdata[[#This Row],[Discount_%]]</f>
        <v>696</v>
      </c>
      <c r="Y187">
        <f>excelsalesdata[[#This Row],[Gross_sales]]-excelsalesdata[[#This Row],[Discount_amt]]</f>
        <v>3944</v>
      </c>
      <c r="Z187" s="4">
        <f>excelsalesdata[[#This Row],[Net_sales]]-excelsalesdata[[#This Row],[Cost]]</f>
        <v>2444</v>
      </c>
      <c r="AA187" s="5">
        <f>excelsalesdata[[#This Row],[Profit]]/excelsalesdata[[#This Row],[Net_sales]]</f>
        <v>0.61967545638945232</v>
      </c>
      <c r="AB187" s="4">
        <f>YEAR(excelsalesdata[[#This Row],[Order_Date]])</f>
        <v>2025</v>
      </c>
      <c r="AC187" s="4" t="str">
        <f>TEXT(excelsalesdata[[#This Row],[Order_Date]],"mmm")</f>
        <v>Oct</v>
      </c>
      <c r="AD187" s="4" t="str">
        <f>"Q"&amp;ROUNDUP(MONTH(excelsalesdata[[#This Row],[Order_Date]])/3,0)</f>
        <v>Q4</v>
      </c>
    </row>
    <row r="188" spans="1:30" x14ac:dyDescent="0.35">
      <c r="A188" t="s">
        <v>570</v>
      </c>
      <c r="B188" s="3">
        <v>45946</v>
      </c>
      <c r="C188" t="s">
        <v>571</v>
      </c>
      <c r="D188" t="s">
        <v>59</v>
      </c>
      <c r="E188" t="str">
        <f>TRIM(excelsalesdata[[#This Row],[Customer_Name]])</f>
        <v>Nisha Naidu</v>
      </c>
      <c r="F188" t="s">
        <v>23</v>
      </c>
      <c r="G188">
        <v>53</v>
      </c>
      <c r="H188" t="s">
        <v>98</v>
      </c>
      <c r="I188" t="str">
        <f>TRIM(excelsalesdata[[#This Row],[City]])</f>
        <v>Mumbai</v>
      </c>
      <c r="J188" t="s">
        <v>25</v>
      </c>
      <c r="K188" t="s">
        <v>26</v>
      </c>
      <c r="L188" t="s">
        <v>27</v>
      </c>
      <c r="M188" t="s">
        <v>28</v>
      </c>
      <c r="N188" t="s">
        <v>28</v>
      </c>
      <c r="O188">
        <v>2</v>
      </c>
      <c r="P188">
        <v>3500</v>
      </c>
      <c r="Q188">
        <v>0.1</v>
      </c>
      <c r="R188">
        <v>2180</v>
      </c>
      <c r="S188" t="s">
        <v>56</v>
      </c>
      <c r="T188" t="s">
        <v>30</v>
      </c>
      <c r="U188">
        <v>5</v>
      </c>
      <c r="V188" t="s">
        <v>40</v>
      </c>
      <c r="W188">
        <f>excelsalesdata[[#This Row],[Quantity]]*excelsalesdata[[#This Row],[Unit_Price]]</f>
        <v>7000</v>
      </c>
      <c r="X188">
        <f>excelsalesdata[[#This Row],[Gross_sales]]*excelsalesdata[[#This Row],[Discount_%]]</f>
        <v>700</v>
      </c>
      <c r="Y188">
        <f>excelsalesdata[[#This Row],[Gross_sales]]-excelsalesdata[[#This Row],[Discount_amt]]</f>
        <v>6300</v>
      </c>
      <c r="Z188" s="4">
        <f>excelsalesdata[[#This Row],[Net_sales]]-excelsalesdata[[#This Row],[Cost]]</f>
        <v>4120</v>
      </c>
      <c r="AA188" s="5">
        <f>excelsalesdata[[#This Row],[Profit]]/excelsalesdata[[#This Row],[Net_sales]]</f>
        <v>0.65396825396825398</v>
      </c>
      <c r="AB188" s="4">
        <f>YEAR(excelsalesdata[[#This Row],[Order_Date]])</f>
        <v>2025</v>
      </c>
      <c r="AC188" s="4" t="str">
        <f>TEXT(excelsalesdata[[#This Row],[Order_Date]],"mmm")</f>
        <v>Oct</v>
      </c>
      <c r="AD188" s="4" t="str">
        <f>"Q"&amp;ROUNDUP(MONTH(excelsalesdata[[#This Row],[Order_Date]])/3,0)</f>
        <v>Q4</v>
      </c>
    </row>
    <row r="189" spans="1:30" x14ac:dyDescent="0.35">
      <c r="A189" t="s">
        <v>572</v>
      </c>
      <c r="B189" s="3">
        <v>45947</v>
      </c>
      <c r="C189" t="s">
        <v>573</v>
      </c>
      <c r="D189" t="s">
        <v>469</v>
      </c>
      <c r="E189" t="str">
        <f>TRIM(excelsalesdata[[#This Row],[Customer_Name]])</f>
        <v>Rahul Joshi</v>
      </c>
      <c r="F189" t="s">
        <v>44</v>
      </c>
      <c r="G189">
        <v>34</v>
      </c>
      <c r="H189" t="s">
        <v>52</v>
      </c>
      <c r="I189" t="str">
        <f>TRIM(excelsalesdata[[#This Row],[City]])</f>
        <v>Bengaluru</v>
      </c>
      <c r="J189" t="s">
        <v>53</v>
      </c>
      <c r="K189" t="s">
        <v>47</v>
      </c>
      <c r="L189" t="s">
        <v>103</v>
      </c>
      <c r="M189" t="s">
        <v>178</v>
      </c>
      <c r="N189" t="s">
        <v>178</v>
      </c>
      <c r="O189">
        <v>1</v>
      </c>
      <c r="P189">
        <v>1730</v>
      </c>
      <c r="Q189">
        <v>0</v>
      </c>
      <c r="R189">
        <v>990</v>
      </c>
      <c r="S189" t="s">
        <v>29</v>
      </c>
      <c r="T189" t="s">
        <v>30</v>
      </c>
      <c r="U189">
        <v>5</v>
      </c>
      <c r="V189" t="s">
        <v>40</v>
      </c>
      <c r="W189">
        <f>excelsalesdata[[#This Row],[Quantity]]*excelsalesdata[[#This Row],[Unit_Price]]</f>
        <v>1730</v>
      </c>
      <c r="X189">
        <f>excelsalesdata[[#This Row],[Gross_sales]]*excelsalesdata[[#This Row],[Discount_%]]</f>
        <v>0</v>
      </c>
      <c r="Y189">
        <f>excelsalesdata[[#This Row],[Gross_sales]]-excelsalesdata[[#This Row],[Discount_amt]]</f>
        <v>1730</v>
      </c>
      <c r="Z189" s="4">
        <f>excelsalesdata[[#This Row],[Net_sales]]-excelsalesdata[[#This Row],[Cost]]</f>
        <v>740</v>
      </c>
      <c r="AA189" s="5">
        <f>excelsalesdata[[#This Row],[Profit]]/excelsalesdata[[#This Row],[Net_sales]]</f>
        <v>0.4277456647398844</v>
      </c>
      <c r="AB189" s="4">
        <f>YEAR(excelsalesdata[[#This Row],[Order_Date]])</f>
        <v>2025</v>
      </c>
      <c r="AC189" s="4" t="str">
        <f>TEXT(excelsalesdata[[#This Row],[Order_Date]],"mmm")</f>
        <v>Oct</v>
      </c>
      <c r="AD189" s="4" t="str">
        <f>"Q"&amp;ROUNDUP(MONTH(excelsalesdata[[#This Row],[Order_Date]])/3,0)</f>
        <v>Q4</v>
      </c>
    </row>
    <row r="190" spans="1:30" x14ac:dyDescent="0.35">
      <c r="A190" t="s">
        <v>574</v>
      </c>
      <c r="B190" s="3">
        <v>45948</v>
      </c>
      <c r="C190" t="s">
        <v>575</v>
      </c>
      <c r="D190" t="s">
        <v>211</v>
      </c>
      <c r="E190" t="str">
        <f>TRIM(excelsalesdata[[#This Row],[Customer_Name]])</f>
        <v>Aarav Iyer</v>
      </c>
      <c r="F190" t="s">
        <v>23</v>
      </c>
      <c r="G190">
        <v>27</v>
      </c>
      <c r="H190" t="s">
        <v>168</v>
      </c>
      <c r="I190" t="str">
        <f>TRIM(excelsalesdata[[#This Row],[City]])</f>
        <v>Delhi</v>
      </c>
      <c r="J190" t="s">
        <v>168</v>
      </c>
      <c r="K190" t="s">
        <v>61</v>
      </c>
      <c r="L190" t="s">
        <v>27</v>
      </c>
      <c r="M190" t="s">
        <v>123</v>
      </c>
      <c r="N190" t="s">
        <v>123</v>
      </c>
      <c r="O190">
        <v>1</v>
      </c>
      <c r="P190">
        <v>2940</v>
      </c>
      <c r="Q190">
        <v>0.05</v>
      </c>
      <c r="R190">
        <v>1550</v>
      </c>
      <c r="S190" t="s">
        <v>56</v>
      </c>
      <c r="T190" t="s">
        <v>30</v>
      </c>
      <c r="U190">
        <v>10</v>
      </c>
      <c r="V190" t="s">
        <v>31</v>
      </c>
      <c r="W190">
        <f>excelsalesdata[[#This Row],[Quantity]]*excelsalesdata[[#This Row],[Unit_Price]]</f>
        <v>2940</v>
      </c>
      <c r="X190">
        <f>excelsalesdata[[#This Row],[Gross_sales]]*excelsalesdata[[#This Row],[Discount_%]]</f>
        <v>147</v>
      </c>
      <c r="Y190">
        <f>excelsalesdata[[#This Row],[Gross_sales]]-excelsalesdata[[#This Row],[Discount_amt]]</f>
        <v>2793</v>
      </c>
      <c r="Z190" s="4">
        <f>excelsalesdata[[#This Row],[Net_sales]]-excelsalesdata[[#This Row],[Cost]]</f>
        <v>1243</v>
      </c>
      <c r="AA190" s="5">
        <f>excelsalesdata[[#This Row],[Profit]]/excelsalesdata[[#This Row],[Net_sales]]</f>
        <v>0.44504117436448265</v>
      </c>
      <c r="AB190" s="4">
        <f>YEAR(excelsalesdata[[#This Row],[Order_Date]])</f>
        <v>2025</v>
      </c>
      <c r="AC190" s="4" t="str">
        <f>TEXT(excelsalesdata[[#This Row],[Order_Date]],"mmm")</f>
        <v>Oct</v>
      </c>
      <c r="AD190" s="4" t="str">
        <f>"Q"&amp;ROUNDUP(MONTH(excelsalesdata[[#This Row],[Order_Date]])/3,0)</f>
        <v>Q4</v>
      </c>
    </row>
    <row r="191" spans="1:30" x14ac:dyDescent="0.35">
      <c r="A191" t="s">
        <v>576</v>
      </c>
      <c r="B191" s="3">
        <v>45949</v>
      </c>
      <c r="C191" t="s">
        <v>577</v>
      </c>
      <c r="D191" t="s">
        <v>580</v>
      </c>
      <c r="E191" t="str">
        <f>TRIM(excelsalesdata[[#This Row],[Customer_Name]])</f>
        <v>Meera Iyer</v>
      </c>
      <c r="F191" t="s">
        <v>44</v>
      </c>
      <c r="G191">
        <v>24</v>
      </c>
      <c r="H191" t="s">
        <v>114</v>
      </c>
      <c r="I191" t="str">
        <f>TRIM(excelsalesdata[[#This Row],[City]])</f>
        <v>Hyderabad</v>
      </c>
      <c r="J191" t="s">
        <v>115</v>
      </c>
      <c r="K191" t="s">
        <v>47</v>
      </c>
      <c r="L191" t="s">
        <v>93</v>
      </c>
      <c r="M191" t="s">
        <v>206</v>
      </c>
      <c r="N191" t="s">
        <v>206</v>
      </c>
      <c r="O191">
        <v>2</v>
      </c>
      <c r="P191">
        <v>610</v>
      </c>
      <c r="Q191">
        <v>0</v>
      </c>
      <c r="R191">
        <v>310</v>
      </c>
      <c r="S191" t="s">
        <v>151</v>
      </c>
      <c r="T191" t="s">
        <v>30</v>
      </c>
      <c r="U191">
        <v>6</v>
      </c>
      <c r="V191" t="s">
        <v>40</v>
      </c>
      <c r="W191">
        <f>excelsalesdata[[#This Row],[Quantity]]*excelsalesdata[[#This Row],[Unit_Price]]</f>
        <v>1220</v>
      </c>
      <c r="X191">
        <f>excelsalesdata[[#This Row],[Gross_sales]]*excelsalesdata[[#This Row],[Discount_%]]</f>
        <v>0</v>
      </c>
      <c r="Y191">
        <f>excelsalesdata[[#This Row],[Gross_sales]]-excelsalesdata[[#This Row],[Discount_amt]]</f>
        <v>1220</v>
      </c>
      <c r="Z191" s="4">
        <f>excelsalesdata[[#This Row],[Net_sales]]-excelsalesdata[[#This Row],[Cost]]</f>
        <v>910</v>
      </c>
      <c r="AA191" s="5">
        <f>excelsalesdata[[#This Row],[Profit]]/excelsalesdata[[#This Row],[Net_sales]]</f>
        <v>0.74590163934426235</v>
      </c>
      <c r="AB191" s="4">
        <f>YEAR(excelsalesdata[[#This Row],[Order_Date]])</f>
        <v>2025</v>
      </c>
      <c r="AC191" s="4" t="str">
        <f>TEXT(excelsalesdata[[#This Row],[Order_Date]],"mmm")</f>
        <v>Oct</v>
      </c>
      <c r="AD191" s="4" t="str">
        <f>"Q"&amp;ROUNDUP(MONTH(excelsalesdata[[#This Row],[Order_Date]])/3,0)</f>
        <v>Q4</v>
      </c>
    </row>
    <row r="192" spans="1:30" x14ac:dyDescent="0.35">
      <c r="A192" t="s">
        <v>578</v>
      </c>
      <c r="B192" s="3">
        <v>45950</v>
      </c>
      <c r="C192" t="s">
        <v>579</v>
      </c>
      <c r="D192" t="s">
        <v>583</v>
      </c>
      <c r="E192" t="str">
        <f>TRIM(excelsalesdata[[#This Row],[Customer_Name]])</f>
        <v>Ishita Gupta</v>
      </c>
      <c r="F192" t="s">
        <v>44</v>
      </c>
      <c r="G192">
        <v>51</v>
      </c>
      <c r="H192" t="s">
        <v>71</v>
      </c>
      <c r="I192" t="str">
        <f>TRIM(excelsalesdata[[#This Row],[City]])</f>
        <v>Bhubaneswar</v>
      </c>
      <c r="J192" t="s">
        <v>72</v>
      </c>
      <c r="K192" t="s">
        <v>37</v>
      </c>
      <c r="L192" t="s">
        <v>38</v>
      </c>
      <c r="M192" t="s">
        <v>161</v>
      </c>
      <c r="N192" t="s">
        <v>161</v>
      </c>
      <c r="O192">
        <v>1</v>
      </c>
      <c r="P192">
        <v>26060</v>
      </c>
      <c r="Q192">
        <v>0.05</v>
      </c>
      <c r="R192">
        <v>19700</v>
      </c>
      <c r="S192" t="s">
        <v>151</v>
      </c>
      <c r="T192" t="s">
        <v>81</v>
      </c>
      <c r="U192">
        <v>0</v>
      </c>
      <c r="V192" t="s">
        <v>40</v>
      </c>
      <c r="W192">
        <f>excelsalesdata[[#This Row],[Quantity]]*excelsalesdata[[#This Row],[Unit_Price]]</f>
        <v>26060</v>
      </c>
      <c r="X192">
        <f>excelsalesdata[[#This Row],[Gross_sales]]*excelsalesdata[[#This Row],[Discount_%]]</f>
        <v>1303</v>
      </c>
      <c r="Y192">
        <f>excelsalesdata[[#This Row],[Gross_sales]]-excelsalesdata[[#This Row],[Discount_amt]]</f>
        <v>24757</v>
      </c>
      <c r="Z192" s="4">
        <f>excelsalesdata[[#This Row],[Net_sales]]-excelsalesdata[[#This Row],[Cost]]</f>
        <v>5057</v>
      </c>
      <c r="AA192" s="5">
        <f>excelsalesdata[[#This Row],[Profit]]/excelsalesdata[[#This Row],[Net_sales]]</f>
        <v>0.20426546027386194</v>
      </c>
      <c r="AB192" s="4">
        <f>YEAR(excelsalesdata[[#This Row],[Order_Date]])</f>
        <v>2025</v>
      </c>
      <c r="AC192" s="4" t="str">
        <f>TEXT(excelsalesdata[[#This Row],[Order_Date]],"mmm")</f>
        <v>Oct</v>
      </c>
      <c r="AD192" s="4" t="str">
        <f>"Q"&amp;ROUNDUP(MONTH(excelsalesdata[[#This Row],[Order_Date]])/3,0)</f>
        <v>Q4</v>
      </c>
    </row>
    <row r="193" spans="1:30" x14ac:dyDescent="0.35">
      <c r="A193" t="s">
        <v>581</v>
      </c>
      <c r="B193" s="3">
        <v>45951</v>
      </c>
      <c r="C193" t="s">
        <v>582</v>
      </c>
      <c r="D193" t="s">
        <v>89</v>
      </c>
      <c r="E193" t="str">
        <f>TRIM(excelsalesdata[[#This Row],[Customer_Name]])</f>
        <v>Karan Shah</v>
      </c>
      <c r="F193" t="s">
        <v>44</v>
      </c>
      <c r="G193">
        <v>57</v>
      </c>
      <c r="H193" t="s">
        <v>52</v>
      </c>
      <c r="I193" t="str">
        <f>TRIM(excelsalesdata[[#This Row],[City]])</f>
        <v>Bengaluru</v>
      </c>
      <c r="J193" t="s">
        <v>53</v>
      </c>
      <c r="K193" t="s">
        <v>47</v>
      </c>
      <c r="L193" t="s">
        <v>27</v>
      </c>
      <c r="M193" t="s">
        <v>48</v>
      </c>
      <c r="N193" t="s">
        <v>48</v>
      </c>
      <c r="O193">
        <v>1</v>
      </c>
      <c r="P193">
        <v>900</v>
      </c>
      <c r="Q193">
        <v>0</v>
      </c>
      <c r="R193">
        <v>460</v>
      </c>
      <c r="S193" t="s">
        <v>105</v>
      </c>
      <c r="T193" t="s">
        <v>30</v>
      </c>
      <c r="U193">
        <v>6</v>
      </c>
      <c r="V193" t="s">
        <v>40</v>
      </c>
      <c r="W193">
        <f>excelsalesdata[[#This Row],[Quantity]]*excelsalesdata[[#This Row],[Unit_Price]]</f>
        <v>900</v>
      </c>
      <c r="X193">
        <f>excelsalesdata[[#This Row],[Gross_sales]]*excelsalesdata[[#This Row],[Discount_%]]</f>
        <v>0</v>
      </c>
      <c r="Y193">
        <f>excelsalesdata[[#This Row],[Gross_sales]]-excelsalesdata[[#This Row],[Discount_amt]]</f>
        <v>900</v>
      </c>
      <c r="Z193" s="4">
        <f>excelsalesdata[[#This Row],[Net_sales]]-excelsalesdata[[#This Row],[Cost]]</f>
        <v>440</v>
      </c>
      <c r="AA193" s="5">
        <f>excelsalesdata[[#This Row],[Profit]]/excelsalesdata[[#This Row],[Net_sales]]</f>
        <v>0.48888888888888887</v>
      </c>
      <c r="AB193" s="4">
        <f>YEAR(excelsalesdata[[#This Row],[Order_Date]])</f>
        <v>2025</v>
      </c>
      <c r="AC193" s="4" t="str">
        <f>TEXT(excelsalesdata[[#This Row],[Order_Date]],"mmm")</f>
        <v>Oct</v>
      </c>
      <c r="AD193" s="4" t="str">
        <f>"Q"&amp;ROUNDUP(MONTH(excelsalesdata[[#This Row],[Order_Date]])/3,0)</f>
        <v>Q4</v>
      </c>
    </row>
    <row r="194" spans="1:30" x14ac:dyDescent="0.35">
      <c r="A194" t="s">
        <v>584</v>
      </c>
      <c r="B194" s="3">
        <v>45952</v>
      </c>
      <c r="C194" t="s">
        <v>585</v>
      </c>
      <c r="D194" t="s">
        <v>588</v>
      </c>
      <c r="E194" t="str">
        <f>TRIM(excelsalesdata[[#This Row],[Customer_Name]])</f>
        <v>Karan Rao</v>
      </c>
      <c r="F194" t="s">
        <v>44</v>
      </c>
      <c r="G194">
        <v>44</v>
      </c>
      <c r="H194" t="s">
        <v>98</v>
      </c>
      <c r="I194" t="str">
        <f>TRIM(excelsalesdata[[#This Row],[City]])</f>
        <v>Mumbai</v>
      </c>
      <c r="J194" t="s">
        <v>25</v>
      </c>
      <c r="K194" t="s">
        <v>26</v>
      </c>
      <c r="L194" t="s">
        <v>38</v>
      </c>
      <c r="M194" t="s">
        <v>255</v>
      </c>
      <c r="N194" t="s">
        <v>255</v>
      </c>
      <c r="O194">
        <v>3</v>
      </c>
      <c r="P194">
        <v>4540</v>
      </c>
      <c r="Q194">
        <v>0.05</v>
      </c>
      <c r="R194">
        <v>2760</v>
      </c>
      <c r="S194" t="s">
        <v>29</v>
      </c>
      <c r="T194" t="s">
        <v>30</v>
      </c>
      <c r="U194">
        <v>5</v>
      </c>
      <c r="V194" t="s">
        <v>31</v>
      </c>
      <c r="W194">
        <f>excelsalesdata[[#This Row],[Quantity]]*excelsalesdata[[#This Row],[Unit_Price]]</f>
        <v>13620</v>
      </c>
      <c r="X194">
        <f>excelsalesdata[[#This Row],[Gross_sales]]*excelsalesdata[[#This Row],[Discount_%]]</f>
        <v>681</v>
      </c>
      <c r="Y194">
        <f>excelsalesdata[[#This Row],[Gross_sales]]-excelsalesdata[[#This Row],[Discount_amt]]</f>
        <v>12939</v>
      </c>
      <c r="Z194" s="4">
        <f>excelsalesdata[[#This Row],[Net_sales]]-excelsalesdata[[#This Row],[Cost]]</f>
        <v>10179</v>
      </c>
      <c r="AA194" s="5">
        <f>excelsalesdata[[#This Row],[Profit]]/excelsalesdata[[#This Row],[Net_sales]]</f>
        <v>0.7866913980987712</v>
      </c>
      <c r="AB194" s="4">
        <f>YEAR(excelsalesdata[[#This Row],[Order_Date]])</f>
        <v>2025</v>
      </c>
      <c r="AC194" s="4" t="str">
        <f>TEXT(excelsalesdata[[#This Row],[Order_Date]],"mmm")</f>
        <v>Oct</v>
      </c>
      <c r="AD194" s="4" t="str">
        <f>"Q"&amp;ROUNDUP(MONTH(excelsalesdata[[#This Row],[Order_Date]])/3,0)</f>
        <v>Q4</v>
      </c>
    </row>
    <row r="195" spans="1:30" x14ac:dyDescent="0.35">
      <c r="A195" t="s">
        <v>586</v>
      </c>
      <c r="B195" s="3">
        <v>45953</v>
      </c>
      <c r="C195" t="s">
        <v>587</v>
      </c>
      <c r="D195" t="s">
        <v>591</v>
      </c>
      <c r="E195" t="str">
        <f>TRIM(excelsalesdata[[#This Row],[Customer_Name]])</f>
        <v>Ishita Rao</v>
      </c>
      <c r="F195" t="s">
        <v>23</v>
      </c>
      <c r="G195">
        <v>27</v>
      </c>
      <c r="H195" t="s">
        <v>168</v>
      </c>
      <c r="I195" t="str">
        <f>TRIM(excelsalesdata[[#This Row],[City]])</f>
        <v>Delhi</v>
      </c>
      <c r="J195" t="s">
        <v>168</v>
      </c>
      <c r="K195" t="s">
        <v>61</v>
      </c>
      <c r="L195" t="s">
        <v>103</v>
      </c>
      <c r="M195" t="s">
        <v>104</v>
      </c>
      <c r="N195" t="s">
        <v>104</v>
      </c>
      <c r="O195">
        <v>2</v>
      </c>
      <c r="P195">
        <v>8540</v>
      </c>
      <c r="Q195">
        <v>0.1</v>
      </c>
      <c r="R195">
        <v>5450</v>
      </c>
      <c r="S195" t="s">
        <v>80</v>
      </c>
      <c r="T195" t="s">
        <v>30</v>
      </c>
      <c r="U195">
        <v>4</v>
      </c>
      <c r="V195" t="s">
        <v>31</v>
      </c>
      <c r="W195">
        <f>excelsalesdata[[#This Row],[Quantity]]*excelsalesdata[[#This Row],[Unit_Price]]</f>
        <v>17080</v>
      </c>
      <c r="X195">
        <f>excelsalesdata[[#This Row],[Gross_sales]]*excelsalesdata[[#This Row],[Discount_%]]</f>
        <v>1708</v>
      </c>
      <c r="Y195">
        <f>excelsalesdata[[#This Row],[Gross_sales]]-excelsalesdata[[#This Row],[Discount_amt]]</f>
        <v>15372</v>
      </c>
      <c r="Z195" s="4">
        <f>excelsalesdata[[#This Row],[Net_sales]]-excelsalesdata[[#This Row],[Cost]]</f>
        <v>9922</v>
      </c>
      <c r="AA195" s="5">
        <f>excelsalesdata[[#This Row],[Profit]]/excelsalesdata[[#This Row],[Net_sales]]</f>
        <v>0.64545927660681757</v>
      </c>
      <c r="AB195" s="4">
        <f>YEAR(excelsalesdata[[#This Row],[Order_Date]])</f>
        <v>2025</v>
      </c>
      <c r="AC195" s="4" t="str">
        <f>TEXT(excelsalesdata[[#This Row],[Order_Date]],"mmm")</f>
        <v>Oct</v>
      </c>
      <c r="AD195" s="4" t="str">
        <f>"Q"&amp;ROUNDUP(MONTH(excelsalesdata[[#This Row],[Order_Date]])/3,0)</f>
        <v>Q4</v>
      </c>
    </row>
    <row r="196" spans="1:30" x14ac:dyDescent="0.35">
      <c r="A196" t="s">
        <v>589</v>
      </c>
      <c r="B196" s="3">
        <v>45954</v>
      </c>
      <c r="C196" t="s">
        <v>590</v>
      </c>
      <c r="D196" t="s">
        <v>593</v>
      </c>
      <c r="E196" t="str">
        <f>TRIM(excelsalesdata[[#This Row],[Customer_Name]])</f>
        <v>Nisha Gupta</v>
      </c>
      <c r="F196" t="s">
        <v>23</v>
      </c>
      <c r="G196">
        <v>29</v>
      </c>
      <c r="H196" t="s">
        <v>24</v>
      </c>
      <c r="I196" t="str">
        <f>TRIM(excelsalesdata[[#This Row],[City]])</f>
        <v>Pune</v>
      </c>
      <c r="J196" t="s">
        <v>25</v>
      </c>
      <c r="K196" t="s">
        <v>26</v>
      </c>
      <c r="L196" t="s">
        <v>54</v>
      </c>
      <c r="M196" t="s">
        <v>157</v>
      </c>
      <c r="N196" t="s">
        <v>157</v>
      </c>
      <c r="O196">
        <v>1</v>
      </c>
      <c r="P196">
        <v>56140</v>
      </c>
      <c r="Q196">
        <v>0</v>
      </c>
      <c r="R196">
        <v>43040</v>
      </c>
      <c r="S196" t="s">
        <v>80</v>
      </c>
      <c r="T196" t="s">
        <v>30</v>
      </c>
      <c r="U196">
        <v>4</v>
      </c>
      <c r="V196" t="s">
        <v>40</v>
      </c>
      <c r="W196">
        <f>excelsalesdata[[#This Row],[Quantity]]*excelsalesdata[[#This Row],[Unit_Price]]</f>
        <v>56140</v>
      </c>
      <c r="X196">
        <f>excelsalesdata[[#This Row],[Gross_sales]]*excelsalesdata[[#This Row],[Discount_%]]</f>
        <v>0</v>
      </c>
      <c r="Y196">
        <f>excelsalesdata[[#This Row],[Gross_sales]]-excelsalesdata[[#This Row],[Discount_amt]]</f>
        <v>56140</v>
      </c>
      <c r="Z196" s="4">
        <f>excelsalesdata[[#This Row],[Net_sales]]-excelsalesdata[[#This Row],[Cost]]</f>
        <v>13100</v>
      </c>
      <c r="AA196" s="5">
        <f>excelsalesdata[[#This Row],[Profit]]/excelsalesdata[[#This Row],[Net_sales]]</f>
        <v>0.23334520840755255</v>
      </c>
      <c r="AB196" s="4">
        <f>YEAR(excelsalesdata[[#This Row],[Order_Date]])</f>
        <v>2025</v>
      </c>
      <c r="AC196" s="4" t="str">
        <f>TEXT(excelsalesdata[[#This Row],[Order_Date]],"mmm")</f>
        <v>Oct</v>
      </c>
      <c r="AD196" s="4" t="str">
        <f>"Q"&amp;ROUNDUP(MONTH(excelsalesdata[[#This Row],[Order_Date]])/3,0)</f>
        <v>Q4</v>
      </c>
    </row>
    <row r="197" spans="1:30" x14ac:dyDescent="0.35">
      <c r="A197" t="s">
        <v>592</v>
      </c>
      <c r="B197" s="3">
        <v>45955</v>
      </c>
      <c r="C197" t="s">
        <v>351</v>
      </c>
      <c r="D197" t="s">
        <v>429</v>
      </c>
      <c r="E197" t="str">
        <f>TRIM(excelsalesdata[[#This Row],[Customer_Name]])</f>
        <v>Arjun Patel</v>
      </c>
      <c r="F197" t="s">
        <v>23</v>
      </c>
      <c r="G197">
        <v>40</v>
      </c>
      <c r="H197" t="s">
        <v>190</v>
      </c>
      <c r="I197" t="str">
        <f>TRIM(excelsalesdata[[#This Row],[City]])</f>
        <v>Ahmedabad</v>
      </c>
      <c r="J197" t="s">
        <v>191</v>
      </c>
      <c r="K197" t="s">
        <v>26</v>
      </c>
      <c r="L197" t="s">
        <v>103</v>
      </c>
      <c r="M197" t="s">
        <v>238</v>
      </c>
      <c r="N197" t="s">
        <v>238</v>
      </c>
      <c r="O197">
        <v>1</v>
      </c>
      <c r="P197">
        <v>4500</v>
      </c>
      <c r="Q197">
        <v>0</v>
      </c>
      <c r="R197">
        <v>2820</v>
      </c>
      <c r="S197" t="s">
        <v>151</v>
      </c>
      <c r="T197" t="s">
        <v>30</v>
      </c>
      <c r="U197">
        <v>4</v>
      </c>
      <c r="V197" t="s">
        <v>40</v>
      </c>
      <c r="W197">
        <f>excelsalesdata[[#This Row],[Quantity]]*excelsalesdata[[#This Row],[Unit_Price]]</f>
        <v>4500</v>
      </c>
      <c r="X197">
        <f>excelsalesdata[[#This Row],[Gross_sales]]*excelsalesdata[[#This Row],[Discount_%]]</f>
        <v>0</v>
      </c>
      <c r="Y197">
        <f>excelsalesdata[[#This Row],[Gross_sales]]-excelsalesdata[[#This Row],[Discount_amt]]</f>
        <v>4500</v>
      </c>
      <c r="Z197" s="4">
        <f>excelsalesdata[[#This Row],[Net_sales]]-excelsalesdata[[#This Row],[Cost]]</f>
        <v>1680</v>
      </c>
      <c r="AA197" s="5">
        <f>excelsalesdata[[#This Row],[Profit]]/excelsalesdata[[#This Row],[Net_sales]]</f>
        <v>0.37333333333333335</v>
      </c>
      <c r="AB197" s="4">
        <f>YEAR(excelsalesdata[[#This Row],[Order_Date]])</f>
        <v>2025</v>
      </c>
      <c r="AC197" s="4" t="str">
        <f>TEXT(excelsalesdata[[#This Row],[Order_Date]],"mmm")</f>
        <v>Oct</v>
      </c>
      <c r="AD197" s="4" t="str">
        <f>"Q"&amp;ROUNDUP(MONTH(excelsalesdata[[#This Row],[Order_Date]])/3,0)</f>
        <v>Q4</v>
      </c>
    </row>
    <row r="198" spans="1:30" x14ac:dyDescent="0.35">
      <c r="A198" t="s">
        <v>594</v>
      </c>
      <c r="B198" s="3">
        <v>45956</v>
      </c>
      <c r="C198" t="s">
        <v>595</v>
      </c>
      <c r="D198" t="s">
        <v>250</v>
      </c>
      <c r="E198" t="str">
        <f>TRIM(excelsalesdata[[#This Row],[Customer_Name]])</f>
        <v>Rohan Singh</v>
      </c>
      <c r="F198" t="s">
        <v>23</v>
      </c>
      <c r="G198">
        <v>30</v>
      </c>
      <c r="H198" t="s">
        <v>114</v>
      </c>
      <c r="I198" t="str">
        <f>TRIM(excelsalesdata[[#This Row],[City]])</f>
        <v>Hyderabad</v>
      </c>
      <c r="J198" t="s">
        <v>115</v>
      </c>
      <c r="K198" t="s">
        <v>47</v>
      </c>
      <c r="L198" t="s">
        <v>85</v>
      </c>
      <c r="M198" t="s">
        <v>172</v>
      </c>
      <c r="N198" t="s">
        <v>172</v>
      </c>
      <c r="O198">
        <v>2</v>
      </c>
      <c r="P198">
        <v>4220</v>
      </c>
      <c r="Q198">
        <v>0</v>
      </c>
      <c r="R198">
        <v>2820</v>
      </c>
      <c r="S198" t="s">
        <v>67</v>
      </c>
      <c r="T198" t="s">
        <v>74</v>
      </c>
      <c r="U198">
        <v>4</v>
      </c>
      <c r="V198" t="s">
        <v>31</v>
      </c>
      <c r="W198">
        <f>excelsalesdata[[#This Row],[Quantity]]*excelsalesdata[[#This Row],[Unit_Price]]</f>
        <v>8440</v>
      </c>
      <c r="X198">
        <f>excelsalesdata[[#This Row],[Gross_sales]]*excelsalesdata[[#This Row],[Discount_%]]</f>
        <v>0</v>
      </c>
      <c r="Y198">
        <f>excelsalesdata[[#This Row],[Gross_sales]]-excelsalesdata[[#This Row],[Discount_amt]]</f>
        <v>8440</v>
      </c>
      <c r="Z198" s="4">
        <f>excelsalesdata[[#This Row],[Net_sales]]-excelsalesdata[[#This Row],[Cost]]</f>
        <v>5620</v>
      </c>
      <c r="AA198" s="5">
        <f>excelsalesdata[[#This Row],[Profit]]/excelsalesdata[[#This Row],[Net_sales]]</f>
        <v>0.66587677725118488</v>
      </c>
      <c r="AB198" s="4">
        <f>YEAR(excelsalesdata[[#This Row],[Order_Date]])</f>
        <v>2025</v>
      </c>
      <c r="AC198" s="4" t="str">
        <f>TEXT(excelsalesdata[[#This Row],[Order_Date]],"mmm")</f>
        <v>Oct</v>
      </c>
      <c r="AD198" s="4" t="str">
        <f>"Q"&amp;ROUNDUP(MONTH(excelsalesdata[[#This Row],[Order_Date]])/3,0)</f>
        <v>Q4</v>
      </c>
    </row>
    <row r="199" spans="1:30" x14ac:dyDescent="0.35">
      <c r="A199" t="s">
        <v>596</v>
      </c>
      <c r="B199" s="3">
        <v>45957</v>
      </c>
      <c r="C199" t="s">
        <v>597</v>
      </c>
      <c r="D199" t="s">
        <v>600</v>
      </c>
      <c r="E199" t="str">
        <f>TRIM(excelsalesdata[[#This Row],[Customer_Name]])</f>
        <v>Karan Mehta</v>
      </c>
      <c r="F199" t="s">
        <v>23</v>
      </c>
      <c r="G199">
        <v>54</v>
      </c>
      <c r="H199" t="s">
        <v>52</v>
      </c>
      <c r="I199" t="str">
        <f>TRIM(excelsalesdata[[#This Row],[City]])</f>
        <v>Bengaluru</v>
      </c>
      <c r="J199" t="s">
        <v>53</v>
      </c>
      <c r="K199" t="s">
        <v>47</v>
      </c>
      <c r="L199" t="s">
        <v>54</v>
      </c>
      <c r="M199" t="s">
        <v>66</v>
      </c>
      <c r="N199" t="s">
        <v>66</v>
      </c>
      <c r="O199">
        <v>4</v>
      </c>
      <c r="P199">
        <v>2580</v>
      </c>
      <c r="Q199">
        <v>0.05</v>
      </c>
      <c r="R199">
        <v>1440</v>
      </c>
      <c r="S199" t="s">
        <v>151</v>
      </c>
      <c r="T199" t="s">
        <v>30</v>
      </c>
      <c r="U199">
        <v>1</v>
      </c>
      <c r="V199" t="s">
        <v>40</v>
      </c>
      <c r="W199">
        <f>excelsalesdata[[#This Row],[Quantity]]*excelsalesdata[[#This Row],[Unit_Price]]</f>
        <v>10320</v>
      </c>
      <c r="X199">
        <f>excelsalesdata[[#This Row],[Gross_sales]]*excelsalesdata[[#This Row],[Discount_%]]</f>
        <v>516</v>
      </c>
      <c r="Y199">
        <f>excelsalesdata[[#This Row],[Gross_sales]]-excelsalesdata[[#This Row],[Discount_amt]]</f>
        <v>9804</v>
      </c>
      <c r="Z199" s="4">
        <f>excelsalesdata[[#This Row],[Net_sales]]-excelsalesdata[[#This Row],[Cost]]</f>
        <v>8364</v>
      </c>
      <c r="AA199" s="5">
        <f>excelsalesdata[[#This Row],[Profit]]/excelsalesdata[[#This Row],[Net_sales]]</f>
        <v>0.85312117503059981</v>
      </c>
      <c r="AB199" s="4">
        <f>YEAR(excelsalesdata[[#This Row],[Order_Date]])</f>
        <v>2025</v>
      </c>
      <c r="AC199" s="4" t="str">
        <f>TEXT(excelsalesdata[[#This Row],[Order_Date]],"mmm")</f>
        <v>Oct</v>
      </c>
      <c r="AD199" s="4" t="str">
        <f>"Q"&amp;ROUNDUP(MONTH(excelsalesdata[[#This Row],[Order_Date]])/3,0)</f>
        <v>Q4</v>
      </c>
    </row>
    <row r="200" spans="1:30" x14ac:dyDescent="0.35">
      <c r="A200" t="s">
        <v>598</v>
      </c>
      <c r="B200" s="3">
        <v>45958</v>
      </c>
      <c r="C200" t="s">
        <v>599</v>
      </c>
      <c r="D200" t="s">
        <v>583</v>
      </c>
      <c r="E200" t="str">
        <f>TRIM(excelsalesdata[[#This Row],[Customer_Name]])</f>
        <v>Ishita Gupta</v>
      </c>
      <c r="F200" t="s">
        <v>23</v>
      </c>
      <c r="G200">
        <v>52</v>
      </c>
      <c r="H200" t="s">
        <v>78</v>
      </c>
      <c r="I200" t="str">
        <f>TRIM(excelsalesdata[[#This Row],[City]])</f>
        <v>Guwahati</v>
      </c>
      <c r="J200" t="s">
        <v>79</v>
      </c>
      <c r="K200" t="s">
        <v>37</v>
      </c>
      <c r="L200" t="s">
        <v>54</v>
      </c>
      <c r="M200" t="s">
        <v>66</v>
      </c>
      <c r="N200" t="s">
        <v>66</v>
      </c>
      <c r="O200">
        <v>1</v>
      </c>
      <c r="P200">
        <v>2320</v>
      </c>
      <c r="Q200">
        <v>0.15</v>
      </c>
      <c r="R200">
        <v>1490</v>
      </c>
      <c r="S200" t="s">
        <v>151</v>
      </c>
      <c r="T200" t="s">
        <v>74</v>
      </c>
      <c r="U200">
        <v>2</v>
      </c>
      <c r="V200" t="s">
        <v>31</v>
      </c>
      <c r="W200">
        <f>excelsalesdata[[#This Row],[Quantity]]*excelsalesdata[[#This Row],[Unit_Price]]</f>
        <v>2320</v>
      </c>
      <c r="X200">
        <f>excelsalesdata[[#This Row],[Gross_sales]]*excelsalesdata[[#This Row],[Discount_%]]</f>
        <v>348</v>
      </c>
      <c r="Y200">
        <f>excelsalesdata[[#This Row],[Gross_sales]]-excelsalesdata[[#This Row],[Discount_amt]]</f>
        <v>1972</v>
      </c>
      <c r="Z200" s="4">
        <f>excelsalesdata[[#This Row],[Net_sales]]-excelsalesdata[[#This Row],[Cost]]</f>
        <v>482</v>
      </c>
      <c r="AA200" s="5">
        <f>excelsalesdata[[#This Row],[Profit]]/excelsalesdata[[#This Row],[Net_sales]]</f>
        <v>0.24442190669371197</v>
      </c>
      <c r="AB200" s="4">
        <f>YEAR(excelsalesdata[[#This Row],[Order_Date]])</f>
        <v>2025</v>
      </c>
      <c r="AC200" s="4" t="str">
        <f>TEXT(excelsalesdata[[#This Row],[Order_Date]],"mmm")</f>
        <v>Oct</v>
      </c>
      <c r="AD200" s="4" t="str">
        <f>"Q"&amp;ROUNDUP(MONTH(excelsalesdata[[#This Row],[Order_Date]])/3,0)</f>
        <v>Q4</v>
      </c>
    </row>
    <row r="201" spans="1:30" x14ac:dyDescent="0.35">
      <c r="A201" t="s">
        <v>601</v>
      </c>
      <c r="B201" s="3">
        <v>45959</v>
      </c>
      <c r="C201" t="s">
        <v>602</v>
      </c>
      <c r="D201" t="s">
        <v>605</v>
      </c>
      <c r="E201" t="str">
        <f>TRIM(excelsalesdata[[#This Row],[Customer_Name]])</f>
        <v>Rahul Gupta</v>
      </c>
      <c r="F201" t="s">
        <v>23</v>
      </c>
      <c r="G201">
        <v>50</v>
      </c>
      <c r="H201" t="s">
        <v>155</v>
      </c>
      <c r="I201" t="str">
        <f>TRIM(excelsalesdata[[#This Row],[City]])</f>
        <v>Chennai</v>
      </c>
      <c r="J201" t="s">
        <v>156</v>
      </c>
      <c r="K201" t="s">
        <v>47</v>
      </c>
      <c r="L201" t="s">
        <v>93</v>
      </c>
      <c r="M201" t="s">
        <v>135</v>
      </c>
      <c r="N201" t="s">
        <v>135</v>
      </c>
      <c r="O201">
        <v>1</v>
      </c>
      <c r="P201">
        <v>1770</v>
      </c>
      <c r="Q201">
        <v>0.25</v>
      </c>
      <c r="R201">
        <v>960</v>
      </c>
      <c r="S201" t="s">
        <v>151</v>
      </c>
      <c r="T201" t="s">
        <v>99</v>
      </c>
      <c r="U201">
        <v>1</v>
      </c>
      <c r="V201" t="s">
        <v>40</v>
      </c>
      <c r="W201">
        <f>excelsalesdata[[#This Row],[Quantity]]*excelsalesdata[[#This Row],[Unit_Price]]</f>
        <v>1770</v>
      </c>
      <c r="X201">
        <f>excelsalesdata[[#This Row],[Gross_sales]]*excelsalesdata[[#This Row],[Discount_%]]</f>
        <v>442.5</v>
      </c>
      <c r="Y201">
        <f>excelsalesdata[[#This Row],[Gross_sales]]-excelsalesdata[[#This Row],[Discount_amt]]</f>
        <v>1327.5</v>
      </c>
      <c r="Z201" s="4">
        <f>excelsalesdata[[#This Row],[Net_sales]]-excelsalesdata[[#This Row],[Cost]]</f>
        <v>367.5</v>
      </c>
      <c r="AA201" s="5">
        <f>excelsalesdata[[#This Row],[Profit]]/excelsalesdata[[#This Row],[Net_sales]]</f>
        <v>0.2768361581920904</v>
      </c>
      <c r="AB201" s="4">
        <f>YEAR(excelsalesdata[[#This Row],[Order_Date]])</f>
        <v>2025</v>
      </c>
      <c r="AC201" s="4" t="str">
        <f>TEXT(excelsalesdata[[#This Row],[Order_Date]],"mmm")</f>
        <v>Oct</v>
      </c>
      <c r="AD201" s="4" t="str">
        <f>"Q"&amp;ROUNDUP(MONTH(excelsalesdata[[#This Row],[Order_Date]])/3,0)</f>
        <v>Q4</v>
      </c>
    </row>
    <row r="202" spans="1:30" x14ac:dyDescent="0.35">
      <c r="A202" t="s">
        <v>603</v>
      </c>
      <c r="B202" s="3">
        <v>45960</v>
      </c>
      <c r="C202" t="s">
        <v>604</v>
      </c>
      <c r="D202" t="s">
        <v>499</v>
      </c>
      <c r="E202" t="str">
        <f>TRIM(excelsalesdata[[#This Row],[Customer_Name]])</f>
        <v>Aditya Nair</v>
      </c>
      <c r="F202" t="s">
        <v>23</v>
      </c>
      <c r="G202">
        <v>38</v>
      </c>
      <c r="H202" t="s">
        <v>60</v>
      </c>
      <c r="I202" t="str">
        <f>TRIM(excelsalesdata[[#This Row],[City]])</f>
        <v>Chandigarh</v>
      </c>
      <c r="J202" t="s">
        <v>60</v>
      </c>
      <c r="K202" t="s">
        <v>61</v>
      </c>
      <c r="L202" t="s">
        <v>54</v>
      </c>
      <c r="M202" t="s">
        <v>62</v>
      </c>
      <c r="N202" t="s">
        <v>62</v>
      </c>
      <c r="O202">
        <v>1</v>
      </c>
      <c r="P202">
        <v>20630</v>
      </c>
      <c r="Q202">
        <v>0.1</v>
      </c>
      <c r="R202">
        <v>15140</v>
      </c>
      <c r="S202" t="s">
        <v>67</v>
      </c>
      <c r="T202" t="s">
        <v>30</v>
      </c>
      <c r="U202">
        <v>3</v>
      </c>
      <c r="V202" t="s">
        <v>31</v>
      </c>
      <c r="W202">
        <f>excelsalesdata[[#This Row],[Quantity]]*excelsalesdata[[#This Row],[Unit_Price]]</f>
        <v>20630</v>
      </c>
      <c r="X202">
        <f>excelsalesdata[[#This Row],[Gross_sales]]*excelsalesdata[[#This Row],[Discount_%]]</f>
        <v>2063</v>
      </c>
      <c r="Y202">
        <f>excelsalesdata[[#This Row],[Gross_sales]]-excelsalesdata[[#This Row],[Discount_amt]]</f>
        <v>18567</v>
      </c>
      <c r="Z202" s="4">
        <f>excelsalesdata[[#This Row],[Net_sales]]-excelsalesdata[[#This Row],[Cost]]</f>
        <v>3427</v>
      </c>
      <c r="AA202" s="5">
        <f>excelsalesdata[[#This Row],[Profit]]/excelsalesdata[[#This Row],[Net_sales]]</f>
        <v>0.18457478321753648</v>
      </c>
      <c r="AB202" s="4">
        <f>YEAR(excelsalesdata[[#This Row],[Order_Date]])</f>
        <v>2025</v>
      </c>
      <c r="AC202" s="4" t="str">
        <f>TEXT(excelsalesdata[[#This Row],[Order_Date]],"mmm")</f>
        <v>Oct</v>
      </c>
      <c r="AD202" s="4" t="str">
        <f>"Q"&amp;ROUNDUP(MONTH(excelsalesdata[[#This Row],[Order_Date]])/3,0)</f>
        <v>Q4</v>
      </c>
    </row>
    <row r="203" spans="1:30" x14ac:dyDescent="0.35">
      <c r="A203" t="s">
        <v>606</v>
      </c>
      <c r="B203" s="3">
        <v>45961</v>
      </c>
      <c r="C203" t="s">
        <v>607</v>
      </c>
      <c r="D203" t="s">
        <v>610</v>
      </c>
      <c r="E203" t="str">
        <f>TRIM(excelsalesdata[[#This Row],[Customer_Name]])</f>
        <v>Priya Das</v>
      </c>
      <c r="F203" t="s">
        <v>23</v>
      </c>
      <c r="G203">
        <v>55</v>
      </c>
      <c r="H203" t="s">
        <v>52</v>
      </c>
      <c r="I203" t="str">
        <f>TRIM(excelsalesdata[[#This Row],[City]])</f>
        <v>Bengaluru</v>
      </c>
      <c r="J203" t="s">
        <v>53</v>
      </c>
      <c r="K203" t="s">
        <v>47</v>
      </c>
      <c r="L203" t="s">
        <v>85</v>
      </c>
      <c r="M203" t="s">
        <v>172</v>
      </c>
      <c r="N203" t="s">
        <v>172</v>
      </c>
      <c r="O203">
        <v>1</v>
      </c>
      <c r="P203">
        <v>4470</v>
      </c>
      <c r="Q203">
        <v>0.25</v>
      </c>
      <c r="R203">
        <v>2810</v>
      </c>
      <c r="S203" t="s">
        <v>105</v>
      </c>
      <c r="T203" t="s">
        <v>30</v>
      </c>
      <c r="U203">
        <v>5</v>
      </c>
      <c r="V203" t="s">
        <v>40</v>
      </c>
      <c r="W203">
        <f>excelsalesdata[[#This Row],[Quantity]]*excelsalesdata[[#This Row],[Unit_Price]]</f>
        <v>4470</v>
      </c>
      <c r="X203">
        <f>excelsalesdata[[#This Row],[Gross_sales]]*excelsalesdata[[#This Row],[Discount_%]]</f>
        <v>1117.5</v>
      </c>
      <c r="Y203">
        <f>excelsalesdata[[#This Row],[Gross_sales]]-excelsalesdata[[#This Row],[Discount_amt]]</f>
        <v>3352.5</v>
      </c>
      <c r="Z203" s="4">
        <f>excelsalesdata[[#This Row],[Net_sales]]-excelsalesdata[[#This Row],[Cost]]</f>
        <v>542.5</v>
      </c>
      <c r="AA203" s="5">
        <f>excelsalesdata[[#This Row],[Profit]]/excelsalesdata[[#This Row],[Net_sales]]</f>
        <v>0.16181953765846382</v>
      </c>
      <c r="AB203" s="4">
        <f>YEAR(excelsalesdata[[#This Row],[Order_Date]])</f>
        <v>2025</v>
      </c>
      <c r="AC203" s="4" t="str">
        <f>TEXT(excelsalesdata[[#This Row],[Order_Date]],"mmm")</f>
        <v>Oct</v>
      </c>
      <c r="AD203" s="4" t="str">
        <f>"Q"&amp;ROUNDUP(MONTH(excelsalesdata[[#This Row],[Order_Date]])/3,0)</f>
        <v>Q4</v>
      </c>
    </row>
    <row r="204" spans="1:30" x14ac:dyDescent="0.35">
      <c r="A204" t="s">
        <v>608</v>
      </c>
      <c r="B204" s="3">
        <v>45962</v>
      </c>
      <c r="C204" t="s">
        <v>609</v>
      </c>
      <c r="D204" t="s">
        <v>160</v>
      </c>
      <c r="E204" t="str">
        <f>TRIM(excelsalesdata[[#This Row],[Customer_Name]])</f>
        <v>Nisha Bhat</v>
      </c>
      <c r="F204" t="s">
        <v>23</v>
      </c>
      <c r="G204">
        <v>59</v>
      </c>
      <c r="H204" t="s">
        <v>185</v>
      </c>
      <c r="I204" t="str">
        <f>TRIM(excelsalesdata[[#This Row],[City]])</f>
        <v>Lucknow</v>
      </c>
      <c r="J204" t="s">
        <v>186</v>
      </c>
      <c r="K204" t="s">
        <v>61</v>
      </c>
      <c r="L204" t="s">
        <v>38</v>
      </c>
      <c r="M204" t="s">
        <v>39</v>
      </c>
      <c r="N204" t="s">
        <v>39</v>
      </c>
      <c r="O204">
        <v>1</v>
      </c>
      <c r="P204">
        <v>6260</v>
      </c>
      <c r="Q204">
        <v>0</v>
      </c>
      <c r="R204">
        <v>4110</v>
      </c>
      <c r="S204" t="s">
        <v>151</v>
      </c>
      <c r="T204" t="s">
        <v>30</v>
      </c>
      <c r="U204">
        <v>3</v>
      </c>
      <c r="V204" t="s">
        <v>40</v>
      </c>
      <c r="W204">
        <f>excelsalesdata[[#This Row],[Quantity]]*excelsalesdata[[#This Row],[Unit_Price]]</f>
        <v>6260</v>
      </c>
      <c r="X204">
        <f>excelsalesdata[[#This Row],[Gross_sales]]*excelsalesdata[[#This Row],[Discount_%]]</f>
        <v>0</v>
      </c>
      <c r="Y204">
        <f>excelsalesdata[[#This Row],[Gross_sales]]-excelsalesdata[[#This Row],[Discount_amt]]</f>
        <v>6260</v>
      </c>
      <c r="Z204" s="4">
        <f>excelsalesdata[[#This Row],[Net_sales]]-excelsalesdata[[#This Row],[Cost]]</f>
        <v>2150</v>
      </c>
      <c r="AA204" s="5">
        <f>excelsalesdata[[#This Row],[Profit]]/excelsalesdata[[#This Row],[Net_sales]]</f>
        <v>0.34345047923322686</v>
      </c>
      <c r="AB204" s="4">
        <f>YEAR(excelsalesdata[[#This Row],[Order_Date]])</f>
        <v>2025</v>
      </c>
      <c r="AC204" s="4" t="str">
        <f>TEXT(excelsalesdata[[#This Row],[Order_Date]],"mmm")</f>
        <v>Nov</v>
      </c>
      <c r="AD204" s="4" t="str">
        <f>"Q"&amp;ROUNDUP(MONTH(excelsalesdata[[#This Row],[Order_Date]])/3,0)</f>
        <v>Q4</v>
      </c>
    </row>
    <row r="205" spans="1:30" x14ac:dyDescent="0.35">
      <c r="A205" t="s">
        <v>611</v>
      </c>
      <c r="B205" s="3">
        <v>45963</v>
      </c>
      <c r="C205" t="s">
        <v>612</v>
      </c>
      <c r="D205" t="s">
        <v>231</v>
      </c>
      <c r="E205" t="str">
        <f>TRIM(excelsalesdata[[#This Row],[Customer_Name]])</f>
        <v>Ananya Verma</v>
      </c>
      <c r="F205" t="s">
        <v>44</v>
      </c>
      <c r="G205">
        <v>53</v>
      </c>
      <c r="H205" t="s">
        <v>35</v>
      </c>
      <c r="I205" t="str">
        <f>TRIM(excelsalesdata[[#This Row],[City]])</f>
        <v>Kolkata</v>
      </c>
      <c r="J205" t="s">
        <v>36</v>
      </c>
      <c r="K205" t="s">
        <v>37</v>
      </c>
      <c r="L205" t="s">
        <v>85</v>
      </c>
      <c r="M205" t="s">
        <v>202</v>
      </c>
      <c r="N205" t="s">
        <v>202</v>
      </c>
      <c r="O205">
        <v>1</v>
      </c>
      <c r="P205">
        <v>960</v>
      </c>
      <c r="Q205">
        <v>0.15</v>
      </c>
      <c r="R205">
        <v>410</v>
      </c>
      <c r="S205" t="s">
        <v>80</v>
      </c>
      <c r="T205" t="s">
        <v>30</v>
      </c>
      <c r="U205">
        <v>3</v>
      </c>
      <c r="V205" t="s">
        <v>40</v>
      </c>
      <c r="W205">
        <f>excelsalesdata[[#This Row],[Quantity]]*excelsalesdata[[#This Row],[Unit_Price]]</f>
        <v>960</v>
      </c>
      <c r="X205">
        <f>excelsalesdata[[#This Row],[Gross_sales]]*excelsalesdata[[#This Row],[Discount_%]]</f>
        <v>144</v>
      </c>
      <c r="Y205">
        <f>excelsalesdata[[#This Row],[Gross_sales]]-excelsalesdata[[#This Row],[Discount_amt]]</f>
        <v>816</v>
      </c>
      <c r="Z205" s="4">
        <f>excelsalesdata[[#This Row],[Net_sales]]-excelsalesdata[[#This Row],[Cost]]</f>
        <v>406</v>
      </c>
      <c r="AA205" s="5">
        <f>excelsalesdata[[#This Row],[Profit]]/excelsalesdata[[#This Row],[Net_sales]]</f>
        <v>0.49754901960784315</v>
      </c>
      <c r="AB205" s="4">
        <f>YEAR(excelsalesdata[[#This Row],[Order_Date]])</f>
        <v>2025</v>
      </c>
      <c r="AC205" s="4" t="str">
        <f>TEXT(excelsalesdata[[#This Row],[Order_Date]],"mmm")</f>
        <v>Nov</v>
      </c>
      <c r="AD205" s="4" t="str">
        <f>"Q"&amp;ROUNDUP(MONTH(excelsalesdata[[#This Row],[Order_Date]])/3,0)</f>
        <v>Q4</v>
      </c>
    </row>
    <row r="206" spans="1:30" x14ac:dyDescent="0.35">
      <c r="A206" t="s">
        <v>613</v>
      </c>
      <c r="B206" s="3">
        <v>45964</v>
      </c>
      <c r="C206" t="s">
        <v>614</v>
      </c>
      <c r="D206" t="s">
        <v>617</v>
      </c>
      <c r="E206" t="str">
        <f>TRIM(excelsalesdata[[#This Row],[Customer_Name]])</f>
        <v>Ananya Sharma</v>
      </c>
      <c r="F206" t="s">
        <v>44</v>
      </c>
      <c r="G206">
        <v>45</v>
      </c>
      <c r="H206" t="s">
        <v>35</v>
      </c>
      <c r="I206" t="str">
        <f>TRIM(excelsalesdata[[#This Row],[City]])</f>
        <v>Kolkata</v>
      </c>
      <c r="J206" t="s">
        <v>36</v>
      </c>
      <c r="K206" t="s">
        <v>37</v>
      </c>
      <c r="L206" t="s">
        <v>93</v>
      </c>
      <c r="M206" t="s">
        <v>375</v>
      </c>
      <c r="N206" t="s">
        <v>375</v>
      </c>
      <c r="O206">
        <v>1</v>
      </c>
      <c r="P206">
        <v>2360</v>
      </c>
      <c r="Q206">
        <v>0.25</v>
      </c>
      <c r="R206">
        <v>1230</v>
      </c>
      <c r="S206" t="s">
        <v>56</v>
      </c>
      <c r="T206" t="s">
        <v>30</v>
      </c>
      <c r="U206">
        <v>8</v>
      </c>
      <c r="V206" t="s">
        <v>31</v>
      </c>
      <c r="W206">
        <f>excelsalesdata[[#This Row],[Quantity]]*excelsalesdata[[#This Row],[Unit_Price]]</f>
        <v>2360</v>
      </c>
      <c r="X206">
        <f>excelsalesdata[[#This Row],[Gross_sales]]*excelsalesdata[[#This Row],[Discount_%]]</f>
        <v>590</v>
      </c>
      <c r="Y206">
        <f>excelsalesdata[[#This Row],[Gross_sales]]-excelsalesdata[[#This Row],[Discount_amt]]</f>
        <v>1770</v>
      </c>
      <c r="Z206" s="4">
        <f>excelsalesdata[[#This Row],[Net_sales]]-excelsalesdata[[#This Row],[Cost]]</f>
        <v>540</v>
      </c>
      <c r="AA206" s="5">
        <f>excelsalesdata[[#This Row],[Profit]]/excelsalesdata[[#This Row],[Net_sales]]</f>
        <v>0.30508474576271188</v>
      </c>
      <c r="AB206" s="4">
        <f>YEAR(excelsalesdata[[#This Row],[Order_Date]])</f>
        <v>2025</v>
      </c>
      <c r="AC206" s="4" t="str">
        <f>TEXT(excelsalesdata[[#This Row],[Order_Date]],"mmm")</f>
        <v>Nov</v>
      </c>
      <c r="AD206" s="4" t="str">
        <f>"Q"&amp;ROUNDUP(MONTH(excelsalesdata[[#This Row],[Order_Date]])/3,0)</f>
        <v>Q4</v>
      </c>
    </row>
    <row r="207" spans="1:30" x14ac:dyDescent="0.35">
      <c r="A207" t="s">
        <v>615</v>
      </c>
      <c r="B207" s="3">
        <v>45965</v>
      </c>
      <c r="C207" t="s">
        <v>616</v>
      </c>
      <c r="D207" t="s">
        <v>619</v>
      </c>
      <c r="E207" t="str">
        <f>TRIM(excelsalesdata[[#This Row],[Customer_Name]])</f>
        <v>Aarav Naidu</v>
      </c>
      <c r="F207" t="s">
        <v>44</v>
      </c>
      <c r="G207">
        <v>24</v>
      </c>
      <c r="H207" t="s">
        <v>168</v>
      </c>
      <c r="I207" t="str">
        <f>TRIM(excelsalesdata[[#This Row],[City]])</f>
        <v>Delhi</v>
      </c>
      <c r="J207" t="s">
        <v>168</v>
      </c>
      <c r="K207" t="s">
        <v>61</v>
      </c>
      <c r="L207" t="s">
        <v>103</v>
      </c>
      <c r="M207" t="s">
        <v>238</v>
      </c>
      <c r="N207" t="s">
        <v>238</v>
      </c>
      <c r="O207">
        <v>3</v>
      </c>
      <c r="P207">
        <v>4250</v>
      </c>
      <c r="Q207">
        <v>0</v>
      </c>
      <c r="R207">
        <v>2780</v>
      </c>
      <c r="S207" t="s">
        <v>105</v>
      </c>
      <c r="T207" t="s">
        <v>30</v>
      </c>
      <c r="U207">
        <v>4</v>
      </c>
      <c r="V207" t="s">
        <v>40</v>
      </c>
      <c r="W207">
        <f>excelsalesdata[[#This Row],[Quantity]]*excelsalesdata[[#This Row],[Unit_Price]]</f>
        <v>12750</v>
      </c>
      <c r="X207">
        <f>excelsalesdata[[#This Row],[Gross_sales]]*excelsalesdata[[#This Row],[Discount_%]]</f>
        <v>0</v>
      </c>
      <c r="Y207">
        <f>excelsalesdata[[#This Row],[Gross_sales]]-excelsalesdata[[#This Row],[Discount_amt]]</f>
        <v>12750</v>
      </c>
      <c r="Z207" s="4">
        <f>excelsalesdata[[#This Row],[Net_sales]]-excelsalesdata[[#This Row],[Cost]]</f>
        <v>9970</v>
      </c>
      <c r="AA207" s="5">
        <f>excelsalesdata[[#This Row],[Profit]]/excelsalesdata[[#This Row],[Net_sales]]</f>
        <v>0.78196078431372551</v>
      </c>
      <c r="AB207" s="4">
        <f>YEAR(excelsalesdata[[#This Row],[Order_Date]])</f>
        <v>2025</v>
      </c>
      <c r="AC207" s="4" t="str">
        <f>TEXT(excelsalesdata[[#This Row],[Order_Date]],"mmm")</f>
        <v>Nov</v>
      </c>
      <c r="AD207" s="4" t="str">
        <f>"Q"&amp;ROUNDUP(MONTH(excelsalesdata[[#This Row],[Order_Date]])/3,0)</f>
        <v>Q4</v>
      </c>
    </row>
    <row r="208" spans="1:30" x14ac:dyDescent="0.35">
      <c r="A208" t="s">
        <v>618</v>
      </c>
      <c r="B208" s="3">
        <v>45966</v>
      </c>
      <c r="C208" t="s">
        <v>137</v>
      </c>
      <c r="D208" t="s">
        <v>622</v>
      </c>
      <c r="E208" t="str">
        <f>TRIM(excelsalesdata[[#This Row],[Customer_Name]])</f>
        <v>Vivaan Naidu</v>
      </c>
      <c r="F208" t="s">
        <v>23</v>
      </c>
      <c r="G208">
        <v>41</v>
      </c>
      <c r="H208" t="s">
        <v>98</v>
      </c>
      <c r="I208" t="str">
        <f>TRIM(excelsalesdata[[#This Row],[City]])</f>
        <v>Mumbai</v>
      </c>
      <c r="J208" t="s">
        <v>25</v>
      </c>
      <c r="K208" t="s">
        <v>26</v>
      </c>
      <c r="L208" t="s">
        <v>27</v>
      </c>
      <c r="M208" t="s">
        <v>195</v>
      </c>
      <c r="N208" t="s">
        <v>195</v>
      </c>
      <c r="O208">
        <v>2</v>
      </c>
      <c r="P208">
        <v>2270</v>
      </c>
      <c r="Q208">
        <v>0.25</v>
      </c>
      <c r="R208">
        <v>1200</v>
      </c>
      <c r="S208" t="s">
        <v>29</v>
      </c>
      <c r="T208" t="s">
        <v>30</v>
      </c>
      <c r="U208">
        <v>3</v>
      </c>
      <c r="V208" t="s">
        <v>31</v>
      </c>
      <c r="W208">
        <f>excelsalesdata[[#This Row],[Quantity]]*excelsalesdata[[#This Row],[Unit_Price]]</f>
        <v>4540</v>
      </c>
      <c r="X208">
        <f>excelsalesdata[[#This Row],[Gross_sales]]*excelsalesdata[[#This Row],[Discount_%]]</f>
        <v>1135</v>
      </c>
      <c r="Y208">
        <f>excelsalesdata[[#This Row],[Gross_sales]]-excelsalesdata[[#This Row],[Discount_amt]]</f>
        <v>3405</v>
      </c>
      <c r="Z208" s="4">
        <f>excelsalesdata[[#This Row],[Net_sales]]-excelsalesdata[[#This Row],[Cost]]</f>
        <v>2205</v>
      </c>
      <c r="AA208" s="5">
        <f>excelsalesdata[[#This Row],[Profit]]/excelsalesdata[[#This Row],[Net_sales]]</f>
        <v>0.64757709251101325</v>
      </c>
      <c r="AB208" s="4">
        <f>YEAR(excelsalesdata[[#This Row],[Order_Date]])</f>
        <v>2025</v>
      </c>
      <c r="AC208" s="4" t="str">
        <f>TEXT(excelsalesdata[[#This Row],[Order_Date]],"mmm")</f>
        <v>Nov</v>
      </c>
      <c r="AD208" s="4" t="str">
        <f>"Q"&amp;ROUNDUP(MONTH(excelsalesdata[[#This Row],[Order_Date]])/3,0)</f>
        <v>Q4</v>
      </c>
    </row>
    <row r="209" spans="1:30" x14ac:dyDescent="0.35">
      <c r="A209" t="s">
        <v>620</v>
      </c>
      <c r="B209" s="3">
        <v>45967</v>
      </c>
      <c r="C209" t="s">
        <v>621</v>
      </c>
      <c r="D209" t="s">
        <v>276</v>
      </c>
      <c r="E209" t="str">
        <f>TRIM(excelsalesdata[[#This Row],[Customer_Name]])</f>
        <v>Aarav Bhat</v>
      </c>
      <c r="F209" t="s">
        <v>44</v>
      </c>
      <c r="G209">
        <v>38</v>
      </c>
      <c r="H209" t="s">
        <v>71</v>
      </c>
      <c r="I209" t="str">
        <f>TRIM(excelsalesdata[[#This Row],[City]])</f>
        <v>Bhubaneswar</v>
      </c>
      <c r="J209" t="s">
        <v>72</v>
      </c>
      <c r="K209" t="s">
        <v>37</v>
      </c>
      <c r="L209" t="s">
        <v>54</v>
      </c>
      <c r="M209" t="s">
        <v>157</v>
      </c>
      <c r="N209" t="s">
        <v>157</v>
      </c>
      <c r="O209">
        <v>2</v>
      </c>
      <c r="P209">
        <v>52190</v>
      </c>
      <c r="Q209">
        <v>0.1</v>
      </c>
      <c r="R209">
        <v>42260</v>
      </c>
      <c r="S209" t="s">
        <v>67</v>
      </c>
      <c r="T209" t="s">
        <v>30</v>
      </c>
      <c r="U209">
        <v>6</v>
      </c>
      <c r="V209" t="s">
        <v>31</v>
      </c>
      <c r="W209">
        <f>excelsalesdata[[#This Row],[Quantity]]*excelsalesdata[[#This Row],[Unit_Price]]</f>
        <v>104380</v>
      </c>
      <c r="X209">
        <f>excelsalesdata[[#This Row],[Gross_sales]]*excelsalesdata[[#This Row],[Discount_%]]</f>
        <v>10438</v>
      </c>
      <c r="Y209">
        <f>excelsalesdata[[#This Row],[Gross_sales]]-excelsalesdata[[#This Row],[Discount_amt]]</f>
        <v>93942</v>
      </c>
      <c r="Z209" s="4">
        <f>excelsalesdata[[#This Row],[Net_sales]]-excelsalesdata[[#This Row],[Cost]]</f>
        <v>51682</v>
      </c>
      <c r="AA209" s="5">
        <f>excelsalesdata[[#This Row],[Profit]]/excelsalesdata[[#This Row],[Net_sales]]</f>
        <v>0.5501479636371378</v>
      </c>
      <c r="AB209" s="4">
        <f>YEAR(excelsalesdata[[#This Row],[Order_Date]])</f>
        <v>2025</v>
      </c>
      <c r="AC209" s="4" t="str">
        <f>TEXT(excelsalesdata[[#This Row],[Order_Date]],"mmm")</f>
        <v>Nov</v>
      </c>
      <c r="AD209" s="4" t="str">
        <f>"Q"&amp;ROUNDUP(MONTH(excelsalesdata[[#This Row],[Order_Date]])/3,0)</f>
        <v>Q4</v>
      </c>
    </row>
    <row r="210" spans="1:30" x14ac:dyDescent="0.35">
      <c r="A210" t="s">
        <v>623</v>
      </c>
      <c r="B210" s="3">
        <v>45968</v>
      </c>
      <c r="C210" t="s">
        <v>624</v>
      </c>
      <c r="D210" t="s">
        <v>626</v>
      </c>
      <c r="E210" t="str">
        <f>TRIM(excelsalesdata[[#This Row],[Customer_Name]])</f>
        <v>Aditya Rao</v>
      </c>
      <c r="F210" t="s">
        <v>23</v>
      </c>
      <c r="G210">
        <v>28</v>
      </c>
      <c r="H210" t="s">
        <v>78</v>
      </c>
      <c r="I210" t="str">
        <f>TRIM(excelsalesdata[[#This Row],[City]])</f>
        <v>Guwahati</v>
      </c>
      <c r="J210" t="s">
        <v>79</v>
      </c>
      <c r="K210" t="s">
        <v>37</v>
      </c>
      <c r="L210" t="s">
        <v>54</v>
      </c>
      <c r="M210" t="s">
        <v>129</v>
      </c>
      <c r="N210" t="s">
        <v>129</v>
      </c>
      <c r="O210">
        <v>1</v>
      </c>
      <c r="P210">
        <v>19300</v>
      </c>
      <c r="Q210">
        <v>0.3</v>
      </c>
      <c r="R210">
        <v>12760</v>
      </c>
      <c r="S210" t="s">
        <v>56</v>
      </c>
      <c r="T210" t="s">
        <v>30</v>
      </c>
      <c r="U210">
        <v>2</v>
      </c>
      <c r="V210" t="s">
        <v>40</v>
      </c>
      <c r="W210">
        <f>excelsalesdata[[#This Row],[Quantity]]*excelsalesdata[[#This Row],[Unit_Price]]</f>
        <v>19300</v>
      </c>
      <c r="X210">
        <f>excelsalesdata[[#This Row],[Gross_sales]]*excelsalesdata[[#This Row],[Discount_%]]</f>
        <v>5790</v>
      </c>
      <c r="Y210">
        <f>excelsalesdata[[#This Row],[Gross_sales]]-excelsalesdata[[#This Row],[Discount_amt]]</f>
        <v>13510</v>
      </c>
      <c r="Z210" s="4">
        <f>excelsalesdata[[#This Row],[Net_sales]]-excelsalesdata[[#This Row],[Cost]]</f>
        <v>750</v>
      </c>
      <c r="AA210" s="5">
        <f>excelsalesdata[[#This Row],[Profit]]/excelsalesdata[[#This Row],[Net_sales]]</f>
        <v>5.5514433752775719E-2</v>
      </c>
      <c r="AB210" s="4">
        <f>YEAR(excelsalesdata[[#This Row],[Order_Date]])</f>
        <v>2025</v>
      </c>
      <c r="AC210" s="4" t="str">
        <f>TEXT(excelsalesdata[[#This Row],[Order_Date]],"mmm")</f>
        <v>Nov</v>
      </c>
      <c r="AD210" s="4" t="str">
        <f>"Q"&amp;ROUNDUP(MONTH(excelsalesdata[[#This Row],[Order_Date]])/3,0)</f>
        <v>Q4</v>
      </c>
    </row>
    <row r="211" spans="1:30" x14ac:dyDescent="0.35">
      <c r="A211" t="s">
        <v>625</v>
      </c>
      <c r="B211" s="3">
        <v>45969</v>
      </c>
      <c r="C211" t="s">
        <v>351</v>
      </c>
      <c r="D211" t="s">
        <v>629</v>
      </c>
      <c r="E211" t="str">
        <f>TRIM(excelsalesdata[[#This Row],[Customer_Name]])</f>
        <v>Vikram Shah</v>
      </c>
      <c r="F211" t="s">
        <v>44</v>
      </c>
      <c r="G211">
        <v>35</v>
      </c>
      <c r="H211" t="s">
        <v>168</v>
      </c>
      <c r="I211" t="str">
        <f>TRIM(excelsalesdata[[#This Row],[City]])</f>
        <v>Delhi</v>
      </c>
      <c r="J211" t="s">
        <v>168</v>
      </c>
      <c r="K211" t="s">
        <v>61</v>
      </c>
      <c r="L211" t="s">
        <v>54</v>
      </c>
      <c r="M211" t="s">
        <v>55</v>
      </c>
      <c r="N211" t="s">
        <v>55</v>
      </c>
      <c r="O211">
        <v>3</v>
      </c>
      <c r="P211">
        <v>7460</v>
      </c>
      <c r="Q211">
        <v>0.25</v>
      </c>
      <c r="R211">
        <v>4710</v>
      </c>
      <c r="S211" t="s">
        <v>80</v>
      </c>
      <c r="T211" t="s">
        <v>99</v>
      </c>
      <c r="U211">
        <v>5</v>
      </c>
      <c r="V211" t="s">
        <v>40</v>
      </c>
      <c r="W211">
        <f>excelsalesdata[[#This Row],[Quantity]]*excelsalesdata[[#This Row],[Unit_Price]]</f>
        <v>22380</v>
      </c>
      <c r="X211">
        <f>excelsalesdata[[#This Row],[Gross_sales]]*excelsalesdata[[#This Row],[Discount_%]]</f>
        <v>5595</v>
      </c>
      <c r="Y211">
        <f>excelsalesdata[[#This Row],[Gross_sales]]-excelsalesdata[[#This Row],[Discount_amt]]</f>
        <v>16785</v>
      </c>
      <c r="Z211" s="4">
        <f>excelsalesdata[[#This Row],[Net_sales]]-excelsalesdata[[#This Row],[Cost]]</f>
        <v>12075</v>
      </c>
      <c r="AA211" s="5">
        <f>excelsalesdata[[#This Row],[Profit]]/excelsalesdata[[#This Row],[Net_sales]]</f>
        <v>0.71939231456657726</v>
      </c>
      <c r="AB211" s="4">
        <f>YEAR(excelsalesdata[[#This Row],[Order_Date]])</f>
        <v>2025</v>
      </c>
      <c r="AC211" s="4" t="str">
        <f>TEXT(excelsalesdata[[#This Row],[Order_Date]],"mmm")</f>
        <v>Nov</v>
      </c>
      <c r="AD211" s="4" t="str">
        <f>"Q"&amp;ROUNDUP(MONTH(excelsalesdata[[#This Row],[Order_Date]])/3,0)</f>
        <v>Q4</v>
      </c>
    </row>
    <row r="212" spans="1:30" x14ac:dyDescent="0.35">
      <c r="A212" t="s">
        <v>627</v>
      </c>
      <c r="B212" s="3">
        <v>45970</v>
      </c>
      <c r="C212" t="s">
        <v>628</v>
      </c>
      <c r="D212" t="s">
        <v>631</v>
      </c>
      <c r="E212" t="str">
        <f>TRIM(excelsalesdata[[#This Row],[Customer_Name]])</f>
        <v>Diya Naidu</v>
      </c>
      <c r="F212" t="s">
        <v>23</v>
      </c>
      <c r="G212">
        <v>47</v>
      </c>
      <c r="H212" t="s">
        <v>52</v>
      </c>
      <c r="I212" t="str">
        <f>TRIM(excelsalesdata[[#This Row],[City]])</f>
        <v>Bengaluru</v>
      </c>
      <c r="J212" t="s">
        <v>53</v>
      </c>
      <c r="K212" t="s">
        <v>47</v>
      </c>
      <c r="L212" t="s">
        <v>27</v>
      </c>
      <c r="M212" t="s">
        <v>195</v>
      </c>
      <c r="N212" t="s">
        <v>195</v>
      </c>
      <c r="O212">
        <v>1</v>
      </c>
      <c r="P212">
        <v>2220</v>
      </c>
      <c r="Q212">
        <v>0.15</v>
      </c>
      <c r="R212">
        <v>1200</v>
      </c>
      <c r="S212" t="s">
        <v>29</v>
      </c>
      <c r="T212" t="s">
        <v>30</v>
      </c>
      <c r="U212">
        <v>3</v>
      </c>
      <c r="V212" t="s">
        <v>31</v>
      </c>
      <c r="W212">
        <f>excelsalesdata[[#This Row],[Quantity]]*excelsalesdata[[#This Row],[Unit_Price]]</f>
        <v>2220</v>
      </c>
      <c r="X212">
        <f>excelsalesdata[[#This Row],[Gross_sales]]*excelsalesdata[[#This Row],[Discount_%]]</f>
        <v>333</v>
      </c>
      <c r="Y212">
        <f>excelsalesdata[[#This Row],[Gross_sales]]-excelsalesdata[[#This Row],[Discount_amt]]</f>
        <v>1887</v>
      </c>
      <c r="Z212" s="4">
        <f>excelsalesdata[[#This Row],[Net_sales]]-excelsalesdata[[#This Row],[Cost]]</f>
        <v>687</v>
      </c>
      <c r="AA212" s="5">
        <f>excelsalesdata[[#This Row],[Profit]]/excelsalesdata[[#This Row],[Net_sales]]</f>
        <v>0.36406995230524641</v>
      </c>
      <c r="AB212" s="4">
        <f>YEAR(excelsalesdata[[#This Row],[Order_Date]])</f>
        <v>2025</v>
      </c>
      <c r="AC212" s="4" t="str">
        <f>TEXT(excelsalesdata[[#This Row],[Order_Date]],"mmm")</f>
        <v>Nov</v>
      </c>
      <c r="AD212" s="4" t="str">
        <f>"Q"&amp;ROUNDUP(MONTH(excelsalesdata[[#This Row],[Order_Date]])/3,0)</f>
        <v>Q4</v>
      </c>
    </row>
    <row r="213" spans="1:30" x14ac:dyDescent="0.35">
      <c r="A213" t="s">
        <v>630</v>
      </c>
      <c r="B213" s="3">
        <v>45971</v>
      </c>
      <c r="C213" t="s">
        <v>197</v>
      </c>
      <c r="D213" t="s">
        <v>122</v>
      </c>
      <c r="E213" t="str">
        <f>TRIM(excelsalesdata[[#This Row],[Customer_Name]])</f>
        <v>Vikram Rao</v>
      </c>
      <c r="F213" t="s">
        <v>23</v>
      </c>
      <c r="G213">
        <v>41</v>
      </c>
      <c r="H213" t="s">
        <v>168</v>
      </c>
      <c r="I213" t="str">
        <f>TRIM(excelsalesdata[[#This Row],[City]])</f>
        <v>Delhi</v>
      </c>
      <c r="J213" t="s">
        <v>168</v>
      </c>
      <c r="K213" t="s">
        <v>61</v>
      </c>
      <c r="L213" t="s">
        <v>38</v>
      </c>
      <c r="M213" t="s">
        <v>119</v>
      </c>
      <c r="N213" t="s">
        <v>119</v>
      </c>
      <c r="O213">
        <v>2</v>
      </c>
      <c r="P213">
        <v>8920</v>
      </c>
      <c r="Q213">
        <v>0.05</v>
      </c>
      <c r="R213">
        <v>5460</v>
      </c>
      <c r="S213" t="s">
        <v>80</v>
      </c>
      <c r="T213" t="s">
        <v>74</v>
      </c>
      <c r="U213">
        <v>1</v>
      </c>
      <c r="V213" t="s">
        <v>40</v>
      </c>
      <c r="W213">
        <f>excelsalesdata[[#This Row],[Quantity]]*excelsalesdata[[#This Row],[Unit_Price]]</f>
        <v>17840</v>
      </c>
      <c r="X213">
        <f>excelsalesdata[[#This Row],[Gross_sales]]*excelsalesdata[[#This Row],[Discount_%]]</f>
        <v>892</v>
      </c>
      <c r="Y213">
        <f>excelsalesdata[[#This Row],[Gross_sales]]-excelsalesdata[[#This Row],[Discount_amt]]</f>
        <v>16948</v>
      </c>
      <c r="Z213" s="4">
        <f>excelsalesdata[[#This Row],[Net_sales]]-excelsalesdata[[#This Row],[Cost]]</f>
        <v>11488</v>
      </c>
      <c r="AA213" s="5">
        <f>excelsalesdata[[#This Row],[Profit]]/excelsalesdata[[#This Row],[Net_sales]]</f>
        <v>0.67783809299032338</v>
      </c>
      <c r="AB213" s="4">
        <f>YEAR(excelsalesdata[[#This Row],[Order_Date]])</f>
        <v>2025</v>
      </c>
      <c r="AC213" s="4" t="str">
        <f>TEXT(excelsalesdata[[#This Row],[Order_Date]],"mmm")</f>
        <v>Nov</v>
      </c>
      <c r="AD213" s="4" t="str">
        <f>"Q"&amp;ROUNDUP(MONTH(excelsalesdata[[#This Row],[Order_Date]])/3,0)</f>
        <v>Q4</v>
      </c>
    </row>
    <row r="214" spans="1:30" x14ac:dyDescent="0.35">
      <c r="A214" t="s">
        <v>632</v>
      </c>
      <c r="B214" s="3">
        <v>45972</v>
      </c>
      <c r="C214" t="s">
        <v>633</v>
      </c>
      <c r="D214" t="s">
        <v>635</v>
      </c>
      <c r="E214" t="str">
        <f>TRIM(excelsalesdata[[#This Row],[Customer_Name]])</f>
        <v>Arjun Singh</v>
      </c>
      <c r="F214" t="s">
        <v>23</v>
      </c>
      <c r="G214">
        <v>18</v>
      </c>
      <c r="H214" t="s">
        <v>133</v>
      </c>
      <c r="I214" t="str">
        <f>TRIM(excelsalesdata[[#This Row],[City]])</f>
        <v>Jaipur</v>
      </c>
      <c r="J214" t="s">
        <v>134</v>
      </c>
      <c r="K214" t="s">
        <v>61</v>
      </c>
      <c r="L214" t="s">
        <v>103</v>
      </c>
      <c r="M214" t="s">
        <v>238</v>
      </c>
      <c r="N214" t="s">
        <v>238</v>
      </c>
      <c r="O214">
        <v>2</v>
      </c>
      <c r="P214">
        <v>3920</v>
      </c>
      <c r="Q214">
        <v>0</v>
      </c>
      <c r="R214">
        <v>2580</v>
      </c>
      <c r="S214" t="s">
        <v>80</v>
      </c>
      <c r="T214" t="s">
        <v>30</v>
      </c>
      <c r="U214">
        <v>4</v>
      </c>
      <c r="V214" t="s">
        <v>31</v>
      </c>
      <c r="W214">
        <f>excelsalesdata[[#This Row],[Quantity]]*excelsalesdata[[#This Row],[Unit_Price]]</f>
        <v>7840</v>
      </c>
      <c r="X214">
        <f>excelsalesdata[[#This Row],[Gross_sales]]*excelsalesdata[[#This Row],[Discount_%]]</f>
        <v>0</v>
      </c>
      <c r="Y214">
        <f>excelsalesdata[[#This Row],[Gross_sales]]-excelsalesdata[[#This Row],[Discount_amt]]</f>
        <v>7840</v>
      </c>
      <c r="Z214" s="4">
        <f>excelsalesdata[[#This Row],[Net_sales]]-excelsalesdata[[#This Row],[Cost]]</f>
        <v>5260</v>
      </c>
      <c r="AA214" s="5">
        <f>excelsalesdata[[#This Row],[Profit]]/excelsalesdata[[#This Row],[Net_sales]]</f>
        <v>0.67091836734693877</v>
      </c>
      <c r="AB214" s="4">
        <f>YEAR(excelsalesdata[[#This Row],[Order_Date]])</f>
        <v>2025</v>
      </c>
      <c r="AC214" s="4" t="str">
        <f>TEXT(excelsalesdata[[#This Row],[Order_Date]],"mmm")</f>
        <v>Nov</v>
      </c>
      <c r="AD214" s="4" t="str">
        <f>"Q"&amp;ROUNDUP(MONTH(excelsalesdata[[#This Row],[Order_Date]])/3,0)</f>
        <v>Q4</v>
      </c>
    </row>
    <row r="215" spans="1:30" x14ac:dyDescent="0.35">
      <c r="A215" t="s">
        <v>634</v>
      </c>
      <c r="B215" s="3">
        <v>45973</v>
      </c>
      <c r="C215" t="s">
        <v>575</v>
      </c>
      <c r="D215" t="s">
        <v>637</v>
      </c>
      <c r="E215" t="str">
        <f>TRIM(excelsalesdata[[#This Row],[Customer_Name]])</f>
        <v>Vikram Verma</v>
      </c>
      <c r="F215" t="s">
        <v>44</v>
      </c>
      <c r="G215">
        <v>21</v>
      </c>
      <c r="H215" t="s">
        <v>52</v>
      </c>
      <c r="I215" t="str">
        <f>TRIM(excelsalesdata[[#This Row],[City]])</f>
        <v>Bengaluru</v>
      </c>
      <c r="J215" t="s">
        <v>53</v>
      </c>
      <c r="K215" t="s">
        <v>47</v>
      </c>
      <c r="L215" t="s">
        <v>54</v>
      </c>
      <c r="M215" t="s">
        <v>157</v>
      </c>
      <c r="N215" t="s">
        <v>157</v>
      </c>
      <c r="O215">
        <v>3</v>
      </c>
      <c r="P215">
        <v>59170</v>
      </c>
      <c r="Q215">
        <v>0</v>
      </c>
      <c r="R215">
        <v>43430</v>
      </c>
      <c r="S215" t="s">
        <v>151</v>
      </c>
      <c r="T215" t="s">
        <v>30</v>
      </c>
      <c r="U215">
        <v>7</v>
      </c>
      <c r="V215" t="s">
        <v>31</v>
      </c>
      <c r="W215">
        <f>excelsalesdata[[#This Row],[Quantity]]*excelsalesdata[[#This Row],[Unit_Price]]</f>
        <v>177510</v>
      </c>
      <c r="X215">
        <f>excelsalesdata[[#This Row],[Gross_sales]]*excelsalesdata[[#This Row],[Discount_%]]</f>
        <v>0</v>
      </c>
      <c r="Y215">
        <f>excelsalesdata[[#This Row],[Gross_sales]]-excelsalesdata[[#This Row],[Discount_amt]]</f>
        <v>177510</v>
      </c>
      <c r="Z215" s="4">
        <f>excelsalesdata[[#This Row],[Net_sales]]-excelsalesdata[[#This Row],[Cost]]</f>
        <v>134080</v>
      </c>
      <c r="AA215" s="5">
        <f>excelsalesdata[[#This Row],[Profit]]/excelsalesdata[[#This Row],[Net_sales]]</f>
        <v>0.75533772745197458</v>
      </c>
      <c r="AB215" s="4">
        <f>YEAR(excelsalesdata[[#This Row],[Order_Date]])</f>
        <v>2025</v>
      </c>
      <c r="AC215" s="4" t="str">
        <f>TEXT(excelsalesdata[[#This Row],[Order_Date]],"mmm")</f>
        <v>Nov</v>
      </c>
      <c r="AD215" s="4" t="str">
        <f>"Q"&amp;ROUNDUP(MONTH(excelsalesdata[[#This Row],[Order_Date]])/3,0)</f>
        <v>Q4</v>
      </c>
    </row>
    <row r="216" spans="1:30" x14ac:dyDescent="0.35">
      <c r="A216" t="s">
        <v>636</v>
      </c>
      <c r="B216" s="3">
        <v>45974</v>
      </c>
      <c r="C216" t="s">
        <v>304</v>
      </c>
      <c r="D216" t="s">
        <v>442</v>
      </c>
      <c r="E216" t="str">
        <f>TRIM(excelsalesdata[[#This Row],[Customer_Name]])</f>
        <v>Arjun Rao</v>
      </c>
      <c r="F216" t="s">
        <v>44</v>
      </c>
      <c r="G216">
        <v>21</v>
      </c>
      <c r="H216" t="s">
        <v>45</v>
      </c>
      <c r="I216" t="str">
        <f>TRIM(excelsalesdata[[#This Row],[City]])</f>
        <v>Kochi</v>
      </c>
      <c r="J216" t="s">
        <v>46</v>
      </c>
      <c r="K216" t="s">
        <v>47</v>
      </c>
      <c r="L216" t="s">
        <v>93</v>
      </c>
      <c r="M216" t="s">
        <v>94</v>
      </c>
      <c r="N216" t="s">
        <v>94</v>
      </c>
      <c r="O216">
        <v>1</v>
      </c>
      <c r="P216">
        <v>490</v>
      </c>
      <c r="Q216">
        <v>0.2</v>
      </c>
      <c r="R216">
        <v>220</v>
      </c>
      <c r="S216" t="s">
        <v>80</v>
      </c>
      <c r="T216" t="s">
        <v>81</v>
      </c>
      <c r="U216">
        <v>0</v>
      </c>
      <c r="V216" t="s">
        <v>31</v>
      </c>
      <c r="W216">
        <f>excelsalesdata[[#This Row],[Quantity]]*excelsalesdata[[#This Row],[Unit_Price]]</f>
        <v>490</v>
      </c>
      <c r="X216">
        <f>excelsalesdata[[#This Row],[Gross_sales]]*excelsalesdata[[#This Row],[Discount_%]]</f>
        <v>98</v>
      </c>
      <c r="Y216">
        <f>excelsalesdata[[#This Row],[Gross_sales]]-excelsalesdata[[#This Row],[Discount_amt]]</f>
        <v>392</v>
      </c>
      <c r="Z216" s="4">
        <f>excelsalesdata[[#This Row],[Net_sales]]-excelsalesdata[[#This Row],[Cost]]</f>
        <v>172</v>
      </c>
      <c r="AA216" s="5">
        <f>excelsalesdata[[#This Row],[Profit]]/excelsalesdata[[#This Row],[Net_sales]]</f>
        <v>0.43877551020408162</v>
      </c>
      <c r="AB216" s="4">
        <f>YEAR(excelsalesdata[[#This Row],[Order_Date]])</f>
        <v>2025</v>
      </c>
      <c r="AC216" s="4" t="str">
        <f>TEXT(excelsalesdata[[#This Row],[Order_Date]],"mmm")</f>
        <v>Nov</v>
      </c>
      <c r="AD216" s="4" t="str">
        <f>"Q"&amp;ROUNDUP(MONTH(excelsalesdata[[#This Row],[Order_Date]])/3,0)</f>
        <v>Q4</v>
      </c>
    </row>
    <row r="217" spans="1:30" x14ac:dyDescent="0.35">
      <c r="A217" t="s">
        <v>638</v>
      </c>
      <c r="B217" s="3">
        <v>45975</v>
      </c>
      <c r="C217" t="s">
        <v>639</v>
      </c>
      <c r="D217" t="s">
        <v>368</v>
      </c>
      <c r="E217" t="str">
        <f>TRIM(excelsalesdata[[#This Row],[Customer_Name]])</f>
        <v>Aditya Naidu</v>
      </c>
      <c r="F217" t="s">
        <v>44</v>
      </c>
      <c r="G217">
        <v>32</v>
      </c>
      <c r="H217" t="s">
        <v>109</v>
      </c>
      <c r="I217" t="str">
        <f>TRIM(excelsalesdata[[#This Row],[City]])</f>
        <v>Mysuru</v>
      </c>
      <c r="J217" t="s">
        <v>53</v>
      </c>
      <c r="K217" t="s">
        <v>47</v>
      </c>
      <c r="L217" t="s">
        <v>54</v>
      </c>
      <c r="M217" t="s">
        <v>62</v>
      </c>
      <c r="N217" t="s">
        <v>62</v>
      </c>
      <c r="O217">
        <v>1</v>
      </c>
      <c r="P217">
        <v>21280</v>
      </c>
      <c r="Q217">
        <v>0.1</v>
      </c>
      <c r="R217">
        <v>14780</v>
      </c>
      <c r="S217" t="s">
        <v>105</v>
      </c>
      <c r="T217" t="s">
        <v>30</v>
      </c>
      <c r="U217">
        <v>3</v>
      </c>
      <c r="V217" t="s">
        <v>31</v>
      </c>
      <c r="W217">
        <f>excelsalesdata[[#This Row],[Quantity]]*excelsalesdata[[#This Row],[Unit_Price]]</f>
        <v>21280</v>
      </c>
      <c r="X217">
        <f>excelsalesdata[[#This Row],[Gross_sales]]*excelsalesdata[[#This Row],[Discount_%]]</f>
        <v>2128</v>
      </c>
      <c r="Y217">
        <f>excelsalesdata[[#This Row],[Gross_sales]]-excelsalesdata[[#This Row],[Discount_amt]]</f>
        <v>19152</v>
      </c>
      <c r="Z217" s="4">
        <f>excelsalesdata[[#This Row],[Net_sales]]-excelsalesdata[[#This Row],[Cost]]</f>
        <v>4372</v>
      </c>
      <c r="AA217" s="5">
        <f>excelsalesdata[[#This Row],[Profit]]/excelsalesdata[[#This Row],[Net_sales]]</f>
        <v>0.22827903091060986</v>
      </c>
      <c r="AB217" s="4">
        <f>YEAR(excelsalesdata[[#This Row],[Order_Date]])</f>
        <v>2025</v>
      </c>
      <c r="AC217" s="4" t="str">
        <f>TEXT(excelsalesdata[[#This Row],[Order_Date]],"mmm")</f>
        <v>Nov</v>
      </c>
      <c r="AD217" s="4" t="str">
        <f>"Q"&amp;ROUNDUP(MONTH(excelsalesdata[[#This Row],[Order_Date]])/3,0)</f>
        <v>Q4</v>
      </c>
    </row>
    <row r="218" spans="1:30" x14ac:dyDescent="0.35">
      <c r="A218" t="s">
        <v>640</v>
      </c>
      <c r="B218" s="3">
        <v>45976</v>
      </c>
      <c r="C218" t="s">
        <v>96</v>
      </c>
      <c r="D218" t="s">
        <v>642</v>
      </c>
      <c r="E218" t="str">
        <f>TRIM(excelsalesdata[[#This Row],[Customer_Name]])</f>
        <v>Kavya Singh</v>
      </c>
      <c r="F218" t="s">
        <v>23</v>
      </c>
      <c r="G218">
        <v>57</v>
      </c>
      <c r="H218" t="s">
        <v>78</v>
      </c>
      <c r="I218" t="str">
        <f>TRIM(excelsalesdata[[#This Row],[City]])</f>
        <v>Guwahati</v>
      </c>
      <c r="J218" t="s">
        <v>79</v>
      </c>
      <c r="K218" t="s">
        <v>37</v>
      </c>
      <c r="L218" t="s">
        <v>38</v>
      </c>
      <c r="M218" t="s">
        <v>119</v>
      </c>
      <c r="N218" t="s">
        <v>119</v>
      </c>
      <c r="O218">
        <v>3</v>
      </c>
      <c r="P218">
        <v>8300</v>
      </c>
      <c r="Q218">
        <v>0.2</v>
      </c>
      <c r="R218">
        <v>5610</v>
      </c>
      <c r="S218" t="s">
        <v>80</v>
      </c>
      <c r="T218" t="s">
        <v>30</v>
      </c>
      <c r="U218">
        <v>3</v>
      </c>
      <c r="V218" t="s">
        <v>31</v>
      </c>
      <c r="W218">
        <f>excelsalesdata[[#This Row],[Quantity]]*excelsalesdata[[#This Row],[Unit_Price]]</f>
        <v>24900</v>
      </c>
      <c r="X218">
        <f>excelsalesdata[[#This Row],[Gross_sales]]*excelsalesdata[[#This Row],[Discount_%]]</f>
        <v>4980</v>
      </c>
      <c r="Y218">
        <f>excelsalesdata[[#This Row],[Gross_sales]]-excelsalesdata[[#This Row],[Discount_amt]]</f>
        <v>19920</v>
      </c>
      <c r="Z218" s="4">
        <f>excelsalesdata[[#This Row],[Net_sales]]-excelsalesdata[[#This Row],[Cost]]</f>
        <v>14310</v>
      </c>
      <c r="AA218" s="5">
        <f>excelsalesdata[[#This Row],[Profit]]/excelsalesdata[[#This Row],[Net_sales]]</f>
        <v>0.71837349397590367</v>
      </c>
      <c r="AB218" s="4">
        <f>YEAR(excelsalesdata[[#This Row],[Order_Date]])</f>
        <v>2025</v>
      </c>
      <c r="AC218" s="4" t="str">
        <f>TEXT(excelsalesdata[[#This Row],[Order_Date]],"mmm")</f>
        <v>Nov</v>
      </c>
      <c r="AD218" s="4" t="str">
        <f>"Q"&amp;ROUNDUP(MONTH(excelsalesdata[[#This Row],[Order_Date]])/3,0)</f>
        <v>Q4</v>
      </c>
    </row>
    <row r="219" spans="1:30" x14ac:dyDescent="0.35">
      <c r="A219" t="s">
        <v>641</v>
      </c>
      <c r="B219" s="3">
        <v>45977</v>
      </c>
      <c r="C219" t="s">
        <v>58</v>
      </c>
      <c r="D219" t="s">
        <v>171</v>
      </c>
      <c r="E219" t="str">
        <f>TRIM(excelsalesdata[[#This Row],[Customer_Name]])</f>
        <v>Sneha Rao</v>
      </c>
      <c r="F219" t="s">
        <v>23</v>
      </c>
      <c r="G219">
        <v>23</v>
      </c>
      <c r="H219" t="s">
        <v>45</v>
      </c>
      <c r="I219" t="str">
        <f>TRIM(excelsalesdata[[#This Row],[City]])</f>
        <v>Kochi</v>
      </c>
      <c r="J219" t="s">
        <v>46</v>
      </c>
      <c r="K219" t="s">
        <v>47</v>
      </c>
      <c r="L219" t="s">
        <v>93</v>
      </c>
      <c r="M219" t="s">
        <v>135</v>
      </c>
      <c r="N219" t="s">
        <v>135</v>
      </c>
      <c r="O219">
        <v>1</v>
      </c>
      <c r="P219">
        <v>1720</v>
      </c>
      <c r="Q219">
        <v>0</v>
      </c>
      <c r="R219">
        <v>1020</v>
      </c>
      <c r="S219" t="s">
        <v>56</v>
      </c>
      <c r="T219" t="s">
        <v>30</v>
      </c>
      <c r="U219">
        <v>4</v>
      </c>
      <c r="V219" t="s">
        <v>31</v>
      </c>
      <c r="W219">
        <f>excelsalesdata[[#This Row],[Quantity]]*excelsalesdata[[#This Row],[Unit_Price]]</f>
        <v>1720</v>
      </c>
      <c r="X219">
        <f>excelsalesdata[[#This Row],[Gross_sales]]*excelsalesdata[[#This Row],[Discount_%]]</f>
        <v>0</v>
      </c>
      <c r="Y219">
        <f>excelsalesdata[[#This Row],[Gross_sales]]-excelsalesdata[[#This Row],[Discount_amt]]</f>
        <v>1720</v>
      </c>
      <c r="Z219" s="4">
        <f>excelsalesdata[[#This Row],[Net_sales]]-excelsalesdata[[#This Row],[Cost]]</f>
        <v>700</v>
      </c>
      <c r="AA219" s="5">
        <f>excelsalesdata[[#This Row],[Profit]]/excelsalesdata[[#This Row],[Net_sales]]</f>
        <v>0.40697674418604651</v>
      </c>
      <c r="AB219" s="4">
        <f>YEAR(excelsalesdata[[#This Row],[Order_Date]])</f>
        <v>2025</v>
      </c>
      <c r="AC219" s="4" t="str">
        <f>TEXT(excelsalesdata[[#This Row],[Order_Date]],"mmm")</f>
        <v>Nov</v>
      </c>
      <c r="AD219" s="4" t="str">
        <f>"Q"&amp;ROUNDUP(MONTH(excelsalesdata[[#This Row],[Order_Date]])/3,0)</f>
        <v>Q4</v>
      </c>
    </row>
    <row r="220" spans="1:30" x14ac:dyDescent="0.35">
      <c r="A220" t="s">
        <v>643</v>
      </c>
      <c r="B220" s="3">
        <v>45978</v>
      </c>
      <c r="C220" t="s">
        <v>644</v>
      </c>
      <c r="D220" t="s">
        <v>108</v>
      </c>
      <c r="E220" t="str">
        <f>TRIM(excelsalesdata[[#This Row],[Customer_Name]])</f>
        <v>Vikram Sharma</v>
      </c>
      <c r="F220" t="s">
        <v>23</v>
      </c>
      <c r="G220">
        <v>47</v>
      </c>
      <c r="H220" t="s">
        <v>71</v>
      </c>
      <c r="I220" t="str">
        <f>TRIM(excelsalesdata[[#This Row],[City]])</f>
        <v>Bhubaneswar</v>
      </c>
      <c r="J220" t="s">
        <v>72</v>
      </c>
      <c r="K220" t="s">
        <v>37</v>
      </c>
      <c r="L220" t="s">
        <v>103</v>
      </c>
      <c r="M220" t="s">
        <v>178</v>
      </c>
      <c r="N220" t="s">
        <v>178</v>
      </c>
      <c r="O220">
        <v>1</v>
      </c>
      <c r="P220">
        <v>1690</v>
      </c>
      <c r="Q220">
        <v>0.05</v>
      </c>
      <c r="R220">
        <v>1000</v>
      </c>
      <c r="S220" t="s">
        <v>80</v>
      </c>
      <c r="T220" t="s">
        <v>30</v>
      </c>
      <c r="U220">
        <v>5</v>
      </c>
      <c r="V220" t="s">
        <v>31</v>
      </c>
      <c r="W220">
        <f>excelsalesdata[[#This Row],[Quantity]]*excelsalesdata[[#This Row],[Unit_Price]]</f>
        <v>1690</v>
      </c>
      <c r="X220">
        <f>excelsalesdata[[#This Row],[Gross_sales]]*excelsalesdata[[#This Row],[Discount_%]]</f>
        <v>84.5</v>
      </c>
      <c r="Y220">
        <f>excelsalesdata[[#This Row],[Gross_sales]]-excelsalesdata[[#This Row],[Discount_amt]]</f>
        <v>1605.5</v>
      </c>
      <c r="Z220" s="4">
        <f>excelsalesdata[[#This Row],[Net_sales]]-excelsalesdata[[#This Row],[Cost]]</f>
        <v>605.5</v>
      </c>
      <c r="AA220" s="5">
        <f>excelsalesdata[[#This Row],[Profit]]/excelsalesdata[[#This Row],[Net_sales]]</f>
        <v>0.37714107754593584</v>
      </c>
      <c r="AB220" s="4">
        <f>YEAR(excelsalesdata[[#This Row],[Order_Date]])</f>
        <v>2025</v>
      </c>
      <c r="AC220" s="4" t="str">
        <f>TEXT(excelsalesdata[[#This Row],[Order_Date]],"mmm")</f>
        <v>Nov</v>
      </c>
      <c r="AD220" s="4" t="str">
        <f>"Q"&amp;ROUNDUP(MONTH(excelsalesdata[[#This Row],[Order_Date]])/3,0)</f>
        <v>Q4</v>
      </c>
    </row>
    <row r="221" spans="1:30" x14ac:dyDescent="0.35">
      <c r="A221" t="s">
        <v>645</v>
      </c>
      <c r="B221" s="3">
        <v>45979</v>
      </c>
      <c r="C221" t="s">
        <v>646</v>
      </c>
      <c r="D221" t="s">
        <v>333</v>
      </c>
      <c r="E221" t="str">
        <f>TRIM(excelsalesdata[[#This Row],[Customer_Name]])</f>
        <v>Ishita Singh</v>
      </c>
      <c r="F221" t="s">
        <v>44</v>
      </c>
      <c r="G221">
        <v>48</v>
      </c>
      <c r="H221" t="s">
        <v>168</v>
      </c>
      <c r="I221" t="str">
        <f>TRIM(excelsalesdata[[#This Row],[City]])</f>
        <v>Delhi</v>
      </c>
      <c r="J221" t="s">
        <v>168</v>
      </c>
      <c r="K221" t="s">
        <v>61</v>
      </c>
      <c r="L221" t="s">
        <v>93</v>
      </c>
      <c r="M221" t="s">
        <v>94</v>
      </c>
      <c r="N221" t="s">
        <v>94</v>
      </c>
      <c r="O221">
        <v>1</v>
      </c>
      <c r="P221">
        <v>500</v>
      </c>
      <c r="Q221">
        <v>0.05</v>
      </c>
      <c r="R221">
        <v>230</v>
      </c>
      <c r="S221" t="s">
        <v>80</v>
      </c>
      <c r="T221" t="s">
        <v>30</v>
      </c>
      <c r="U221">
        <v>7</v>
      </c>
      <c r="V221" t="s">
        <v>40</v>
      </c>
      <c r="W221">
        <f>excelsalesdata[[#This Row],[Quantity]]*excelsalesdata[[#This Row],[Unit_Price]]</f>
        <v>500</v>
      </c>
      <c r="X221">
        <f>excelsalesdata[[#This Row],[Gross_sales]]*excelsalesdata[[#This Row],[Discount_%]]</f>
        <v>25</v>
      </c>
      <c r="Y221">
        <f>excelsalesdata[[#This Row],[Gross_sales]]-excelsalesdata[[#This Row],[Discount_amt]]</f>
        <v>475</v>
      </c>
      <c r="Z221" s="4">
        <f>excelsalesdata[[#This Row],[Net_sales]]-excelsalesdata[[#This Row],[Cost]]</f>
        <v>245</v>
      </c>
      <c r="AA221" s="5">
        <f>excelsalesdata[[#This Row],[Profit]]/excelsalesdata[[#This Row],[Net_sales]]</f>
        <v>0.51578947368421058</v>
      </c>
      <c r="AB221" s="4">
        <f>YEAR(excelsalesdata[[#This Row],[Order_Date]])</f>
        <v>2025</v>
      </c>
      <c r="AC221" s="4" t="str">
        <f>TEXT(excelsalesdata[[#This Row],[Order_Date]],"mmm")</f>
        <v>Nov</v>
      </c>
      <c r="AD221" s="4" t="str">
        <f>"Q"&amp;ROUNDUP(MONTH(excelsalesdata[[#This Row],[Order_Date]])/3,0)</f>
        <v>Q4</v>
      </c>
    </row>
    <row r="222" spans="1:30" x14ac:dyDescent="0.35">
      <c r="A222" t="s">
        <v>647</v>
      </c>
      <c r="B222" s="3">
        <v>45980</v>
      </c>
      <c r="C222" t="s">
        <v>648</v>
      </c>
      <c r="D222" t="s">
        <v>650</v>
      </c>
      <c r="E222" t="str">
        <f>TRIM(excelsalesdata[[#This Row],[Customer_Name]])</f>
        <v>Sneha Shah</v>
      </c>
      <c r="F222" t="s">
        <v>23</v>
      </c>
      <c r="G222">
        <v>18</v>
      </c>
      <c r="H222" t="s">
        <v>78</v>
      </c>
      <c r="I222" t="str">
        <f>TRIM(excelsalesdata[[#This Row],[City]])</f>
        <v>Guwahati</v>
      </c>
      <c r="J222" t="s">
        <v>79</v>
      </c>
      <c r="K222" t="s">
        <v>37</v>
      </c>
      <c r="L222" t="s">
        <v>27</v>
      </c>
      <c r="M222" t="s">
        <v>295</v>
      </c>
      <c r="N222" t="s">
        <v>295</v>
      </c>
      <c r="O222">
        <v>5</v>
      </c>
      <c r="P222">
        <v>4170</v>
      </c>
      <c r="Q222">
        <v>0</v>
      </c>
      <c r="R222">
        <v>2520</v>
      </c>
      <c r="S222" t="s">
        <v>29</v>
      </c>
      <c r="T222" t="s">
        <v>30</v>
      </c>
      <c r="U222">
        <v>2</v>
      </c>
      <c r="V222" t="s">
        <v>40</v>
      </c>
      <c r="W222">
        <f>excelsalesdata[[#This Row],[Quantity]]*excelsalesdata[[#This Row],[Unit_Price]]</f>
        <v>20850</v>
      </c>
      <c r="X222">
        <f>excelsalesdata[[#This Row],[Gross_sales]]*excelsalesdata[[#This Row],[Discount_%]]</f>
        <v>0</v>
      </c>
      <c r="Y222">
        <f>excelsalesdata[[#This Row],[Gross_sales]]-excelsalesdata[[#This Row],[Discount_amt]]</f>
        <v>20850</v>
      </c>
      <c r="Z222" s="4">
        <f>excelsalesdata[[#This Row],[Net_sales]]-excelsalesdata[[#This Row],[Cost]]</f>
        <v>18330</v>
      </c>
      <c r="AA222" s="5">
        <f>excelsalesdata[[#This Row],[Profit]]/excelsalesdata[[#This Row],[Net_sales]]</f>
        <v>0.87913669064748201</v>
      </c>
      <c r="AB222" s="4">
        <f>YEAR(excelsalesdata[[#This Row],[Order_Date]])</f>
        <v>2025</v>
      </c>
      <c r="AC222" s="4" t="str">
        <f>TEXT(excelsalesdata[[#This Row],[Order_Date]],"mmm")</f>
        <v>Nov</v>
      </c>
      <c r="AD222" s="4" t="str">
        <f>"Q"&amp;ROUNDUP(MONTH(excelsalesdata[[#This Row],[Order_Date]])/3,0)</f>
        <v>Q4</v>
      </c>
    </row>
    <row r="223" spans="1:30" x14ac:dyDescent="0.35">
      <c r="A223" t="s">
        <v>649</v>
      </c>
      <c r="B223" s="3">
        <v>45981</v>
      </c>
      <c r="C223" t="s">
        <v>504</v>
      </c>
      <c r="D223" t="s">
        <v>273</v>
      </c>
      <c r="E223" t="str">
        <f>TRIM(excelsalesdata[[#This Row],[Customer_Name]])</f>
        <v>Aarav Sharma</v>
      </c>
      <c r="F223" t="s">
        <v>44</v>
      </c>
      <c r="G223">
        <v>51</v>
      </c>
      <c r="H223" t="s">
        <v>185</v>
      </c>
      <c r="I223" t="str">
        <f>TRIM(excelsalesdata[[#This Row],[City]])</f>
        <v>Lucknow</v>
      </c>
      <c r="J223" t="s">
        <v>186</v>
      </c>
      <c r="K223" t="s">
        <v>61</v>
      </c>
      <c r="L223" t="s">
        <v>54</v>
      </c>
      <c r="M223" t="s">
        <v>129</v>
      </c>
      <c r="N223" t="s">
        <v>129</v>
      </c>
      <c r="O223">
        <v>1</v>
      </c>
      <c r="P223">
        <v>17530</v>
      </c>
      <c r="Q223">
        <v>0.25</v>
      </c>
      <c r="R223">
        <v>12950</v>
      </c>
      <c r="S223" t="s">
        <v>105</v>
      </c>
      <c r="T223" t="s">
        <v>30</v>
      </c>
      <c r="U223">
        <v>4</v>
      </c>
      <c r="V223" t="s">
        <v>40</v>
      </c>
      <c r="W223">
        <f>excelsalesdata[[#This Row],[Quantity]]*excelsalesdata[[#This Row],[Unit_Price]]</f>
        <v>17530</v>
      </c>
      <c r="X223">
        <f>excelsalesdata[[#This Row],[Gross_sales]]*excelsalesdata[[#This Row],[Discount_%]]</f>
        <v>4382.5</v>
      </c>
      <c r="Y223">
        <f>excelsalesdata[[#This Row],[Gross_sales]]-excelsalesdata[[#This Row],[Discount_amt]]</f>
        <v>13147.5</v>
      </c>
      <c r="Z223" s="4">
        <f>excelsalesdata[[#This Row],[Net_sales]]-excelsalesdata[[#This Row],[Cost]]</f>
        <v>197.5</v>
      </c>
      <c r="AA223" s="5">
        <f>excelsalesdata[[#This Row],[Profit]]/excelsalesdata[[#This Row],[Net_sales]]</f>
        <v>1.5021867275147366E-2</v>
      </c>
      <c r="AB223" s="4">
        <f>YEAR(excelsalesdata[[#This Row],[Order_Date]])</f>
        <v>2025</v>
      </c>
      <c r="AC223" s="4" t="str">
        <f>TEXT(excelsalesdata[[#This Row],[Order_Date]],"mmm")</f>
        <v>Nov</v>
      </c>
      <c r="AD223" s="4" t="str">
        <f>"Q"&amp;ROUNDUP(MONTH(excelsalesdata[[#This Row],[Order_Date]])/3,0)</f>
        <v>Q4</v>
      </c>
    </row>
    <row r="224" spans="1:30" x14ac:dyDescent="0.35">
      <c r="A224" t="s">
        <v>651</v>
      </c>
      <c r="B224" s="3">
        <v>45982</v>
      </c>
      <c r="C224" t="s">
        <v>33</v>
      </c>
      <c r="D224" t="s">
        <v>482</v>
      </c>
      <c r="E224" t="str">
        <f>TRIM(excelsalesdata[[#This Row],[Customer_Name]])</f>
        <v>Aditya Gupta</v>
      </c>
      <c r="F224" t="s">
        <v>44</v>
      </c>
      <c r="G224">
        <v>32</v>
      </c>
      <c r="H224" t="s">
        <v>155</v>
      </c>
      <c r="I224" t="str">
        <f>TRIM(excelsalesdata[[#This Row],[City]])</f>
        <v>Chennai</v>
      </c>
      <c r="J224" t="s">
        <v>156</v>
      </c>
      <c r="K224" t="s">
        <v>47</v>
      </c>
      <c r="L224" t="s">
        <v>103</v>
      </c>
      <c r="M224" t="s">
        <v>104</v>
      </c>
      <c r="N224" t="s">
        <v>104</v>
      </c>
      <c r="O224">
        <v>1</v>
      </c>
      <c r="P224">
        <v>7850</v>
      </c>
      <c r="Q224">
        <v>0.2</v>
      </c>
      <c r="R224">
        <v>5330</v>
      </c>
      <c r="S224" t="s">
        <v>105</v>
      </c>
      <c r="T224" t="s">
        <v>99</v>
      </c>
      <c r="U224">
        <v>3</v>
      </c>
      <c r="V224" t="s">
        <v>40</v>
      </c>
      <c r="W224">
        <f>excelsalesdata[[#This Row],[Quantity]]*excelsalesdata[[#This Row],[Unit_Price]]</f>
        <v>7850</v>
      </c>
      <c r="X224">
        <f>excelsalesdata[[#This Row],[Gross_sales]]*excelsalesdata[[#This Row],[Discount_%]]</f>
        <v>1570</v>
      </c>
      <c r="Y224">
        <f>excelsalesdata[[#This Row],[Gross_sales]]-excelsalesdata[[#This Row],[Discount_amt]]</f>
        <v>6280</v>
      </c>
      <c r="Z224" s="4">
        <f>excelsalesdata[[#This Row],[Net_sales]]-excelsalesdata[[#This Row],[Cost]]</f>
        <v>950</v>
      </c>
      <c r="AA224" s="5">
        <f>excelsalesdata[[#This Row],[Profit]]/excelsalesdata[[#This Row],[Net_sales]]</f>
        <v>0.15127388535031847</v>
      </c>
      <c r="AB224" s="4">
        <f>YEAR(excelsalesdata[[#This Row],[Order_Date]])</f>
        <v>2025</v>
      </c>
      <c r="AC224" s="4" t="str">
        <f>TEXT(excelsalesdata[[#This Row],[Order_Date]],"mmm")</f>
        <v>Nov</v>
      </c>
      <c r="AD224" s="4" t="str">
        <f>"Q"&amp;ROUNDUP(MONTH(excelsalesdata[[#This Row],[Order_Date]])/3,0)</f>
        <v>Q4</v>
      </c>
    </row>
    <row r="225" spans="1:30" x14ac:dyDescent="0.35">
      <c r="A225" t="s">
        <v>652</v>
      </c>
      <c r="B225" s="3">
        <v>45983</v>
      </c>
      <c r="C225" t="s">
        <v>614</v>
      </c>
      <c r="D225" t="s">
        <v>655</v>
      </c>
      <c r="E225" t="str">
        <f>TRIM(excelsalesdata[[#This Row],[Customer_Name]])</f>
        <v>Arjun Naidu</v>
      </c>
      <c r="F225" t="s">
        <v>23</v>
      </c>
      <c r="G225">
        <v>57</v>
      </c>
      <c r="H225" t="s">
        <v>114</v>
      </c>
      <c r="I225" t="str">
        <f>TRIM(excelsalesdata[[#This Row],[City]])</f>
        <v>Hyderabad</v>
      </c>
      <c r="J225" t="s">
        <v>115</v>
      </c>
      <c r="K225" t="s">
        <v>47</v>
      </c>
      <c r="L225" t="s">
        <v>38</v>
      </c>
      <c r="M225" t="s">
        <v>255</v>
      </c>
      <c r="N225" t="s">
        <v>255</v>
      </c>
      <c r="O225">
        <v>2</v>
      </c>
      <c r="P225">
        <v>4760</v>
      </c>
      <c r="Q225">
        <v>0.05</v>
      </c>
      <c r="R225">
        <v>2990</v>
      </c>
      <c r="S225" t="s">
        <v>105</v>
      </c>
      <c r="T225" t="s">
        <v>30</v>
      </c>
      <c r="U225">
        <v>2</v>
      </c>
      <c r="V225" t="s">
        <v>31</v>
      </c>
      <c r="W225">
        <f>excelsalesdata[[#This Row],[Quantity]]*excelsalesdata[[#This Row],[Unit_Price]]</f>
        <v>9520</v>
      </c>
      <c r="X225">
        <f>excelsalesdata[[#This Row],[Gross_sales]]*excelsalesdata[[#This Row],[Discount_%]]</f>
        <v>476</v>
      </c>
      <c r="Y225">
        <f>excelsalesdata[[#This Row],[Gross_sales]]-excelsalesdata[[#This Row],[Discount_amt]]</f>
        <v>9044</v>
      </c>
      <c r="Z225" s="4">
        <f>excelsalesdata[[#This Row],[Net_sales]]-excelsalesdata[[#This Row],[Cost]]</f>
        <v>6054</v>
      </c>
      <c r="AA225" s="5">
        <f>excelsalesdata[[#This Row],[Profit]]/excelsalesdata[[#This Row],[Net_sales]]</f>
        <v>0.66939407341884127</v>
      </c>
      <c r="AB225" s="4">
        <f>YEAR(excelsalesdata[[#This Row],[Order_Date]])</f>
        <v>2025</v>
      </c>
      <c r="AC225" s="4" t="str">
        <f>TEXT(excelsalesdata[[#This Row],[Order_Date]],"mmm")</f>
        <v>Nov</v>
      </c>
      <c r="AD225" s="4" t="str">
        <f>"Q"&amp;ROUNDUP(MONTH(excelsalesdata[[#This Row],[Order_Date]])/3,0)</f>
        <v>Q4</v>
      </c>
    </row>
    <row r="226" spans="1:30" x14ac:dyDescent="0.35">
      <c r="A226" t="s">
        <v>653</v>
      </c>
      <c r="B226" s="3">
        <v>45984</v>
      </c>
      <c r="C226" t="s">
        <v>654</v>
      </c>
      <c r="D226" t="s">
        <v>658</v>
      </c>
      <c r="E226" t="str">
        <f>TRIM(excelsalesdata[[#This Row],[Customer_Name]])</f>
        <v>Vikram Mehta</v>
      </c>
      <c r="F226" t="s">
        <v>44</v>
      </c>
      <c r="G226">
        <v>40</v>
      </c>
      <c r="H226" t="s">
        <v>109</v>
      </c>
      <c r="I226" t="str">
        <f>TRIM(excelsalesdata[[#This Row],[City]])</f>
        <v>Mysuru</v>
      </c>
      <c r="J226" t="s">
        <v>53</v>
      </c>
      <c r="K226" t="s">
        <v>47</v>
      </c>
      <c r="L226" t="s">
        <v>103</v>
      </c>
      <c r="M226" t="s">
        <v>178</v>
      </c>
      <c r="N226" t="s">
        <v>178</v>
      </c>
      <c r="O226">
        <v>2</v>
      </c>
      <c r="P226">
        <v>1680</v>
      </c>
      <c r="Q226">
        <v>0.05</v>
      </c>
      <c r="R226">
        <v>990</v>
      </c>
      <c r="S226" t="s">
        <v>67</v>
      </c>
      <c r="T226" t="s">
        <v>99</v>
      </c>
      <c r="U226">
        <v>4</v>
      </c>
      <c r="V226" t="s">
        <v>40</v>
      </c>
      <c r="W226">
        <f>excelsalesdata[[#This Row],[Quantity]]*excelsalesdata[[#This Row],[Unit_Price]]</f>
        <v>3360</v>
      </c>
      <c r="X226">
        <f>excelsalesdata[[#This Row],[Gross_sales]]*excelsalesdata[[#This Row],[Discount_%]]</f>
        <v>168</v>
      </c>
      <c r="Y226">
        <f>excelsalesdata[[#This Row],[Gross_sales]]-excelsalesdata[[#This Row],[Discount_amt]]</f>
        <v>3192</v>
      </c>
      <c r="Z226" s="4">
        <f>excelsalesdata[[#This Row],[Net_sales]]-excelsalesdata[[#This Row],[Cost]]</f>
        <v>2202</v>
      </c>
      <c r="AA226" s="5">
        <f>excelsalesdata[[#This Row],[Profit]]/excelsalesdata[[#This Row],[Net_sales]]</f>
        <v>0.68984962406015038</v>
      </c>
      <c r="AB226" s="4">
        <f>YEAR(excelsalesdata[[#This Row],[Order_Date]])</f>
        <v>2025</v>
      </c>
      <c r="AC226" s="4" t="str">
        <f>TEXT(excelsalesdata[[#This Row],[Order_Date]],"mmm")</f>
        <v>Nov</v>
      </c>
      <c r="AD226" s="4" t="str">
        <f>"Q"&amp;ROUNDUP(MONTH(excelsalesdata[[#This Row],[Order_Date]])/3,0)</f>
        <v>Q4</v>
      </c>
    </row>
    <row r="227" spans="1:30" x14ac:dyDescent="0.35">
      <c r="A227" t="s">
        <v>656</v>
      </c>
      <c r="B227" s="3">
        <v>45985</v>
      </c>
      <c r="C227" t="s">
        <v>657</v>
      </c>
      <c r="D227" t="s">
        <v>43</v>
      </c>
      <c r="E227" t="str">
        <f>TRIM(excelsalesdata[[#This Row],[Customer_Name]])</f>
        <v>Nisha Nair</v>
      </c>
      <c r="F227" t="s">
        <v>44</v>
      </c>
      <c r="G227">
        <v>29</v>
      </c>
      <c r="H227" t="s">
        <v>71</v>
      </c>
      <c r="I227" t="str">
        <f>TRIM(excelsalesdata[[#This Row],[City]])</f>
        <v>Bhubaneswar</v>
      </c>
      <c r="J227" t="s">
        <v>72</v>
      </c>
      <c r="K227" t="s">
        <v>37</v>
      </c>
      <c r="L227" t="s">
        <v>38</v>
      </c>
      <c r="M227" t="s">
        <v>255</v>
      </c>
      <c r="N227" t="s">
        <v>255</v>
      </c>
      <c r="O227">
        <v>1</v>
      </c>
      <c r="P227">
        <v>4590</v>
      </c>
      <c r="Q227">
        <v>0.05</v>
      </c>
      <c r="R227">
        <v>2970</v>
      </c>
      <c r="S227" t="s">
        <v>80</v>
      </c>
      <c r="T227" t="s">
        <v>30</v>
      </c>
      <c r="U227">
        <v>5</v>
      </c>
      <c r="V227" t="s">
        <v>31</v>
      </c>
      <c r="W227">
        <f>excelsalesdata[[#This Row],[Quantity]]*excelsalesdata[[#This Row],[Unit_Price]]</f>
        <v>4590</v>
      </c>
      <c r="X227">
        <f>excelsalesdata[[#This Row],[Gross_sales]]*excelsalesdata[[#This Row],[Discount_%]]</f>
        <v>229.5</v>
      </c>
      <c r="Y227">
        <f>excelsalesdata[[#This Row],[Gross_sales]]-excelsalesdata[[#This Row],[Discount_amt]]</f>
        <v>4360.5</v>
      </c>
      <c r="Z227" s="4">
        <f>excelsalesdata[[#This Row],[Net_sales]]-excelsalesdata[[#This Row],[Cost]]</f>
        <v>1390.5</v>
      </c>
      <c r="AA227" s="5">
        <f>excelsalesdata[[#This Row],[Profit]]/excelsalesdata[[#This Row],[Net_sales]]</f>
        <v>0.31888544891640869</v>
      </c>
      <c r="AB227" s="4">
        <f>YEAR(excelsalesdata[[#This Row],[Order_Date]])</f>
        <v>2025</v>
      </c>
      <c r="AC227" s="4" t="str">
        <f>TEXT(excelsalesdata[[#This Row],[Order_Date]],"mmm")</f>
        <v>Nov</v>
      </c>
      <c r="AD227" s="4" t="str">
        <f>"Q"&amp;ROUNDUP(MONTH(excelsalesdata[[#This Row],[Order_Date]])/3,0)</f>
        <v>Q4</v>
      </c>
    </row>
    <row r="228" spans="1:30" x14ac:dyDescent="0.35">
      <c r="A228" t="s">
        <v>659</v>
      </c>
      <c r="B228" s="3">
        <v>45986</v>
      </c>
      <c r="C228" t="s">
        <v>660</v>
      </c>
      <c r="D228" t="s">
        <v>291</v>
      </c>
      <c r="E228" t="str">
        <f>TRIM(excelsalesdata[[#This Row],[Customer_Name]])</f>
        <v>Vikram Patel</v>
      </c>
      <c r="F228" t="s">
        <v>23</v>
      </c>
      <c r="G228">
        <v>22</v>
      </c>
      <c r="H228" t="s">
        <v>185</v>
      </c>
      <c r="I228" t="str">
        <f>TRIM(excelsalesdata[[#This Row],[City]])</f>
        <v>Lucknow</v>
      </c>
      <c r="J228" t="s">
        <v>186</v>
      </c>
      <c r="K228" t="s">
        <v>61</v>
      </c>
      <c r="L228" t="s">
        <v>54</v>
      </c>
      <c r="M228" t="s">
        <v>55</v>
      </c>
      <c r="N228" t="s">
        <v>55</v>
      </c>
      <c r="O228">
        <v>5</v>
      </c>
      <c r="P228">
        <v>7320</v>
      </c>
      <c r="Q228">
        <v>0.15</v>
      </c>
      <c r="R228">
        <v>4330</v>
      </c>
      <c r="S228" t="s">
        <v>151</v>
      </c>
      <c r="T228" t="s">
        <v>30</v>
      </c>
      <c r="U228">
        <v>4</v>
      </c>
      <c r="V228" t="s">
        <v>40</v>
      </c>
      <c r="W228">
        <f>excelsalesdata[[#This Row],[Quantity]]*excelsalesdata[[#This Row],[Unit_Price]]</f>
        <v>36600</v>
      </c>
      <c r="X228">
        <f>excelsalesdata[[#This Row],[Gross_sales]]*excelsalesdata[[#This Row],[Discount_%]]</f>
        <v>5490</v>
      </c>
      <c r="Y228">
        <f>excelsalesdata[[#This Row],[Gross_sales]]-excelsalesdata[[#This Row],[Discount_amt]]</f>
        <v>31110</v>
      </c>
      <c r="Z228" s="4">
        <f>excelsalesdata[[#This Row],[Net_sales]]-excelsalesdata[[#This Row],[Cost]]</f>
        <v>26780</v>
      </c>
      <c r="AA228" s="5">
        <f>excelsalesdata[[#This Row],[Profit]]/excelsalesdata[[#This Row],[Net_sales]]</f>
        <v>0.8608164577306332</v>
      </c>
      <c r="AB228" s="4">
        <f>YEAR(excelsalesdata[[#This Row],[Order_Date]])</f>
        <v>2025</v>
      </c>
      <c r="AC228" s="4" t="str">
        <f>TEXT(excelsalesdata[[#This Row],[Order_Date]],"mmm")</f>
        <v>Nov</v>
      </c>
      <c r="AD228" s="4" t="str">
        <f>"Q"&amp;ROUNDUP(MONTH(excelsalesdata[[#This Row],[Order_Date]])/3,0)</f>
        <v>Q4</v>
      </c>
    </row>
    <row r="229" spans="1:30" x14ac:dyDescent="0.35">
      <c r="A229" t="s">
        <v>661</v>
      </c>
      <c r="B229" s="3">
        <v>45987</v>
      </c>
      <c r="C229" t="s">
        <v>83</v>
      </c>
      <c r="D229" t="s">
        <v>664</v>
      </c>
      <c r="E229" t="str">
        <f>TRIM(excelsalesdata[[#This Row],[Customer_Name]])</f>
        <v>Ishita Reddy</v>
      </c>
      <c r="F229" t="s">
        <v>23</v>
      </c>
      <c r="G229">
        <v>58</v>
      </c>
      <c r="H229" t="s">
        <v>133</v>
      </c>
      <c r="I229" t="str">
        <f>TRIM(excelsalesdata[[#This Row],[City]])</f>
        <v>Jaipur</v>
      </c>
      <c r="J229" t="s">
        <v>134</v>
      </c>
      <c r="K229" t="s">
        <v>61</v>
      </c>
      <c r="L229" t="s">
        <v>54</v>
      </c>
      <c r="M229" t="s">
        <v>62</v>
      </c>
      <c r="N229" t="s">
        <v>62</v>
      </c>
      <c r="O229">
        <v>5</v>
      </c>
      <c r="P229">
        <v>20600</v>
      </c>
      <c r="Q229">
        <v>0.1</v>
      </c>
      <c r="R229">
        <v>16240</v>
      </c>
      <c r="S229" t="s">
        <v>105</v>
      </c>
      <c r="T229" t="s">
        <v>30</v>
      </c>
      <c r="U229">
        <v>4</v>
      </c>
      <c r="V229" t="s">
        <v>40</v>
      </c>
      <c r="W229">
        <f>excelsalesdata[[#This Row],[Quantity]]*excelsalesdata[[#This Row],[Unit_Price]]</f>
        <v>103000</v>
      </c>
      <c r="X229">
        <f>excelsalesdata[[#This Row],[Gross_sales]]*excelsalesdata[[#This Row],[Discount_%]]</f>
        <v>10300</v>
      </c>
      <c r="Y229">
        <f>excelsalesdata[[#This Row],[Gross_sales]]-excelsalesdata[[#This Row],[Discount_amt]]</f>
        <v>92700</v>
      </c>
      <c r="Z229" s="4">
        <f>excelsalesdata[[#This Row],[Net_sales]]-excelsalesdata[[#This Row],[Cost]]</f>
        <v>76460</v>
      </c>
      <c r="AA229" s="5">
        <f>excelsalesdata[[#This Row],[Profit]]/excelsalesdata[[#This Row],[Net_sales]]</f>
        <v>0.82481121898597631</v>
      </c>
      <c r="AB229" s="4">
        <f>YEAR(excelsalesdata[[#This Row],[Order_Date]])</f>
        <v>2025</v>
      </c>
      <c r="AC229" s="4" t="str">
        <f>TEXT(excelsalesdata[[#This Row],[Order_Date]],"mmm")</f>
        <v>Nov</v>
      </c>
      <c r="AD229" s="4" t="str">
        <f>"Q"&amp;ROUNDUP(MONTH(excelsalesdata[[#This Row],[Order_Date]])/3,0)</f>
        <v>Q4</v>
      </c>
    </row>
    <row r="230" spans="1:30" x14ac:dyDescent="0.35">
      <c r="A230" t="s">
        <v>662</v>
      </c>
      <c r="B230" s="3">
        <v>45988</v>
      </c>
      <c r="C230" t="s">
        <v>663</v>
      </c>
      <c r="D230" t="s">
        <v>666</v>
      </c>
      <c r="E230" t="str">
        <f>TRIM(excelsalesdata[[#This Row],[Customer_Name]])</f>
        <v>Arjun Mehta</v>
      </c>
      <c r="F230" t="s">
        <v>44</v>
      </c>
      <c r="G230">
        <v>42</v>
      </c>
      <c r="H230" t="s">
        <v>114</v>
      </c>
      <c r="I230" t="str">
        <f>TRIM(excelsalesdata[[#This Row],[City]])</f>
        <v>Hyderabad</v>
      </c>
      <c r="J230" t="s">
        <v>115</v>
      </c>
      <c r="K230" t="s">
        <v>47</v>
      </c>
      <c r="L230" t="s">
        <v>54</v>
      </c>
      <c r="M230" t="s">
        <v>55</v>
      </c>
      <c r="N230" t="s">
        <v>55</v>
      </c>
      <c r="O230">
        <v>2</v>
      </c>
      <c r="P230">
        <v>7210</v>
      </c>
      <c r="Q230">
        <v>0</v>
      </c>
      <c r="R230">
        <v>4540</v>
      </c>
      <c r="S230" t="s">
        <v>29</v>
      </c>
      <c r="T230" t="s">
        <v>81</v>
      </c>
      <c r="U230">
        <v>0</v>
      </c>
      <c r="V230" t="s">
        <v>40</v>
      </c>
      <c r="W230">
        <f>excelsalesdata[[#This Row],[Quantity]]*excelsalesdata[[#This Row],[Unit_Price]]</f>
        <v>14420</v>
      </c>
      <c r="X230">
        <f>excelsalesdata[[#This Row],[Gross_sales]]*excelsalesdata[[#This Row],[Discount_%]]</f>
        <v>0</v>
      </c>
      <c r="Y230">
        <f>excelsalesdata[[#This Row],[Gross_sales]]-excelsalesdata[[#This Row],[Discount_amt]]</f>
        <v>14420</v>
      </c>
      <c r="Z230" s="4">
        <f>excelsalesdata[[#This Row],[Net_sales]]-excelsalesdata[[#This Row],[Cost]]</f>
        <v>9880</v>
      </c>
      <c r="AA230" s="5">
        <f>excelsalesdata[[#This Row],[Profit]]/excelsalesdata[[#This Row],[Net_sales]]</f>
        <v>0.6851595006934813</v>
      </c>
      <c r="AB230" s="4">
        <f>YEAR(excelsalesdata[[#This Row],[Order_Date]])</f>
        <v>2025</v>
      </c>
      <c r="AC230" s="4" t="str">
        <f>TEXT(excelsalesdata[[#This Row],[Order_Date]],"mmm")</f>
        <v>Nov</v>
      </c>
      <c r="AD230" s="4" t="str">
        <f>"Q"&amp;ROUNDUP(MONTH(excelsalesdata[[#This Row],[Order_Date]])/3,0)</f>
        <v>Q4</v>
      </c>
    </row>
    <row r="231" spans="1:30" x14ac:dyDescent="0.35">
      <c r="A231" t="s">
        <v>665</v>
      </c>
      <c r="B231" s="3">
        <v>45989</v>
      </c>
      <c r="C231" t="s">
        <v>633</v>
      </c>
      <c r="D231" t="s">
        <v>70</v>
      </c>
      <c r="E231" t="str">
        <f>TRIM(excelsalesdata[[#This Row],[Customer_Name]])</f>
        <v>Priya Patel</v>
      </c>
      <c r="F231" t="s">
        <v>44</v>
      </c>
      <c r="G231">
        <v>52</v>
      </c>
      <c r="H231" t="s">
        <v>78</v>
      </c>
      <c r="I231" t="str">
        <f>TRIM(excelsalesdata[[#This Row],[City]])</f>
        <v>Guwahati</v>
      </c>
      <c r="J231" t="s">
        <v>79</v>
      </c>
      <c r="K231" t="s">
        <v>37</v>
      </c>
      <c r="L231" t="s">
        <v>27</v>
      </c>
      <c r="M231" t="s">
        <v>123</v>
      </c>
      <c r="N231" t="s">
        <v>123</v>
      </c>
      <c r="O231">
        <v>1</v>
      </c>
      <c r="P231">
        <v>3010</v>
      </c>
      <c r="Q231">
        <v>0.05</v>
      </c>
      <c r="R231">
        <v>1630</v>
      </c>
      <c r="S231" t="s">
        <v>105</v>
      </c>
      <c r="T231" t="s">
        <v>30</v>
      </c>
      <c r="U231">
        <v>3</v>
      </c>
      <c r="V231" t="s">
        <v>31</v>
      </c>
      <c r="W231">
        <f>excelsalesdata[[#This Row],[Quantity]]*excelsalesdata[[#This Row],[Unit_Price]]</f>
        <v>3010</v>
      </c>
      <c r="X231">
        <f>excelsalesdata[[#This Row],[Gross_sales]]*excelsalesdata[[#This Row],[Discount_%]]</f>
        <v>150.5</v>
      </c>
      <c r="Y231">
        <f>excelsalesdata[[#This Row],[Gross_sales]]-excelsalesdata[[#This Row],[Discount_amt]]</f>
        <v>2859.5</v>
      </c>
      <c r="Z231" s="4">
        <f>excelsalesdata[[#This Row],[Net_sales]]-excelsalesdata[[#This Row],[Cost]]</f>
        <v>1229.5</v>
      </c>
      <c r="AA231" s="5">
        <f>excelsalesdata[[#This Row],[Profit]]/excelsalesdata[[#This Row],[Net_sales]]</f>
        <v>0.4299702745235181</v>
      </c>
      <c r="AB231" s="4">
        <f>YEAR(excelsalesdata[[#This Row],[Order_Date]])</f>
        <v>2025</v>
      </c>
      <c r="AC231" s="4" t="str">
        <f>TEXT(excelsalesdata[[#This Row],[Order_Date]],"mmm")</f>
        <v>Nov</v>
      </c>
      <c r="AD231" s="4" t="str">
        <f>"Q"&amp;ROUNDUP(MONTH(excelsalesdata[[#This Row],[Order_Date]])/3,0)</f>
        <v>Q4</v>
      </c>
    </row>
    <row r="232" spans="1:30" x14ac:dyDescent="0.35">
      <c r="A232" t="s">
        <v>667</v>
      </c>
      <c r="B232" s="3">
        <v>45990</v>
      </c>
      <c r="C232" t="s">
        <v>668</v>
      </c>
      <c r="D232" t="s">
        <v>328</v>
      </c>
      <c r="E232" t="str">
        <f>TRIM(excelsalesdata[[#This Row],[Customer_Name]])</f>
        <v>Aarav Verma</v>
      </c>
      <c r="F232" t="s">
        <v>23</v>
      </c>
      <c r="G232">
        <v>18</v>
      </c>
      <c r="H232" t="s">
        <v>114</v>
      </c>
      <c r="I232" t="str">
        <f>TRIM(excelsalesdata[[#This Row],[City]])</f>
        <v>Hyderabad</v>
      </c>
      <c r="J232" t="s">
        <v>115</v>
      </c>
      <c r="K232" t="s">
        <v>47</v>
      </c>
      <c r="L232" t="s">
        <v>54</v>
      </c>
      <c r="M232" t="s">
        <v>157</v>
      </c>
      <c r="N232" t="s">
        <v>157</v>
      </c>
      <c r="O232">
        <v>2</v>
      </c>
      <c r="P232">
        <v>52480</v>
      </c>
      <c r="Q232">
        <v>0.25</v>
      </c>
      <c r="R232">
        <v>39930</v>
      </c>
      <c r="S232" t="s">
        <v>151</v>
      </c>
      <c r="T232" t="s">
        <v>30</v>
      </c>
      <c r="U232">
        <v>3</v>
      </c>
      <c r="V232" t="s">
        <v>40</v>
      </c>
      <c r="W232">
        <f>excelsalesdata[[#This Row],[Quantity]]*excelsalesdata[[#This Row],[Unit_Price]]</f>
        <v>104960</v>
      </c>
      <c r="X232">
        <f>excelsalesdata[[#This Row],[Gross_sales]]*excelsalesdata[[#This Row],[Discount_%]]</f>
        <v>26240</v>
      </c>
      <c r="Y232">
        <f>excelsalesdata[[#This Row],[Gross_sales]]-excelsalesdata[[#This Row],[Discount_amt]]</f>
        <v>78720</v>
      </c>
      <c r="Z232" s="4">
        <f>excelsalesdata[[#This Row],[Net_sales]]-excelsalesdata[[#This Row],[Cost]]</f>
        <v>38790</v>
      </c>
      <c r="AA232" s="5">
        <f>excelsalesdata[[#This Row],[Profit]]/excelsalesdata[[#This Row],[Net_sales]]</f>
        <v>0.49275914634146339</v>
      </c>
      <c r="AB232" s="4">
        <f>YEAR(excelsalesdata[[#This Row],[Order_Date]])</f>
        <v>2025</v>
      </c>
      <c r="AC232" s="4" t="str">
        <f>TEXT(excelsalesdata[[#This Row],[Order_Date]],"mmm")</f>
        <v>Nov</v>
      </c>
      <c r="AD232" s="4" t="str">
        <f>"Q"&amp;ROUNDUP(MONTH(excelsalesdata[[#This Row],[Order_Date]])/3,0)</f>
        <v>Q4</v>
      </c>
    </row>
    <row r="233" spans="1:30" x14ac:dyDescent="0.35">
      <c r="A233" t="s">
        <v>669</v>
      </c>
      <c r="B233" s="3">
        <v>45991</v>
      </c>
      <c r="C233" t="s">
        <v>210</v>
      </c>
      <c r="D233" t="s">
        <v>672</v>
      </c>
      <c r="E233" t="str">
        <f>TRIM(excelsalesdata[[#This Row],[Customer_Name]])</f>
        <v>Aditya Kumar</v>
      </c>
      <c r="F233" t="s">
        <v>23</v>
      </c>
      <c r="G233">
        <v>26</v>
      </c>
      <c r="H233" t="s">
        <v>155</v>
      </c>
      <c r="I233" t="str">
        <f>TRIM(excelsalesdata[[#This Row],[City]])</f>
        <v>Chennai</v>
      </c>
      <c r="J233" t="s">
        <v>156</v>
      </c>
      <c r="K233" t="s">
        <v>47</v>
      </c>
      <c r="L233" t="s">
        <v>85</v>
      </c>
      <c r="M233" t="s">
        <v>110</v>
      </c>
      <c r="N233" t="s">
        <v>110</v>
      </c>
      <c r="O233">
        <v>1</v>
      </c>
      <c r="P233">
        <v>1270</v>
      </c>
      <c r="Q233">
        <v>0.05</v>
      </c>
      <c r="R233">
        <v>610</v>
      </c>
      <c r="S233" t="s">
        <v>56</v>
      </c>
      <c r="T233" t="s">
        <v>30</v>
      </c>
      <c r="U233">
        <v>1</v>
      </c>
      <c r="V233" t="s">
        <v>31</v>
      </c>
      <c r="W233">
        <f>excelsalesdata[[#This Row],[Quantity]]*excelsalesdata[[#This Row],[Unit_Price]]</f>
        <v>1270</v>
      </c>
      <c r="X233">
        <f>excelsalesdata[[#This Row],[Gross_sales]]*excelsalesdata[[#This Row],[Discount_%]]</f>
        <v>63.5</v>
      </c>
      <c r="Y233">
        <f>excelsalesdata[[#This Row],[Gross_sales]]-excelsalesdata[[#This Row],[Discount_amt]]</f>
        <v>1206.5</v>
      </c>
      <c r="Z233" s="4">
        <f>excelsalesdata[[#This Row],[Net_sales]]-excelsalesdata[[#This Row],[Cost]]</f>
        <v>596.5</v>
      </c>
      <c r="AA233" s="5">
        <f>excelsalesdata[[#This Row],[Profit]]/excelsalesdata[[#This Row],[Net_sales]]</f>
        <v>0.49440530460008286</v>
      </c>
      <c r="AB233" s="4">
        <f>YEAR(excelsalesdata[[#This Row],[Order_Date]])</f>
        <v>2025</v>
      </c>
      <c r="AC233" s="4" t="str">
        <f>TEXT(excelsalesdata[[#This Row],[Order_Date]],"mmm")</f>
        <v>Nov</v>
      </c>
      <c r="AD233" s="4" t="str">
        <f>"Q"&amp;ROUNDUP(MONTH(excelsalesdata[[#This Row],[Order_Date]])/3,0)</f>
        <v>Q4</v>
      </c>
    </row>
    <row r="234" spans="1:30" x14ac:dyDescent="0.35">
      <c r="A234" t="s">
        <v>670</v>
      </c>
      <c r="B234" s="3">
        <v>45992</v>
      </c>
      <c r="C234" t="s">
        <v>671</v>
      </c>
      <c r="D234" t="s">
        <v>122</v>
      </c>
      <c r="E234" t="str">
        <f>TRIM(excelsalesdata[[#This Row],[Customer_Name]])</f>
        <v>Vikram Rao</v>
      </c>
      <c r="F234" t="s">
        <v>23</v>
      </c>
      <c r="G234">
        <v>42</v>
      </c>
      <c r="H234" t="s">
        <v>60</v>
      </c>
      <c r="I234" t="str">
        <f>TRIM(excelsalesdata[[#This Row],[City]])</f>
        <v>Chandigarh</v>
      </c>
      <c r="J234" t="s">
        <v>60</v>
      </c>
      <c r="K234" t="s">
        <v>61</v>
      </c>
      <c r="L234" t="s">
        <v>103</v>
      </c>
      <c r="M234" t="s">
        <v>104</v>
      </c>
      <c r="N234" t="s">
        <v>104</v>
      </c>
      <c r="O234">
        <v>2</v>
      </c>
      <c r="P234">
        <v>8800</v>
      </c>
      <c r="Q234">
        <v>0</v>
      </c>
      <c r="R234">
        <v>5650</v>
      </c>
      <c r="S234" t="s">
        <v>105</v>
      </c>
      <c r="T234" t="s">
        <v>30</v>
      </c>
      <c r="U234">
        <v>2</v>
      </c>
      <c r="V234" t="s">
        <v>40</v>
      </c>
      <c r="W234">
        <f>excelsalesdata[[#This Row],[Quantity]]*excelsalesdata[[#This Row],[Unit_Price]]</f>
        <v>17600</v>
      </c>
      <c r="X234">
        <f>excelsalesdata[[#This Row],[Gross_sales]]*excelsalesdata[[#This Row],[Discount_%]]</f>
        <v>0</v>
      </c>
      <c r="Y234">
        <f>excelsalesdata[[#This Row],[Gross_sales]]-excelsalesdata[[#This Row],[Discount_amt]]</f>
        <v>17600</v>
      </c>
      <c r="Z234" s="4">
        <f>excelsalesdata[[#This Row],[Net_sales]]-excelsalesdata[[#This Row],[Cost]]</f>
        <v>11950</v>
      </c>
      <c r="AA234" s="5">
        <f>excelsalesdata[[#This Row],[Profit]]/excelsalesdata[[#This Row],[Net_sales]]</f>
        <v>0.67897727272727271</v>
      </c>
      <c r="AB234" s="4">
        <f>YEAR(excelsalesdata[[#This Row],[Order_Date]])</f>
        <v>2025</v>
      </c>
      <c r="AC234" s="4" t="str">
        <f>TEXT(excelsalesdata[[#This Row],[Order_Date]],"mmm")</f>
        <v>Dec</v>
      </c>
      <c r="AD234" s="4" t="str">
        <f>"Q"&amp;ROUNDUP(MONTH(excelsalesdata[[#This Row],[Order_Date]])/3,0)</f>
        <v>Q4</v>
      </c>
    </row>
    <row r="235" spans="1:30" x14ac:dyDescent="0.35">
      <c r="A235" t="s">
        <v>673</v>
      </c>
      <c r="B235" s="3">
        <v>45993</v>
      </c>
      <c r="C235" t="s">
        <v>674</v>
      </c>
      <c r="D235" t="s">
        <v>677</v>
      </c>
      <c r="E235" t="str">
        <f>TRIM(excelsalesdata[[#This Row],[Customer_Name]])</f>
        <v>Vivaan Shah</v>
      </c>
      <c r="F235" t="s">
        <v>44</v>
      </c>
      <c r="G235">
        <v>40</v>
      </c>
      <c r="H235" t="s">
        <v>78</v>
      </c>
      <c r="I235" t="str">
        <f>TRIM(excelsalesdata[[#This Row],[City]])</f>
        <v>Guwahati</v>
      </c>
      <c r="J235" t="s">
        <v>79</v>
      </c>
      <c r="K235" t="s">
        <v>37</v>
      </c>
      <c r="L235" t="s">
        <v>93</v>
      </c>
      <c r="M235" t="s">
        <v>206</v>
      </c>
      <c r="N235" t="s">
        <v>206</v>
      </c>
      <c r="O235">
        <v>1</v>
      </c>
      <c r="P235">
        <v>630</v>
      </c>
      <c r="Q235">
        <v>0.05</v>
      </c>
      <c r="R235">
        <v>290</v>
      </c>
      <c r="S235" t="s">
        <v>80</v>
      </c>
      <c r="T235" t="s">
        <v>30</v>
      </c>
      <c r="U235">
        <v>4</v>
      </c>
      <c r="V235" t="s">
        <v>31</v>
      </c>
      <c r="W235">
        <f>excelsalesdata[[#This Row],[Quantity]]*excelsalesdata[[#This Row],[Unit_Price]]</f>
        <v>630</v>
      </c>
      <c r="X235">
        <f>excelsalesdata[[#This Row],[Gross_sales]]*excelsalesdata[[#This Row],[Discount_%]]</f>
        <v>31.5</v>
      </c>
      <c r="Y235">
        <f>excelsalesdata[[#This Row],[Gross_sales]]-excelsalesdata[[#This Row],[Discount_amt]]</f>
        <v>598.5</v>
      </c>
      <c r="Z235" s="4">
        <f>excelsalesdata[[#This Row],[Net_sales]]-excelsalesdata[[#This Row],[Cost]]</f>
        <v>308.5</v>
      </c>
      <c r="AA235" s="5">
        <f>excelsalesdata[[#This Row],[Profit]]/excelsalesdata[[#This Row],[Net_sales]]</f>
        <v>0.51545530492898917</v>
      </c>
      <c r="AB235" s="4">
        <f>YEAR(excelsalesdata[[#This Row],[Order_Date]])</f>
        <v>2025</v>
      </c>
      <c r="AC235" s="4" t="str">
        <f>TEXT(excelsalesdata[[#This Row],[Order_Date]],"mmm")</f>
        <v>Dec</v>
      </c>
      <c r="AD235" s="4" t="str">
        <f>"Q"&amp;ROUNDUP(MONTH(excelsalesdata[[#This Row],[Order_Date]])/3,0)</f>
        <v>Q4</v>
      </c>
    </row>
    <row r="236" spans="1:30" x14ac:dyDescent="0.35">
      <c r="A236" t="s">
        <v>675</v>
      </c>
      <c r="B236" s="3">
        <v>45994</v>
      </c>
      <c r="C236" t="s">
        <v>676</v>
      </c>
      <c r="D236" t="s">
        <v>65</v>
      </c>
      <c r="E236" t="str">
        <f>TRIM(excelsalesdata[[#This Row],[Customer_Name]])</f>
        <v>Aarav Nair</v>
      </c>
      <c r="F236" t="s">
        <v>23</v>
      </c>
      <c r="G236">
        <v>27</v>
      </c>
      <c r="H236" t="s">
        <v>109</v>
      </c>
      <c r="I236" t="str">
        <f>TRIM(excelsalesdata[[#This Row],[City]])</f>
        <v>Mysuru</v>
      </c>
      <c r="J236" t="s">
        <v>53</v>
      </c>
      <c r="K236" t="s">
        <v>47</v>
      </c>
      <c r="L236" t="s">
        <v>103</v>
      </c>
      <c r="M236" t="s">
        <v>178</v>
      </c>
      <c r="N236" t="s">
        <v>178</v>
      </c>
      <c r="O236">
        <v>2</v>
      </c>
      <c r="P236">
        <v>1740</v>
      </c>
      <c r="Q236">
        <v>0.15</v>
      </c>
      <c r="R236">
        <v>940</v>
      </c>
      <c r="S236" t="s">
        <v>80</v>
      </c>
      <c r="T236" t="s">
        <v>30</v>
      </c>
      <c r="U236">
        <v>8</v>
      </c>
      <c r="V236" t="s">
        <v>40</v>
      </c>
      <c r="W236">
        <f>excelsalesdata[[#This Row],[Quantity]]*excelsalesdata[[#This Row],[Unit_Price]]</f>
        <v>3480</v>
      </c>
      <c r="X236">
        <f>excelsalesdata[[#This Row],[Gross_sales]]*excelsalesdata[[#This Row],[Discount_%]]</f>
        <v>522</v>
      </c>
      <c r="Y236">
        <f>excelsalesdata[[#This Row],[Gross_sales]]-excelsalesdata[[#This Row],[Discount_amt]]</f>
        <v>2958</v>
      </c>
      <c r="Z236" s="4">
        <f>excelsalesdata[[#This Row],[Net_sales]]-excelsalesdata[[#This Row],[Cost]]</f>
        <v>2018</v>
      </c>
      <c r="AA236" s="5">
        <f>excelsalesdata[[#This Row],[Profit]]/excelsalesdata[[#This Row],[Net_sales]]</f>
        <v>0.6822177146720757</v>
      </c>
      <c r="AB236" s="4">
        <f>YEAR(excelsalesdata[[#This Row],[Order_Date]])</f>
        <v>2025</v>
      </c>
      <c r="AC236" s="4" t="str">
        <f>TEXT(excelsalesdata[[#This Row],[Order_Date]],"mmm")</f>
        <v>Dec</v>
      </c>
      <c r="AD236" s="4" t="str">
        <f>"Q"&amp;ROUNDUP(MONTH(excelsalesdata[[#This Row],[Order_Date]])/3,0)</f>
        <v>Q4</v>
      </c>
    </row>
    <row r="237" spans="1:30" x14ac:dyDescent="0.35">
      <c r="A237" t="s">
        <v>678</v>
      </c>
      <c r="B237" s="3">
        <v>45995</v>
      </c>
      <c r="C237" t="s">
        <v>131</v>
      </c>
      <c r="D237" t="s">
        <v>403</v>
      </c>
      <c r="E237" t="str">
        <f>TRIM(excelsalesdata[[#This Row],[Customer_Name]])</f>
        <v>Diya Iyer</v>
      </c>
      <c r="F237" t="s">
        <v>44</v>
      </c>
      <c r="G237">
        <v>60</v>
      </c>
      <c r="H237" t="s">
        <v>133</v>
      </c>
      <c r="I237" t="str">
        <f>TRIM(excelsalesdata[[#This Row],[City]])</f>
        <v>Jaipur</v>
      </c>
      <c r="J237" t="s">
        <v>134</v>
      </c>
      <c r="K237" t="s">
        <v>61</v>
      </c>
      <c r="L237" t="s">
        <v>38</v>
      </c>
      <c r="M237" t="s">
        <v>161</v>
      </c>
      <c r="N237" t="s">
        <v>161</v>
      </c>
      <c r="O237">
        <v>1</v>
      </c>
      <c r="P237">
        <v>29770</v>
      </c>
      <c r="Q237">
        <v>0.15</v>
      </c>
      <c r="R237">
        <v>21090</v>
      </c>
      <c r="S237" t="s">
        <v>80</v>
      </c>
      <c r="T237" t="s">
        <v>30</v>
      </c>
      <c r="U237">
        <v>2</v>
      </c>
      <c r="V237" t="s">
        <v>31</v>
      </c>
      <c r="W237">
        <f>excelsalesdata[[#This Row],[Quantity]]*excelsalesdata[[#This Row],[Unit_Price]]</f>
        <v>29770</v>
      </c>
      <c r="X237">
        <f>excelsalesdata[[#This Row],[Gross_sales]]*excelsalesdata[[#This Row],[Discount_%]]</f>
        <v>4465.5</v>
      </c>
      <c r="Y237">
        <f>excelsalesdata[[#This Row],[Gross_sales]]-excelsalesdata[[#This Row],[Discount_amt]]</f>
        <v>25304.5</v>
      </c>
      <c r="Z237" s="4">
        <f>excelsalesdata[[#This Row],[Net_sales]]-excelsalesdata[[#This Row],[Cost]]</f>
        <v>4214.5</v>
      </c>
      <c r="AA237" s="5">
        <f>excelsalesdata[[#This Row],[Profit]]/excelsalesdata[[#This Row],[Net_sales]]</f>
        <v>0.166551403900492</v>
      </c>
      <c r="AB237" s="4">
        <f>YEAR(excelsalesdata[[#This Row],[Order_Date]])</f>
        <v>2025</v>
      </c>
      <c r="AC237" s="4" t="str">
        <f>TEXT(excelsalesdata[[#This Row],[Order_Date]],"mmm")</f>
        <v>Dec</v>
      </c>
      <c r="AD237" s="4" t="str">
        <f>"Q"&amp;ROUNDUP(MONTH(excelsalesdata[[#This Row],[Order_Date]])/3,0)</f>
        <v>Q4</v>
      </c>
    </row>
    <row r="238" spans="1:30" x14ac:dyDescent="0.35">
      <c r="A238" t="s">
        <v>679</v>
      </c>
      <c r="B238" s="3">
        <v>45996</v>
      </c>
      <c r="C238" t="s">
        <v>680</v>
      </c>
      <c r="D238" t="s">
        <v>164</v>
      </c>
      <c r="E238" t="str">
        <f>TRIM(excelsalesdata[[#This Row],[Customer_Name]])</f>
        <v>Priya Naidu</v>
      </c>
      <c r="F238" t="s">
        <v>44</v>
      </c>
      <c r="G238">
        <v>60</v>
      </c>
      <c r="H238" t="s">
        <v>45</v>
      </c>
      <c r="I238" t="str">
        <f>TRIM(excelsalesdata[[#This Row],[City]])</f>
        <v>Kochi</v>
      </c>
      <c r="J238" t="s">
        <v>46</v>
      </c>
      <c r="K238" t="s">
        <v>47</v>
      </c>
      <c r="L238" t="s">
        <v>103</v>
      </c>
      <c r="M238" t="s">
        <v>312</v>
      </c>
      <c r="N238" t="s">
        <v>312</v>
      </c>
      <c r="O238">
        <v>3</v>
      </c>
      <c r="P238">
        <v>6280</v>
      </c>
      <c r="Q238">
        <v>0.1</v>
      </c>
      <c r="R238">
        <v>4000</v>
      </c>
      <c r="S238" t="s">
        <v>80</v>
      </c>
      <c r="T238" t="s">
        <v>30</v>
      </c>
      <c r="U238">
        <v>1</v>
      </c>
      <c r="V238" t="s">
        <v>40</v>
      </c>
      <c r="W238">
        <f>excelsalesdata[[#This Row],[Quantity]]*excelsalesdata[[#This Row],[Unit_Price]]</f>
        <v>18840</v>
      </c>
      <c r="X238">
        <f>excelsalesdata[[#This Row],[Gross_sales]]*excelsalesdata[[#This Row],[Discount_%]]</f>
        <v>1884</v>
      </c>
      <c r="Y238">
        <f>excelsalesdata[[#This Row],[Gross_sales]]-excelsalesdata[[#This Row],[Discount_amt]]</f>
        <v>16956</v>
      </c>
      <c r="Z238" s="4">
        <f>excelsalesdata[[#This Row],[Net_sales]]-excelsalesdata[[#This Row],[Cost]]</f>
        <v>12956</v>
      </c>
      <c r="AA238" s="5">
        <f>excelsalesdata[[#This Row],[Profit]]/excelsalesdata[[#This Row],[Net_sales]]</f>
        <v>0.76409530549657934</v>
      </c>
      <c r="AB238" s="4">
        <f>YEAR(excelsalesdata[[#This Row],[Order_Date]])</f>
        <v>2025</v>
      </c>
      <c r="AC238" s="4" t="str">
        <f>TEXT(excelsalesdata[[#This Row],[Order_Date]],"mmm")</f>
        <v>Dec</v>
      </c>
      <c r="AD238" s="4" t="str">
        <f>"Q"&amp;ROUNDUP(MONTH(excelsalesdata[[#This Row],[Order_Date]])/3,0)</f>
        <v>Q4</v>
      </c>
    </row>
    <row r="239" spans="1:30" x14ac:dyDescent="0.35">
      <c r="A239" t="s">
        <v>681</v>
      </c>
      <c r="B239" s="3">
        <v>45997</v>
      </c>
      <c r="C239" t="s">
        <v>682</v>
      </c>
      <c r="D239" t="s">
        <v>685</v>
      </c>
      <c r="E239" t="str">
        <f>TRIM(excelsalesdata[[#This Row],[Customer_Name]])</f>
        <v>Arjun Reddy</v>
      </c>
      <c r="F239" t="s">
        <v>44</v>
      </c>
      <c r="G239">
        <v>20</v>
      </c>
      <c r="H239" t="s">
        <v>71</v>
      </c>
      <c r="I239" t="str">
        <f>TRIM(excelsalesdata[[#This Row],[City]])</f>
        <v>Bhubaneswar</v>
      </c>
      <c r="J239" t="s">
        <v>72</v>
      </c>
      <c r="K239" t="s">
        <v>37</v>
      </c>
      <c r="L239" t="s">
        <v>54</v>
      </c>
      <c r="M239" t="s">
        <v>129</v>
      </c>
      <c r="N239" t="s">
        <v>129</v>
      </c>
      <c r="O239">
        <v>1</v>
      </c>
      <c r="P239">
        <v>17020</v>
      </c>
      <c r="Q239">
        <v>0.05</v>
      </c>
      <c r="R239">
        <v>11960</v>
      </c>
      <c r="S239" t="s">
        <v>29</v>
      </c>
      <c r="T239" t="s">
        <v>30</v>
      </c>
      <c r="U239">
        <v>6</v>
      </c>
      <c r="V239" t="s">
        <v>31</v>
      </c>
      <c r="W239">
        <f>excelsalesdata[[#This Row],[Quantity]]*excelsalesdata[[#This Row],[Unit_Price]]</f>
        <v>17020</v>
      </c>
      <c r="X239">
        <f>excelsalesdata[[#This Row],[Gross_sales]]*excelsalesdata[[#This Row],[Discount_%]]</f>
        <v>851</v>
      </c>
      <c r="Y239">
        <f>excelsalesdata[[#This Row],[Gross_sales]]-excelsalesdata[[#This Row],[Discount_amt]]</f>
        <v>16169</v>
      </c>
      <c r="Z239" s="4">
        <f>excelsalesdata[[#This Row],[Net_sales]]-excelsalesdata[[#This Row],[Cost]]</f>
        <v>4209</v>
      </c>
      <c r="AA239" s="5">
        <f>excelsalesdata[[#This Row],[Profit]]/excelsalesdata[[#This Row],[Net_sales]]</f>
        <v>0.26031294452347081</v>
      </c>
      <c r="AB239" s="4">
        <f>YEAR(excelsalesdata[[#This Row],[Order_Date]])</f>
        <v>2025</v>
      </c>
      <c r="AC239" s="4" t="str">
        <f>TEXT(excelsalesdata[[#This Row],[Order_Date]],"mmm")</f>
        <v>Dec</v>
      </c>
      <c r="AD239" s="4" t="str">
        <f>"Q"&amp;ROUNDUP(MONTH(excelsalesdata[[#This Row],[Order_Date]])/3,0)</f>
        <v>Q4</v>
      </c>
    </row>
    <row r="240" spans="1:30" x14ac:dyDescent="0.35">
      <c r="A240" t="s">
        <v>683</v>
      </c>
      <c r="B240" s="3">
        <v>45998</v>
      </c>
      <c r="C240" t="s">
        <v>684</v>
      </c>
      <c r="D240" t="s">
        <v>488</v>
      </c>
      <c r="E240" t="str">
        <f>TRIM(excelsalesdata[[#This Row],[Customer_Name]])</f>
        <v>Nisha Singh</v>
      </c>
      <c r="F240" t="s">
        <v>44</v>
      </c>
      <c r="G240">
        <v>22</v>
      </c>
      <c r="H240" t="s">
        <v>52</v>
      </c>
      <c r="I240" t="str">
        <f>TRIM(excelsalesdata[[#This Row],[City]])</f>
        <v>Bengaluru</v>
      </c>
      <c r="J240" t="s">
        <v>53</v>
      </c>
      <c r="K240" t="s">
        <v>47</v>
      </c>
      <c r="L240" t="s">
        <v>38</v>
      </c>
      <c r="M240" t="s">
        <v>161</v>
      </c>
      <c r="N240" t="s">
        <v>161</v>
      </c>
      <c r="O240">
        <v>2</v>
      </c>
      <c r="P240">
        <v>28240</v>
      </c>
      <c r="Q240">
        <v>0.05</v>
      </c>
      <c r="R240">
        <v>21000</v>
      </c>
      <c r="S240" t="s">
        <v>29</v>
      </c>
      <c r="T240" t="s">
        <v>74</v>
      </c>
      <c r="U240">
        <v>5</v>
      </c>
      <c r="V240" t="s">
        <v>31</v>
      </c>
      <c r="W240">
        <f>excelsalesdata[[#This Row],[Quantity]]*excelsalesdata[[#This Row],[Unit_Price]]</f>
        <v>56480</v>
      </c>
      <c r="X240">
        <f>excelsalesdata[[#This Row],[Gross_sales]]*excelsalesdata[[#This Row],[Discount_%]]</f>
        <v>2824</v>
      </c>
      <c r="Y240">
        <f>excelsalesdata[[#This Row],[Gross_sales]]-excelsalesdata[[#This Row],[Discount_amt]]</f>
        <v>53656</v>
      </c>
      <c r="Z240" s="4">
        <f>excelsalesdata[[#This Row],[Net_sales]]-excelsalesdata[[#This Row],[Cost]]</f>
        <v>32656</v>
      </c>
      <c r="AA240" s="5">
        <f>excelsalesdata[[#This Row],[Profit]]/excelsalesdata[[#This Row],[Net_sales]]</f>
        <v>0.60861786193529144</v>
      </c>
      <c r="AB240" s="4">
        <f>YEAR(excelsalesdata[[#This Row],[Order_Date]])</f>
        <v>2025</v>
      </c>
      <c r="AC240" s="4" t="str">
        <f>TEXT(excelsalesdata[[#This Row],[Order_Date]],"mmm")</f>
        <v>Dec</v>
      </c>
      <c r="AD240" s="4" t="str">
        <f>"Q"&amp;ROUNDUP(MONTH(excelsalesdata[[#This Row],[Order_Date]])/3,0)</f>
        <v>Q4</v>
      </c>
    </row>
    <row r="241" spans="1:30" x14ac:dyDescent="0.35">
      <c r="A241" t="s">
        <v>686</v>
      </c>
      <c r="B241" s="3">
        <v>45999</v>
      </c>
      <c r="C241" t="s">
        <v>281</v>
      </c>
      <c r="D241" t="s">
        <v>689</v>
      </c>
      <c r="E241" t="str">
        <f>TRIM(excelsalesdata[[#This Row],[Customer_Name]])</f>
        <v>Priya Rao</v>
      </c>
      <c r="F241" t="s">
        <v>44</v>
      </c>
      <c r="G241">
        <v>59</v>
      </c>
      <c r="H241" t="s">
        <v>52</v>
      </c>
      <c r="I241" t="str">
        <f>TRIM(excelsalesdata[[#This Row],[City]])</f>
        <v>Bengaluru</v>
      </c>
      <c r="J241" t="s">
        <v>53</v>
      </c>
      <c r="K241" t="s">
        <v>47</v>
      </c>
      <c r="L241" t="s">
        <v>27</v>
      </c>
      <c r="M241" t="s">
        <v>195</v>
      </c>
      <c r="N241" t="s">
        <v>195</v>
      </c>
      <c r="O241">
        <v>1</v>
      </c>
      <c r="P241">
        <v>2340</v>
      </c>
      <c r="Q241">
        <v>0</v>
      </c>
      <c r="R241">
        <v>1240</v>
      </c>
      <c r="S241" t="s">
        <v>80</v>
      </c>
      <c r="T241" t="s">
        <v>30</v>
      </c>
      <c r="U241">
        <v>5</v>
      </c>
      <c r="V241" t="s">
        <v>40</v>
      </c>
      <c r="W241">
        <f>excelsalesdata[[#This Row],[Quantity]]*excelsalesdata[[#This Row],[Unit_Price]]</f>
        <v>2340</v>
      </c>
      <c r="X241">
        <f>excelsalesdata[[#This Row],[Gross_sales]]*excelsalesdata[[#This Row],[Discount_%]]</f>
        <v>0</v>
      </c>
      <c r="Y241">
        <f>excelsalesdata[[#This Row],[Gross_sales]]-excelsalesdata[[#This Row],[Discount_amt]]</f>
        <v>2340</v>
      </c>
      <c r="Z241" s="4">
        <f>excelsalesdata[[#This Row],[Net_sales]]-excelsalesdata[[#This Row],[Cost]]</f>
        <v>1100</v>
      </c>
      <c r="AA241" s="5">
        <f>excelsalesdata[[#This Row],[Profit]]/excelsalesdata[[#This Row],[Net_sales]]</f>
        <v>0.47008547008547008</v>
      </c>
      <c r="AB241" s="4">
        <f>YEAR(excelsalesdata[[#This Row],[Order_Date]])</f>
        <v>2025</v>
      </c>
      <c r="AC241" s="4" t="str">
        <f>TEXT(excelsalesdata[[#This Row],[Order_Date]],"mmm")</f>
        <v>Dec</v>
      </c>
      <c r="AD241" s="4" t="str">
        <f>"Q"&amp;ROUNDUP(MONTH(excelsalesdata[[#This Row],[Order_Date]])/3,0)</f>
        <v>Q4</v>
      </c>
    </row>
    <row r="242" spans="1:30" x14ac:dyDescent="0.35">
      <c r="A242" t="s">
        <v>687</v>
      </c>
      <c r="B242" s="3">
        <v>46000</v>
      </c>
      <c r="C242" t="s">
        <v>688</v>
      </c>
      <c r="D242" t="s">
        <v>691</v>
      </c>
      <c r="E242" t="str">
        <f>TRIM(excelsalesdata[[#This Row],[Customer_Name]])</f>
        <v>Vivaan Singh</v>
      </c>
      <c r="F242" t="s">
        <v>44</v>
      </c>
      <c r="G242">
        <v>47</v>
      </c>
      <c r="H242" t="s">
        <v>133</v>
      </c>
      <c r="I242" t="str">
        <f>TRIM(excelsalesdata[[#This Row],[City]])</f>
        <v>Jaipur</v>
      </c>
      <c r="J242" t="s">
        <v>134</v>
      </c>
      <c r="K242" t="s">
        <v>61</v>
      </c>
      <c r="L242" t="s">
        <v>54</v>
      </c>
      <c r="M242" t="s">
        <v>129</v>
      </c>
      <c r="N242" t="s">
        <v>129</v>
      </c>
      <c r="O242">
        <v>1</v>
      </c>
      <c r="P242">
        <v>18500</v>
      </c>
      <c r="Q242">
        <v>0.05</v>
      </c>
      <c r="R242">
        <v>12740</v>
      </c>
      <c r="S242" t="s">
        <v>29</v>
      </c>
      <c r="T242" t="s">
        <v>30</v>
      </c>
      <c r="U242">
        <v>2</v>
      </c>
      <c r="V242" t="s">
        <v>31</v>
      </c>
      <c r="W242">
        <f>excelsalesdata[[#This Row],[Quantity]]*excelsalesdata[[#This Row],[Unit_Price]]</f>
        <v>18500</v>
      </c>
      <c r="X242">
        <f>excelsalesdata[[#This Row],[Gross_sales]]*excelsalesdata[[#This Row],[Discount_%]]</f>
        <v>925</v>
      </c>
      <c r="Y242">
        <f>excelsalesdata[[#This Row],[Gross_sales]]-excelsalesdata[[#This Row],[Discount_amt]]</f>
        <v>17575</v>
      </c>
      <c r="Z242" s="4">
        <f>excelsalesdata[[#This Row],[Net_sales]]-excelsalesdata[[#This Row],[Cost]]</f>
        <v>4835</v>
      </c>
      <c r="AA242" s="5">
        <f>excelsalesdata[[#This Row],[Profit]]/excelsalesdata[[#This Row],[Net_sales]]</f>
        <v>0.27510668563300145</v>
      </c>
      <c r="AB242" s="4">
        <f>YEAR(excelsalesdata[[#This Row],[Order_Date]])</f>
        <v>2025</v>
      </c>
      <c r="AC242" s="4" t="str">
        <f>TEXT(excelsalesdata[[#This Row],[Order_Date]],"mmm")</f>
        <v>Dec</v>
      </c>
      <c r="AD242" s="4" t="str">
        <f>"Q"&amp;ROUNDUP(MONTH(excelsalesdata[[#This Row],[Order_Date]])/3,0)</f>
        <v>Q4</v>
      </c>
    </row>
    <row r="243" spans="1:30" x14ac:dyDescent="0.35">
      <c r="A243" t="s">
        <v>690</v>
      </c>
      <c r="B243" s="3">
        <v>46001</v>
      </c>
      <c r="C243" t="s">
        <v>402</v>
      </c>
      <c r="D243" t="s">
        <v>693</v>
      </c>
      <c r="E243" t="str">
        <f>TRIM(excelsalesdata[[#This Row],[Customer_Name]])</f>
        <v>Ishita Shah</v>
      </c>
      <c r="F243" t="s">
        <v>23</v>
      </c>
      <c r="G243">
        <v>35</v>
      </c>
      <c r="H243" t="s">
        <v>71</v>
      </c>
      <c r="I243" t="str">
        <f>TRIM(excelsalesdata[[#This Row],[City]])</f>
        <v>Bhubaneswar</v>
      </c>
      <c r="J243" t="s">
        <v>72</v>
      </c>
      <c r="K243" t="s">
        <v>37</v>
      </c>
      <c r="L243" t="s">
        <v>54</v>
      </c>
      <c r="M243" t="s">
        <v>129</v>
      </c>
      <c r="N243" t="s">
        <v>129</v>
      </c>
      <c r="O243">
        <v>1</v>
      </c>
      <c r="P243">
        <v>17750</v>
      </c>
      <c r="Q243">
        <v>0.15</v>
      </c>
      <c r="R243">
        <v>12980</v>
      </c>
      <c r="S243" t="s">
        <v>29</v>
      </c>
      <c r="T243" t="s">
        <v>30</v>
      </c>
      <c r="U243">
        <v>4</v>
      </c>
      <c r="V243" t="s">
        <v>40</v>
      </c>
      <c r="W243">
        <f>excelsalesdata[[#This Row],[Quantity]]*excelsalesdata[[#This Row],[Unit_Price]]</f>
        <v>17750</v>
      </c>
      <c r="X243">
        <f>excelsalesdata[[#This Row],[Gross_sales]]*excelsalesdata[[#This Row],[Discount_%]]</f>
        <v>2662.5</v>
      </c>
      <c r="Y243">
        <f>excelsalesdata[[#This Row],[Gross_sales]]-excelsalesdata[[#This Row],[Discount_amt]]</f>
        <v>15087.5</v>
      </c>
      <c r="Z243" s="4">
        <f>excelsalesdata[[#This Row],[Net_sales]]-excelsalesdata[[#This Row],[Cost]]</f>
        <v>2107.5</v>
      </c>
      <c r="AA243" s="5">
        <f>excelsalesdata[[#This Row],[Profit]]/excelsalesdata[[#This Row],[Net_sales]]</f>
        <v>0.13968516984258492</v>
      </c>
      <c r="AB243" s="4">
        <f>YEAR(excelsalesdata[[#This Row],[Order_Date]])</f>
        <v>2025</v>
      </c>
      <c r="AC243" s="4" t="str">
        <f>TEXT(excelsalesdata[[#This Row],[Order_Date]],"mmm")</f>
        <v>Dec</v>
      </c>
      <c r="AD243" s="4" t="str">
        <f>"Q"&amp;ROUNDUP(MONTH(excelsalesdata[[#This Row],[Order_Date]])/3,0)</f>
        <v>Q4</v>
      </c>
    </row>
    <row r="244" spans="1:30" x14ac:dyDescent="0.35">
      <c r="A244" t="s">
        <v>692</v>
      </c>
      <c r="B244" s="3">
        <v>46002</v>
      </c>
      <c r="C244" t="s">
        <v>501</v>
      </c>
      <c r="D244" t="s">
        <v>279</v>
      </c>
      <c r="E244" t="str">
        <f>TRIM(excelsalesdata[[#This Row],[Customer_Name]])</f>
        <v>Vivaan Patel</v>
      </c>
      <c r="F244" t="s">
        <v>44</v>
      </c>
      <c r="G244">
        <v>36</v>
      </c>
      <c r="H244" t="s">
        <v>98</v>
      </c>
      <c r="I244" t="str">
        <f>TRIM(excelsalesdata[[#This Row],[City]])</f>
        <v>Mumbai</v>
      </c>
      <c r="J244" t="s">
        <v>25</v>
      </c>
      <c r="K244" t="s">
        <v>26</v>
      </c>
      <c r="L244" t="s">
        <v>54</v>
      </c>
      <c r="M244" t="s">
        <v>55</v>
      </c>
      <c r="N244" t="s">
        <v>55</v>
      </c>
      <c r="O244">
        <v>2</v>
      </c>
      <c r="P244">
        <v>7540</v>
      </c>
      <c r="Q244">
        <v>0.1</v>
      </c>
      <c r="R244">
        <v>4610</v>
      </c>
      <c r="S244" t="s">
        <v>67</v>
      </c>
      <c r="T244" t="s">
        <v>30</v>
      </c>
      <c r="U244">
        <v>3</v>
      </c>
      <c r="V244" t="s">
        <v>40</v>
      </c>
      <c r="W244">
        <f>excelsalesdata[[#This Row],[Quantity]]*excelsalesdata[[#This Row],[Unit_Price]]</f>
        <v>15080</v>
      </c>
      <c r="X244">
        <f>excelsalesdata[[#This Row],[Gross_sales]]*excelsalesdata[[#This Row],[Discount_%]]</f>
        <v>1508</v>
      </c>
      <c r="Y244">
        <f>excelsalesdata[[#This Row],[Gross_sales]]-excelsalesdata[[#This Row],[Discount_amt]]</f>
        <v>13572</v>
      </c>
      <c r="Z244" s="4">
        <f>excelsalesdata[[#This Row],[Net_sales]]-excelsalesdata[[#This Row],[Cost]]</f>
        <v>8962</v>
      </c>
      <c r="AA244" s="5">
        <f>excelsalesdata[[#This Row],[Profit]]/excelsalesdata[[#This Row],[Net_sales]]</f>
        <v>0.6603300913645741</v>
      </c>
      <c r="AB244" s="4">
        <f>YEAR(excelsalesdata[[#This Row],[Order_Date]])</f>
        <v>2025</v>
      </c>
      <c r="AC244" s="4" t="str">
        <f>TEXT(excelsalesdata[[#This Row],[Order_Date]],"mmm")</f>
        <v>Dec</v>
      </c>
      <c r="AD244" s="4" t="str">
        <f>"Q"&amp;ROUNDUP(MONTH(excelsalesdata[[#This Row],[Order_Date]])/3,0)</f>
        <v>Q4</v>
      </c>
    </row>
    <row r="245" spans="1:30" x14ac:dyDescent="0.35">
      <c r="A245" t="s">
        <v>694</v>
      </c>
      <c r="B245" s="3">
        <v>46003</v>
      </c>
      <c r="C245" t="s">
        <v>614</v>
      </c>
      <c r="D245" t="s">
        <v>244</v>
      </c>
      <c r="E245" t="str">
        <f>TRIM(excelsalesdata[[#This Row],[Customer_Name]])</f>
        <v>Karan Das</v>
      </c>
      <c r="F245" t="s">
        <v>44</v>
      </c>
      <c r="G245">
        <v>18</v>
      </c>
      <c r="H245" t="s">
        <v>109</v>
      </c>
      <c r="I245" t="str">
        <f>TRIM(excelsalesdata[[#This Row],[City]])</f>
        <v>Mysuru</v>
      </c>
      <c r="J245" t="s">
        <v>53</v>
      </c>
      <c r="K245" t="s">
        <v>47</v>
      </c>
      <c r="L245" t="s">
        <v>54</v>
      </c>
      <c r="M245" t="s">
        <v>62</v>
      </c>
      <c r="N245" t="s">
        <v>62</v>
      </c>
      <c r="O245">
        <v>2</v>
      </c>
      <c r="P245">
        <v>21980</v>
      </c>
      <c r="Q245">
        <v>0.25</v>
      </c>
      <c r="R245">
        <v>15410</v>
      </c>
      <c r="S245" t="s">
        <v>56</v>
      </c>
      <c r="T245" t="s">
        <v>30</v>
      </c>
      <c r="U245">
        <v>2</v>
      </c>
      <c r="V245" t="s">
        <v>31</v>
      </c>
      <c r="W245">
        <f>excelsalesdata[[#This Row],[Quantity]]*excelsalesdata[[#This Row],[Unit_Price]]</f>
        <v>43960</v>
      </c>
      <c r="X245">
        <f>excelsalesdata[[#This Row],[Gross_sales]]*excelsalesdata[[#This Row],[Discount_%]]</f>
        <v>10990</v>
      </c>
      <c r="Y245">
        <f>excelsalesdata[[#This Row],[Gross_sales]]-excelsalesdata[[#This Row],[Discount_amt]]</f>
        <v>32970</v>
      </c>
      <c r="Z245" s="4">
        <f>excelsalesdata[[#This Row],[Net_sales]]-excelsalesdata[[#This Row],[Cost]]</f>
        <v>17560</v>
      </c>
      <c r="AA245" s="5">
        <f>excelsalesdata[[#This Row],[Profit]]/excelsalesdata[[#This Row],[Net_sales]]</f>
        <v>0.53260539884743707</v>
      </c>
      <c r="AB245" s="4">
        <f>YEAR(excelsalesdata[[#This Row],[Order_Date]])</f>
        <v>2025</v>
      </c>
      <c r="AC245" s="4" t="str">
        <f>TEXT(excelsalesdata[[#This Row],[Order_Date]],"mmm")</f>
        <v>Dec</v>
      </c>
      <c r="AD245" s="4" t="str">
        <f>"Q"&amp;ROUNDUP(MONTH(excelsalesdata[[#This Row],[Order_Date]])/3,0)</f>
        <v>Q4</v>
      </c>
    </row>
    <row r="246" spans="1:30" x14ac:dyDescent="0.35">
      <c r="A246" t="s">
        <v>695</v>
      </c>
      <c r="B246" s="3">
        <v>46004</v>
      </c>
      <c r="C246" t="s">
        <v>696</v>
      </c>
      <c r="D246" t="s">
        <v>108</v>
      </c>
      <c r="E246" t="str">
        <f>TRIM(excelsalesdata[[#This Row],[Customer_Name]])</f>
        <v>Vikram Sharma</v>
      </c>
      <c r="F246" t="s">
        <v>44</v>
      </c>
      <c r="G246">
        <v>18</v>
      </c>
      <c r="H246" t="s">
        <v>52</v>
      </c>
      <c r="I246" t="str">
        <f>TRIM(excelsalesdata[[#This Row],[City]])</f>
        <v>Bengaluru</v>
      </c>
      <c r="J246" t="s">
        <v>53</v>
      </c>
      <c r="K246" t="s">
        <v>47</v>
      </c>
      <c r="L246" t="s">
        <v>27</v>
      </c>
      <c r="M246" t="s">
        <v>28</v>
      </c>
      <c r="N246" t="s">
        <v>28</v>
      </c>
      <c r="O246">
        <v>1</v>
      </c>
      <c r="P246">
        <v>3490</v>
      </c>
      <c r="Q246">
        <v>0.1</v>
      </c>
      <c r="R246">
        <v>2130</v>
      </c>
      <c r="S246" t="s">
        <v>105</v>
      </c>
      <c r="T246" t="s">
        <v>30</v>
      </c>
      <c r="U246">
        <v>1</v>
      </c>
      <c r="V246" t="s">
        <v>31</v>
      </c>
      <c r="W246">
        <f>excelsalesdata[[#This Row],[Quantity]]*excelsalesdata[[#This Row],[Unit_Price]]</f>
        <v>3490</v>
      </c>
      <c r="X246">
        <f>excelsalesdata[[#This Row],[Gross_sales]]*excelsalesdata[[#This Row],[Discount_%]]</f>
        <v>349</v>
      </c>
      <c r="Y246">
        <f>excelsalesdata[[#This Row],[Gross_sales]]-excelsalesdata[[#This Row],[Discount_amt]]</f>
        <v>3141</v>
      </c>
      <c r="Z246" s="4">
        <f>excelsalesdata[[#This Row],[Net_sales]]-excelsalesdata[[#This Row],[Cost]]</f>
        <v>1011</v>
      </c>
      <c r="AA246" s="5">
        <f>excelsalesdata[[#This Row],[Profit]]/excelsalesdata[[#This Row],[Net_sales]]</f>
        <v>0.32187201528175741</v>
      </c>
      <c r="AB246" s="4">
        <f>YEAR(excelsalesdata[[#This Row],[Order_Date]])</f>
        <v>2025</v>
      </c>
      <c r="AC246" s="4" t="str">
        <f>TEXT(excelsalesdata[[#This Row],[Order_Date]],"mmm")</f>
        <v>Dec</v>
      </c>
      <c r="AD246" s="4" t="str">
        <f>"Q"&amp;ROUNDUP(MONTH(excelsalesdata[[#This Row],[Order_Date]])/3,0)</f>
        <v>Q4</v>
      </c>
    </row>
    <row r="247" spans="1:30" x14ac:dyDescent="0.35">
      <c r="A247" t="s">
        <v>697</v>
      </c>
      <c r="B247" s="3">
        <v>46005</v>
      </c>
      <c r="C247" t="s">
        <v>698</v>
      </c>
      <c r="D247" t="s">
        <v>291</v>
      </c>
      <c r="E247" t="str">
        <f>TRIM(excelsalesdata[[#This Row],[Customer_Name]])</f>
        <v>Vikram Patel</v>
      </c>
      <c r="F247" t="s">
        <v>44</v>
      </c>
      <c r="G247">
        <v>39</v>
      </c>
      <c r="H247" t="s">
        <v>133</v>
      </c>
      <c r="I247" t="str">
        <f>TRIM(excelsalesdata[[#This Row],[City]])</f>
        <v>Jaipur</v>
      </c>
      <c r="J247" t="s">
        <v>134</v>
      </c>
      <c r="K247" t="s">
        <v>61</v>
      </c>
      <c r="L247" t="s">
        <v>27</v>
      </c>
      <c r="M247" t="s">
        <v>28</v>
      </c>
      <c r="N247" t="s">
        <v>28</v>
      </c>
      <c r="O247">
        <v>1</v>
      </c>
      <c r="P247">
        <v>3520</v>
      </c>
      <c r="Q247">
        <v>0.1</v>
      </c>
      <c r="R247">
        <v>2170</v>
      </c>
      <c r="S247" t="s">
        <v>80</v>
      </c>
      <c r="T247" t="s">
        <v>30</v>
      </c>
      <c r="U247">
        <v>1</v>
      </c>
      <c r="V247" t="s">
        <v>40</v>
      </c>
      <c r="W247">
        <f>excelsalesdata[[#This Row],[Quantity]]*excelsalesdata[[#This Row],[Unit_Price]]</f>
        <v>3520</v>
      </c>
      <c r="X247">
        <f>excelsalesdata[[#This Row],[Gross_sales]]*excelsalesdata[[#This Row],[Discount_%]]</f>
        <v>352</v>
      </c>
      <c r="Y247">
        <f>excelsalesdata[[#This Row],[Gross_sales]]-excelsalesdata[[#This Row],[Discount_amt]]</f>
        <v>3168</v>
      </c>
      <c r="Z247" s="4">
        <f>excelsalesdata[[#This Row],[Net_sales]]-excelsalesdata[[#This Row],[Cost]]</f>
        <v>998</v>
      </c>
      <c r="AA247" s="5">
        <f>excelsalesdata[[#This Row],[Profit]]/excelsalesdata[[#This Row],[Net_sales]]</f>
        <v>0.31502525252525254</v>
      </c>
      <c r="AB247" s="4">
        <f>YEAR(excelsalesdata[[#This Row],[Order_Date]])</f>
        <v>2025</v>
      </c>
      <c r="AC247" s="4" t="str">
        <f>TEXT(excelsalesdata[[#This Row],[Order_Date]],"mmm")</f>
        <v>Dec</v>
      </c>
      <c r="AD247" s="4" t="str">
        <f>"Q"&amp;ROUNDUP(MONTH(excelsalesdata[[#This Row],[Order_Date]])/3,0)</f>
        <v>Q4</v>
      </c>
    </row>
    <row r="248" spans="1:30" x14ac:dyDescent="0.35">
      <c r="A248" t="s">
        <v>699</v>
      </c>
      <c r="B248" s="3">
        <v>46006</v>
      </c>
      <c r="C248" t="s">
        <v>700</v>
      </c>
      <c r="D248" t="s">
        <v>201</v>
      </c>
      <c r="E248" t="str">
        <f>TRIM(excelsalesdata[[#This Row],[Customer_Name]])</f>
        <v>Nisha Verma</v>
      </c>
      <c r="F248" t="s">
        <v>23</v>
      </c>
      <c r="G248">
        <v>19</v>
      </c>
      <c r="H248" t="s">
        <v>190</v>
      </c>
      <c r="I248" t="str">
        <f>TRIM(excelsalesdata[[#This Row],[City]])</f>
        <v>Ahmedabad</v>
      </c>
      <c r="J248" t="s">
        <v>191</v>
      </c>
      <c r="K248" t="s">
        <v>26</v>
      </c>
      <c r="L248" t="s">
        <v>103</v>
      </c>
      <c r="M248" t="s">
        <v>104</v>
      </c>
      <c r="N248" t="s">
        <v>104</v>
      </c>
      <c r="O248">
        <v>1</v>
      </c>
      <c r="P248">
        <v>8830</v>
      </c>
      <c r="Q248">
        <v>0.2</v>
      </c>
      <c r="R248">
        <v>5630</v>
      </c>
      <c r="S248" t="s">
        <v>56</v>
      </c>
      <c r="T248" t="s">
        <v>30</v>
      </c>
      <c r="U248">
        <v>4</v>
      </c>
      <c r="V248" t="s">
        <v>40</v>
      </c>
      <c r="W248">
        <f>excelsalesdata[[#This Row],[Quantity]]*excelsalesdata[[#This Row],[Unit_Price]]</f>
        <v>8830</v>
      </c>
      <c r="X248">
        <f>excelsalesdata[[#This Row],[Gross_sales]]*excelsalesdata[[#This Row],[Discount_%]]</f>
        <v>1766</v>
      </c>
      <c r="Y248">
        <f>excelsalesdata[[#This Row],[Gross_sales]]-excelsalesdata[[#This Row],[Discount_amt]]</f>
        <v>7064</v>
      </c>
      <c r="Z248" s="4">
        <f>excelsalesdata[[#This Row],[Net_sales]]-excelsalesdata[[#This Row],[Cost]]</f>
        <v>1434</v>
      </c>
      <c r="AA248" s="5">
        <f>excelsalesdata[[#This Row],[Profit]]/excelsalesdata[[#This Row],[Net_sales]]</f>
        <v>0.20300113250283125</v>
      </c>
      <c r="AB248" s="4">
        <f>YEAR(excelsalesdata[[#This Row],[Order_Date]])</f>
        <v>2025</v>
      </c>
      <c r="AC248" s="4" t="str">
        <f>TEXT(excelsalesdata[[#This Row],[Order_Date]],"mmm")</f>
        <v>Dec</v>
      </c>
      <c r="AD248" s="4" t="str">
        <f>"Q"&amp;ROUNDUP(MONTH(excelsalesdata[[#This Row],[Order_Date]])/3,0)</f>
        <v>Q4</v>
      </c>
    </row>
    <row r="249" spans="1:30" x14ac:dyDescent="0.35">
      <c r="A249" t="s">
        <v>701</v>
      </c>
      <c r="B249" s="3">
        <v>46007</v>
      </c>
      <c r="C249" t="s">
        <v>702</v>
      </c>
      <c r="D249" t="s">
        <v>65</v>
      </c>
      <c r="E249" t="str">
        <f>TRIM(excelsalesdata[[#This Row],[Customer_Name]])</f>
        <v>Aarav Nair</v>
      </c>
      <c r="F249" t="s">
        <v>23</v>
      </c>
      <c r="G249">
        <v>46</v>
      </c>
      <c r="H249" t="s">
        <v>114</v>
      </c>
      <c r="I249" t="str">
        <f>TRIM(excelsalesdata[[#This Row],[City]])</f>
        <v>Hyderabad</v>
      </c>
      <c r="J249" t="s">
        <v>115</v>
      </c>
      <c r="K249" t="s">
        <v>47</v>
      </c>
      <c r="L249" t="s">
        <v>54</v>
      </c>
      <c r="M249" t="s">
        <v>66</v>
      </c>
      <c r="N249" t="s">
        <v>66</v>
      </c>
      <c r="O249">
        <v>2</v>
      </c>
      <c r="P249">
        <v>2450</v>
      </c>
      <c r="Q249">
        <v>0.1</v>
      </c>
      <c r="R249">
        <v>1430</v>
      </c>
      <c r="S249" t="s">
        <v>80</v>
      </c>
      <c r="T249" t="s">
        <v>81</v>
      </c>
      <c r="U249">
        <v>0</v>
      </c>
      <c r="V249" t="s">
        <v>40</v>
      </c>
      <c r="W249">
        <f>excelsalesdata[[#This Row],[Quantity]]*excelsalesdata[[#This Row],[Unit_Price]]</f>
        <v>4900</v>
      </c>
      <c r="X249">
        <f>excelsalesdata[[#This Row],[Gross_sales]]*excelsalesdata[[#This Row],[Discount_%]]</f>
        <v>490</v>
      </c>
      <c r="Y249">
        <f>excelsalesdata[[#This Row],[Gross_sales]]-excelsalesdata[[#This Row],[Discount_amt]]</f>
        <v>4410</v>
      </c>
      <c r="Z249" s="4">
        <f>excelsalesdata[[#This Row],[Net_sales]]-excelsalesdata[[#This Row],[Cost]]</f>
        <v>2980</v>
      </c>
      <c r="AA249" s="5">
        <f>excelsalesdata[[#This Row],[Profit]]/excelsalesdata[[#This Row],[Net_sales]]</f>
        <v>0.67573696145124718</v>
      </c>
      <c r="AB249" s="4">
        <f>YEAR(excelsalesdata[[#This Row],[Order_Date]])</f>
        <v>2025</v>
      </c>
      <c r="AC249" s="4" t="str">
        <f>TEXT(excelsalesdata[[#This Row],[Order_Date]],"mmm")</f>
        <v>Dec</v>
      </c>
      <c r="AD249" s="4" t="str">
        <f>"Q"&amp;ROUNDUP(MONTH(excelsalesdata[[#This Row],[Order_Date]])/3,0)</f>
        <v>Q4</v>
      </c>
    </row>
    <row r="250" spans="1:30" x14ac:dyDescent="0.35">
      <c r="A250" t="s">
        <v>703</v>
      </c>
      <c r="B250" s="3">
        <v>46008</v>
      </c>
      <c r="C250" t="s">
        <v>704</v>
      </c>
      <c r="D250" t="s">
        <v>285</v>
      </c>
      <c r="E250" t="str">
        <f>TRIM(excelsalesdata[[#This Row],[Customer_Name]])</f>
        <v>Aditya Bhat</v>
      </c>
      <c r="F250" t="s">
        <v>44</v>
      </c>
      <c r="G250">
        <v>51</v>
      </c>
      <c r="H250" t="s">
        <v>35</v>
      </c>
      <c r="I250" t="str">
        <f>TRIM(excelsalesdata[[#This Row],[City]])</f>
        <v>Kolkata</v>
      </c>
      <c r="J250" t="s">
        <v>36</v>
      </c>
      <c r="K250" t="s">
        <v>37</v>
      </c>
      <c r="L250" t="s">
        <v>54</v>
      </c>
      <c r="M250" t="s">
        <v>129</v>
      </c>
      <c r="N250" t="s">
        <v>129</v>
      </c>
      <c r="O250">
        <v>2</v>
      </c>
      <c r="P250">
        <v>17790</v>
      </c>
      <c r="Q250">
        <v>0.1</v>
      </c>
      <c r="R250">
        <v>12530</v>
      </c>
      <c r="S250" t="s">
        <v>80</v>
      </c>
      <c r="T250" t="s">
        <v>30</v>
      </c>
      <c r="U250">
        <v>5</v>
      </c>
      <c r="V250" t="s">
        <v>40</v>
      </c>
      <c r="W250">
        <f>excelsalesdata[[#This Row],[Quantity]]*excelsalesdata[[#This Row],[Unit_Price]]</f>
        <v>35580</v>
      </c>
      <c r="X250">
        <f>excelsalesdata[[#This Row],[Gross_sales]]*excelsalesdata[[#This Row],[Discount_%]]</f>
        <v>3558</v>
      </c>
      <c r="Y250">
        <f>excelsalesdata[[#This Row],[Gross_sales]]-excelsalesdata[[#This Row],[Discount_amt]]</f>
        <v>32022</v>
      </c>
      <c r="Z250" s="4">
        <f>excelsalesdata[[#This Row],[Net_sales]]-excelsalesdata[[#This Row],[Cost]]</f>
        <v>19492</v>
      </c>
      <c r="AA250" s="5">
        <f>excelsalesdata[[#This Row],[Profit]]/excelsalesdata[[#This Row],[Net_sales]]</f>
        <v>0.6087065142714384</v>
      </c>
      <c r="AB250" s="4">
        <f>YEAR(excelsalesdata[[#This Row],[Order_Date]])</f>
        <v>2025</v>
      </c>
      <c r="AC250" s="4" t="str">
        <f>TEXT(excelsalesdata[[#This Row],[Order_Date]],"mmm")</f>
        <v>Dec</v>
      </c>
      <c r="AD250" s="4" t="str">
        <f>"Q"&amp;ROUNDUP(MONTH(excelsalesdata[[#This Row],[Order_Date]])/3,0)</f>
        <v>Q4</v>
      </c>
    </row>
    <row r="251" spans="1:30" x14ac:dyDescent="0.35">
      <c r="A251" t="s">
        <v>705</v>
      </c>
      <c r="B251" s="3">
        <v>46009</v>
      </c>
      <c r="C251" t="s">
        <v>512</v>
      </c>
      <c r="D251" t="s">
        <v>708</v>
      </c>
      <c r="E251" t="str">
        <f>TRIM(excelsalesdata[[#This Row],[Customer_Name]])</f>
        <v>Diya Mehta</v>
      </c>
      <c r="F251" t="s">
        <v>23</v>
      </c>
      <c r="G251">
        <v>24</v>
      </c>
      <c r="H251" t="s">
        <v>60</v>
      </c>
      <c r="I251" t="str">
        <f>TRIM(excelsalesdata[[#This Row],[City]])</f>
        <v>Chandigarh</v>
      </c>
      <c r="J251" t="s">
        <v>60</v>
      </c>
      <c r="K251" t="s">
        <v>61</v>
      </c>
      <c r="L251" t="s">
        <v>54</v>
      </c>
      <c r="M251" t="s">
        <v>55</v>
      </c>
      <c r="N251" t="s">
        <v>55</v>
      </c>
      <c r="O251">
        <v>1</v>
      </c>
      <c r="P251">
        <v>6620</v>
      </c>
      <c r="Q251">
        <v>0.05</v>
      </c>
      <c r="R251">
        <v>4550</v>
      </c>
      <c r="S251" t="s">
        <v>80</v>
      </c>
      <c r="T251" t="s">
        <v>30</v>
      </c>
      <c r="U251">
        <v>6</v>
      </c>
      <c r="V251" t="s">
        <v>31</v>
      </c>
      <c r="W251">
        <f>excelsalesdata[[#This Row],[Quantity]]*excelsalesdata[[#This Row],[Unit_Price]]</f>
        <v>6620</v>
      </c>
      <c r="X251">
        <f>excelsalesdata[[#This Row],[Gross_sales]]*excelsalesdata[[#This Row],[Discount_%]]</f>
        <v>331</v>
      </c>
      <c r="Y251">
        <f>excelsalesdata[[#This Row],[Gross_sales]]-excelsalesdata[[#This Row],[Discount_amt]]</f>
        <v>6289</v>
      </c>
      <c r="Z251" s="4">
        <f>excelsalesdata[[#This Row],[Net_sales]]-excelsalesdata[[#This Row],[Cost]]</f>
        <v>1739</v>
      </c>
      <c r="AA251" s="5">
        <f>excelsalesdata[[#This Row],[Profit]]/excelsalesdata[[#This Row],[Net_sales]]</f>
        <v>0.27651454921291141</v>
      </c>
      <c r="AB251" s="4">
        <f>YEAR(excelsalesdata[[#This Row],[Order_Date]])</f>
        <v>2025</v>
      </c>
      <c r="AC251" s="4" t="str">
        <f>TEXT(excelsalesdata[[#This Row],[Order_Date]],"mmm")</f>
        <v>Dec</v>
      </c>
      <c r="AD251" s="4" t="str">
        <f>"Q"&amp;ROUNDUP(MONTH(excelsalesdata[[#This Row],[Order_Date]])/3,0)</f>
        <v>Q4</v>
      </c>
    </row>
    <row r="252" spans="1:30" x14ac:dyDescent="0.35">
      <c r="A252" t="s">
        <v>706</v>
      </c>
      <c r="B252" s="3">
        <v>46010</v>
      </c>
      <c r="C252" t="s">
        <v>707</v>
      </c>
      <c r="D252" t="s">
        <v>305</v>
      </c>
      <c r="E252" t="str">
        <f>TRIM(excelsalesdata[[#This Row],[Customer_Name]])</f>
        <v>Priya Reddy</v>
      </c>
      <c r="F252" t="s">
        <v>44</v>
      </c>
      <c r="G252">
        <v>30</v>
      </c>
      <c r="H252" t="s">
        <v>185</v>
      </c>
      <c r="I252" t="str">
        <f>TRIM(excelsalesdata[[#This Row],[City]])</f>
        <v>Lucknow</v>
      </c>
      <c r="J252" t="s">
        <v>186</v>
      </c>
      <c r="K252" t="s">
        <v>61</v>
      </c>
      <c r="L252" t="s">
        <v>54</v>
      </c>
      <c r="M252" t="s">
        <v>66</v>
      </c>
      <c r="N252" t="s">
        <v>66</v>
      </c>
      <c r="O252">
        <v>1</v>
      </c>
      <c r="P252">
        <v>2540</v>
      </c>
      <c r="Q252">
        <v>0.2</v>
      </c>
      <c r="R252">
        <v>1560</v>
      </c>
      <c r="S252" t="s">
        <v>151</v>
      </c>
      <c r="T252" t="s">
        <v>30</v>
      </c>
      <c r="U252">
        <v>4</v>
      </c>
      <c r="V252" t="s">
        <v>40</v>
      </c>
      <c r="W252">
        <f>excelsalesdata[[#This Row],[Quantity]]*excelsalesdata[[#This Row],[Unit_Price]]</f>
        <v>2540</v>
      </c>
      <c r="X252">
        <f>excelsalesdata[[#This Row],[Gross_sales]]*excelsalesdata[[#This Row],[Discount_%]]</f>
        <v>508</v>
      </c>
      <c r="Y252">
        <f>excelsalesdata[[#This Row],[Gross_sales]]-excelsalesdata[[#This Row],[Discount_amt]]</f>
        <v>2032</v>
      </c>
      <c r="Z252" s="4">
        <f>excelsalesdata[[#This Row],[Net_sales]]-excelsalesdata[[#This Row],[Cost]]</f>
        <v>472</v>
      </c>
      <c r="AA252" s="5">
        <f>excelsalesdata[[#This Row],[Profit]]/excelsalesdata[[#This Row],[Net_sales]]</f>
        <v>0.23228346456692914</v>
      </c>
      <c r="AB252" s="4">
        <f>YEAR(excelsalesdata[[#This Row],[Order_Date]])</f>
        <v>2025</v>
      </c>
      <c r="AC252" s="4" t="str">
        <f>TEXT(excelsalesdata[[#This Row],[Order_Date]],"mmm")</f>
        <v>Dec</v>
      </c>
      <c r="AD252" s="4" t="str">
        <f>"Q"&amp;ROUNDUP(MONTH(excelsalesdata[[#This Row],[Order_Date]])/3,0)</f>
        <v>Q4</v>
      </c>
    </row>
    <row r="253" spans="1:30" x14ac:dyDescent="0.35">
      <c r="A253" t="s">
        <v>709</v>
      </c>
      <c r="B253" s="3">
        <v>46011</v>
      </c>
      <c r="C253" t="s">
        <v>671</v>
      </c>
      <c r="D253" t="s">
        <v>711</v>
      </c>
      <c r="E253" t="str">
        <f>TRIM(excelsalesdata[[#This Row],[Customer_Name]])</f>
        <v>Rohan Naidu</v>
      </c>
      <c r="F253" t="s">
        <v>23</v>
      </c>
      <c r="G253">
        <v>35</v>
      </c>
      <c r="H253" t="s">
        <v>71</v>
      </c>
      <c r="I253" t="str">
        <f>TRIM(excelsalesdata[[#This Row],[City]])</f>
        <v>Bhubaneswar</v>
      </c>
      <c r="J253" t="s">
        <v>72</v>
      </c>
      <c r="K253" t="s">
        <v>37</v>
      </c>
      <c r="L253" t="s">
        <v>103</v>
      </c>
      <c r="M253" t="s">
        <v>238</v>
      </c>
      <c r="N253" t="s">
        <v>238</v>
      </c>
      <c r="O253">
        <v>1</v>
      </c>
      <c r="P253">
        <v>4500</v>
      </c>
      <c r="Q253">
        <v>0.15</v>
      </c>
      <c r="R253">
        <v>2650</v>
      </c>
      <c r="S253" t="s">
        <v>29</v>
      </c>
      <c r="T253" t="s">
        <v>30</v>
      </c>
      <c r="U253">
        <v>4</v>
      </c>
      <c r="V253" t="s">
        <v>40</v>
      </c>
      <c r="W253">
        <f>excelsalesdata[[#This Row],[Quantity]]*excelsalesdata[[#This Row],[Unit_Price]]</f>
        <v>4500</v>
      </c>
      <c r="X253">
        <f>excelsalesdata[[#This Row],[Gross_sales]]*excelsalesdata[[#This Row],[Discount_%]]</f>
        <v>675</v>
      </c>
      <c r="Y253">
        <f>excelsalesdata[[#This Row],[Gross_sales]]-excelsalesdata[[#This Row],[Discount_amt]]</f>
        <v>3825</v>
      </c>
      <c r="Z253" s="4">
        <f>excelsalesdata[[#This Row],[Net_sales]]-excelsalesdata[[#This Row],[Cost]]</f>
        <v>1175</v>
      </c>
      <c r="AA253" s="5">
        <f>excelsalesdata[[#This Row],[Profit]]/excelsalesdata[[#This Row],[Net_sales]]</f>
        <v>0.30718954248366015</v>
      </c>
      <c r="AB253" s="4">
        <f>YEAR(excelsalesdata[[#This Row],[Order_Date]])</f>
        <v>2025</v>
      </c>
      <c r="AC253" s="4" t="str">
        <f>TEXT(excelsalesdata[[#This Row],[Order_Date]],"mmm")</f>
        <v>Dec</v>
      </c>
      <c r="AD253" s="4" t="str">
        <f>"Q"&amp;ROUNDUP(MONTH(excelsalesdata[[#This Row],[Order_Date]])/3,0)</f>
        <v>Q4</v>
      </c>
    </row>
    <row r="254" spans="1:30" x14ac:dyDescent="0.35">
      <c r="A254" t="s">
        <v>710</v>
      </c>
      <c r="B254" s="3">
        <v>46012</v>
      </c>
      <c r="C254" t="s">
        <v>418</v>
      </c>
      <c r="D254" t="s">
        <v>713</v>
      </c>
      <c r="E254" t="str">
        <f>TRIM(excelsalesdata[[#This Row],[Customer_Name]])</f>
        <v>Meera Singh</v>
      </c>
      <c r="F254" t="s">
        <v>23</v>
      </c>
      <c r="G254">
        <v>49</v>
      </c>
      <c r="H254" t="s">
        <v>24</v>
      </c>
      <c r="I254" t="str">
        <f>TRIM(excelsalesdata[[#This Row],[City]])</f>
        <v>Pune</v>
      </c>
      <c r="J254" t="s">
        <v>25</v>
      </c>
      <c r="K254" t="s">
        <v>26</v>
      </c>
      <c r="L254" t="s">
        <v>85</v>
      </c>
      <c r="M254" t="s">
        <v>172</v>
      </c>
      <c r="N254" t="s">
        <v>172</v>
      </c>
      <c r="O254">
        <v>3</v>
      </c>
      <c r="P254">
        <v>4680</v>
      </c>
      <c r="Q254">
        <v>0</v>
      </c>
      <c r="R254">
        <v>2720</v>
      </c>
      <c r="S254" t="s">
        <v>80</v>
      </c>
      <c r="T254" t="s">
        <v>30</v>
      </c>
      <c r="U254">
        <v>3</v>
      </c>
      <c r="V254" t="s">
        <v>31</v>
      </c>
      <c r="W254">
        <f>excelsalesdata[[#This Row],[Quantity]]*excelsalesdata[[#This Row],[Unit_Price]]</f>
        <v>14040</v>
      </c>
      <c r="X254">
        <f>excelsalesdata[[#This Row],[Gross_sales]]*excelsalesdata[[#This Row],[Discount_%]]</f>
        <v>0</v>
      </c>
      <c r="Y254">
        <f>excelsalesdata[[#This Row],[Gross_sales]]-excelsalesdata[[#This Row],[Discount_amt]]</f>
        <v>14040</v>
      </c>
      <c r="Z254" s="4">
        <f>excelsalesdata[[#This Row],[Net_sales]]-excelsalesdata[[#This Row],[Cost]]</f>
        <v>11320</v>
      </c>
      <c r="AA254" s="5">
        <f>excelsalesdata[[#This Row],[Profit]]/excelsalesdata[[#This Row],[Net_sales]]</f>
        <v>0.80626780626780625</v>
      </c>
      <c r="AB254" s="4">
        <f>YEAR(excelsalesdata[[#This Row],[Order_Date]])</f>
        <v>2025</v>
      </c>
      <c r="AC254" s="4" t="str">
        <f>TEXT(excelsalesdata[[#This Row],[Order_Date]],"mmm")</f>
        <v>Dec</v>
      </c>
      <c r="AD254" s="4" t="str">
        <f>"Q"&amp;ROUNDUP(MONTH(excelsalesdata[[#This Row],[Order_Date]])/3,0)</f>
        <v>Q4</v>
      </c>
    </row>
    <row r="255" spans="1:30" x14ac:dyDescent="0.35">
      <c r="A255" t="s">
        <v>712</v>
      </c>
      <c r="B255" s="3">
        <v>46013</v>
      </c>
      <c r="C255" t="s">
        <v>573</v>
      </c>
      <c r="D255" t="s">
        <v>399</v>
      </c>
      <c r="E255" t="str">
        <f>TRIM(excelsalesdata[[#This Row],[Customer_Name]])</f>
        <v>Ishita Kumar</v>
      </c>
      <c r="F255" t="s">
        <v>23</v>
      </c>
      <c r="G255">
        <v>23</v>
      </c>
      <c r="H255" t="s">
        <v>133</v>
      </c>
      <c r="I255" t="str">
        <f>TRIM(excelsalesdata[[#This Row],[City]])</f>
        <v>Jaipur</v>
      </c>
      <c r="J255" t="s">
        <v>134</v>
      </c>
      <c r="K255" t="s">
        <v>61</v>
      </c>
      <c r="L255" t="s">
        <v>103</v>
      </c>
      <c r="M255" t="s">
        <v>178</v>
      </c>
      <c r="N255" t="s">
        <v>178</v>
      </c>
      <c r="O255">
        <v>2</v>
      </c>
      <c r="P255">
        <v>1870</v>
      </c>
      <c r="Q255">
        <v>0.1</v>
      </c>
      <c r="R255">
        <v>970</v>
      </c>
      <c r="S255" t="s">
        <v>29</v>
      </c>
      <c r="T255" t="s">
        <v>30</v>
      </c>
      <c r="U255">
        <v>5</v>
      </c>
      <c r="V255" t="s">
        <v>40</v>
      </c>
      <c r="W255">
        <f>excelsalesdata[[#This Row],[Quantity]]*excelsalesdata[[#This Row],[Unit_Price]]</f>
        <v>3740</v>
      </c>
      <c r="X255">
        <f>excelsalesdata[[#This Row],[Gross_sales]]*excelsalesdata[[#This Row],[Discount_%]]</f>
        <v>374</v>
      </c>
      <c r="Y255">
        <f>excelsalesdata[[#This Row],[Gross_sales]]-excelsalesdata[[#This Row],[Discount_amt]]</f>
        <v>3366</v>
      </c>
      <c r="Z255" s="4">
        <f>excelsalesdata[[#This Row],[Net_sales]]-excelsalesdata[[#This Row],[Cost]]</f>
        <v>2396</v>
      </c>
      <c r="AA255" s="5">
        <f>excelsalesdata[[#This Row],[Profit]]/excelsalesdata[[#This Row],[Net_sales]]</f>
        <v>0.71182412358882952</v>
      </c>
      <c r="AB255" s="4">
        <f>YEAR(excelsalesdata[[#This Row],[Order_Date]])</f>
        <v>2025</v>
      </c>
      <c r="AC255" s="4" t="str">
        <f>TEXT(excelsalesdata[[#This Row],[Order_Date]],"mmm")</f>
        <v>Dec</v>
      </c>
      <c r="AD255" s="4" t="str">
        <f>"Q"&amp;ROUNDUP(MONTH(excelsalesdata[[#This Row],[Order_Date]])/3,0)</f>
        <v>Q4</v>
      </c>
    </row>
    <row r="256" spans="1:30" x14ac:dyDescent="0.35">
      <c r="A256" t="s">
        <v>714</v>
      </c>
      <c r="B256" s="3">
        <v>46014</v>
      </c>
      <c r="C256" t="s">
        <v>715</v>
      </c>
      <c r="D256" t="s">
        <v>693</v>
      </c>
      <c r="E256" t="str">
        <f>TRIM(excelsalesdata[[#This Row],[Customer_Name]])</f>
        <v>Ishita Shah</v>
      </c>
      <c r="F256" t="s">
        <v>23</v>
      </c>
      <c r="G256">
        <v>48</v>
      </c>
      <c r="H256" t="s">
        <v>185</v>
      </c>
      <c r="I256" t="str">
        <f>TRIM(excelsalesdata[[#This Row],[City]])</f>
        <v>Lucknow</v>
      </c>
      <c r="J256" t="s">
        <v>186</v>
      </c>
      <c r="K256" t="s">
        <v>61</v>
      </c>
      <c r="L256" t="s">
        <v>103</v>
      </c>
      <c r="M256" t="s">
        <v>312</v>
      </c>
      <c r="N256" t="s">
        <v>312</v>
      </c>
      <c r="O256">
        <v>1</v>
      </c>
      <c r="P256">
        <v>6460</v>
      </c>
      <c r="Q256">
        <v>0.1</v>
      </c>
      <c r="R256">
        <v>4120</v>
      </c>
      <c r="S256" t="s">
        <v>80</v>
      </c>
      <c r="T256" t="s">
        <v>99</v>
      </c>
      <c r="U256">
        <v>6</v>
      </c>
      <c r="V256" t="s">
        <v>40</v>
      </c>
      <c r="W256">
        <f>excelsalesdata[[#This Row],[Quantity]]*excelsalesdata[[#This Row],[Unit_Price]]</f>
        <v>6460</v>
      </c>
      <c r="X256">
        <f>excelsalesdata[[#This Row],[Gross_sales]]*excelsalesdata[[#This Row],[Discount_%]]</f>
        <v>646</v>
      </c>
      <c r="Y256">
        <f>excelsalesdata[[#This Row],[Gross_sales]]-excelsalesdata[[#This Row],[Discount_amt]]</f>
        <v>5814</v>
      </c>
      <c r="Z256" s="4">
        <f>excelsalesdata[[#This Row],[Net_sales]]-excelsalesdata[[#This Row],[Cost]]</f>
        <v>1694</v>
      </c>
      <c r="AA256" s="5">
        <f>excelsalesdata[[#This Row],[Profit]]/excelsalesdata[[#This Row],[Net_sales]]</f>
        <v>0.29136566907464739</v>
      </c>
      <c r="AB256" s="4">
        <f>YEAR(excelsalesdata[[#This Row],[Order_Date]])</f>
        <v>2025</v>
      </c>
      <c r="AC256" s="4" t="str">
        <f>TEXT(excelsalesdata[[#This Row],[Order_Date]],"mmm")</f>
        <v>Dec</v>
      </c>
      <c r="AD256" s="4" t="str">
        <f>"Q"&amp;ROUNDUP(MONTH(excelsalesdata[[#This Row],[Order_Date]])/3,0)</f>
        <v>Q4</v>
      </c>
    </row>
    <row r="257" spans="1:30" x14ac:dyDescent="0.35">
      <c r="A257" t="s">
        <v>716</v>
      </c>
      <c r="B257" s="3">
        <v>46015</v>
      </c>
      <c r="C257" t="s">
        <v>633</v>
      </c>
      <c r="D257" t="s">
        <v>499</v>
      </c>
      <c r="E257" t="str">
        <f>TRIM(excelsalesdata[[#This Row],[Customer_Name]])</f>
        <v>Aditya Nair</v>
      </c>
      <c r="F257" t="s">
        <v>44</v>
      </c>
      <c r="G257">
        <v>52</v>
      </c>
      <c r="H257" t="s">
        <v>98</v>
      </c>
      <c r="I257" t="str">
        <f>TRIM(excelsalesdata[[#This Row],[City]])</f>
        <v>Mumbai</v>
      </c>
      <c r="J257" t="s">
        <v>25</v>
      </c>
      <c r="K257" t="s">
        <v>26</v>
      </c>
      <c r="L257" t="s">
        <v>54</v>
      </c>
      <c r="M257" t="s">
        <v>157</v>
      </c>
      <c r="N257" t="s">
        <v>157</v>
      </c>
      <c r="O257">
        <v>2</v>
      </c>
      <c r="P257">
        <v>53320</v>
      </c>
      <c r="Q257">
        <v>0</v>
      </c>
      <c r="R257">
        <v>42050</v>
      </c>
      <c r="S257" t="s">
        <v>29</v>
      </c>
      <c r="T257" t="s">
        <v>81</v>
      </c>
      <c r="U257">
        <v>0</v>
      </c>
      <c r="V257" t="s">
        <v>31</v>
      </c>
      <c r="W257">
        <f>excelsalesdata[[#This Row],[Quantity]]*excelsalesdata[[#This Row],[Unit_Price]]</f>
        <v>106640</v>
      </c>
      <c r="X257">
        <f>excelsalesdata[[#This Row],[Gross_sales]]*excelsalesdata[[#This Row],[Discount_%]]</f>
        <v>0</v>
      </c>
      <c r="Y257">
        <f>excelsalesdata[[#This Row],[Gross_sales]]-excelsalesdata[[#This Row],[Discount_amt]]</f>
        <v>106640</v>
      </c>
      <c r="Z257" s="4">
        <f>excelsalesdata[[#This Row],[Net_sales]]-excelsalesdata[[#This Row],[Cost]]</f>
        <v>64590</v>
      </c>
      <c r="AA257" s="5">
        <f>excelsalesdata[[#This Row],[Profit]]/excelsalesdata[[#This Row],[Net_sales]]</f>
        <v>0.6056826706676669</v>
      </c>
      <c r="AB257" s="4">
        <f>YEAR(excelsalesdata[[#This Row],[Order_Date]])</f>
        <v>2025</v>
      </c>
      <c r="AC257" s="4" t="str">
        <f>TEXT(excelsalesdata[[#This Row],[Order_Date]],"mmm")</f>
        <v>Dec</v>
      </c>
      <c r="AD257" s="4" t="str">
        <f>"Q"&amp;ROUNDUP(MONTH(excelsalesdata[[#This Row],[Order_Date]])/3,0)</f>
        <v>Q4</v>
      </c>
    </row>
    <row r="258" spans="1:30" x14ac:dyDescent="0.35">
      <c r="A258" t="s">
        <v>717</v>
      </c>
      <c r="B258" s="3">
        <v>46016</v>
      </c>
      <c r="C258" t="s">
        <v>607</v>
      </c>
      <c r="D258" t="s">
        <v>550</v>
      </c>
      <c r="E258" t="str">
        <f>TRIM(excelsalesdata[[#This Row],[Customer_Name]])</f>
        <v>Rohan Reddy</v>
      </c>
      <c r="F258" t="s">
        <v>44</v>
      </c>
      <c r="G258">
        <v>46</v>
      </c>
      <c r="H258" t="s">
        <v>78</v>
      </c>
      <c r="I258" t="str">
        <f>TRIM(excelsalesdata[[#This Row],[City]])</f>
        <v>Guwahati</v>
      </c>
      <c r="J258" t="s">
        <v>79</v>
      </c>
      <c r="K258" t="s">
        <v>37</v>
      </c>
      <c r="L258" t="s">
        <v>93</v>
      </c>
      <c r="M258" t="s">
        <v>718</v>
      </c>
      <c r="N258" t="s">
        <v>718</v>
      </c>
      <c r="O258">
        <v>2</v>
      </c>
      <c r="P258">
        <v>1770</v>
      </c>
      <c r="Q258">
        <v>0.05</v>
      </c>
      <c r="R258">
        <v>910</v>
      </c>
      <c r="S258" t="s">
        <v>67</v>
      </c>
      <c r="T258" t="s">
        <v>81</v>
      </c>
      <c r="U258">
        <v>0</v>
      </c>
      <c r="V258" t="s">
        <v>40</v>
      </c>
      <c r="W258">
        <f>excelsalesdata[[#This Row],[Quantity]]*excelsalesdata[[#This Row],[Unit_Price]]</f>
        <v>3540</v>
      </c>
      <c r="X258">
        <f>excelsalesdata[[#This Row],[Gross_sales]]*excelsalesdata[[#This Row],[Discount_%]]</f>
        <v>177</v>
      </c>
      <c r="Y258">
        <f>excelsalesdata[[#This Row],[Gross_sales]]-excelsalesdata[[#This Row],[Discount_amt]]</f>
        <v>3363</v>
      </c>
      <c r="Z258" s="4">
        <f>excelsalesdata[[#This Row],[Net_sales]]-excelsalesdata[[#This Row],[Cost]]</f>
        <v>2453</v>
      </c>
      <c r="AA258" s="5">
        <f>excelsalesdata[[#This Row],[Profit]]/excelsalesdata[[#This Row],[Net_sales]]</f>
        <v>0.72940826642878387</v>
      </c>
      <c r="AB258" s="4">
        <f>YEAR(excelsalesdata[[#This Row],[Order_Date]])</f>
        <v>2025</v>
      </c>
      <c r="AC258" s="4" t="str">
        <f>TEXT(excelsalesdata[[#This Row],[Order_Date]],"mmm")</f>
        <v>Dec</v>
      </c>
      <c r="AD258" s="4" t="str">
        <f>"Q"&amp;ROUNDUP(MONTH(excelsalesdata[[#This Row],[Order_Date]])/3,0)</f>
        <v>Q4</v>
      </c>
    </row>
    <row r="259" spans="1:30" x14ac:dyDescent="0.35">
      <c r="A259" t="s">
        <v>719</v>
      </c>
      <c r="B259" s="3">
        <v>46017</v>
      </c>
      <c r="C259" t="s">
        <v>310</v>
      </c>
      <c r="D259" t="s">
        <v>34</v>
      </c>
      <c r="E259" t="str">
        <f>TRIM(excelsalesdata[[#This Row],[Customer_Name]])</f>
        <v>Priya Singh</v>
      </c>
      <c r="F259" t="s">
        <v>44</v>
      </c>
      <c r="G259">
        <v>21</v>
      </c>
      <c r="H259" t="s">
        <v>98</v>
      </c>
      <c r="I259" t="str">
        <f>TRIM(excelsalesdata[[#This Row],[City]])</f>
        <v>Mumbai</v>
      </c>
      <c r="J259" t="s">
        <v>25</v>
      </c>
      <c r="K259" t="s">
        <v>26</v>
      </c>
      <c r="L259" t="s">
        <v>103</v>
      </c>
      <c r="M259" t="s">
        <v>104</v>
      </c>
      <c r="N259" t="s">
        <v>104</v>
      </c>
      <c r="O259">
        <v>4</v>
      </c>
      <c r="P259">
        <v>8510</v>
      </c>
      <c r="Q259">
        <v>0.25</v>
      </c>
      <c r="R259">
        <v>5790</v>
      </c>
      <c r="S259" t="s">
        <v>80</v>
      </c>
      <c r="T259" t="s">
        <v>74</v>
      </c>
      <c r="U259">
        <v>2</v>
      </c>
      <c r="V259" t="s">
        <v>31</v>
      </c>
      <c r="W259">
        <f>excelsalesdata[[#This Row],[Quantity]]*excelsalesdata[[#This Row],[Unit_Price]]</f>
        <v>34040</v>
      </c>
      <c r="X259">
        <f>excelsalesdata[[#This Row],[Gross_sales]]*excelsalesdata[[#This Row],[Discount_%]]</f>
        <v>8510</v>
      </c>
      <c r="Y259">
        <f>excelsalesdata[[#This Row],[Gross_sales]]-excelsalesdata[[#This Row],[Discount_amt]]</f>
        <v>25530</v>
      </c>
      <c r="Z259" s="4">
        <f>excelsalesdata[[#This Row],[Net_sales]]-excelsalesdata[[#This Row],[Cost]]</f>
        <v>19740</v>
      </c>
      <c r="AA259" s="5">
        <f>excelsalesdata[[#This Row],[Profit]]/excelsalesdata[[#This Row],[Net_sales]]</f>
        <v>0.7732079905992949</v>
      </c>
      <c r="AB259" s="4">
        <f>YEAR(excelsalesdata[[#This Row],[Order_Date]])</f>
        <v>2025</v>
      </c>
      <c r="AC259" s="4" t="str">
        <f>TEXT(excelsalesdata[[#This Row],[Order_Date]],"mmm")</f>
        <v>Dec</v>
      </c>
      <c r="AD259" s="4" t="str">
        <f>"Q"&amp;ROUNDUP(MONTH(excelsalesdata[[#This Row],[Order_Date]])/3,0)</f>
        <v>Q4</v>
      </c>
    </row>
    <row r="260" spans="1:30" x14ac:dyDescent="0.35">
      <c r="A260" t="s">
        <v>720</v>
      </c>
      <c r="B260" s="3">
        <v>46018</v>
      </c>
      <c r="C260" t="s">
        <v>412</v>
      </c>
      <c r="D260" t="s">
        <v>237</v>
      </c>
      <c r="E260" t="str">
        <f>TRIM(excelsalesdata[[#This Row],[Customer_Name]])</f>
        <v>Vivaan Kumar</v>
      </c>
      <c r="F260" t="s">
        <v>44</v>
      </c>
      <c r="G260">
        <v>42</v>
      </c>
      <c r="H260" t="s">
        <v>133</v>
      </c>
      <c r="I260" t="str">
        <f>TRIM(excelsalesdata[[#This Row],[City]])</f>
        <v>Jaipur</v>
      </c>
      <c r="J260" t="s">
        <v>134</v>
      </c>
      <c r="K260" t="s">
        <v>61</v>
      </c>
      <c r="L260" t="s">
        <v>54</v>
      </c>
      <c r="M260" t="s">
        <v>66</v>
      </c>
      <c r="N260" t="s">
        <v>66</v>
      </c>
      <c r="O260">
        <v>3</v>
      </c>
      <c r="P260">
        <v>2620</v>
      </c>
      <c r="Q260">
        <v>0.1</v>
      </c>
      <c r="R260">
        <v>1460</v>
      </c>
      <c r="S260" t="s">
        <v>29</v>
      </c>
      <c r="T260" t="s">
        <v>30</v>
      </c>
      <c r="U260">
        <v>3</v>
      </c>
      <c r="V260" t="s">
        <v>40</v>
      </c>
      <c r="W260">
        <f>excelsalesdata[[#This Row],[Quantity]]*excelsalesdata[[#This Row],[Unit_Price]]</f>
        <v>7860</v>
      </c>
      <c r="X260">
        <f>excelsalesdata[[#This Row],[Gross_sales]]*excelsalesdata[[#This Row],[Discount_%]]</f>
        <v>786</v>
      </c>
      <c r="Y260">
        <f>excelsalesdata[[#This Row],[Gross_sales]]-excelsalesdata[[#This Row],[Discount_amt]]</f>
        <v>7074</v>
      </c>
      <c r="Z260" s="4">
        <f>excelsalesdata[[#This Row],[Net_sales]]-excelsalesdata[[#This Row],[Cost]]</f>
        <v>5614</v>
      </c>
      <c r="AA260" s="5">
        <f>excelsalesdata[[#This Row],[Profit]]/excelsalesdata[[#This Row],[Net_sales]]</f>
        <v>0.79361040429742724</v>
      </c>
      <c r="AB260" s="4">
        <f>YEAR(excelsalesdata[[#This Row],[Order_Date]])</f>
        <v>2025</v>
      </c>
      <c r="AC260" s="4" t="str">
        <f>TEXT(excelsalesdata[[#This Row],[Order_Date]],"mmm")</f>
        <v>Dec</v>
      </c>
      <c r="AD260" s="4" t="str">
        <f>"Q"&amp;ROUNDUP(MONTH(excelsalesdata[[#This Row],[Order_Date]])/3,0)</f>
        <v>Q4</v>
      </c>
    </row>
    <row r="261" spans="1:30" x14ac:dyDescent="0.35">
      <c r="A261" t="s">
        <v>721</v>
      </c>
      <c r="B261" s="3">
        <v>46019</v>
      </c>
      <c r="C261" t="s">
        <v>722</v>
      </c>
      <c r="D261" t="s">
        <v>325</v>
      </c>
      <c r="E261" t="str">
        <f>TRIM(excelsalesdata[[#This Row],[Customer_Name]])</f>
        <v>Ishita Iyer</v>
      </c>
      <c r="F261" t="s">
        <v>23</v>
      </c>
      <c r="G261">
        <v>50</v>
      </c>
      <c r="H261" t="s">
        <v>24</v>
      </c>
      <c r="I261" t="str">
        <f>TRIM(excelsalesdata[[#This Row],[City]])</f>
        <v>Pune</v>
      </c>
      <c r="J261" t="s">
        <v>25</v>
      </c>
      <c r="K261" t="s">
        <v>26</v>
      </c>
      <c r="L261" t="s">
        <v>54</v>
      </c>
      <c r="M261" t="s">
        <v>55</v>
      </c>
      <c r="N261" t="s">
        <v>55</v>
      </c>
      <c r="O261">
        <v>2</v>
      </c>
      <c r="P261">
        <v>7210</v>
      </c>
      <c r="Q261">
        <v>0.25</v>
      </c>
      <c r="R261">
        <v>4560</v>
      </c>
      <c r="S261" t="s">
        <v>56</v>
      </c>
      <c r="T261" t="s">
        <v>74</v>
      </c>
      <c r="U261">
        <v>4</v>
      </c>
      <c r="V261" t="s">
        <v>40</v>
      </c>
      <c r="W261">
        <f>excelsalesdata[[#This Row],[Quantity]]*excelsalesdata[[#This Row],[Unit_Price]]</f>
        <v>14420</v>
      </c>
      <c r="X261">
        <f>excelsalesdata[[#This Row],[Gross_sales]]*excelsalesdata[[#This Row],[Discount_%]]</f>
        <v>3605</v>
      </c>
      <c r="Y261">
        <f>excelsalesdata[[#This Row],[Gross_sales]]-excelsalesdata[[#This Row],[Discount_amt]]</f>
        <v>10815</v>
      </c>
      <c r="Z261" s="4">
        <f>excelsalesdata[[#This Row],[Net_sales]]-excelsalesdata[[#This Row],[Cost]]</f>
        <v>6255</v>
      </c>
      <c r="AA261" s="5">
        <f>excelsalesdata[[#This Row],[Profit]]/excelsalesdata[[#This Row],[Net_sales]]</f>
        <v>0.57836338418862687</v>
      </c>
      <c r="AB261" s="4">
        <f>YEAR(excelsalesdata[[#This Row],[Order_Date]])</f>
        <v>2025</v>
      </c>
      <c r="AC261" s="4" t="str">
        <f>TEXT(excelsalesdata[[#This Row],[Order_Date]],"mmm")</f>
        <v>Dec</v>
      </c>
      <c r="AD261" s="4" t="str">
        <f>"Q"&amp;ROUNDUP(MONTH(excelsalesdata[[#This Row],[Order_Date]])/3,0)</f>
        <v>Q4</v>
      </c>
    </row>
    <row r="262" spans="1:30" x14ac:dyDescent="0.35">
      <c r="A262" t="s">
        <v>723</v>
      </c>
      <c r="B262" s="3">
        <v>46020</v>
      </c>
      <c r="C262" t="s">
        <v>724</v>
      </c>
      <c r="D262" t="s">
        <v>580</v>
      </c>
      <c r="E262" t="str">
        <f>TRIM(excelsalesdata[[#This Row],[Customer_Name]])</f>
        <v>Meera Iyer</v>
      </c>
      <c r="F262" t="s">
        <v>44</v>
      </c>
      <c r="G262">
        <v>60</v>
      </c>
      <c r="H262" t="s">
        <v>98</v>
      </c>
      <c r="I262" t="str">
        <f>TRIM(excelsalesdata[[#This Row],[City]])</f>
        <v>Mumbai</v>
      </c>
      <c r="J262" t="s">
        <v>25</v>
      </c>
      <c r="K262" t="s">
        <v>26</v>
      </c>
      <c r="L262" t="s">
        <v>93</v>
      </c>
      <c r="M262" t="s">
        <v>135</v>
      </c>
      <c r="N262" t="s">
        <v>135</v>
      </c>
      <c r="O262">
        <v>1</v>
      </c>
      <c r="P262">
        <v>1680</v>
      </c>
      <c r="Q262">
        <v>0.1</v>
      </c>
      <c r="R262">
        <v>1040</v>
      </c>
      <c r="S262" t="s">
        <v>67</v>
      </c>
      <c r="T262" t="s">
        <v>30</v>
      </c>
      <c r="U262">
        <v>2</v>
      </c>
      <c r="V262" t="s">
        <v>40</v>
      </c>
      <c r="W262">
        <f>excelsalesdata[[#This Row],[Quantity]]*excelsalesdata[[#This Row],[Unit_Price]]</f>
        <v>1680</v>
      </c>
      <c r="X262">
        <f>excelsalesdata[[#This Row],[Gross_sales]]*excelsalesdata[[#This Row],[Discount_%]]</f>
        <v>168</v>
      </c>
      <c r="Y262">
        <f>excelsalesdata[[#This Row],[Gross_sales]]-excelsalesdata[[#This Row],[Discount_amt]]</f>
        <v>1512</v>
      </c>
      <c r="Z262" s="4">
        <f>excelsalesdata[[#This Row],[Net_sales]]-excelsalesdata[[#This Row],[Cost]]</f>
        <v>472</v>
      </c>
      <c r="AA262" s="5">
        <f>excelsalesdata[[#This Row],[Profit]]/excelsalesdata[[#This Row],[Net_sales]]</f>
        <v>0.31216931216931215</v>
      </c>
      <c r="AB262" s="4">
        <f>YEAR(excelsalesdata[[#This Row],[Order_Date]])</f>
        <v>2025</v>
      </c>
      <c r="AC262" s="4" t="str">
        <f>TEXT(excelsalesdata[[#This Row],[Order_Date]],"mmm")</f>
        <v>Dec</v>
      </c>
      <c r="AD262" s="4" t="str">
        <f>"Q"&amp;ROUNDUP(MONTH(excelsalesdata[[#This Row],[Order_Date]])/3,0)</f>
        <v>Q4</v>
      </c>
    </row>
    <row r="263" spans="1:30" x14ac:dyDescent="0.35">
      <c r="A263" t="s">
        <v>725</v>
      </c>
      <c r="B263" s="3">
        <v>46021</v>
      </c>
      <c r="C263" t="s">
        <v>726</v>
      </c>
      <c r="D263" t="s">
        <v>689</v>
      </c>
      <c r="E263" t="str">
        <f>TRIM(excelsalesdata[[#This Row],[Customer_Name]])</f>
        <v>Priya Rao</v>
      </c>
      <c r="F263" t="s">
        <v>44</v>
      </c>
      <c r="G263">
        <v>40</v>
      </c>
      <c r="H263" t="s">
        <v>190</v>
      </c>
      <c r="I263" t="str">
        <f>TRIM(excelsalesdata[[#This Row],[City]])</f>
        <v>Ahmedabad</v>
      </c>
      <c r="J263" t="s">
        <v>191</v>
      </c>
      <c r="K263" t="s">
        <v>26</v>
      </c>
      <c r="L263" t="s">
        <v>103</v>
      </c>
      <c r="M263" t="s">
        <v>238</v>
      </c>
      <c r="N263" t="s">
        <v>238</v>
      </c>
      <c r="O263">
        <v>5</v>
      </c>
      <c r="P263">
        <v>3880</v>
      </c>
      <c r="Q263">
        <v>0.2</v>
      </c>
      <c r="R263">
        <v>2730</v>
      </c>
      <c r="S263" t="s">
        <v>56</v>
      </c>
      <c r="T263" t="s">
        <v>30</v>
      </c>
      <c r="U263">
        <v>6</v>
      </c>
      <c r="V263" t="s">
        <v>31</v>
      </c>
      <c r="W263">
        <f>excelsalesdata[[#This Row],[Quantity]]*excelsalesdata[[#This Row],[Unit_Price]]</f>
        <v>19400</v>
      </c>
      <c r="X263">
        <f>excelsalesdata[[#This Row],[Gross_sales]]*excelsalesdata[[#This Row],[Discount_%]]</f>
        <v>3880</v>
      </c>
      <c r="Y263">
        <f>excelsalesdata[[#This Row],[Gross_sales]]-excelsalesdata[[#This Row],[Discount_amt]]</f>
        <v>15520</v>
      </c>
      <c r="Z263" s="4">
        <f>excelsalesdata[[#This Row],[Net_sales]]-excelsalesdata[[#This Row],[Cost]]</f>
        <v>12790</v>
      </c>
      <c r="AA263" s="5">
        <f>excelsalesdata[[#This Row],[Profit]]/excelsalesdata[[#This Row],[Net_sales]]</f>
        <v>0.82409793814432986</v>
      </c>
      <c r="AB263" s="4">
        <f>YEAR(excelsalesdata[[#This Row],[Order_Date]])</f>
        <v>2025</v>
      </c>
      <c r="AC263" s="4" t="str">
        <f>TEXT(excelsalesdata[[#This Row],[Order_Date]],"mmm")</f>
        <v>Dec</v>
      </c>
      <c r="AD263" s="4" t="str">
        <f>"Q"&amp;ROUNDUP(MONTH(excelsalesdata[[#This Row],[Order_Date]])/3,0)</f>
        <v>Q4</v>
      </c>
    </row>
    <row r="264" spans="1:30" x14ac:dyDescent="0.35">
      <c r="A264" t="s">
        <v>727</v>
      </c>
      <c r="B264" s="3">
        <v>46022</v>
      </c>
      <c r="C264" t="s">
        <v>728</v>
      </c>
      <c r="D264" t="s">
        <v>731</v>
      </c>
      <c r="E264" t="str">
        <f>TRIM(excelsalesdata[[#This Row],[Customer_Name]])</f>
        <v>Diya Bhat</v>
      </c>
      <c r="F264" t="s">
        <v>44</v>
      </c>
      <c r="G264">
        <v>29</v>
      </c>
      <c r="H264" t="s">
        <v>52</v>
      </c>
      <c r="I264" t="str">
        <f>TRIM(excelsalesdata[[#This Row],[City]])</f>
        <v>Bengaluru</v>
      </c>
      <c r="J264" t="s">
        <v>53</v>
      </c>
      <c r="K264" t="s">
        <v>47</v>
      </c>
      <c r="L264" t="s">
        <v>93</v>
      </c>
      <c r="M264" t="s">
        <v>718</v>
      </c>
      <c r="N264" t="s">
        <v>718</v>
      </c>
      <c r="O264">
        <v>4</v>
      </c>
      <c r="P264">
        <v>1680</v>
      </c>
      <c r="Q264">
        <v>0.1</v>
      </c>
      <c r="R264">
        <v>860</v>
      </c>
      <c r="S264" t="s">
        <v>29</v>
      </c>
      <c r="T264" t="s">
        <v>30</v>
      </c>
      <c r="U264">
        <v>3</v>
      </c>
      <c r="V264" t="s">
        <v>40</v>
      </c>
      <c r="W264">
        <f>excelsalesdata[[#This Row],[Quantity]]*excelsalesdata[[#This Row],[Unit_Price]]</f>
        <v>6720</v>
      </c>
      <c r="X264">
        <f>excelsalesdata[[#This Row],[Gross_sales]]*excelsalesdata[[#This Row],[Discount_%]]</f>
        <v>672</v>
      </c>
      <c r="Y264">
        <f>excelsalesdata[[#This Row],[Gross_sales]]-excelsalesdata[[#This Row],[Discount_amt]]</f>
        <v>6048</v>
      </c>
      <c r="Z264" s="4">
        <f>excelsalesdata[[#This Row],[Net_sales]]-excelsalesdata[[#This Row],[Cost]]</f>
        <v>5188</v>
      </c>
      <c r="AA264" s="5">
        <f>excelsalesdata[[#This Row],[Profit]]/excelsalesdata[[#This Row],[Net_sales]]</f>
        <v>0.85780423280423279</v>
      </c>
      <c r="AB264" s="4">
        <f>YEAR(excelsalesdata[[#This Row],[Order_Date]])</f>
        <v>2025</v>
      </c>
      <c r="AC264" s="4" t="str">
        <f>TEXT(excelsalesdata[[#This Row],[Order_Date]],"mmm")</f>
        <v>Dec</v>
      </c>
      <c r="AD264" s="4" t="str">
        <f>"Q"&amp;ROUNDUP(MONTH(excelsalesdata[[#This Row],[Order_Date]])/3,0)</f>
        <v>Q4</v>
      </c>
    </row>
    <row r="265" spans="1:30" x14ac:dyDescent="0.35">
      <c r="A265" t="s">
        <v>729</v>
      </c>
      <c r="B265" s="3">
        <v>46023</v>
      </c>
      <c r="C265" t="s">
        <v>730</v>
      </c>
      <c r="D265" t="s">
        <v>600</v>
      </c>
      <c r="E265" t="str">
        <f>TRIM(excelsalesdata[[#This Row],[Customer_Name]])</f>
        <v>Karan Mehta</v>
      </c>
      <c r="F265" t="s">
        <v>44</v>
      </c>
      <c r="G265">
        <v>54</v>
      </c>
      <c r="H265" t="s">
        <v>155</v>
      </c>
      <c r="I265" t="str">
        <f>TRIM(excelsalesdata[[#This Row],[City]])</f>
        <v>Chennai</v>
      </c>
      <c r="J265" t="s">
        <v>156</v>
      </c>
      <c r="K265" t="s">
        <v>47</v>
      </c>
      <c r="L265" t="s">
        <v>85</v>
      </c>
      <c r="M265" t="s">
        <v>251</v>
      </c>
      <c r="N265" t="s">
        <v>251</v>
      </c>
      <c r="O265">
        <v>4</v>
      </c>
      <c r="P265">
        <v>3170</v>
      </c>
      <c r="Q265">
        <v>0.05</v>
      </c>
      <c r="R265">
        <v>1960</v>
      </c>
      <c r="S265" t="s">
        <v>80</v>
      </c>
      <c r="T265" t="s">
        <v>30</v>
      </c>
      <c r="U265">
        <v>2</v>
      </c>
      <c r="V265" t="s">
        <v>40</v>
      </c>
      <c r="W265">
        <f>excelsalesdata[[#This Row],[Quantity]]*excelsalesdata[[#This Row],[Unit_Price]]</f>
        <v>12680</v>
      </c>
      <c r="X265">
        <f>excelsalesdata[[#This Row],[Gross_sales]]*excelsalesdata[[#This Row],[Discount_%]]</f>
        <v>634</v>
      </c>
      <c r="Y265">
        <f>excelsalesdata[[#This Row],[Gross_sales]]-excelsalesdata[[#This Row],[Discount_amt]]</f>
        <v>12046</v>
      </c>
      <c r="Z265" s="4">
        <f>excelsalesdata[[#This Row],[Net_sales]]-excelsalesdata[[#This Row],[Cost]]</f>
        <v>10086</v>
      </c>
      <c r="AA265" s="5">
        <f>excelsalesdata[[#This Row],[Profit]]/excelsalesdata[[#This Row],[Net_sales]]</f>
        <v>0.8372903868504068</v>
      </c>
      <c r="AB265" s="4">
        <f>YEAR(excelsalesdata[[#This Row],[Order_Date]])</f>
        <v>2026</v>
      </c>
      <c r="AC265" s="4" t="str">
        <f>TEXT(excelsalesdata[[#This Row],[Order_Date]],"mmm")</f>
        <v>Jan</v>
      </c>
      <c r="AD265" s="4" t="str">
        <f>"Q"&amp;ROUNDUP(MONTH(excelsalesdata[[#This Row],[Order_Date]])/3,0)</f>
        <v>Q1</v>
      </c>
    </row>
    <row r="266" spans="1:30" x14ac:dyDescent="0.35">
      <c r="A266" t="s">
        <v>732</v>
      </c>
      <c r="B266" s="3">
        <v>46024</v>
      </c>
      <c r="C266" t="s">
        <v>607</v>
      </c>
      <c r="D266" t="s">
        <v>642</v>
      </c>
      <c r="E266" t="str">
        <f>TRIM(excelsalesdata[[#This Row],[Customer_Name]])</f>
        <v>Kavya Singh</v>
      </c>
      <c r="F266" t="s">
        <v>44</v>
      </c>
      <c r="G266">
        <v>30</v>
      </c>
      <c r="H266" t="s">
        <v>155</v>
      </c>
      <c r="I266" t="str">
        <f>TRIM(excelsalesdata[[#This Row],[City]])</f>
        <v>Chennai</v>
      </c>
      <c r="J266" t="s">
        <v>156</v>
      </c>
      <c r="K266" t="s">
        <v>47</v>
      </c>
      <c r="L266" t="s">
        <v>54</v>
      </c>
      <c r="M266" t="s">
        <v>55</v>
      </c>
      <c r="N266" t="s">
        <v>55</v>
      </c>
      <c r="O266">
        <v>1</v>
      </c>
      <c r="P266">
        <v>6820</v>
      </c>
      <c r="Q266">
        <v>0.2</v>
      </c>
      <c r="R266">
        <v>4340</v>
      </c>
      <c r="S266" t="s">
        <v>29</v>
      </c>
      <c r="T266" t="s">
        <v>30</v>
      </c>
      <c r="U266">
        <v>3</v>
      </c>
      <c r="V266" t="s">
        <v>40</v>
      </c>
      <c r="W266">
        <f>excelsalesdata[[#This Row],[Quantity]]*excelsalesdata[[#This Row],[Unit_Price]]</f>
        <v>6820</v>
      </c>
      <c r="X266">
        <f>excelsalesdata[[#This Row],[Gross_sales]]*excelsalesdata[[#This Row],[Discount_%]]</f>
        <v>1364</v>
      </c>
      <c r="Y266">
        <f>excelsalesdata[[#This Row],[Gross_sales]]-excelsalesdata[[#This Row],[Discount_amt]]</f>
        <v>5456</v>
      </c>
      <c r="Z266" s="4">
        <f>excelsalesdata[[#This Row],[Net_sales]]-excelsalesdata[[#This Row],[Cost]]</f>
        <v>1116</v>
      </c>
      <c r="AA266" s="5">
        <f>excelsalesdata[[#This Row],[Profit]]/excelsalesdata[[#This Row],[Net_sales]]</f>
        <v>0.20454545454545456</v>
      </c>
      <c r="AB266" s="4">
        <f>YEAR(excelsalesdata[[#This Row],[Order_Date]])</f>
        <v>2026</v>
      </c>
      <c r="AC266" s="4" t="str">
        <f>TEXT(excelsalesdata[[#This Row],[Order_Date]],"mmm")</f>
        <v>Jan</v>
      </c>
      <c r="AD266" s="4" t="str">
        <f>"Q"&amp;ROUNDUP(MONTH(excelsalesdata[[#This Row],[Order_Date]])/3,0)</f>
        <v>Q1</v>
      </c>
    </row>
    <row r="267" spans="1:30" x14ac:dyDescent="0.35">
      <c r="A267" t="s">
        <v>733</v>
      </c>
      <c r="B267" s="3">
        <v>46025</v>
      </c>
      <c r="C267" t="s">
        <v>734</v>
      </c>
      <c r="D267" t="s">
        <v>308</v>
      </c>
      <c r="E267" t="str">
        <f>TRIM(excelsalesdata[[#This Row],[Customer_Name]])</f>
        <v>Vivaan Nair</v>
      </c>
      <c r="F267" t="s">
        <v>44</v>
      </c>
      <c r="G267">
        <v>27</v>
      </c>
      <c r="H267" t="s">
        <v>190</v>
      </c>
      <c r="I267" t="str">
        <f>TRIM(excelsalesdata[[#This Row],[City]])</f>
        <v>Ahmedabad</v>
      </c>
      <c r="J267" t="s">
        <v>191</v>
      </c>
      <c r="K267" t="s">
        <v>26</v>
      </c>
      <c r="L267" t="s">
        <v>38</v>
      </c>
      <c r="M267" t="s">
        <v>73</v>
      </c>
      <c r="N267" t="s">
        <v>73</v>
      </c>
      <c r="O267">
        <v>1</v>
      </c>
      <c r="P267">
        <v>4740</v>
      </c>
      <c r="Q267">
        <v>0.2</v>
      </c>
      <c r="R267">
        <v>3180</v>
      </c>
      <c r="S267" t="s">
        <v>56</v>
      </c>
      <c r="T267" t="s">
        <v>30</v>
      </c>
      <c r="U267">
        <v>5</v>
      </c>
      <c r="V267" t="s">
        <v>40</v>
      </c>
      <c r="W267">
        <f>excelsalesdata[[#This Row],[Quantity]]*excelsalesdata[[#This Row],[Unit_Price]]</f>
        <v>4740</v>
      </c>
      <c r="X267">
        <f>excelsalesdata[[#This Row],[Gross_sales]]*excelsalesdata[[#This Row],[Discount_%]]</f>
        <v>948</v>
      </c>
      <c r="Y267">
        <f>excelsalesdata[[#This Row],[Gross_sales]]-excelsalesdata[[#This Row],[Discount_amt]]</f>
        <v>3792</v>
      </c>
      <c r="Z267" s="4">
        <f>excelsalesdata[[#This Row],[Net_sales]]-excelsalesdata[[#This Row],[Cost]]</f>
        <v>612</v>
      </c>
      <c r="AA267" s="5">
        <f>excelsalesdata[[#This Row],[Profit]]/excelsalesdata[[#This Row],[Net_sales]]</f>
        <v>0.16139240506329114</v>
      </c>
      <c r="AB267" s="4">
        <f>YEAR(excelsalesdata[[#This Row],[Order_Date]])</f>
        <v>2026</v>
      </c>
      <c r="AC267" s="4" t="str">
        <f>TEXT(excelsalesdata[[#This Row],[Order_Date]],"mmm")</f>
        <v>Jan</v>
      </c>
      <c r="AD267" s="4" t="str">
        <f>"Q"&amp;ROUNDUP(MONTH(excelsalesdata[[#This Row],[Order_Date]])/3,0)</f>
        <v>Q1</v>
      </c>
    </row>
    <row r="268" spans="1:30" x14ac:dyDescent="0.35">
      <c r="A268" t="s">
        <v>735</v>
      </c>
      <c r="B268" s="3">
        <v>46026</v>
      </c>
      <c r="C268" t="s">
        <v>391</v>
      </c>
      <c r="D268" t="s">
        <v>43</v>
      </c>
      <c r="E268" t="str">
        <f>TRIM(excelsalesdata[[#This Row],[Customer_Name]])</f>
        <v>Nisha Nair</v>
      </c>
      <c r="F268" t="s">
        <v>44</v>
      </c>
      <c r="G268">
        <v>42</v>
      </c>
      <c r="H268" t="s">
        <v>109</v>
      </c>
      <c r="I268" t="str">
        <f>TRIM(excelsalesdata[[#This Row],[City]])</f>
        <v>Mysuru</v>
      </c>
      <c r="J268" t="s">
        <v>53</v>
      </c>
      <c r="K268" t="s">
        <v>47</v>
      </c>
      <c r="L268" t="s">
        <v>93</v>
      </c>
      <c r="M268" t="s">
        <v>206</v>
      </c>
      <c r="N268" t="s">
        <v>206</v>
      </c>
      <c r="O268">
        <v>3</v>
      </c>
      <c r="P268">
        <v>630</v>
      </c>
      <c r="Q268">
        <v>0.1</v>
      </c>
      <c r="R268">
        <v>310</v>
      </c>
      <c r="S268" t="s">
        <v>56</v>
      </c>
      <c r="T268" t="s">
        <v>74</v>
      </c>
      <c r="U268">
        <v>3</v>
      </c>
      <c r="V268" t="s">
        <v>40</v>
      </c>
      <c r="W268">
        <f>excelsalesdata[[#This Row],[Quantity]]*excelsalesdata[[#This Row],[Unit_Price]]</f>
        <v>1890</v>
      </c>
      <c r="X268">
        <f>excelsalesdata[[#This Row],[Gross_sales]]*excelsalesdata[[#This Row],[Discount_%]]</f>
        <v>189</v>
      </c>
      <c r="Y268">
        <f>excelsalesdata[[#This Row],[Gross_sales]]-excelsalesdata[[#This Row],[Discount_amt]]</f>
        <v>1701</v>
      </c>
      <c r="Z268" s="4">
        <f>excelsalesdata[[#This Row],[Net_sales]]-excelsalesdata[[#This Row],[Cost]]</f>
        <v>1391</v>
      </c>
      <c r="AA268" s="5">
        <f>excelsalesdata[[#This Row],[Profit]]/excelsalesdata[[#This Row],[Net_sales]]</f>
        <v>0.81775426219870662</v>
      </c>
      <c r="AB268" s="4">
        <f>YEAR(excelsalesdata[[#This Row],[Order_Date]])</f>
        <v>2026</v>
      </c>
      <c r="AC268" s="4" t="str">
        <f>TEXT(excelsalesdata[[#This Row],[Order_Date]],"mmm")</f>
        <v>Jan</v>
      </c>
      <c r="AD268" s="4" t="str">
        <f>"Q"&amp;ROUNDUP(MONTH(excelsalesdata[[#This Row],[Order_Date]])/3,0)</f>
        <v>Q1</v>
      </c>
    </row>
    <row r="269" spans="1:30" x14ac:dyDescent="0.35">
      <c r="A269" t="s">
        <v>736</v>
      </c>
      <c r="B269" s="3">
        <v>46027</v>
      </c>
      <c r="C269" t="s">
        <v>737</v>
      </c>
      <c r="D269" t="s">
        <v>184</v>
      </c>
      <c r="E269" t="str">
        <f>TRIM(excelsalesdata[[#This Row],[Customer_Name]])</f>
        <v>Aditya Verma</v>
      </c>
      <c r="F269" t="s">
        <v>44</v>
      </c>
      <c r="G269">
        <v>55</v>
      </c>
      <c r="H269" t="s">
        <v>114</v>
      </c>
      <c r="I269" t="str">
        <f>TRIM(excelsalesdata[[#This Row],[City]])</f>
        <v>Hyderabad</v>
      </c>
      <c r="J269" t="s">
        <v>115</v>
      </c>
      <c r="K269" t="s">
        <v>47</v>
      </c>
      <c r="L269" t="s">
        <v>93</v>
      </c>
      <c r="M269" t="s">
        <v>206</v>
      </c>
      <c r="N269" t="s">
        <v>206</v>
      </c>
      <c r="O269">
        <v>3</v>
      </c>
      <c r="P269">
        <v>640</v>
      </c>
      <c r="Q269">
        <v>0.05</v>
      </c>
      <c r="R269">
        <v>300</v>
      </c>
      <c r="S269" t="s">
        <v>151</v>
      </c>
      <c r="T269" t="s">
        <v>30</v>
      </c>
      <c r="U269">
        <v>2</v>
      </c>
      <c r="V269" t="s">
        <v>31</v>
      </c>
      <c r="W269">
        <f>excelsalesdata[[#This Row],[Quantity]]*excelsalesdata[[#This Row],[Unit_Price]]</f>
        <v>1920</v>
      </c>
      <c r="X269">
        <f>excelsalesdata[[#This Row],[Gross_sales]]*excelsalesdata[[#This Row],[Discount_%]]</f>
        <v>96</v>
      </c>
      <c r="Y269">
        <f>excelsalesdata[[#This Row],[Gross_sales]]-excelsalesdata[[#This Row],[Discount_amt]]</f>
        <v>1824</v>
      </c>
      <c r="Z269" s="4">
        <f>excelsalesdata[[#This Row],[Net_sales]]-excelsalesdata[[#This Row],[Cost]]</f>
        <v>1524</v>
      </c>
      <c r="AA269" s="5">
        <f>excelsalesdata[[#This Row],[Profit]]/excelsalesdata[[#This Row],[Net_sales]]</f>
        <v>0.83552631578947367</v>
      </c>
      <c r="AB269" s="4">
        <f>YEAR(excelsalesdata[[#This Row],[Order_Date]])</f>
        <v>2026</v>
      </c>
      <c r="AC269" s="4" t="str">
        <f>TEXT(excelsalesdata[[#This Row],[Order_Date]],"mmm")</f>
        <v>Jan</v>
      </c>
      <c r="AD269" s="4" t="str">
        <f>"Q"&amp;ROUNDUP(MONTH(excelsalesdata[[#This Row],[Order_Date]])/3,0)</f>
        <v>Q1</v>
      </c>
    </row>
    <row r="270" spans="1:30" x14ac:dyDescent="0.35">
      <c r="A270" t="s">
        <v>738</v>
      </c>
      <c r="B270" s="3">
        <v>46028</v>
      </c>
      <c r="C270" t="s">
        <v>739</v>
      </c>
      <c r="D270" t="s">
        <v>184</v>
      </c>
      <c r="E270" t="str">
        <f>TRIM(excelsalesdata[[#This Row],[Customer_Name]])</f>
        <v>Aditya Verma</v>
      </c>
      <c r="F270" t="s">
        <v>23</v>
      </c>
      <c r="G270">
        <v>43</v>
      </c>
      <c r="H270" t="s">
        <v>71</v>
      </c>
      <c r="I270" t="str">
        <f>TRIM(excelsalesdata[[#This Row],[City]])</f>
        <v>Bhubaneswar</v>
      </c>
      <c r="J270" t="s">
        <v>72</v>
      </c>
      <c r="K270" t="s">
        <v>37</v>
      </c>
      <c r="L270" t="s">
        <v>93</v>
      </c>
      <c r="M270" t="s">
        <v>375</v>
      </c>
      <c r="N270" t="s">
        <v>375</v>
      </c>
      <c r="O270">
        <v>5</v>
      </c>
      <c r="P270">
        <v>2350</v>
      </c>
      <c r="Q270">
        <v>0.15</v>
      </c>
      <c r="R270">
        <v>1170</v>
      </c>
      <c r="S270" t="s">
        <v>29</v>
      </c>
      <c r="T270" t="s">
        <v>74</v>
      </c>
      <c r="U270">
        <v>2</v>
      </c>
      <c r="V270" t="s">
        <v>31</v>
      </c>
      <c r="W270">
        <f>excelsalesdata[[#This Row],[Quantity]]*excelsalesdata[[#This Row],[Unit_Price]]</f>
        <v>11750</v>
      </c>
      <c r="X270">
        <f>excelsalesdata[[#This Row],[Gross_sales]]*excelsalesdata[[#This Row],[Discount_%]]</f>
        <v>1762.5</v>
      </c>
      <c r="Y270">
        <f>excelsalesdata[[#This Row],[Gross_sales]]-excelsalesdata[[#This Row],[Discount_amt]]</f>
        <v>9987.5</v>
      </c>
      <c r="Z270" s="4">
        <f>excelsalesdata[[#This Row],[Net_sales]]-excelsalesdata[[#This Row],[Cost]]</f>
        <v>8817.5</v>
      </c>
      <c r="AA270" s="5">
        <f>excelsalesdata[[#This Row],[Profit]]/excelsalesdata[[#This Row],[Net_sales]]</f>
        <v>0.88285356695869832</v>
      </c>
      <c r="AB270" s="4">
        <f>YEAR(excelsalesdata[[#This Row],[Order_Date]])</f>
        <v>2026</v>
      </c>
      <c r="AC270" s="4" t="str">
        <f>TEXT(excelsalesdata[[#This Row],[Order_Date]],"mmm")</f>
        <v>Jan</v>
      </c>
      <c r="AD270" s="4" t="str">
        <f>"Q"&amp;ROUNDUP(MONTH(excelsalesdata[[#This Row],[Order_Date]])/3,0)</f>
        <v>Q1</v>
      </c>
    </row>
    <row r="271" spans="1:30" x14ac:dyDescent="0.35">
      <c r="A271" t="s">
        <v>740</v>
      </c>
      <c r="B271" s="3">
        <v>46029</v>
      </c>
      <c r="C271" t="s">
        <v>741</v>
      </c>
      <c r="D271" t="s">
        <v>744</v>
      </c>
      <c r="E271" t="str">
        <f>TRIM(excelsalesdata[[#This Row],[Customer_Name]])</f>
        <v>Meera Nair</v>
      </c>
      <c r="F271" t="s">
        <v>44</v>
      </c>
      <c r="G271">
        <v>33</v>
      </c>
      <c r="H271" t="s">
        <v>98</v>
      </c>
      <c r="I271" t="str">
        <f>TRIM(excelsalesdata[[#This Row],[City]])</f>
        <v>Mumbai</v>
      </c>
      <c r="J271" t="s">
        <v>25</v>
      </c>
      <c r="K271" t="s">
        <v>26</v>
      </c>
      <c r="L271" t="s">
        <v>27</v>
      </c>
      <c r="M271" t="s">
        <v>195</v>
      </c>
      <c r="N271" t="s">
        <v>195</v>
      </c>
      <c r="O271">
        <v>3</v>
      </c>
      <c r="P271">
        <v>2110</v>
      </c>
      <c r="Q271">
        <v>0.25</v>
      </c>
      <c r="R271">
        <v>1250</v>
      </c>
      <c r="S271" t="s">
        <v>80</v>
      </c>
      <c r="T271" t="s">
        <v>30</v>
      </c>
      <c r="U271">
        <v>4</v>
      </c>
      <c r="V271" t="s">
        <v>31</v>
      </c>
      <c r="W271">
        <f>excelsalesdata[[#This Row],[Quantity]]*excelsalesdata[[#This Row],[Unit_Price]]</f>
        <v>6330</v>
      </c>
      <c r="X271">
        <f>excelsalesdata[[#This Row],[Gross_sales]]*excelsalesdata[[#This Row],[Discount_%]]</f>
        <v>1582.5</v>
      </c>
      <c r="Y271">
        <f>excelsalesdata[[#This Row],[Gross_sales]]-excelsalesdata[[#This Row],[Discount_amt]]</f>
        <v>4747.5</v>
      </c>
      <c r="Z271" s="4">
        <f>excelsalesdata[[#This Row],[Net_sales]]-excelsalesdata[[#This Row],[Cost]]</f>
        <v>3497.5</v>
      </c>
      <c r="AA271" s="5">
        <f>excelsalesdata[[#This Row],[Profit]]/excelsalesdata[[#This Row],[Net_sales]]</f>
        <v>0.73670352817272244</v>
      </c>
      <c r="AB271" s="4">
        <f>YEAR(excelsalesdata[[#This Row],[Order_Date]])</f>
        <v>2026</v>
      </c>
      <c r="AC271" s="4" t="str">
        <f>TEXT(excelsalesdata[[#This Row],[Order_Date]],"mmm")</f>
        <v>Jan</v>
      </c>
      <c r="AD271" s="4" t="str">
        <f>"Q"&amp;ROUNDUP(MONTH(excelsalesdata[[#This Row],[Order_Date]])/3,0)</f>
        <v>Q1</v>
      </c>
    </row>
    <row r="272" spans="1:30" x14ac:dyDescent="0.35">
      <c r="A272" t="s">
        <v>742</v>
      </c>
      <c r="B272" s="3">
        <v>46030</v>
      </c>
      <c r="C272" t="s">
        <v>743</v>
      </c>
      <c r="D272" t="s">
        <v>403</v>
      </c>
      <c r="E272" t="str">
        <f>TRIM(excelsalesdata[[#This Row],[Customer_Name]])</f>
        <v>Diya Iyer</v>
      </c>
      <c r="F272" t="s">
        <v>44</v>
      </c>
      <c r="G272">
        <v>38</v>
      </c>
      <c r="H272" t="s">
        <v>168</v>
      </c>
      <c r="I272" t="str">
        <f>TRIM(excelsalesdata[[#This Row],[City]])</f>
        <v>Delhi</v>
      </c>
      <c r="J272" t="s">
        <v>168</v>
      </c>
      <c r="K272" t="s">
        <v>61</v>
      </c>
      <c r="L272" t="s">
        <v>27</v>
      </c>
      <c r="M272" t="s">
        <v>295</v>
      </c>
      <c r="N272" t="s">
        <v>295</v>
      </c>
      <c r="O272">
        <v>1</v>
      </c>
      <c r="P272">
        <v>4450</v>
      </c>
      <c r="Q272">
        <v>0.2</v>
      </c>
      <c r="R272">
        <v>2630</v>
      </c>
      <c r="S272" t="s">
        <v>151</v>
      </c>
      <c r="T272" t="s">
        <v>30</v>
      </c>
      <c r="U272">
        <v>3</v>
      </c>
      <c r="V272" t="s">
        <v>31</v>
      </c>
      <c r="W272">
        <f>excelsalesdata[[#This Row],[Quantity]]*excelsalesdata[[#This Row],[Unit_Price]]</f>
        <v>4450</v>
      </c>
      <c r="X272">
        <f>excelsalesdata[[#This Row],[Gross_sales]]*excelsalesdata[[#This Row],[Discount_%]]</f>
        <v>890</v>
      </c>
      <c r="Y272">
        <f>excelsalesdata[[#This Row],[Gross_sales]]-excelsalesdata[[#This Row],[Discount_amt]]</f>
        <v>3560</v>
      </c>
      <c r="Z272" s="4">
        <f>excelsalesdata[[#This Row],[Net_sales]]-excelsalesdata[[#This Row],[Cost]]</f>
        <v>930</v>
      </c>
      <c r="AA272" s="5">
        <f>excelsalesdata[[#This Row],[Profit]]/excelsalesdata[[#This Row],[Net_sales]]</f>
        <v>0.2612359550561798</v>
      </c>
      <c r="AB272" s="4">
        <f>YEAR(excelsalesdata[[#This Row],[Order_Date]])</f>
        <v>2026</v>
      </c>
      <c r="AC272" s="4" t="str">
        <f>TEXT(excelsalesdata[[#This Row],[Order_Date]],"mmm")</f>
        <v>Jan</v>
      </c>
      <c r="AD272" s="4" t="str">
        <f>"Q"&amp;ROUNDUP(MONTH(excelsalesdata[[#This Row],[Order_Date]])/3,0)</f>
        <v>Q1</v>
      </c>
    </row>
    <row r="273" spans="1:30" x14ac:dyDescent="0.35">
      <c r="A273" t="s">
        <v>745</v>
      </c>
      <c r="B273" s="3">
        <v>46031</v>
      </c>
      <c r="C273" t="s">
        <v>746</v>
      </c>
      <c r="D273" t="s">
        <v>77</v>
      </c>
      <c r="E273" t="str">
        <f>TRIM(excelsalesdata[[#This Row],[Customer_Name]])</f>
        <v>Kavya Rao</v>
      </c>
      <c r="F273" t="s">
        <v>23</v>
      </c>
      <c r="G273">
        <v>40</v>
      </c>
      <c r="H273" t="s">
        <v>71</v>
      </c>
      <c r="I273" t="str">
        <f>TRIM(excelsalesdata[[#This Row],[City]])</f>
        <v>Bhubaneswar</v>
      </c>
      <c r="J273" t="s">
        <v>72</v>
      </c>
      <c r="K273" t="s">
        <v>37</v>
      </c>
      <c r="L273" t="s">
        <v>27</v>
      </c>
      <c r="M273" t="s">
        <v>28</v>
      </c>
      <c r="N273" t="s">
        <v>28</v>
      </c>
      <c r="O273">
        <v>1</v>
      </c>
      <c r="P273">
        <v>3730</v>
      </c>
      <c r="Q273">
        <v>0.1</v>
      </c>
      <c r="R273">
        <v>2090</v>
      </c>
      <c r="S273" t="s">
        <v>151</v>
      </c>
      <c r="T273" t="s">
        <v>30</v>
      </c>
      <c r="U273">
        <v>3</v>
      </c>
      <c r="V273" t="s">
        <v>31</v>
      </c>
      <c r="W273">
        <f>excelsalesdata[[#This Row],[Quantity]]*excelsalesdata[[#This Row],[Unit_Price]]</f>
        <v>3730</v>
      </c>
      <c r="X273">
        <f>excelsalesdata[[#This Row],[Gross_sales]]*excelsalesdata[[#This Row],[Discount_%]]</f>
        <v>373</v>
      </c>
      <c r="Y273">
        <f>excelsalesdata[[#This Row],[Gross_sales]]-excelsalesdata[[#This Row],[Discount_amt]]</f>
        <v>3357</v>
      </c>
      <c r="Z273" s="4">
        <f>excelsalesdata[[#This Row],[Net_sales]]-excelsalesdata[[#This Row],[Cost]]</f>
        <v>1267</v>
      </c>
      <c r="AA273" s="5">
        <f>excelsalesdata[[#This Row],[Profit]]/excelsalesdata[[#This Row],[Net_sales]]</f>
        <v>0.37742031575811735</v>
      </c>
      <c r="AB273" s="4">
        <f>YEAR(excelsalesdata[[#This Row],[Order_Date]])</f>
        <v>2026</v>
      </c>
      <c r="AC273" s="4" t="str">
        <f>TEXT(excelsalesdata[[#This Row],[Order_Date]],"mmm")</f>
        <v>Jan</v>
      </c>
      <c r="AD273" s="4" t="str">
        <f>"Q"&amp;ROUNDUP(MONTH(excelsalesdata[[#This Row],[Order_Date]])/3,0)</f>
        <v>Q1</v>
      </c>
    </row>
    <row r="274" spans="1:30" x14ac:dyDescent="0.35">
      <c r="A274" t="s">
        <v>747</v>
      </c>
      <c r="B274" s="3">
        <v>46032</v>
      </c>
      <c r="C274" t="s">
        <v>748</v>
      </c>
      <c r="D274" t="s">
        <v>154</v>
      </c>
      <c r="E274" t="str">
        <f>TRIM(excelsalesdata[[#This Row],[Customer_Name]])</f>
        <v>Rohan Rao</v>
      </c>
      <c r="F274" t="s">
        <v>23</v>
      </c>
      <c r="G274">
        <v>46</v>
      </c>
      <c r="H274" t="s">
        <v>71</v>
      </c>
      <c r="I274" t="str">
        <f>TRIM(excelsalesdata[[#This Row],[City]])</f>
        <v>Bhubaneswar</v>
      </c>
      <c r="J274" t="s">
        <v>72</v>
      </c>
      <c r="K274" t="s">
        <v>37</v>
      </c>
      <c r="L274" t="s">
        <v>103</v>
      </c>
      <c r="M274" t="s">
        <v>347</v>
      </c>
      <c r="N274" t="s">
        <v>347</v>
      </c>
      <c r="O274">
        <v>2</v>
      </c>
      <c r="P274">
        <v>12500</v>
      </c>
      <c r="Q274">
        <v>0</v>
      </c>
      <c r="R274">
        <v>8320</v>
      </c>
      <c r="S274" t="s">
        <v>29</v>
      </c>
      <c r="T274" t="s">
        <v>30</v>
      </c>
      <c r="U274">
        <v>3</v>
      </c>
      <c r="V274" t="s">
        <v>31</v>
      </c>
      <c r="W274">
        <f>excelsalesdata[[#This Row],[Quantity]]*excelsalesdata[[#This Row],[Unit_Price]]</f>
        <v>25000</v>
      </c>
      <c r="X274">
        <f>excelsalesdata[[#This Row],[Gross_sales]]*excelsalesdata[[#This Row],[Discount_%]]</f>
        <v>0</v>
      </c>
      <c r="Y274">
        <f>excelsalesdata[[#This Row],[Gross_sales]]-excelsalesdata[[#This Row],[Discount_amt]]</f>
        <v>25000</v>
      </c>
      <c r="Z274" s="4">
        <f>excelsalesdata[[#This Row],[Net_sales]]-excelsalesdata[[#This Row],[Cost]]</f>
        <v>16680</v>
      </c>
      <c r="AA274" s="5">
        <f>excelsalesdata[[#This Row],[Profit]]/excelsalesdata[[#This Row],[Net_sales]]</f>
        <v>0.66720000000000002</v>
      </c>
      <c r="AB274" s="4">
        <f>YEAR(excelsalesdata[[#This Row],[Order_Date]])</f>
        <v>2026</v>
      </c>
      <c r="AC274" s="4" t="str">
        <f>TEXT(excelsalesdata[[#This Row],[Order_Date]],"mmm")</f>
        <v>Jan</v>
      </c>
      <c r="AD274" s="4" t="str">
        <f>"Q"&amp;ROUNDUP(MONTH(excelsalesdata[[#This Row],[Order_Date]])/3,0)</f>
        <v>Q1</v>
      </c>
    </row>
    <row r="275" spans="1:30" x14ac:dyDescent="0.35">
      <c r="A275" t="s">
        <v>749</v>
      </c>
      <c r="B275" s="3">
        <v>46033</v>
      </c>
      <c r="C275" t="s">
        <v>750</v>
      </c>
      <c r="D275" t="s">
        <v>752</v>
      </c>
      <c r="E275" t="str">
        <f>TRIM(excelsalesdata[[#This Row],[Customer_Name]])</f>
        <v>Kavya Mehta</v>
      </c>
      <c r="F275" t="s">
        <v>23</v>
      </c>
      <c r="G275">
        <v>47</v>
      </c>
      <c r="H275" t="s">
        <v>52</v>
      </c>
      <c r="I275" t="str">
        <f>TRIM(excelsalesdata[[#This Row],[City]])</f>
        <v>Bengaluru</v>
      </c>
      <c r="J275" t="s">
        <v>53</v>
      </c>
      <c r="K275" t="s">
        <v>47</v>
      </c>
      <c r="L275" t="s">
        <v>103</v>
      </c>
      <c r="M275" t="s">
        <v>238</v>
      </c>
      <c r="N275" t="s">
        <v>238</v>
      </c>
      <c r="O275">
        <v>3</v>
      </c>
      <c r="P275">
        <v>3970</v>
      </c>
      <c r="Q275">
        <v>0</v>
      </c>
      <c r="R275">
        <v>2690</v>
      </c>
      <c r="S275" t="s">
        <v>29</v>
      </c>
      <c r="T275" t="s">
        <v>30</v>
      </c>
      <c r="U275">
        <v>5</v>
      </c>
      <c r="V275" t="s">
        <v>31</v>
      </c>
      <c r="W275">
        <f>excelsalesdata[[#This Row],[Quantity]]*excelsalesdata[[#This Row],[Unit_Price]]</f>
        <v>11910</v>
      </c>
      <c r="X275">
        <f>excelsalesdata[[#This Row],[Gross_sales]]*excelsalesdata[[#This Row],[Discount_%]]</f>
        <v>0</v>
      </c>
      <c r="Y275">
        <f>excelsalesdata[[#This Row],[Gross_sales]]-excelsalesdata[[#This Row],[Discount_amt]]</f>
        <v>11910</v>
      </c>
      <c r="Z275" s="4">
        <f>excelsalesdata[[#This Row],[Net_sales]]-excelsalesdata[[#This Row],[Cost]]</f>
        <v>9220</v>
      </c>
      <c r="AA275" s="5">
        <f>excelsalesdata[[#This Row],[Profit]]/excelsalesdata[[#This Row],[Net_sales]]</f>
        <v>0.77413937867338367</v>
      </c>
      <c r="AB275" s="4">
        <f>YEAR(excelsalesdata[[#This Row],[Order_Date]])</f>
        <v>2026</v>
      </c>
      <c r="AC275" s="4" t="str">
        <f>TEXT(excelsalesdata[[#This Row],[Order_Date]],"mmm")</f>
        <v>Jan</v>
      </c>
      <c r="AD275" s="4" t="str">
        <f>"Q"&amp;ROUNDUP(MONTH(excelsalesdata[[#This Row],[Order_Date]])/3,0)</f>
        <v>Q1</v>
      </c>
    </row>
    <row r="276" spans="1:30" x14ac:dyDescent="0.35">
      <c r="A276" t="s">
        <v>751</v>
      </c>
      <c r="B276" s="3">
        <v>46034</v>
      </c>
      <c r="C276" t="s">
        <v>444</v>
      </c>
      <c r="D276" t="s">
        <v>755</v>
      </c>
      <c r="E276" t="str">
        <f>TRIM(excelsalesdata[[#This Row],[Customer_Name]])</f>
        <v>Rahul Singh</v>
      </c>
      <c r="F276" t="s">
        <v>44</v>
      </c>
      <c r="G276">
        <v>57</v>
      </c>
      <c r="H276" t="s">
        <v>168</v>
      </c>
      <c r="I276" t="str">
        <f>TRIM(excelsalesdata[[#This Row],[City]])</f>
        <v>Delhi</v>
      </c>
      <c r="J276" t="s">
        <v>168</v>
      </c>
      <c r="K276" t="s">
        <v>61</v>
      </c>
      <c r="L276" t="s">
        <v>38</v>
      </c>
      <c r="M276" t="s">
        <v>73</v>
      </c>
      <c r="N276" t="s">
        <v>73</v>
      </c>
      <c r="O276">
        <v>2</v>
      </c>
      <c r="P276">
        <v>5120</v>
      </c>
      <c r="Q276">
        <v>0.05</v>
      </c>
      <c r="R276">
        <v>3220</v>
      </c>
      <c r="S276" t="s">
        <v>67</v>
      </c>
      <c r="T276" t="s">
        <v>74</v>
      </c>
      <c r="U276">
        <v>7</v>
      </c>
      <c r="V276" t="s">
        <v>40</v>
      </c>
      <c r="W276">
        <f>excelsalesdata[[#This Row],[Quantity]]*excelsalesdata[[#This Row],[Unit_Price]]</f>
        <v>10240</v>
      </c>
      <c r="X276">
        <f>excelsalesdata[[#This Row],[Gross_sales]]*excelsalesdata[[#This Row],[Discount_%]]</f>
        <v>512</v>
      </c>
      <c r="Y276">
        <f>excelsalesdata[[#This Row],[Gross_sales]]-excelsalesdata[[#This Row],[Discount_amt]]</f>
        <v>9728</v>
      </c>
      <c r="Z276" s="4">
        <f>excelsalesdata[[#This Row],[Net_sales]]-excelsalesdata[[#This Row],[Cost]]</f>
        <v>6508</v>
      </c>
      <c r="AA276" s="5">
        <f>excelsalesdata[[#This Row],[Profit]]/excelsalesdata[[#This Row],[Net_sales]]</f>
        <v>0.66899671052631582</v>
      </c>
      <c r="AB276" s="4">
        <f>YEAR(excelsalesdata[[#This Row],[Order_Date]])</f>
        <v>2026</v>
      </c>
      <c r="AC276" s="4" t="str">
        <f>TEXT(excelsalesdata[[#This Row],[Order_Date]],"mmm")</f>
        <v>Jan</v>
      </c>
      <c r="AD276" s="4" t="str">
        <f>"Q"&amp;ROUNDUP(MONTH(excelsalesdata[[#This Row],[Order_Date]])/3,0)</f>
        <v>Q1</v>
      </c>
    </row>
    <row r="277" spans="1:30" x14ac:dyDescent="0.35">
      <c r="A277" t="s">
        <v>753</v>
      </c>
      <c r="B277" s="3">
        <v>46035</v>
      </c>
      <c r="C277" t="s">
        <v>754</v>
      </c>
      <c r="D277" t="s">
        <v>413</v>
      </c>
      <c r="E277" t="str">
        <f>TRIM(excelsalesdata[[#This Row],[Customer_Name]])</f>
        <v>Rahul Mehta</v>
      </c>
      <c r="F277" t="s">
        <v>23</v>
      </c>
      <c r="G277">
        <v>25</v>
      </c>
      <c r="H277" t="s">
        <v>133</v>
      </c>
      <c r="I277" t="str">
        <f>TRIM(excelsalesdata[[#This Row],[City]])</f>
        <v>Jaipur</v>
      </c>
      <c r="J277" t="s">
        <v>134</v>
      </c>
      <c r="K277" t="s">
        <v>61</v>
      </c>
      <c r="L277" t="s">
        <v>38</v>
      </c>
      <c r="M277" t="s">
        <v>73</v>
      </c>
      <c r="N277" t="s">
        <v>73</v>
      </c>
      <c r="O277">
        <v>1</v>
      </c>
      <c r="P277">
        <v>4620</v>
      </c>
      <c r="Q277">
        <v>0.25</v>
      </c>
      <c r="R277">
        <v>3250</v>
      </c>
      <c r="S277" t="s">
        <v>67</v>
      </c>
      <c r="T277" t="s">
        <v>30</v>
      </c>
      <c r="U277">
        <v>4</v>
      </c>
      <c r="V277" t="s">
        <v>31</v>
      </c>
      <c r="W277">
        <f>excelsalesdata[[#This Row],[Quantity]]*excelsalesdata[[#This Row],[Unit_Price]]</f>
        <v>4620</v>
      </c>
      <c r="X277">
        <f>excelsalesdata[[#This Row],[Gross_sales]]*excelsalesdata[[#This Row],[Discount_%]]</f>
        <v>1155</v>
      </c>
      <c r="Y277">
        <f>excelsalesdata[[#This Row],[Gross_sales]]-excelsalesdata[[#This Row],[Discount_amt]]</f>
        <v>3465</v>
      </c>
      <c r="Z277" s="4">
        <f>excelsalesdata[[#This Row],[Net_sales]]-excelsalesdata[[#This Row],[Cost]]</f>
        <v>215</v>
      </c>
      <c r="AA277" s="5">
        <f>excelsalesdata[[#This Row],[Profit]]/excelsalesdata[[#This Row],[Net_sales]]</f>
        <v>6.2049062049062048E-2</v>
      </c>
      <c r="AB277" s="4">
        <f>YEAR(excelsalesdata[[#This Row],[Order_Date]])</f>
        <v>2026</v>
      </c>
      <c r="AC277" s="4" t="str">
        <f>TEXT(excelsalesdata[[#This Row],[Order_Date]],"mmm")</f>
        <v>Jan</v>
      </c>
      <c r="AD277" s="4" t="str">
        <f>"Q"&amp;ROUNDUP(MONTH(excelsalesdata[[#This Row],[Order_Date]])/3,0)</f>
        <v>Q1</v>
      </c>
    </row>
    <row r="278" spans="1:30" x14ac:dyDescent="0.35">
      <c r="A278" t="s">
        <v>756</v>
      </c>
      <c r="B278" s="3">
        <v>46036</v>
      </c>
      <c r="C278" t="s">
        <v>391</v>
      </c>
      <c r="D278" t="s">
        <v>305</v>
      </c>
      <c r="E278" t="str">
        <f>TRIM(excelsalesdata[[#This Row],[Customer_Name]])</f>
        <v>Priya Reddy</v>
      </c>
      <c r="F278" t="s">
        <v>23</v>
      </c>
      <c r="G278">
        <v>54</v>
      </c>
      <c r="H278" t="s">
        <v>114</v>
      </c>
      <c r="I278" t="str">
        <f>TRIM(excelsalesdata[[#This Row],[City]])</f>
        <v>Hyderabad</v>
      </c>
      <c r="J278" t="s">
        <v>115</v>
      </c>
      <c r="K278" t="s">
        <v>47</v>
      </c>
      <c r="L278" t="s">
        <v>27</v>
      </c>
      <c r="M278" t="s">
        <v>48</v>
      </c>
      <c r="N278" t="s">
        <v>48</v>
      </c>
      <c r="O278">
        <v>4</v>
      </c>
      <c r="P278">
        <v>880</v>
      </c>
      <c r="Q278">
        <v>0.1</v>
      </c>
      <c r="R278">
        <v>460</v>
      </c>
      <c r="S278" t="s">
        <v>80</v>
      </c>
      <c r="T278" t="s">
        <v>30</v>
      </c>
      <c r="U278">
        <v>3</v>
      </c>
      <c r="V278" t="s">
        <v>40</v>
      </c>
      <c r="W278">
        <f>excelsalesdata[[#This Row],[Quantity]]*excelsalesdata[[#This Row],[Unit_Price]]</f>
        <v>3520</v>
      </c>
      <c r="X278">
        <f>excelsalesdata[[#This Row],[Gross_sales]]*excelsalesdata[[#This Row],[Discount_%]]</f>
        <v>352</v>
      </c>
      <c r="Y278">
        <f>excelsalesdata[[#This Row],[Gross_sales]]-excelsalesdata[[#This Row],[Discount_amt]]</f>
        <v>3168</v>
      </c>
      <c r="Z278" s="4">
        <f>excelsalesdata[[#This Row],[Net_sales]]-excelsalesdata[[#This Row],[Cost]]</f>
        <v>2708</v>
      </c>
      <c r="AA278" s="5">
        <f>excelsalesdata[[#This Row],[Profit]]/excelsalesdata[[#This Row],[Net_sales]]</f>
        <v>0.85479797979797978</v>
      </c>
      <c r="AB278" s="4">
        <f>YEAR(excelsalesdata[[#This Row],[Order_Date]])</f>
        <v>2026</v>
      </c>
      <c r="AC278" s="4" t="str">
        <f>TEXT(excelsalesdata[[#This Row],[Order_Date]],"mmm")</f>
        <v>Jan</v>
      </c>
      <c r="AD278" s="4" t="str">
        <f>"Q"&amp;ROUNDUP(MONTH(excelsalesdata[[#This Row],[Order_Date]])/3,0)</f>
        <v>Q1</v>
      </c>
    </row>
    <row r="279" spans="1:30" x14ac:dyDescent="0.35">
      <c r="A279" t="s">
        <v>757</v>
      </c>
      <c r="B279" s="3">
        <v>46037</v>
      </c>
      <c r="C279" t="s">
        <v>177</v>
      </c>
      <c r="D279" t="s">
        <v>122</v>
      </c>
      <c r="E279" t="str">
        <f>TRIM(excelsalesdata[[#This Row],[Customer_Name]])</f>
        <v>Vikram Rao</v>
      </c>
      <c r="F279" t="s">
        <v>44</v>
      </c>
      <c r="G279">
        <v>45</v>
      </c>
      <c r="H279" t="s">
        <v>52</v>
      </c>
      <c r="I279" t="str">
        <f>TRIM(excelsalesdata[[#This Row],[City]])</f>
        <v>Bengaluru</v>
      </c>
      <c r="J279" t="s">
        <v>53</v>
      </c>
      <c r="K279" t="s">
        <v>47</v>
      </c>
      <c r="L279" t="s">
        <v>54</v>
      </c>
      <c r="M279" t="s">
        <v>129</v>
      </c>
      <c r="N279" t="s">
        <v>129</v>
      </c>
      <c r="O279">
        <v>4</v>
      </c>
      <c r="P279">
        <v>17090</v>
      </c>
      <c r="Q279">
        <v>0.1</v>
      </c>
      <c r="R279">
        <v>13040</v>
      </c>
      <c r="S279" t="s">
        <v>29</v>
      </c>
      <c r="T279" t="s">
        <v>30</v>
      </c>
      <c r="U279">
        <v>2</v>
      </c>
      <c r="V279" t="s">
        <v>40</v>
      </c>
      <c r="W279">
        <f>excelsalesdata[[#This Row],[Quantity]]*excelsalesdata[[#This Row],[Unit_Price]]</f>
        <v>68360</v>
      </c>
      <c r="X279">
        <f>excelsalesdata[[#This Row],[Gross_sales]]*excelsalesdata[[#This Row],[Discount_%]]</f>
        <v>6836</v>
      </c>
      <c r="Y279">
        <f>excelsalesdata[[#This Row],[Gross_sales]]-excelsalesdata[[#This Row],[Discount_amt]]</f>
        <v>61524</v>
      </c>
      <c r="Z279" s="4">
        <f>excelsalesdata[[#This Row],[Net_sales]]-excelsalesdata[[#This Row],[Cost]]</f>
        <v>48484</v>
      </c>
      <c r="AA279" s="5">
        <f>excelsalesdata[[#This Row],[Profit]]/excelsalesdata[[#This Row],[Net_sales]]</f>
        <v>0.78805019179507185</v>
      </c>
      <c r="AB279" s="4">
        <f>YEAR(excelsalesdata[[#This Row],[Order_Date]])</f>
        <v>2026</v>
      </c>
      <c r="AC279" s="4" t="str">
        <f>TEXT(excelsalesdata[[#This Row],[Order_Date]],"mmm")</f>
        <v>Jan</v>
      </c>
      <c r="AD279" s="4" t="str">
        <f>"Q"&amp;ROUNDUP(MONTH(excelsalesdata[[#This Row],[Order_Date]])/3,0)</f>
        <v>Q1</v>
      </c>
    </row>
    <row r="280" spans="1:30" x14ac:dyDescent="0.35">
      <c r="A280" t="s">
        <v>758</v>
      </c>
      <c r="B280" s="3">
        <v>46038</v>
      </c>
      <c r="C280" t="s">
        <v>759</v>
      </c>
      <c r="D280" t="s">
        <v>466</v>
      </c>
      <c r="E280" t="str">
        <f>TRIM(excelsalesdata[[#This Row],[Customer_Name]])</f>
        <v>Ishita Bhat</v>
      </c>
      <c r="F280" t="s">
        <v>23</v>
      </c>
      <c r="G280">
        <v>42</v>
      </c>
      <c r="H280" t="s">
        <v>78</v>
      </c>
      <c r="I280" t="str">
        <f>TRIM(excelsalesdata[[#This Row],[City]])</f>
        <v>Guwahati</v>
      </c>
      <c r="J280" t="s">
        <v>79</v>
      </c>
      <c r="K280" t="s">
        <v>37</v>
      </c>
      <c r="L280" t="s">
        <v>27</v>
      </c>
      <c r="M280" t="s">
        <v>48</v>
      </c>
      <c r="N280" t="s">
        <v>48</v>
      </c>
      <c r="O280">
        <v>1</v>
      </c>
      <c r="P280">
        <v>840</v>
      </c>
      <c r="Q280">
        <v>0.2</v>
      </c>
      <c r="R280">
        <v>460</v>
      </c>
      <c r="S280" t="s">
        <v>29</v>
      </c>
      <c r="T280" t="s">
        <v>30</v>
      </c>
      <c r="U280">
        <v>3</v>
      </c>
      <c r="V280" t="s">
        <v>40</v>
      </c>
      <c r="W280">
        <f>excelsalesdata[[#This Row],[Quantity]]*excelsalesdata[[#This Row],[Unit_Price]]</f>
        <v>840</v>
      </c>
      <c r="X280">
        <f>excelsalesdata[[#This Row],[Gross_sales]]*excelsalesdata[[#This Row],[Discount_%]]</f>
        <v>168</v>
      </c>
      <c r="Y280">
        <f>excelsalesdata[[#This Row],[Gross_sales]]-excelsalesdata[[#This Row],[Discount_amt]]</f>
        <v>672</v>
      </c>
      <c r="Z280" s="4">
        <f>excelsalesdata[[#This Row],[Net_sales]]-excelsalesdata[[#This Row],[Cost]]</f>
        <v>212</v>
      </c>
      <c r="AA280" s="5">
        <f>excelsalesdata[[#This Row],[Profit]]/excelsalesdata[[#This Row],[Net_sales]]</f>
        <v>0.31547619047619047</v>
      </c>
      <c r="AB280" s="4">
        <f>YEAR(excelsalesdata[[#This Row],[Order_Date]])</f>
        <v>2026</v>
      </c>
      <c r="AC280" s="4" t="str">
        <f>TEXT(excelsalesdata[[#This Row],[Order_Date]],"mmm")</f>
        <v>Jan</v>
      </c>
      <c r="AD280" s="4" t="str">
        <f>"Q"&amp;ROUNDUP(MONTH(excelsalesdata[[#This Row],[Order_Date]])/3,0)</f>
        <v>Q1</v>
      </c>
    </row>
    <row r="281" spans="1:30" x14ac:dyDescent="0.35">
      <c r="A281" t="s">
        <v>760</v>
      </c>
      <c r="B281" s="3">
        <v>46039</v>
      </c>
      <c r="C281" t="s">
        <v>761</v>
      </c>
      <c r="D281" t="s">
        <v>181</v>
      </c>
      <c r="E281" t="str">
        <f>TRIM(excelsalesdata[[#This Row],[Customer_Name]])</f>
        <v>Ananya Patel</v>
      </c>
      <c r="F281" t="s">
        <v>23</v>
      </c>
      <c r="G281">
        <v>52</v>
      </c>
      <c r="H281" t="s">
        <v>60</v>
      </c>
      <c r="I281" t="str">
        <f>TRIM(excelsalesdata[[#This Row],[City]])</f>
        <v>Chandigarh</v>
      </c>
      <c r="J281" t="s">
        <v>60</v>
      </c>
      <c r="K281" t="s">
        <v>61</v>
      </c>
      <c r="L281" t="s">
        <v>103</v>
      </c>
      <c r="M281" t="s">
        <v>104</v>
      </c>
      <c r="N281" t="s">
        <v>104</v>
      </c>
      <c r="O281">
        <v>1</v>
      </c>
      <c r="P281">
        <v>8370</v>
      </c>
      <c r="Q281">
        <v>0.2</v>
      </c>
      <c r="R281">
        <v>5820</v>
      </c>
      <c r="S281" t="s">
        <v>67</v>
      </c>
      <c r="T281" t="s">
        <v>30</v>
      </c>
      <c r="U281">
        <v>4</v>
      </c>
      <c r="V281" t="s">
        <v>31</v>
      </c>
      <c r="W281">
        <f>excelsalesdata[[#This Row],[Quantity]]*excelsalesdata[[#This Row],[Unit_Price]]</f>
        <v>8370</v>
      </c>
      <c r="X281">
        <f>excelsalesdata[[#This Row],[Gross_sales]]*excelsalesdata[[#This Row],[Discount_%]]</f>
        <v>1674</v>
      </c>
      <c r="Y281">
        <f>excelsalesdata[[#This Row],[Gross_sales]]-excelsalesdata[[#This Row],[Discount_amt]]</f>
        <v>6696</v>
      </c>
      <c r="Z281" s="4">
        <f>excelsalesdata[[#This Row],[Net_sales]]-excelsalesdata[[#This Row],[Cost]]</f>
        <v>876</v>
      </c>
      <c r="AA281" s="5">
        <f>excelsalesdata[[#This Row],[Profit]]/excelsalesdata[[#This Row],[Net_sales]]</f>
        <v>0.13082437275985664</v>
      </c>
      <c r="AB281" s="4">
        <f>YEAR(excelsalesdata[[#This Row],[Order_Date]])</f>
        <v>2026</v>
      </c>
      <c r="AC281" s="4" t="str">
        <f>TEXT(excelsalesdata[[#This Row],[Order_Date]],"mmm")</f>
        <v>Jan</v>
      </c>
      <c r="AD281" s="4" t="str">
        <f>"Q"&amp;ROUNDUP(MONTH(excelsalesdata[[#This Row],[Order_Date]])/3,0)</f>
        <v>Q1</v>
      </c>
    </row>
    <row r="282" spans="1:30" x14ac:dyDescent="0.35">
      <c r="A282" t="s">
        <v>762</v>
      </c>
      <c r="B282" s="3">
        <v>46040</v>
      </c>
      <c r="C282" t="s">
        <v>763</v>
      </c>
      <c r="D282" t="s">
        <v>198</v>
      </c>
      <c r="E282" t="str">
        <f>TRIM(excelsalesdata[[#This Row],[Customer_Name]])</f>
        <v>Rohan Iyer</v>
      </c>
      <c r="F282" t="s">
        <v>44</v>
      </c>
      <c r="G282">
        <v>38</v>
      </c>
      <c r="H282" t="s">
        <v>133</v>
      </c>
      <c r="I282" t="str">
        <f>TRIM(excelsalesdata[[#This Row],[City]])</f>
        <v>Jaipur</v>
      </c>
      <c r="J282" t="s">
        <v>134</v>
      </c>
      <c r="K282" t="s">
        <v>61</v>
      </c>
      <c r="L282" t="s">
        <v>103</v>
      </c>
      <c r="M282" t="s">
        <v>104</v>
      </c>
      <c r="N282" t="s">
        <v>104</v>
      </c>
      <c r="O282">
        <v>1</v>
      </c>
      <c r="P282">
        <v>8820</v>
      </c>
      <c r="Q282">
        <v>0.1</v>
      </c>
      <c r="R282">
        <v>5480</v>
      </c>
      <c r="S282" t="s">
        <v>80</v>
      </c>
      <c r="T282" t="s">
        <v>30</v>
      </c>
      <c r="U282">
        <v>4</v>
      </c>
      <c r="V282" t="s">
        <v>40</v>
      </c>
      <c r="W282">
        <f>excelsalesdata[[#This Row],[Quantity]]*excelsalesdata[[#This Row],[Unit_Price]]</f>
        <v>8820</v>
      </c>
      <c r="X282">
        <f>excelsalesdata[[#This Row],[Gross_sales]]*excelsalesdata[[#This Row],[Discount_%]]</f>
        <v>882</v>
      </c>
      <c r="Y282">
        <f>excelsalesdata[[#This Row],[Gross_sales]]-excelsalesdata[[#This Row],[Discount_amt]]</f>
        <v>7938</v>
      </c>
      <c r="Z282" s="4">
        <f>excelsalesdata[[#This Row],[Net_sales]]-excelsalesdata[[#This Row],[Cost]]</f>
        <v>2458</v>
      </c>
      <c r="AA282" s="5">
        <f>excelsalesdata[[#This Row],[Profit]]/excelsalesdata[[#This Row],[Net_sales]]</f>
        <v>0.30964978584026204</v>
      </c>
      <c r="AB282" s="4">
        <f>YEAR(excelsalesdata[[#This Row],[Order_Date]])</f>
        <v>2026</v>
      </c>
      <c r="AC282" s="4" t="str">
        <f>TEXT(excelsalesdata[[#This Row],[Order_Date]],"mmm")</f>
        <v>Jan</v>
      </c>
      <c r="AD282" s="4" t="str">
        <f>"Q"&amp;ROUNDUP(MONTH(excelsalesdata[[#This Row],[Order_Date]])/3,0)</f>
        <v>Q1</v>
      </c>
    </row>
    <row r="283" spans="1:30" x14ac:dyDescent="0.35">
      <c r="A283" t="s">
        <v>764</v>
      </c>
      <c r="B283" s="3">
        <v>46041</v>
      </c>
      <c r="C283" t="s">
        <v>307</v>
      </c>
      <c r="D283" t="s">
        <v>534</v>
      </c>
      <c r="E283" t="str">
        <f>TRIM(excelsalesdata[[#This Row],[Customer_Name]])</f>
        <v>Ananya Kumar</v>
      </c>
      <c r="F283" t="s">
        <v>44</v>
      </c>
      <c r="G283">
        <v>22</v>
      </c>
      <c r="H283" t="s">
        <v>98</v>
      </c>
      <c r="I283" t="str">
        <f>TRIM(excelsalesdata[[#This Row],[City]])</f>
        <v>Mumbai</v>
      </c>
      <c r="J283" t="s">
        <v>25</v>
      </c>
      <c r="K283" t="s">
        <v>26</v>
      </c>
      <c r="L283" t="s">
        <v>85</v>
      </c>
      <c r="M283" t="s">
        <v>172</v>
      </c>
      <c r="N283" t="s">
        <v>172</v>
      </c>
      <c r="O283">
        <v>3</v>
      </c>
      <c r="P283">
        <v>4610</v>
      </c>
      <c r="Q283">
        <v>0.25</v>
      </c>
      <c r="R283">
        <v>2890</v>
      </c>
      <c r="S283" t="s">
        <v>105</v>
      </c>
      <c r="T283" t="s">
        <v>30</v>
      </c>
      <c r="U283">
        <v>6</v>
      </c>
      <c r="V283" t="s">
        <v>40</v>
      </c>
      <c r="W283">
        <f>excelsalesdata[[#This Row],[Quantity]]*excelsalesdata[[#This Row],[Unit_Price]]</f>
        <v>13830</v>
      </c>
      <c r="X283">
        <f>excelsalesdata[[#This Row],[Gross_sales]]*excelsalesdata[[#This Row],[Discount_%]]</f>
        <v>3457.5</v>
      </c>
      <c r="Y283">
        <f>excelsalesdata[[#This Row],[Gross_sales]]-excelsalesdata[[#This Row],[Discount_amt]]</f>
        <v>10372.5</v>
      </c>
      <c r="Z283" s="4">
        <f>excelsalesdata[[#This Row],[Net_sales]]-excelsalesdata[[#This Row],[Cost]]</f>
        <v>7482.5</v>
      </c>
      <c r="AA283" s="5">
        <f>excelsalesdata[[#This Row],[Profit]]/excelsalesdata[[#This Row],[Net_sales]]</f>
        <v>0.72137864545673658</v>
      </c>
      <c r="AB283" s="4">
        <f>YEAR(excelsalesdata[[#This Row],[Order_Date]])</f>
        <v>2026</v>
      </c>
      <c r="AC283" s="4" t="str">
        <f>TEXT(excelsalesdata[[#This Row],[Order_Date]],"mmm")</f>
        <v>Jan</v>
      </c>
      <c r="AD283" s="4" t="str">
        <f>"Q"&amp;ROUNDUP(MONTH(excelsalesdata[[#This Row],[Order_Date]])/3,0)</f>
        <v>Q1</v>
      </c>
    </row>
    <row r="284" spans="1:30" x14ac:dyDescent="0.35">
      <c r="A284" t="s">
        <v>765</v>
      </c>
      <c r="B284" s="3">
        <v>46042</v>
      </c>
      <c r="C284" t="s">
        <v>607</v>
      </c>
      <c r="D284" t="s">
        <v>305</v>
      </c>
      <c r="E284" t="str">
        <f>TRIM(excelsalesdata[[#This Row],[Customer_Name]])</f>
        <v>Priya Reddy</v>
      </c>
      <c r="F284" t="s">
        <v>44</v>
      </c>
      <c r="G284">
        <v>28</v>
      </c>
      <c r="H284" t="s">
        <v>35</v>
      </c>
      <c r="I284" t="str">
        <f>TRIM(excelsalesdata[[#This Row],[City]])</f>
        <v>Kolkata</v>
      </c>
      <c r="J284" t="s">
        <v>36</v>
      </c>
      <c r="K284" t="s">
        <v>37</v>
      </c>
      <c r="L284" t="s">
        <v>103</v>
      </c>
      <c r="M284" t="s">
        <v>312</v>
      </c>
      <c r="N284" t="s">
        <v>312</v>
      </c>
      <c r="O284">
        <v>2</v>
      </c>
      <c r="P284">
        <v>6460</v>
      </c>
      <c r="Q284">
        <v>0</v>
      </c>
      <c r="R284">
        <v>4400</v>
      </c>
      <c r="S284" t="s">
        <v>29</v>
      </c>
      <c r="T284" t="s">
        <v>30</v>
      </c>
      <c r="U284">
        <v>4</v>
      </c>
      <c r="V284" t="s">
        <v>40</v>
      </c>
      <c r="W284">
        <f>excelsalesdata[[#This Row],[Quantity]]*excelsalesdata[[#This Row],[Unit_Price]]</f>
        <v>12920</v>
      </c>
      <c r="X284">
        <f>excelsalesdata[[#This Row],[Gross_sales]]*excelsalesdata[[#This Row],[Discount_%]]</f>
        <v>0</v>
      </c>
      <c r="Y284">
        <f>excelsalesdata[[#This Row],[Gross_sales]]-excelsalesdata[[#This Row],[Discount_amt]]</f>
        <v>12920</v>
      </c>
      <c r="Z284" s="4">
        <f>excelsalesdata[[#This Row],[Net_sales]]-excelsalesdata[[#This Row],[Cost]]</f>
        <v>8520</v>
      </c>
      <c r="AA284" s="5">
        <f>excelsalesdata[[#This Row],[Profit]]/excelsalesdata[[#This Row],[Net_sales]]</f>
        <v>0.65944272445820429</v>
      </c>
      <c r="AB284" s="4">
        <f>YEAR(excelsalesdata[[#This Row],[Order_Date]])</f>
        <v>2026</v>
      </c>
      <c r="AC284" s="4" t="str">
        <f>TEXT(excelsalesdata[[#This Row],[Order_Date]],"mmm")</f>
        <v>Jan</v>
      </c>
      <c r="AD284" s="4" t="str">
        <f>"Q"&amp;ROUNDUP(MONTH(excelsalesdata[[#This Row],[Order_Date]])/3,0)</f>
        <v>Q1</v>
      </c>
    </row>
    <row r="285" spans="1:30" x14ac:dyDescent="0.35">
      <c r="A285" t="s">
        <v>766</v>
      </c>
      <c r="B285" s="3">
        <v>46043</v>
      </c>
      <c r="C285" t="s">
        <v>767</v>
      </c>
      <c r="D285" t="s">
        <v>770</v>
      </c>
      <c r="E285" t="str">
        <f>TRIM(excelsalesdata[[#This Row],[Customer_Name]])</f>
        <v>Karan Naidu</v>
      </c>
      <c r="F285" t="s">
        <v>23</v>
      </c>
      <c r="G285">
        <v>45</v>
      </c>
      <c r="H285" t="s">
        <v>60</v>
      </c>
      <c r="I285" t="str">
        <f>TRIM(excelsalesdata[[#This Row],[City]])</f>
        <v>Chandigarh</v>
      </c>
      <c r="J285" t="s">
        <v>60</v>
      </c>
      <c r="K285" t="s">
        <v>61</v>
      </c>
      <c r="L285" t="s">
        <v>54</v>
      </c>
      <c r="M285" t="s">
        <v>157</v>
      </c>
      <c r="N285" t="s">
        <v>157</v>
      </c>
      <c r="O285">
        <v>3</v>
      </c>
      <c r="P285">
        <v>57180</v>
      </c>
      <c r="Q285">
        <v>0.1</v>
      </c>
      <c r="R285">
        <v>40930</v>
      </c>
      <c r="S285" t="s">
        <v>80</v>
      </c>
      <c r="T285" t="s">
        <v>30</v>
      </c>
      <c r="U285">
        <v>1</v>
      </c>
      <c r="V285" t="s">
        <v>31</v>
      </c>
      <c r="W285">
        <f>excelsalesdata[[#This Row],[Quantity]]*excelsalesdata[[#This Row],[Unit_Price]]</f>
        <v>171540</v>
      </c>
      <c r="X285">
        <f>excelsalesdata[[#This Row],[Gross_sales]]*excelsalesdata[[#This Row],[Discount_%]]</f>
        <v>17154</v>
      </c>
      <c r="Y285">
        <f>excelsalesdata[[#This Row],[Gross_sales]]-excelsalesdata[[#This Row],[Discount_amt]]</f>
        <v>154386</v>
      </c>
      <c r="Z285" s="4">
        <f>excelsalesdata[[#This Row],[Net_sales]]-excelsalesdata[[#This Row],[Cost]]</f>
        <v>113456</v>
      </c>
      <c r="AA285" s="5">
        <f>excelsalesdata[[#This Row],[Profit]]/excelsalesdata[[#This Row],[Net_sales]]</f>
        <v>0.73488528752607096</v>
      </c>
      <c r="AB285" s="4">
        <f>YEAR(excelsalesdata[[#This Row],[Order_Date]])</f>
        <v>2026</v>
      </c>
      <c r="AC285" s="4" t="str">
        <f>TEXT(excelsalesdata[[#This Row],[Order_Date]],"mmm")</f>
        <v>Jan</v>
      </c>
      <c r="AD285" s="4" t="str">
        <f>"Q"&amp;ROUNDUP(MONTH(excelsalesdata[[#This Row],[Order_Date]])/3,0)</f>
        <v>Q1</v>
      </c>
    </row>
    <row r="286" spans="1:30" x14ac:dyDescent="0.35">
      <c r="A286" t="s">
        <v>768</v>
      </c>
      <c r="B286" s="3">
        <v>46044</v>
      </c>
      <c r="C286" t="s">
        <v>769</v>
      </c>
      <c r="D286" t="s">
        <v>175</v>
      </c>
      <c r="E286" t="str">
        <f>TRIM(excelsalesdata[[#This Row],[Customer_Name]])</f>
        <v>Kavya Naidu</v>
      </c>
      <c r="F286" t="s">
        <v>44</v>
      </c>
      <c r="G286">
        <v>29</v>
      </c>
      <c r="H286" t="s">
        <v>52</v>
      </c>
      <c r="I286" t="str">
        <f>TRIM(excelsalesdata[[#This Row],[City]])</f>
        <v>Bengaluru</v>
      </c>
      <c r="J286" t="s">
        <v>53</v>
      </c>
      <c r="K286" t="s">
        <v>47</v>
      </c>
      <c r="L286" t="s">
        <v>27</v>
      </c>
      <c r="M286" t="s">
        <v>123</v>
      </c>
      <c r="N286" t="s">
        <v>123</v>
      </c>
      <c r="O286">
        <v>2</v>
      </c>
      <c r="P286">
        <v>2690</v>
      </c>
      <c r="Q286">
        <v>0.1</v>
      </c>
      <c r="R286">
        <v>1580</v>
      </c>
      <c r="S286" t="s">
        <v>151</v>
      </c>
      <c r="T286" t="s">
        <v>74</v>
      </c>
      <c r="U286">
        <v>3</v>
      </c>
      <c r="V286" t="s">
        <v>40</v>
      </c>
      <c r="W286">
        <f>excelsalesdata[[#This Row],[Quantity]]*excelsalesdata[[#This Row],[Unit_Price]]</f>
        <v>5380</v>
      </c>
      <c r="X286">
        <f>excelsalesdata[[#This Row],[Gross_sales]]*excelsalesdata[[#This Row],[Discount_%]]</f>
        <v>538</v>
      </c>
      <c r="Y286">
        <f>excelsalesdata[[#This Row],[Gross_sales]]-excelsalesdata[[#This Row],[Discount_amt]]</f>
        <v>4842</v>
      </c>
      <c r="Z286" s="4">
        <f>excelsalesdata[[#This Row],[Net_sales]]-excelsalesdata[[#This Row],[Cost]]</f>
        <v>3262</v>
      </c>
      <c r="AA286" s="5">
        <f>excelsalesdata[[#This Row],[Profit]]/excelsalesdata[[#This Row],[Net_sales]]</f>
        <v>0.67368855844692277</v>
      </c>
      <c r="AB286" s="4">
        <f>YEAR(excelsalesdata[[#This Row],[Order_Date]])</f>
        <v>2026</v>
      </c>
      <c r="AC286" s="4" t="str">
        <f>TEXT(excelsalesdata[[#This Row],[Order_Date]],"mmm")</f>
        <v>Jan</v>
      </c>
      <c r="AD286" s="4" t="str">
        <f>"Q"&amp;ROUNDUP(MONTH(excelsalesdata[[#This Row],[Order_Date]])/3,0)</f>
        <v>Q1</v>
      </c>
    </row>
    <row r="287" spans="1:30" x14ac:dyDescent="0.35">
      <c r="A287" t="s">
        <v>771</v>
      </c>
      <c r="B287" s="3">
        <v>46045</v>
      </c>
      <c r="C287" t="s">
        <v>537</v>
      </c>
      <c r="D287" t="s">
        <v>713</v>
      </c>
      <c r="E287" t="str">
        <f>TRIM(excelsalesdata[[#This Row],[Customer_Name]])</f>
        <v>Meera Singh</v>
      </c>
      <c r="F287" t="s">
        <v>44</v>
      </c>
      <c r="G287">
        <v>43</v>
      </c>
      <c r="H287" t="s">
        <v>35</v>
      </c>
      <c r="I287" t="str">
        <f>TRIM(excelsalesdata[[#This Row],[City]])</f>
        <v>Kolkata</v>
      </c>
      <c r="J287" t="s">
        <v>36</v>
      </c>
      <c r="K287" t="s">
        <v>37</v>
      </c>
      <c r="L287" t="s">
        <v>54</v>
      </c>
      <c r="M287" t="s">
        <v>129</v>
      </c>
      <c r="N287" t="s">
        <v>129</v>
      </c>
      <c r="O287">
        <v>1</v>
      </c>
      <c r="P287">
        <v>19190</v>
      </c>
      <c r="Q287">
        <v>0.1</v>
      </c>
      <c r="R287">
        <v>12100</v>
      </c>
      <c r="S287" t="s">
        <v>29</v>
      </c>
      <c r="T287" t="s">
        <v>30</v>
      </c>
      <c r="U287">
        <v>5</v>
      </c>
      <c r="V287" t="s">
        <v>40</v>
      </c>
      <c r="W287">
        <f>excelsalesdata[[#This Row],[Quantity]]*excelsalesdata[[#This Row],[Unit_Price]]</f>
        <v>19190</v>
      </c>
      <c r="X287">
        <f>excelsalesdata[[#This Row],[Gross_sales]]*excelsalesdata[[#This Row],[Discount_%]]</f>
        <v>1919</v>
      </c>
      <c r="Y287">
        <f>excelsalesdata[[#This Row],[Gross_sales]]-excelsalesdata[[#This Row],[Discount_amt]]</f>
        <v>17271</v>
      </c>
      <c r="Z287" s="4">
        <f>excelsalesdata[[#This Row],[Net_sales]]-excelsalesdata[[#This Row],[Cost]]</f>
        <v>5171</v>
      </c>
      <c r="AA287" s="5">
        <f>excelsalesdata[[#This Row],[Profit]]/excelsalesdata[[#This Row],[Net_sales]]</f>
        <v>0.29940362457298364</v>
      </c>
      <c r="AB287" s="4">
        <f>YEAR(excelsalesdata[[#This Row],[Order_Date]])</f>
        <v>2026</v>
      </c>
      <c r="AC287" s="4" t="str">
        <f>TEXT(excelsalesdata[[#This Row],[Order_Date]],"mmm")</f>
        <v>Jan</v>
      </c>
      <c r="AD287" s="4" t="str">
        <f>"Q"&amp;ROUNDUP(MONTH(excelsalesdata[[#This Row],[Order_Date]])/3,0)</f>
        <v>Q1</v>
      </c>
    </row>
    <row r="288" spans="1:30" x14ac:dyDescent="0.35">
      <c r="A288" t="s">
        <v>772</v>
      </c>
      <c r="B288" s="3">
        <v>46046</v>
      </c>
      <c r="C288" t="s">
        <v>773</v>
      </c>
      <c r="D288" t="s">
        <v>776</v>
      </c>
      <c r="E288" t="str">
        <f>TRIM(excelsalesdata[[#This Row],[Customer_Name]])</f>
        <v>Ananya Shah</v>
      </c>
      <c r="F288" t="s">
        <v>44</v>
      </c>
      <c r="G288">
        <v>23</v>
      </c>
      <c r="H288" t="s">
        <v>45</v>
      </c>
      <c r="I288" t="str">
        <f>TRIM(excelsalesdata[[#This Row],[City]])</f>
        <v>Kochi</v>
      </c>
      <c r="J288" t="s">
        <v>46</v>
      </c>
      <c r="K288" t="s">
        <v>47</v>
      </c>
      <c r="L288" t="s">
        <v>85</v>
      </c>
      <c r="M288" t="s">
        <v>251</v>
      </c>
      <c r="N288" t="s">
        <v>251</v>
      </c>
      <c r="O288">
        <v>1</v>
      </c>
      <c r="P288">
        <v>3250</v>
      </c>
      <c r="Q288">
        <v>0.25</v>
      </c>
      <c r="R288">
        <v>1860</v>
      </c>
      <c r="S288" t="s">
        <v>29</v>
      </c>
      <c r="T288" t="s">
        <v>30</v>
      </c>
      <c r="U288">
        <v>4</v>
      </c>
      <c r="V288" t="s">
        <v>40</v>
      </c>
      <c r="W288">
        <f>excelsalesdata[[#This Row],[Quantity]]*excelsalesdata[[#This Row],[Unit_Price]]</f>
        <v>3250</v>
      </c>
      <c r="X288">
        <f>excelsalesdata[[#This Row],[Gross_sales]]*excelsalesdata[[#This Row],[Discount_%]]</f>
        <v>812.5</v>
      </c>
      <c r="Y288">
        <f>excelsalesdata[[#This Row],[Gross_sales]]-excelsalesdata[[#This Row],[Discount_amt]]</f>
        <v>2437.5</v>
      </c>
      <c r="Z288" s="4">
        <f>excelsalesdata[[#This Row],[Net_sales]]-excelsalesdata[[#This Row],[Cost]]</f>
        <v>577.5</v>
      </c>
      <c r="AA288" s="5">
        <f>excelsalesdata[[#This Row],[Profit]]/excelsalesdata[[#This Row],[Net_sales]]</f>
        <v>0.23692307692307693</v>
      </c>
      <c r="AB288" s="4">
        <f>YEAR(excelsalesdata[[#This Row],[Order_Date]])</f>
        <v>2026</v>
      </c>
      <c r="AC288" s="4" t="str">
        <f>TEXT(excelsalesdata[[#This Row],[Order_Date]],"mmm")</f>
        <v>Jan</v>
      </c>
      <c r="AD288" s="4" t="str">
        <f>"Q"&amp;ROUNDUP(MONTH(excelsalesdata[[#This Row],[Order_Date]])/3,0)</f>
        <v>Q1</v>
      </c>
    </row>
    <row r="289" spans="1:30" x14ac:dyDescent="0.35">
      <c r="A289" t="s">
        <v>774</v>
      </c>
      <c r="B289" s="3">
        <v>46047</v>
      </c>
      <c r="C289" t="s">
        <v>775</v>
      </c>
      <c r="D289" t="s">
        <v>637</v>
      </c>
      <c r="E289" t="str">
        <f>TRIM(excelsalesdata[[#This Row],[Customer_Name]])</f>
        <v>Vikram Verma</v>
      </c>
      <c r="F289" t="s">
        <v>23</v>
      </c>
      <c r="G289">
        <v>24</v>
      </c>
      <c r="H289" t="s">
        <v>60</v>
      </c>
      <c r="I289" t="str">
        <f>TRIM(excelsalesdata[[#This Row],[City]])</f>
        <v>Chandigarh</v>
      </c>
      <c r="J289" t="s">
        <v>60</v>
      </c>
      <c r="K289" t="s">
        <v>61</v>
      </c>
      <c r="L289" t="s">
        <v>54</v>
      </c>
      <c r="M289" t="s">
        <v>66</v>
      </c>
      <c r="N289" t="s">
        <v>66</v>
      </c>
      <c r="O289">
        <v>3</v>
      </c>
      <c r="P289">
        <v>2320</v>
      </c>
      <c r="Q289">
        <v>0.15</v>
      </c>
      <c r="R289">
        <v>1520</v>
      </c>
      <c r="S289" t="s">
        <v>29</v>
      </c>
      <c r="T289" t="s">
        <v>30</v>
      </c>
      <c r="U289">
        <v>7</v>
      </c>
      <c r="V289" t="s">
        <v>40</v>
      </c>
      <c r="W289">
        <f>excelsalesdata[[#This Row],[Quantity]]*excelsalesdata[[#This Row],[Unit_Price]]</f>
        <v>6960</v>
      </c>
      <c r="X289">
        <f>excelsalesdata[[#This Row],[Gross_sales]]*excelsalesdata[[#This Row],[Discount_%]]</f>
        <v>1044</v>
      </c>
      <c r="Y289">
        <f>excelsalesdata[[#This Row],[Gross_sales]]-excelsalesdata[[#This Row],[Discount_amt]]</f>
        <v>5916</v>
      </c>
      <c r="Z289" s="4">
        <f>excelsalesdata[[#This Row],[Net_sales]]-excelsalesdata[[#This Row],[Cost]]</f>
        <v>4396</v>
      </c>
      <c r="AA289" s="5">
        <f>excelsalesdata[[#This Row],[Profit]]/excelsalesdata[[#This Row],[Net_sales]]</f>
        <v>0.7430696416497633</v>
      </c>
      <c r="AB289" s="4">
        <f>YEAR(excelsalesdata[[#This Row],[Order_Date]])</f>
        <v>2026</v>
      </c>
      <c r="AC289" s="4" t="str">
        <f>TEXT(excelsalesdata[[#This Row],[Order_Date]],"mmm")</f>
        <v>Jan</v>
      </c>
      <c r="AD289" s="4" t="str">
        <f>"Q"&amp;ROUNDUP(MONTH(excelsalesdata[[#This Row],[Order_Date]])/3,0)</f>
        <v>Q1</v>
      </c>
    </row>
    <row r="290" spans="1:30" x14ac:dyDescent="0.35">
      <c r="A290" t="s">
        <v>777</v>
      </c>
      <c r="B290" s="3">
        <v>46048</v>
      </c>
      <c r="C290" t="s">
        <v>767</v>
      </c>
      <c r="D290" t="s">
        <v>282</v>
      </c>
      <c r="E290" t="str">
        <f>TRIM(excelsalesdata[[#This Row],[Customer_Name]])</f>
        <v>Priya Bhat</v>
      </c>
      <c r="F290" t="s">
        <v>44</v>
      </c>
      <c r="G290">
        <v>24</v>
      </c>
      <c r="H290" t="s">
        <v>185</v>
      </c>
      <c r="I290" t="str">
        <f>TRIM(excelsalesdata[[#This Row],[City]])</f>
        <v>Lucknow</v>
      </c>
      <c r="J290" t="s">
        <v>186</v>
      </c>
      <c r="K290" t="s">
        <v>61</v>
      </c>
      <c r="L290" t="s">
        <v>85</v>
      </c>
      <c r="M290" t="s">
        <v>202</v>
      </c>
      <c r="N290" t="s">
        <v>202</v>
      </c>
      <c r="O290">
        <v>1</v>
      </c>
      <c r="P290">
        <v>890</v>
      </c>
      <c r="Q290">
        <v>0.15</v>
      </c>
      <c r="R290">
        <v>410</v>
      </c>
      <c r="S290" t="s">
        <v>29</v>
      </c>
      <c r="T290" t="s">
        <v>30</v>
      </c>
      <c r="U290">
        <v>2</v>
      </c>
      <c r="V290" t="s">
        <v>31</v>
      </c>
      <c r="W290">
        <f>excelsalesdata[[#This Row],[Quantity]]*excelsalesdata[[#This Row],[Unit_Price]]</f>
        <v>890</v>
      </c>
      <c r="X290">
        <f>excelsalesdata[[#This Row],[Gross_sales]]*excelsalesdata[[#This Row],[Discount_%]]</f>
        <v>133.5</v>
      </c>
      <c r="Y290">
        <f>excelsalesdata[[#This Row],[Gross_sales]]-excelsalesdata[[#This Row],[Discount_amt]]</f>
        <v>756.5</v>
      </c>
      <c r="Z290" s="4">
        <f>excelsalesdata[[#This Row],[Net_sales]]-excelsalesdata[[#This Row],[Cost]]</f>
        <v>346.5</v>
      </c>
      <c r="AA290" s="5">
        <f>excelsalesdata[[#This Row],[Profit]]/excelsalesdata[[#This Row],[Net_sales]]</f>
        <v>0.45803040317250493</v>
      </c>
      <c r="AB290" s="4">
        <f>YEAR(excelsalesdata[[#This Row],[Order_Date]])</f>
        <v>2026</v>
      </c>
      <c r="AC290" s="4" t="str">
        <f>TEXT(excelsalesdata[[#This Row],[Order_Date]],"mmm")</f>
        <v>Jan</v>
      </c>
      <c r="AD290" s="4" t="str">
        <f>"Q"&amp;ROUNDUP(MONTH(excelsalesdata[[#This Row],[Order_Date]])/3,0)</f>
        <v>Q1</v>
      </c>
    </row>
    <row r="291" spans="1:30" x14ac:dyDescent="0.35">
      <c r="A291" t="s">
        <v>778</v>
      </c>
      <c r="B291" s="3">
        <v>46049</v>
      </c>
      <c r="C291" t="s">
        <v>779</v>
      </c>
      <c r="D291" t="s">
        <v>626</v>
      </c>
      <c r="E291" t="str">
        <f>TRIM(excelsalesdata[[#This Row],[Customer_Name]])</f>
        <v>Aditya Rao</v>
      </c>
      <c r="F291" t="s">
        <v>44</v>
      </c>
      <c r="G291">
        <v>43</v>
      </c>
      <c r="H291" t="s">
        <v>60</v>
      </c>
      <c r="I291" t="str">
        <f>TRIM(excelsalesdata[[#This Row],[City]])</f>
        <v>Chandigarh</v>
      </c>
      <c r="J291" t="s">
        <v>60</v>
      </c>
      <c r="K291" t="s">
        <v>61</v>
      </c>
      <c r="L291" t="s">
        <v>27</v>
      </c>
      <c r="M291" t="s">
        <v>48</v>
      </c>
      <c r="N291" t="s">
        <v>48</v>
      </c>
      <c r="O291">
        <v>2</v>
      </c>
      <c r="P291">
        <v>860</v>
      </c>
      <c r="Q291">
        <v>0.1</v>
      </c>
      <c r="R291">
        <v>460</v>
      </c>
      <c r="S291" t="s">
        <v>56</v>
      </c>
      <c r="T291" t="s">
        <v>30</v>
      </c>
      <c r="U291">
        <v>6</v>
      </c>
      <c r="V291" t="s">
        <v>40</v>
      </c>
      <c r="W291">
        <f>excelsalesdata[[#This Row],[Quantity]]*excelsalesdata[[#This Row],[Unit_Price]]</f>
        <v>1720</v>
      </c>
      <c r="X291">
        <f>excelsalesdata[[#This Row],[Gross_sales]]*excelsalesdata[[#This Row],[Discount_%]]</f>
        <v>172</v>
      </c>
      <c r="Y291">
        <f>excelsalesdata[[#This Row],[Gross_sales]]-excelsalesdata[[#This Row],[Discount_amt]]</f>
        <v>1548</v>
      </c>
      <c r="Z291" s="4">
        <f>excelsalesdata[[#This Row],[Net_sales]]-excelsalesdata[[#This Row],[Cost]]</f>
        <v>1088</v>
      </c>
      <c r="AA291" s="5">
        <f>excelsalesdata[[#This Row],[Profit]]/excelsalesdata[[#This Row],[Net_sales]]</f>
        <v>0.70284237726098187</v>
      </c>
      <c r="AB291" s="4">
        <f>YEAR(excelsalesdata[[#This Row],[Order_Date]])</f>
        <v>2026</v>
      </c>
      <c r="AC291" s="4" t="str">
        <f>TEXT(excelsalesdata[[#This Row],[Order_Date]],"mmm")</f>
        <v>Jan</v>
      </c>
      <c r="AD291" s="4" t="str">
        <f>"Q"&amp;ROUNDUP(MONTH(excelsalesdata[[#This Row],[Order_Date]])/3,0)</f>
        <v>Q1</v>
      </c>
    </row>
    <row r="292" spans="1:30" x14ac:dyDescent="0.35">
      <c r="A292" t="s">
        <v>780</v>
      </c>
      <c r="B292" s="3">
        <v>46050</v>
      </c>
      <c r="C292" t="s">
        <v>405</v>
      </c>
      <c r="D292" t="s">
        <v>540</v>
      </c>
      <c r="E292" t="str">
        <f>TRIM(excelsalesdata[[#This Row],[Customer_Name]])</f>
        <v>Priya Kumar</v>
      </c>
      <c r="F292" t="s">
        <v>23</v>
      </c>
      <c r="G292">
        <v>33</v>
      </c>
      <c r="H292" t="s">
        <v>114</v>
      </c>
      <c r="I292" t="str">
        <f>TRIM(excelsalesdata[[#This Row],[City]])</f>
        <v>Hyderabad</v>
      </c>
      <c r="J292" t="s">
        <v>115</v>
      </c>
      <c r="K292" t="s">
        <v>47</v>
      </c>
      <c r="L292" t="s">
        <v>54</v>
      </c>
      <c r="M292" t="s">
        <v>157</v>
      </c>
      <c r="N292" t="s">
        <v>157</v>
      </c>
      <c r="O292">
        <v>1</v>
      </c>
      <c r="P292">
        <v>57470</v>
      </c>
      <c r="Q292">
        <v>0.1</v>
      </c>
      <c r="R292">
        <v>41760</v>
      </c>
      <c r="S292" t="s">
        <v>67</v>
      </c>
      <c r="T292" t="s">
        <v>30</v>
      </c>
      <c r="U292">
        <v>1</v>
      </c>
      <c r="V292" t="s">
        <v>31</v>
      </c>
      <c r="W292">
        <f>excelsalesdata[[#This Row],[Quantity]]*excelsalesdata[[#This Row],[Unit_Price]]</f>
        <v>57470</v>
      </c>
      <c r="X292">
        <f>excelsalesdata[[#This Row],[Gross_sales]]*excelsalesdata[[#This Row],[Discount_%]]</f>
        <v>5747</v>
      </c>
      <c r="Y292">
        <f>excelsalesdata[[#This Row],[Gross_sales]]-excelsalesdata[[#This Row],[Discount_amt]]</f>
        <v>51723</v>
      </c>
      <c r="Z292" s="4">
        <f>excelsalesdata[[#This Row],[Net_sales]]-excelsalesdata[[#This Row],[Cost]]</f>
        <v>9963</v>
      </c>
      <c r="AA292" s="5">
        <f>excelsalesdata[[#This Row],[Profit]]/excelsalesdata[[#This Row],[Net_sales]]</f>
        <v>0.19262223768922918</v>
      </c>
      <c r="AB292" s="4">
        <f>YEAR(excelsalesdata[[#This Row],[Order_Date]])</f>
        <v>2026</v>
      </c>
      <c r="AC292" s="4" t="str">
        <f>TEXT(excelsalesdata[[#This Row],[Order_Date]],"mmm")</f>
        <v>Jan</v>
      </c>
      <c r="AD292" s="4" t="str">
        <f>"Q"&amp;ROUNDUP(MONTH(excelsalesdata[[#This Row],[Order_Date]])/3,0)</f>
        <v>Q1</v>
      </c>
    </row>
    <row r="293" spans="1:30" x14ac:dyDescent="0.35">
      <c r="A293" t="s">
        <v>781</v>
      </c>
      <c r="B293" s="3">
        <v>46051</v>
      </c>
      <c r="C293" t="s">
        <v>782</v>
      </c>
      <c r="D293" t="s">
        <v>655</v>
      </c>
      <c r="E293" t="str">
        <f>TRIM(excelsalesdata[[#This Row],[Customer_Name]])</f>
        <v>Arjun Naidu</v>
      </c>
      <c r="F293" t="s">
        <v>23</v>
      </c>
      <c r="G293">
        <v>23</v>
      </c>
      <c r="H293" t="s">
        <v>168</v>
      </c>
      <c r="I293" t="str">
        <f>TRIM(excelsalesdata[[#This Row],[City]])</f>
        <v>Delhi</v>
      </c>
      <c r="J293" t="s">
        <v>168</v>
      </c>
      <c r="K293" t="s">
        <v>61</v>
      </c>
      <c r="L293" t="s">
        <v>103</v>
      </c>
      <c r="M293" t="s">
        <v>312</v>
      </c>
      <c r="N293" t="s">
        <v>312</v>
      </c>
      <c r="O293">
        <v>2</v>
      </c>
      <c r="P293">
        <v>6300</v>
      </c>
      <c r="Q293">
        <v>0.1</v>
      </c>
      <c r="R293">
        <v>4130</v>
      </c>
      <c r="S293" t="s">
        <v>29</v>
      </c>
      <c r="T293" t="s">
        <v>30</v>
      </c>
      <c r="U293">
        <v>1</v>
      </c>
      <c r="V293" t="s">
        <v>31</v>
      </c>
      <c r="W293">
        <f>excelsalesdata[[#This Row],[Quantity]]*excelsalesdata[[#This Row],[Unit_Price]]</f>
        <v>12600</v>
      </c>
      <c r="X293">
        <f>excelsalesdata[[#This Row],[Gross_sales]]*excelsalesdata[[#This Row],[Discount_%]]</f>
        <v>1260</v>
      </c>
      <c r="Y293">
        <f>excelsalesdata[[#This Row],[Gross_sales]]-excelsalesdata[[#This Row],[Discount_amt]]</f>
        <v>11340</v>
      </c>
      <c r="Z293" s="4">
        <f>excelsalesdata[[#This Row],[Net_sales]]-excelsalesdata[[#This Row],[Cost]]</f>
        <v>7210</v>
      </c>
      <c r="AA293" s="5">
        <f>excelsalesdata[[#This Row],[Profit]]/excelsalesdata[[#This Row],[Net_sales]]</f>
        <v>0.63580246913580252</v>
      </c>
      <c r="AB293" s="4">
        <f>YEAR(excelsalesdata[[#This Row],[Order_Date]])</f>
        <v>2026</v>
      </c>
      <c r="AC293" s="4" t="str">
        <f>TEXT(excelsalesdata[[#This Row],[Order_Date]],"mmm")</f>
        <v>Jan</v>
      </c>
      <c r="AD293" s="4" t="str">
        <f>"Q"&amp;ROUNDUP(MONTH(excelsalesdata[[#This Row],[Order_Date]])/3,0)</f>
        <v>Q1</v>
      </c>
    </row>
    <row r="294" spans="1:30" x14ac:dyDescent="0.35">
      <c r="A294" t="s">
        <v>783</v>
      </c>
      <c r="B294" s="3">
        <v>46052</v>
      </c>
      <c r="C294" t="s">
        <v>734</v>
      </c>
      <c r="D294" t="s">
        <v>786</v>
      </c>
      <c r="E294" t="str">
        <f>TRIM(excelsalesdata[[#This Row],[Customer_Name]])</f>
        <v>Aarav Patel</v>
      </c>
      <c r="F294" t="s">
        <v>44</v>
      </c>
      <c r="G294">
        <v>58</v>
      </c>
      <c r="H294" t="s">
        <v>114</v>
      </c>
      <c r="I294" t="str">
        <f>TRIM(excelsalesdata[[#This Row],[City]])</f>
        <v>Hyderabad</v>
      </c>
      <c r="J294" t="s">
        <v>115</v>
      </c>
      <c r="K294" t="s">
        <v>47</v>
      </c>
      <c r="L294" t="s">
        <v>38</v>
      </c>
      <c r="M294" t="s">
        <v>73</v>
      </c>
      <c r="N294" t="s">
        <v>73</v>
      </c>
      <c r="O294">
        <v>4</v>
      </c>
      <c r="P294">
        <v>4920</v>
      </c>
      <c r="Q294">
        <v>0.15</v>
      </c>
      <c r="R294">
        <v>3130</v>
      </c>
      <c r="S294" t="s">
        <v>56</v>
      </c>
      <c r="T294" t="s">
        <v>30</v>
      </c>
      <c r="U294">
        <v>4</v>
      </c>
      <c r="V294" t="s">
        <v>40</v>
      </c>
      <c r="W294">
        <f>excelsalesdata[[#This Row],[Quantity]]*excelsalesdata[[#This Row],[Unit_Price]]</f>
        <v>19680</v>
      </c>
      <c r="X294">
        <f>excelsalesdata[[#This Row],[Gross_sales]]*excelsalesdata[[#This Row],[Discount_%]]</f>
        <v>2952</v>
      </c>
      <c r="Y294">
        <f>excelsalesdata[[#This Row],[Gross_sales]]-excelsalesdata[[#This Row],[Discount_amt]]</f>
        <v>16728</v>
      </c>
      <c r="Z294" s="4">
        <f>excelsalesdata[[#This Row],[Net_sales]]-excelsalesdata[[#This Row],[Cost]]</f>
        <v>13598</v>
      </c>
      <c r="AA294" s="5">
        <f>excelsalesdata[[#This Row],[Profit]]/excelsalesdata[[#This Row],[Net_sales]]</f>
        <v>0.81288857006217119</v>
      </c>
      <c r="AB294" s="4">
        <f>YEAR(excelsalesdata[[#This Row],[Order_Date]])</f>
        <v>2026</v>
      </c>
      <c r="AC294" s="4" t="str">
        <f>TEXT(excelsalesdata[[#This Row],[Order_Date]],"mmm")</f>
        <v>Jan</v>
      </c>
      <c r="AD294" s="4" t="str">
        <f>"Q"&amp;ROUNDUP(MONTH(excelsalesdata[[#This Row],[Order_Date]])/3,0)</f>
        <v>Q1</v>
      </c>
    </row>
    <row r="295" spans="1:30" x14ac:dyDescent="0.35">
      <c r="A295" t="s">
        <v>784</v>
      </c>
      <c r="B295" s="3">
        <v>46053</v>
      </c>
      <c r="C295" t="s">
        <v>785</v>
      </c>
      <c r="D295" t="s">
        <v>268</v>
      </c>
      <c r="E295" t="str">
        <f>TRIM(excelsalesdata[[#This Row],[Customer_Name]])</f>
        <v>Diya Shah</v>
      </c>
      <c r="F295" t="s">
        <v>44</v>
      </c>
      <c r="G295">
        <v>58</v>
      </c>
      <c r="H295" t="s">
        <v>133</v>
      </c>
      <c r="I295" t="str">
        <f>TRIM(excelsalesdata[[#This Row],[City]])</f>
        <v>Jaipur</v>
      </c>
      <c r="J295" t="s">
        <v>134</v>
      </c>
      <c r="K295" t="s">
        <v>61</v>
      </c>
      <c r="L295" t="s">
        <v>54</v>
      </c>
      <c r="M295" t="s">
        <v>66</v>
      </c>
      <c r="N295" t="s">
        <v>66</v>
      </c>
      <c r="O295">
        <v>3</v>
      </c>
      <c r="P295">
        <v>2470</v>
      </c>
      <c r="Q295">
        <v>0.1</v>
      </c>
      <c r="R295">
        <v>1560</v>
      </c>
      <c r="S295" t="s">
        <v>151</v>
      </c>
      <c r="T295" t="s">
        <v>30</v>
      </c>
      <c r="U295">
        <v>4</v>
      </c>
      <c r="V295" t="s">
        <v>40</v>
      </c>
      <c r="W295">
        <f>excelsalesdata[[#This Row],[Quantity]]*excelsalesdata[[#This Row],[Unit_Price]]</f>
        <v>7410</v>
      </c>
      <c r="X295">
        <f>excelsalesdata[[#This Row],[Gross_sales]]*excelsalesdata[[#This Row],[Discount_%]]</f>
        <v>741</v>
      </c>
      <c r="Y295">
        <f>excelsalesdata[[#This Row],[Gross_sales]]-excelsalesdata[[#This Row],[Discount_amt]]</f>
        <v>6669</v>
      </c>
      <c r="Z295" s="4">
        <f>excelsalesdata[[#This Row],[Net_sales]]-excelsalesdata[[#This Row],[Cost]]</f>
        <v>5109</v>
      </c>
      <c r="AA295" s="5">
        <f>excelsalesdata[[#This Row],[Profit]]/excelsalesdata[[#This Row],[Net_sales]]</f>
        <v>0.76608187134502925</v>
      </c>
      <c r="AB295" s="4">
        <f>YEAR(excelsalesdata[[#This Row],[Order_Date]])</f>
        <v>2026</v>
      </c>
      <c r="AC295" s="4" t="str">
        <f>TEXT(excelsalesdata[[#This Row],[Order_Date]],"mmm")</f>
        <v>Jan</v>
      </c>
      <c r="AD295" s="4" t="str">
        <f>"Q"&amp;ROUNDUP(MONTH(excelsalesdata[[#This Row],[Order_Date]])/3,0)</f>
        <v>Q1</v>
      </c>
    </row>
    <row r="296" spans="1:30" x14ac:dyDescent="0.35">
      <c r="A296" t="s">
        <v>787</v>
      </c>
      <c r="B296" s="3">
        <v>46054</v>
      </c>
      <c r="C296" t="s">
        <v>307</v>
      </c>
      <c r="D296" t="s">
        <v>118</v>
      </c>
      <c r="E296" t="str">
        <f>TRIM(excelsalesdata[[#This Row],[Customer_Name]])</f>
        <v>Nisha Shah</v>
      </c>
      <c r="F296" t="s">
        <v>23</v>
      </c>
      <c r="G296">
        <v>47</v>
      </c>
      <c r="H296" t="s">
        <v>24</v>
      </c>
      <c r="I296" t="str">
        <f>TRIM(excelsalesdata[[#This Row],[City]])</f>
        <v>Pune</v>
      </c>
      <c r="J296" t="s">
        <v>25</v>
      </c>
      <c r="K296" t="s">
        <v>26</v>
      </c>
      <c r="L296" t="s">
        <v>103</v>
      </c>
      <c r="M296" t="s">
        <v>238</v>
      </c>
      <c r="N296" t="s">
        <v>238</v>
      </c>
      <c r="O296">
        <v>2</v>
      </c>
      <c r="P296">
        <v>4270</v>
      </c>
      <c r="Q296">
        <v>0.05</v>
      </c>
      <c r="R296">
        <v>2630</v>
      </c>
      <c r="S296" t="s">
        <v>29</v>
      </c>
      <c r="T296" t="s">
        <v>74</v>
      </c>
      <c r="U296">
        <v>8</v>
      </c>
      <c r="V296" t="s">
        <v>40</v>
      </c>
      <c r="W296">
        <f>excelsalesdata[[#This Row],[Quantity]]*excelsalesdata[[#This Row],[Unit_Price]]</f>
        <v>8540</v>
      </c>
      <c r="X296">
        <f>excelsalesdata[[#This Row],[Gross_sales]]*excelsalesdata[[#This Row],[Discount_%]]</f>
        <v>427</v>
      </c>
      <c r="Y296">
        <f>excelsalesdata[[#This Row],[Gross_sales]]-excelsalesdata[[#This Row],[Discount_amt]]</f>
        <v>8113</v>
      </c>
      <c r="Z296" s="4">
        <f>excelsalesdata[[#This Row],[Net_sales]]-excelsalesdata[[#This Row],[Cost]]</f>
        <v>5483</v>
      </c>
      <c r="AA296" s="5">
        <f>excelsalesdata[[#This Row],[Profit]]/excelsalesdata[[#This Row],[Net_sales]]</f>
        <v>0.67582891655367927</v>
      </c>
      <c r="AB296" s="4">
        <f>YEAR(excelsalesdata[[#This Row],[Order_Date]])</f>
        <v>2026</v>
      </c>
      <c r="AC296" s="4" t="str">
        <f>TEXT(excelsalesdata[[#This Row],[Order_Date]],"mmm")</f>
        <v>Feb</v>
      </c>
      <c r="AD296" s="4" t="str">
        <f>"Q"&amp;ROUNDUP(MONTH(excelsalesdata[[#This Row],[Order_Date]])/3,0)</f>
        <v>Q1</v>
      </c>
    </row>
    <row r="297" spans="1:30" x14ac:dyDescent="0.35">
      <c r="A297" t="s">
        <v>788</v>
      </c>
      <c r="B297" s="3">
        <v>46055</v>
      </c>
      <c r="C297" t="s">
        <v>789</v>
      </c>
      <c r="D297" t="s">
        <v>792</v>
      </c>
      <c r="E297" t="str">
        <f>TRIM(excelsalesdata[[#This Row],[Customer_Name]])</f>
        <v>Nisha Das</v>
      </c>
      <c r="F297" t="s">
        <v>23</v>
      </c>
      <c r="G297">
        <v>29</v>
      </c>
      <c r="H297" t="s">
        <v>133</v>
      </c>
      <c r="I297" t="str">
        <f>TRIM(excelsalesdata[[#This Row],[City]])</f>
        <v>Jaipur</v>
      </c>
      <c r="J297" t="s">
        <v>134</v>
      </c>
      <c r="K297" t="s">
        <v>61</v>
      </c>
      <c r="L297" t="s">
        <v>38</v>
      </c>
      <c r="M297" t="s">
        <v>73</v>
      </c>
      <c r="N297" t="s">
        <v>73</v>
      </c>
      <c r="O297">
        <v>1</v>
      </c>
      <c r="P297">
        <v>5060</v>
      </c>
      <c r="Q297">
        <v>0.1</v>
      </c>
      <c r="R297">
        <v>3050</v>
      </c>
      <c r="S297" t="s">
        <v>105</v>
      </c>
      <c r="T297" t="s">
        <v>30</v>
      </c>
      <c r="U297">
        <v>5</v>
      </c>
      <c r="V297" t="s">
        <v>40</v>
      </c>
      <c r="W297">
        <f>excelsalesdata[[#This Row],[Quantity]]*excelsalesdata[[#This Row],[Unit_Price]]</f>
        <v>5060</v>
      </c>
      <c r="X297">
        <f>excelsalesdata[[#This Row],[Gross_sales]]*excelsalesdata[[#This Row],[Discount_%]]</f>
        <v>506</v>
      </c>
      <c r="Y297">
        <f>excelsalesdata[[#This Row],[Gross_sales]]-excelsalesdata[[#This Row],[Discount_amt]]</f>
        <v>4554</v>
      </c>
      <c r="Z297" s="4">
        <f>excelsalesdata[[#This Row],[Net_sales]]-excelsalesdata[[#This Row],[Cost]]</f>
        <v>1504</v>
      </c>
      <c r="AA297" s="5">
        <f>excelsalesdata[[#This Row],[Profit]]/excelsalesdata[[#This Row],[Net_sales]]</f>
        <v>0.33025911286780851</v>
      </c>
      <c r="AB297" s="4">
        <f>YEAR(excelsalesdata[[#This Row],[Order_Date]])</f>
        <v>2026</v>
      </c>
      <c r="AC297" s="4" t="str">
        <f>TEXT(excelsalesdata[[#This Row],[Order_Date]],"mmm")</f>
        <v>Feb</v>
      </c>
      <c r="AD297" s="4" t="str">
        <f>"Q"&amp;ROUNDUP(MONTH(excelsalesdata[[#This Row],[Order_Date]])/3,0)</f>
        <v>Q1</v>
      </c>
    </row>
    <row r="298" spans="1:30" x14ac:dyDescent="0.35">
      <c r="A298" t="s">
        <v>790</v>
      </c>
      <c r="B298" s="3">
        <v>46056</v>
      </c>
      <c r="C298" t="s">
        <v>791</v>
      </c>
      <c r="D298" t="s">
        <v>318</v>
      </c>
      <c r="E298" t="str">
        <f>TRIM(excelsalesdata[[#This Row],[Customer_Name]])</f>
        <v>Kavya Joshi</v>
      </c>
      <c r="F298" t="s">
        <v>23</v>
      </c>
      <c r="G298">
        <v>30</v>
      </c>
      <c r="H298" t="s">
        <v>155</v>
      </c>
      <c r="I298" t="str">
        <f>TRIM(excelsalesdata[[#This Row],[City]])</f>
        <v>Chennai</v>
      </c>
      <c r="J298" t="s">
        <v>156</v>
      </c>
      <c r="K298" t="s">
        <v>47</v>
      </c>
      <c r="L298" t="s">
        <v>85</v>
      </c>
      <c r="M298" t="s">
        <v>110</v>
      </c>
      <c r="N298" t="s">
        <v>110</v>
      </c>
      <c r="O298">
        <v>1</v>
      </c>
      <c r="P298">
        <v>1210</v>
      </c>
      <c r="Q298">
        <v>0.1</v>
      </c>
      <c r="R298">
        <v>620</v>
      </c>
      <c r="S298" t="s">
        <v>29</v>
      </c>
      <c r="T298" t="s">
        <v>30</v>
      </c>
      <c r="U298">
        <v>2</v>
      </c>
      <c r="V298" t="s">
        <v>40</v>
      </c>
      <c r="W298">
        <f>excelsalesdata[[#This Row],[Quantity]]*excelsalesdata[[#This Row],[Unit_Price]]</f>
        <v>1210</v>
      </c>
      <c r="X298">
        <f>excelsalesdata[[#This Row],[Gross_sales]]*excelsalesdata[[#This Row],[Discount_%]]</f>
        <v>121</v>
      </c>
      <c r="Y298">
        <f>excelsalesdata[[#This Row],[Gross_sales]]-excelsalesdata[[#This Row],[Discount_amt]]</f>
        <v>1089</v>
      </c>
      <c r="Z298" s="4">
        <f>excelsalesdata[[#This Row],[Net_sales]]-excelsalesdata[[#This Row],[Cost]]</f>
        <v>469</v>
      </c>
      <c r="AA298" s="5">
        <f>excelsalesdata[[#This Row],[Profit]]/excelsalesdata[[#This Row],[Net_sales]]</f>
        <v>0.43067033976124885</v>
      </c>
      <c r="AB298" s="4">
        <f>YEAR(excelsalesdata[[#This Row],[Order_Date]])</f>
        <v>2026</v>
      </c>
      <c r="AC298" s="4" t="str">
        <f>TEXT(excelsalesdata[[#This Row],[Order_Date]],"mmm")</f>
        <v>Feb</v>
      </c>
      <c r="AD298" s="4" t="str">
        <f>"Q"&amp;ROUNDUP(MONTH(excelsalesdata[[#This Row],[Order_Date]])/3,0)</f>
        <v>Q1</v>
      </c>
    </row>
    <row r="299" spans="1:30" x14ac:dyDescent="0.35">
      <c r="A299" t="s">
        <v>793</v>
      </c>
      <c r="B299" s="3">
        <v>46057</v>
      </c>
      <c r="C299" t="s">
        <v>794</v>
      </c>
      <c r="D299" t="s">
        <v>666</v>
      </c>
      <c r="E299" t="str">
        <f>TRIM(excelsalesdata[[#This Row],[Customer_Name]])</f>
        <v>Arjun Mehta</v>
      </c>
      <c r="F299" t="s">
        <v>23</v>
      </c>
      <c r="G299">
        <v>34</v>
      </c>
      <c r="H299" t="s">
        <v>190</v>
      </c>
      <c r="I299" t="str">
        <f>TRIM(excelsalesdata[[#This Row],[City]])</f>
        <v>Ahmedabad</v>
      </c>
      <c r="J299" t="s">
        <v>191</v>
      </c>
      <c r="K299" t="s">
        <v>26</v>
      </c>
      <c r="L299" t="s">
        <v>54</v>
      </c>
      <c r="M299" t="s">
        <v>62</v>
      </c>
      <c r="N299" t="s">
        <v>62</v>
      </c>
      <c r="O299">
        <v>1</v>
      </c>
      <c r="P299">
        <v>20920</v>
      </c>
      <c r="Q299">
        <v>0</v>
      </c>
      <c r="R299">
        <v>15700</v>
      </c>
      <c r="S299" t="s">
        <v>29</v>
      </c>
      <c r="T299" t="s">
        <v>30</v>
      </c>
      <c r="U299">
        <v>3</v>
      </c>
      <c r="V299" t="s">
        <v>40</v>
      </c>
      <c r="W299">
        <f>excelsalesdata[[#This Row],[Quantity]]*excelsalesdata[[#This Row],[Unit_Price]]</f>
        <v>20920</v>
      </c>
      <c r="X299">
        <f>excelsalesdata[[#This Row],[Gross_sales]]*excelsalesdata[[#This Row],[Discount_%]]</f>
        <v>0</v>
      </c>
      <c r="Y299">
        <f>excelsalesdata[[#This Row],[Gross_sales]]-excelsalesdata[[#This Row],[Discount_amt]]</f>
        <v>20920</v>
      </c>
      <c r="Z299" s="4">
        <f>excelsalesdata[[#This Row],[Net_sales]]-excelsalesdata[[#This Row],[Cost]]</f>
        <v>5220</v>
      </c>
      <c r="AA299" s="5">
        <f>excelsalesdata[[#This Row],[Profit]]/excelsalesdata[[#This Row],[Net_sales]]</f>
        <v>0.24952198852772467</v>
      </c>
      <c r="AB299" s="4">
        <f>YEAR(excelsalesdata[[#This Row],[Order_Date]])</f>
        <v>2026</v>
      </c>
      <c r="AC299" s="4" t="str">
        <f>TEXT(excelsalesdata[[#This Row],[Order_Date]],"mmm")</f>
        <v>Feb</v>
      </c>
      <c r="AD299" s="4" t="str">
        <f>"Q"&amp;ROUNDUP(MONTH(excelsalesdata[[#This Row],[Order_Date]])/3,0)</f>
        <v>Q1</v>
      </c>
    </row>
    <row r="300" spans="1:30" x14ac:dyDescent="0.35">
      <c r="A300" t="s">
        <v>795</v>
      </c>
      <c r="B300" s="3">
        <v>46058</v>
      </c>
      <c r="C300" t="s">
        <v>674</v>
      </c>
      <c r="D300" t="s">
        <v>798</v>
      </c>
      <c r="E300" t="str">
        <f>TRIM(excelsalesdata[[#This Row],[Customer_Name]])</f>
        <v>Rahul Bhat</v>
      </c>
      <c r="F300" t="s">
        <v>23</v>
      </c>
      <c r="G300">
        <v>46</v>
      </c>
      <c r="H300" t="s">
        <v>114</v>
      </c>
      <c r="I300" t="str">
        <f>TRIM(excelsalesdata[[#This Row],[City]])</f>
        <v>Hyderabad</v>
      </c>
      <c r="J300" t="s">
        <v>115</v>
      </c>
      <c r="K300" t="s">
        <v>47</v>
      </c>
      <c r="L300" t="s">
        <v>27</v>
      </c>
      <c r="M300" t="s">
        <v>295</v>
      </c>
      <c r="N300" t="s">
        <v>295</v>
      </c>
      <c r="O300">
        <v>1</v>
      </c>
      <c r="P300">
        <v>4250</v>
      </c>
      <c r="Q300">
        <v>0.2</v>
      </c>
      <c r="R300">
        <v>2670</v>
      </c>
      <c r="S300" t="s">
        <v>29</v>
      </c>
      <c r="T300" t="s">
        <v>30</v>
      </c>
      <c r="U300">
        <v>3</v>
      </c>
      <c r="V300" t="s">
        <v>31</v>
      </c>
      <c r="W300">
        <f>excelsalesdata[[#This Row],[Quantity]]*excelsalesdata[[#This Row],[Unit_Price]]</f>
        <v>4250</v>
      </c>
      <c r="X300">
        <f>excelsalesdata[[#This Row],[Gross_sales]]*excelsalesdata[[#This Row],[Discount_%]]</f>
        <v>850</v>
      </c>
      <c r="Y300">
        <f>excelsalesdata[[#This Row],[Gross_sales]]-excelsalesdata[[#This Row],[Discount_amt]]</f>
        <v>3400</v>
      </c>
      <c r="Z300" s="4">
        <f>excelsalesdata[[#This Row],[Net_sales]]-excelsalesdata[[#This Row],[Cost]]</f>
        <v>730</v>
      </c>
      <c r="AA300" s="5">
        <f>excelsalesdata[[#This Row],[Profit]]/excelsalesdata[[#This Row],[Net_sales]]</f>
        <v>0.21470588235294116</v>
      </c>
      <c r="AB300" s="4">
        <f>YEAR(excelsalesdata[[#This Row],[Order_Date]])</f>
        <v>2026</v>
      </c>
      <c r="AC300" s="4" t="str">
        <f>TEXT(excelsalesdata[[#This Row],[Order_Date]],"mmm")</f>
        <v>Feb</v>
      </c>
      <c r="AD300" s="4" t="str">
        <f>"Q"&amp;ROUNDUP(MONTH(excelsalesdata[[#This Row],[Order_Date]])/3,0)</f>
        <v>Q1</v>
      </c>
    </row>
    <row r="301" spans="1:30" x14ac:dyDescent="0.35">
      <c r="A301" t="s">
        <v>796</v>
      </c>
      <c r="B301" s="3">
        <v>46059</v>
      </c>
      <c r="C301" t="s">
        <v>797</v>
      </c>
      <c r="D301" t="s">
        <v>655</v>
      </c>
      <c r="E301" t="str">
        <f>TRIM(excelsalesdata[[#This Row],[Customer_Name]])</f>
        <v>Arjun Naidu</v>
      </c>
      <c r="F301" t="s">
        <v>23</v>
      </c>
      <c r="G301">
        <v>22</v>
      </c>
      <c r="H301" t="s">
        <v>98</v>
      </c>
      <c r="I301" t="str">
        <f>TRIM(excelsalesdata[[#This Row],[City]])</f>
        <v>Mumbai</v>
      </c>
      <c r="J301" t="s">
        <v>25</v>
      </c>
      <c r="K301" t="s">
        <v>26</v>
      </c>
      <c r="L301" t="s">
        <v>54</v>
      </c>
      <c r="M301" t="s">
        <v>62</v>
      </c>
      <c r="N301" t="s">
        <v>62</v>
      </c>
      <c r="O301">
        <v>1</v>
      </c>
      <c r="P301">
        <v>23070</v>
      </c>
      <c r="Q301">
        <v>0.05</v>
      </c>
      <c r="R301">
        <v>16240</v>
      </c>
      <c r="S301" t="s">
        <v>80</v>
      </c>
      <c r="T301" t="s">
        <v>30</v>
      </c>
      <c r="U301">
        <v>3</v>
      </c>
      <c r="V301" t="s">
        <v>31</v>
      </c>
      <c r="W301">
        <f>excelsalesdata[[#This Row],[Quantity]]*excelsalesdata[[#This Row],[Unit_Price]]</f>
        <v>23070</v>
      </c>
      <c r="X301">
        <f>excelsalesdata[[#This Row],[Gross_sales]]*excelsalesdata[[#This Row],[Discount_%]]</f>
        <v>1153.5</v>
      </c>
      <c r="Y301">
        <f>excelsalesdata[[#This Row],[Gross_sales]]-excelsalesdata[[#This Row],[Discount_amt]]</f>
        <v>21916.5</v>
      </c>
      <c r="Z301" s="4">
        <f>excelsalesdata[[#This Row],[Net_sales]]-excelsalesdata[[#This Row],[Cost]]</f>
        <v>5676.5</v>
      </c>
      <c r="AA301" s="5">
        <f>excelsalesdata[[#This Row],[Profit]]/excelsalesdata[[#This Row],[Net_sales]]</f>
        <v>0.25900577190701068</v>
      </c>
      <c r="AB301" s="4">
        <f>YEAR(excelsalesdata[[#This Row],[Order_Date]])</f>
        <v>2026</v>
      </c>
      <c r="AC301" s="4" t="str">
        <f>TEXT(excelsalesdata[[#This Row],[Order_Date]],"mmm")</f>
        <v>Feb</v>
      </c>
      <c r="AD301" s="4" t="str">
        <f>"Q"&amp;ROUNDUP(MONTH(excelsalesdata[[#This Row],[Order_Date]])/3,0)</f>
        <v>Q1</v>
      </c>
    </row>
    <row r="302" spans="1:30" x14ac:dyDescent="0.35">
      <c r="A302" t="s">
        <v>799</v>
      </c>
      <c r="B302" s="3">
        <v>46060</v>
      </c>
      <c r="C302" t="s">
        <v>800</v>
      </c>
      <c r="D302" t="s">
        <v>479</v>
      </c>
      <c r="E302" t="str">
        <f>TRIM(excelsalesdata[[#This Row],[Customer_Name]])</f>
        <v>Karan Kumar</v>
      </c>
      <c r="F302" t="s">
        <v>23</v>
      </c>
      <c r="G302">
        <v>37</v>
      </c>
      <c r="H302" t="s">
        <v>133</v>
      </c>
      <c r="I302" t="str">
        <f>TRIM(excelsalesdata[[#This Row],[City]])</f>
        <v>Jaipur</v>
      </c>
      <c r="J302" t="s">
        <v>134</v>
      </c>
      <c r="K302" t="s">
        <v>61</v>
      </c>
      <c r="L302" t="s">
        <v>27</v>
      </c>
      <c r="M302" t="s">
        <v>48</v>
      </c>
      <c r="N302" t="s">
        <v>48</v>
      </c>
      <c r="O302">
        <v>1</v>
      </c>
      <c r="P302">
        <v>850</v>
      </c>
      <c r="Q302">
        <v>0.15</v>
      </c>
      <c r="R302">
        <v>440</v>
      </c>
      <c r="S302" t="s">
        <v>105</v>
      </c>
      <c r="T302" t="s">
        <v>30</v>
      </c>
      <c r="U302">
        <v>2</v>
      </c>
      <c r="V302" t="s">
        <v>40</v>
      </c>
      <c r="W302">
        <f>excelsalesdata[[#This Row],[Quantity]]*excelsalesdata[[#This Row],[Unit_Price]]</f>
        <v>850</v>
      </c>
      <c r="X302">
        <f>excelsalesdata[[#This Row],[Gross_sales]]*excelsalesdata[[#This Row],[Discount_%]]</f>
        <v>127.5</v>
      </c>
      <c r="Y302">
        <f>excelsalesdata[[#This Row],[Gross_sales]]-excelsalesdata[[#This Row],[Discount_amt]]</f>
        <v>722.5</v>
      </c>
      <c r="Z302" s="4">
        <f>excelsalesdata[[#This Row],[Net_sales]]-excelsalesdata[[#This Row],[Cost]]</f>
        <v>282.5</v>
      </c>
      <c r="AA302" s="5">
        <f>excelsalesdata[[#This Row],[Profit]]/excelsalesdata[[#This Row],[Net_sales]]</f>
        <v>0.39100346020761245</v>
      </c>
      <c r="AB302" s="4">
        <f>YEAR(excelsalesdata[[#This Row],[Order_Date]])</f>
        <v>2026</v>
      </c>
      <c r="AC302" s="4" t="str">
        <f>TEXT(excelsalesdata[[#This Row],[Order_Date]],"mmm")</f>
        <v>Feb</v>
      </c>
      <c r="AD302" s="4" t="str">
        <f>"Q"&amp;ROUNDUP(MONTH(excelsalesdata[[#This Row],[Order_Date]])/3,0)</f>
        <v>Q1</v>
      </c>
    </row>
    <row r="303" spans="1:30" x14ac:dyDescent="0.35">
      <c r="A303" t="s">
        <v>801</v>
      </c>
      <c r="B303" s="3">
        <v>46061</v>
      </c>
      <c r="C303" t="s">
        <v>802</v>
      </c>
      <c r="D303" t="s">
        <v>77</v>
      </c>
      <c r="E303" t="str">
        <f>TRIM(excelsalesdata[[#This Row],[Customer_Name]])</f>
        <v>Kavya Rao</v>
      </c>
      <c r="F303" t="s">
        <v>23</v>
      </c>
      <c r="G303">
        <v>47</v>
      </c>
      <c r="H303" t="s">
        <v>78</v>
      </c>
      <c r="I303" t="str">
        <f>TRIM(excelsalesdata[[#This Row],[City]])</f>
        <v>Guwahati</v>
      </c>
      <c r="J303" t="s">
        <v>79</v>
      </c>
      <c r="K303" t="s">
        <v>37</v>
      </c>
      <c r="L303" t="s">
        <v>93</v>
      </c>
      <c r="M303" t="s">
        <v>206</v>
      </c>
      <c r="N303" t="s">
        <v>206</v>
      </c>
      <c r="O303">
        <v>2</v>
      </c>
      <c r="P303">
        <v>660</v>
      </c>
      <c r="Q303">
        <v>0.3</v>
      </c>
      <c r="R303">
        <v>310</v>
      </c>
      <c r="S303" t="s">
        <v>80</v>
      </c>
      <c r="T303" t="s">
        <v>30</v>
      </c>
      <c r="U303">
        <v>4</v>
      </c>
      <c r="V303" t="s">
        <v>40</v>
      </c>
      <c r="W303">
        <f>excelsalesdata[[#This Row],[Quantity]]*excelsalesdata[[#This Row],[Unit_Price]]</f>
        <v>1320</v>
      </c>
      <c r="X303">
        <f>excelsalesdata[[#This Row],[Gross_sales]]*excelsalesdata[[#This Row],[Discount_%]]</f>
        <v>396</v>
      </c>
      <c r="Y303">
        <f>excelsalesdata[[#This Row],[Gross_sales]]-excelsalesdata[[#This Row],[Discount_amt]]</f>
        <v>924</v>
      </c>
      <c r="Z303" s="4">
        <f>excelsalesdata[[#This Row],[Net_sales]]-excelsalesdata[[#This Row],[Cost]]</f>
        <v>614</v>
      </c>
      <c r="AA303" s="5">
        <f>excelsalesdata[[#This Row],[Profit]]/excelsalesdata[[#This Row],[Net_sales]]</f>
        <v>0.66450216450216448</v>
      </c>
      <c r="AB303" s="4">
        <f>YEAR(excelsalesdata[[#This Row],[Order_Date]])</f>
        <v>2026</v>
      </c>
      <c r="AC303" s="4" t="str">
        <f>TEXT(excelsalesdata[[#This Row],[Order_Date]],"mmm")</f>
        <v>Feb</v>
      </c>
      <c r="AD303" s="4" t="str">
        <f>"Q"&amp;ROUNDUP(MONTH(excelsalesdata[[#This Row],[Order_Date]])/3,0)</f>
        <v>Q1</v>
      </c>
    </row>
    <row r="304" spans="1:30" x14ac:dyDescent="0.35">
      <c r="A304" t="s">
        <v>803</v>
      </c>
      <c r="B304" s="3">
        <v>46062</v>
      </c>
      <c r="C304" t="s">
        <v>676</v>
      </c>
      <c r="D304" t="s">
        <v>806</v>
      </c>
      <c r="E304" t="str">
        <f>TRIM(excelsalesdata[[#This Row],[Customer_Name]])</f>
        <v>Karan Patel</v>
      </c>
      <c r="F304" t="s">
        <v>23</v>
      </c>
      <c r="G304">
        <v>60</v>
      </c>
      <c r="H304" t="s">
        <v>190</v>
      </c>
      <c r="I304" t="str">
        <f>TRIM(excelsalesdata[[#This Row],[City]])</f>
        <v>Ahmedabad</v>
      </c>
      <c r="J304" t="s">
        <v>191</v>
      </c>
      <c r="K304" t="s">
        <v>26</v>
      </c>
      <c r="L304" t="s">
        <v>103</v>
      </c>
      <c r="M304" t="s">
        <v>347</v>
      </c>
      <c r="N304" t="s">
        <v>347</v>
      </c>
      <c r="O304">
        <v>3</v>
      </c>
      <c r="P304">
        <v>11070</v>
      </c>
      <c r="Q304">
        <v>0.2</v>
      </c>
      <c r="R304">
        <v>7820</v>
      </c>
      <c r="S304" t="s">
        <v>67</v>
      </c>
      <c r="T304" t="s">
        <v>99</v>
      </c>
      <c r="U304">
        <v>3</v>
      </c>
      <c r="V304" t="s">
        <v>40</v>
      </c>
      <c r="W304">
        <f>excelsalesdata[[#This Row],[Quantity]]*excelsalesdata[[#This Row],[Unit_Price]]</f>
        <v>33210</v>
      </c>
      <c r="X304">
        <f>excelsalesdata[[#This Row],[Gross_sales]]*excelsalesdata[[#This Row],[Discount_%]]</f>
        <v>6642</v>
      </c>
      <c r="Y304">
        <f>excelsalesdata[[#This Row],[Gross_sales]]-excelsalesdata[[#This Row],[Discount_amt]]</f>
        <v>26568</v>
      </c>
      <c r="Z304" s="4">
        <f>excelsalesdata[[#This Row],[Net_sales]]-excelsalesdata[[#This Row],[Cost]]</f>
        <v>18748</v>
      </c>
      <c r="AA304" s="5">
        <f>excelsalesdata[[#This Row],[Profit]]/excelsalesdata[[#This Row],[Net_sales]]</f>
        <v>0.70566094549834391</v>
      </c>
      <c r="AB304" s="4">
        <f>YEAR(excelsalesdata[[#This Row],[Order_Date]])</f>
        <v>2026</v>
      </c>
      <c r="AC304" s="4" t="str">
        <f>TEXT(excelsalesdata[[#This Row],[Order_Date]],"mmm")</f>
        <v>Feb</v>
      </c>
      <c r="AD304" s="4" t="str">
        <f>"Q"&amp;ROUNDUP(MONTH(excelsalesdata[[#This Row],[Order_Date]])/3,0)</f>
        <v>Q1</v>
      </c>
    </row>
    <row r="305" spans="1:30" x14ac:dyDescent="0.35">
      <c r="A305" t="s">
        <v>804</v>
      </c>
      <c r="B305" s="3">
        <v>46063</v>
      </c>
      <c r="C305" t="s">
        <v>805</v>
      </c>
      <c r="D305" t="s">
        <v>423</v>
      </c>
      <c r="E305" t="str">
        <f>TRIM(excelsalesdata[[#This Row],[Customer_Name]])</f>
        <v>Kavya Kumar</v>
      </c>
      <c r="F305" t="s">
        <v>23</v>
      </c>
      <c r="G305">
        <v>21</v>
      </c>
      <c r="H305" t="s">
        <v>60</v>
      </c>
      <c r="I305" t="str">
        <f>TRIM(excelsalesdata[[#This Row],[City]])</f>
        <v>Chandigarh</v>
      </c>
      <c r="J305" t="s">
        <v>60</v>
      </c>
      <c r="K305" t="s">
        <v>61</v>
      </c>
      <c r="L305" t="s">
        <v>54</v>
      </c>
      <c r="M305" t="s">
        <v>66</v>
      </c>
      <c r="N305" t="s">
        <v>66</v>
      </c>
      <c r="O305">
        <v>5</v>
      </c>
      <c r="P305">
        <v>2570</v>
      </c>
      <c r="Q305">
        <v>0.2</v>
      </c>
      <c r="R305">
        <v>1470</v>
      </c>
      <c r="S305" t="s">
        <v>105</v>
      </c>
      <c r="T305" t="s">
        <v>30</v>
      </c>
      <c r="U305">
        <v>4</v>
      </c>
      <c r="V305" t="s">
        <v>40</v>
      </c>
      <c r="W305">
        <f>excelsalesdata[[#This Row],[Quantity]]*excelsalesdata[[#This Row],[Unit_Price]]</f>
        <v>12850</v>
      </c>
      <c r="X305">
        <f>excelsalesdata[[#This Row],[Gross_sales]]*excelsalesdata[[#This Row],[Discount_%]]</f>
        <v>2570</v>
      </c>
      <c r="Y305">
        <f>excelsalesdata[[#This Row],[Gross_sales]]-excelsalesdata[[#This Row],[Discount_amt]]</f>
        <v>10280</v>
      </c>
      <c r="Z305" s="4">
        <f>excelsalesdata[[#This Row],[Net_sales]]-excelsalesdata[[#This Row],[Cost]]</f>
        <v>8810</v>
      </c>
      <c r="AA305" s="5">
        <f>excelsalesdata[[#This Row],[Profit]]/excelsalesdata[[#This Row],[Net_sales]]</f>
        <v>0.85700389105058361</v>
      </c>
      <c r="AB305" s="4">
        <f>YEAR(excelsalesdata[[#This Row],[Order_Date]])</f>
        <v>2026</v>
      </c>
      <c r="AC305" s="4" t="str">
        <f>TEXT(excelsalesdata[[#This Row],[Order_Date]],"mmm")</f>
        <v>Feb</v>
      </c>
      <c r="AD305" s="4" t="str">
        <f>"Q"&amp;ROUNDUP(MONTH(excelsalesdata[[#This Row],[Order_Date]])/3,0)</f>
        <v>Q1</v>
      </c>
    </row>
    <row r="306" spans="1:30" x14ac:dyDescent="0.35">
      <c r="A306" t="s">
        <v>807</v>
      </c>
      <c r="B306" s="3">
        <v>46064</v>
      </c>
      <c r="C306" t="s">
        <v>494</v>
      </c>
      <c r="D306" t="s">
        <v>406</v>
      </c>
      <c r="E306" t="str">
        <f>TRIM(excelsalesdata[[#This Row],[Customer_Name]])</f>
        <v>Ishita Joshi</v>
      </c>
      <c r="F306" t="s">
        <v>44</v>
      </c>
      <c r="G306">
        <v>42</v>
      </c>
      <c r="H306" t="s">
        <v>35</v>
      </c>
      <c r="I306" t="str">
        <f>TRIM(excelsalesdata[[#This Row],[City]])</f>
        <v>Kolkata</v>
      </c>
      <c r="J306" t="s">
        <v>36</v>
      </c>
      <c r="K306" t="s">
        <v>37</v>
      </c>
      <c r="L306" t="s">
        <v>27</v>
      </c>
      <c r="M306" t="s">
        <v>48</v>
      </c>
      <c r="N306" t="s">
        <v>48</v>
      </c>
      <c r="O306">
        <v>1</v>
      </c>
      <c r="P306">
        <v>920</v>
      </c>
      <c r="Q306">
        <v>0.15</v>
      </c>
      <c r="R306">
        <v>440</v>
      </c>
      <c r="S306" t="s">
        <v>29</v>
      </c>
      <c r="T306" t="s">
        <v>30</v>
      </c>
      <c r="U306">
        <v>4</v>
      </c>
      <c r="V306" t="s">
        <v>40</v>
      </c>
      <c r="W306">
        <f>excelsalesdata[[#This Row],[Quantity]]*excelsalesdata[[#This Row],[Unit_Price]]</f>
        <v>920</v>
      </c>
      <c r="X306">
        <f>excelsalesdata[[#This Row],[Gross_sales]]*excelsalesdata[[#This Row],[Discount_%]]</f>
        <v>138</v>
      </c>
      <c r="Y306">
        <f>excelsalesdata[[#This Row],[Gross_sales]]-excelsalesdata[[#This Row],[Discount_amt]]</f>
        <v>782</v>
      </c>
      <c r="Z306" s="4">
        <f>excelsalesdata[[#This Row],[Net_sales]]-excelsalesdata[[#This Row],[Cost]]</f>
        <v>342</v>
      </c>
      <c r="AA306" s="5">
        <f>excelsalesdata[[#This Row],[Profit]]/excelsalesdata[[#This Row],[Net_sales]]</f>
        <v>0.4373401534526854</v>
      </c>
      <c r="AB306" s="4">
        <f>YEAR(excelsalesdata[[#This Row],[Order_Date]])</f>
        <v>2026</v>
      </c>
      <c r="AC306" s="4" t="str">
        <f>TEXT(excelsalesdata[[#This Row],[Order_Date]],"mmm")</f>
        <v>Feb</v>
      </c>
      <c r="AD306" s="4" t="str">
        <f>"Q"&amp;ROUNDUP(MONTH(excelsalesdata[[#This Row],[Order_Date]])/3,0)</f>
        <v>Q1</v>
      </c>
    </row>
    <row r="307" spans="1:30" x14ac:dyDescent="0.35">
      <c r="A307" t="s">
        <v>808</v>
      </c>
      <c r="B307" s="3">
        <v>46065</v>
      </c>
      <c r="C307" t="s">
        <v>809</v>
      </c>
      <c r="D307" t="s">
        <v>540</v>
      </c>
      <c r="E307" t="str">
        <f>TRIM(excelsalesdata[[#This Row],[Customer_Name]])</f>
        <v>Priya Kumar</v>
      </c>
      <c r="F307" t="s">
        <v>23</v>
      </c>
      <c r="G307">
        <v>51</v>
      </c>
      <c r="H307" t="s">
        <v>168</v>
      </c>
      <c r="I307" t="str">
        <f>TRIM(excelsalesdata[[#This Row],[City]])</f>
        <v>Delhi</v>
      </c>
      <c r="J307" t="s">
        <v>168</v>
      </c>
      <c r="K307" t="s">
        <v>61</v>
      </c>
      <c r="L307" t="s">
        <v>27</v>
      </c>
      <c r="M307" t="s">
        <v>295</v>
      </c>
      <c r="N307" t="s">
        <v>295</v>
      </c>
      <c r="O307">
        <v>1</v>
      </c>
      <c r="P307">
        <v>4180</v>
      </c>
      <c r="Q307">
        <v>0</v>
      </c>
      <c r="R307">
        <v>2490</v>
      </c>
      <c r="S307" t="s">
        <v>29</v>
      </c>
      <c r="T307" t="s">
        <v>30</v>
      </c>
      <c r="U307">
        <v>4</v>
      </c>
      <c r="V307" t="s">
        <v>40</v>
      </c>
      <c r="W307">
        <f>excelsalesdata[[#This Row],[Quantity]]*excelsalesdata[[#This Row],[Unit_Price]]</f>
        <v>4180</v>
      </c>
      <c r="X307">
        <f>excelsalesdata[[#This Row],[Gross_sales]]*excelsalesdata[[#This Row],[Discount_%]]</f>
        <v>0</v>
      </c>
      <c r="Y307">
        <f>excelsalesdata[[#This Row],[Gross_sales]]-excelsalesdata[[#This Row],[Discount_amt]]</f>
        <v>4180</v>
      </c>
      <c r="Z307" s="4">
        <f>excelsalesdata[[#This Row],[Net_sales]]-excelsalesdata[[#This Row],[Cost]]</f>
        <v>1690</v>
      </c>
      <c r="AA307" s="5">
        <f>excelsalesdata[[#This Row],[Profit]]/excelsalesdata[[#This Row],[Net_sales]]</f>
        <v>0.40430622009569378</v>
      </c>
      <c r="AB307" s="4">
        <f>YEAR(excelsalesdata[[#This Row],[Order_Date]])</f>
        <v>2026</v>
      </c>
      <c r="AC307" s="4" t="str">
        <f>TEXT(excelsalesdata[[#This Row],[Order_Date]],"mmm")</f>
        <v>Feb</v>
      </c>
      <c r="AD307" s="4" t="str">
        <f>"Q"&amp;ROUNDUP(MONTH(excelsalesdata[[#This Row],[Order_Date]])/3,0)</f>
        <v>Q1</v>
      </c>
    </row>
    <row r="308" spans="1:30" x14ac:dyDescent="0.35">
      <c r="A308" t="s">
        <v>810</v>
      </c>
      <c r="B308" s="3">
        <v>46066</v>
      </c>
      <c r="C308" t="s">
        <v>462</v>
      </c>
      <c r="D308" t="s">
        <v>445</v>
      </c>
      <c r="E308" t="str">
        <f>TRIM(excelsalesdata[[#This Row],[Customer_Name]])</f>
        <v>Priya Gupta</v>
      </c>
      <c r="F308" t="s">
        <v>44</v>
      </c>
      <c r="G308">
        <v>44</v>
      </c>
      <c r="H308" t="s">
        <v>109</v>
      </c>
      <c r="I308" t="str">
        <f>TRIM(excelsalesdata[[#This Row],[City]])</f>
        <v>Mysuru</v>
      </c>
      <c r="J308" t="s">
        <v>53</v>
      </c>
      <c r="K308" t="s">
        <v>47</v>
      </c>
      <c r="L308" t="s">
        <v>93</v>
      </c>
      <c r="M308" t="s">
        <v>718</v>
      </c>
      <c r="N308" t="s">
        <v>718</v>
      </c>
      <c r="O308">
        <v>1</v>
      </c>
      <c r="P308">
        <v>1910</v>
      </c>
      <c r="Q308">
        <v>0.1</v>
      </c>
      <c r="R308">
        <v>910</v>
      </c>
      <c r="S308" t="s">
        <v>80</v>
      </c>
      <c r="T308" t="s">
        <v>30</v>
      </c>
      <c r="U308">
        <v>2</v>
      </c>
      <c r="V308" t="s">
        <v>31</v>
      </c>
      <c r="W308">
        <f>excelsalesdata[[#This Row],[Quantity]]*excelsalesdata[[#This Row],[Unit_Price]]</f>
        <v>1910</v>
      </c>
      <c r="X308">
        <f>excelsalesdata[[#This Row],[Gross_sales]]*excelsalesdata[[#This Row],[Discount_%]]</f>
        <v>191</v>
      </c>
      <c r="Y308">
        <f>excelsalesdata[[#This Row],[Gross_sales]]-excelsalesdata[[#This Row],[Discount_amt]]</f>
        <v>1719</v>
      </c>
      <c r="Z308" s="4">
        <f>excelsalesdata[[#This Row],[Net_sales]]-excelsalesdata[[#This Row],[Cost]]</f>
        <v>809</v>
      </c>
      <c r="AA308" s="5">
        <f>excelsalesdata[[#This Row],[Profit]]/excelsalesdata[[#This Row],[Net_sales]]</f>
        <v>0.47062245491564864</v>
      </c>
      <c r="AB308" s="4">
        <f>YEAR(excelsalesdata[[#This Row],[Order_Date]])</f>
        <v>2026</v>
      </c>
      <c r="AC308" s="4" t="str">
        <f>TEXT(excelsalesdata[[#This Row],[Order_Date]],"mmm")</f>
        <v>Feb</v>
      </c>
      <c r="AD308" s="4" t="str">
        <f>"Q"&amp;ROUNDUP(MONTH(excelsalesdata[[#This Row],[Order_Date]])/3,0)</f>
        <v>Q1</v>
      </c>
    </row>
    <row r="309" spans="1:30" x14ac:dyDescent="0.35">
      <c r="A309" t="s">
        <v>811</v>
      </c>
      <c r="B309" s="3">
        <v>46067</v>
      </c>
      <c r="C309" t="s">
        <v>812</v>
      </c>
      <c r="D309" t="s">
        <v>333</v>
      </c>
      <c r="E309" t="str">
        <f>TRIM(excelsalesdata[[#This Row],[Customer_Name]])</f>
        <v>Ishita Singh</v>
      </c>
      <c r="F309" t="s">
        <v>44</v>
      </c>
      <c r="G309">
        <v>53</v>
      </c>
      <c r="H309" t="s">
        <v>35</v>
      </c>
      <c r="I309" t="str">
        <f>TRIM(excelsalesdata[[#This Row],[City]])</f>
        <v>Kolkata</v>
      </c>
      <c r="J309" t="s">
        <v>36</v>
      </c>
      <c r="K309" t="s">
        <v>37</v>
      </c>
      <c r="L309" t="s">
        <v>38</v>
      </c>
      <c r="M309" t="s">
        <v>255</v>
      </c>
      <c r="N309" t="s">
        <v>255</v>
      </c>
      <c r="O309">
        <v>4</v>
      </c>
      <c r="P309">
        <v>4710</v>
      </c>
      <c r="Q309">
        <v>0.15</v>
      </c>
      <c r="R309">
        <v>2950</v>
      </c>
      <c r="S309" t="s">
        <v>67</v>
      </c>
      <c r="T309" t="s">
        <v>30</v>
      </c>
      <c r="U309">
        <v>1</v>
      </c>
      <c r="V309" t="s">
        <v>31</v>
      </c>
      <c r="W309">
        <f>excelsalesdata[[#This Row],[Quantity]]*excelsalesdata[[#This Row],[Unit_Price]]</f>
        <v>18840</v>
      </c>
      <c r="X309">
        <f>excelsalesdata[[#This Row],[Gross_sales]]*excelsalesdata[[#This Row],[Discount_%]]</f>
        <v>2826</v>
      </c>
      <c r="Y309">
        <f>excelsalesdata[[#This Row],[Gross_sales]]-excelsalesdata[[#This Row],[Discount_amt]]</f>
        <v>16014</v>
      </c>
      <c r="Z309" s="4">
        <f>excelsalesdata[[#This Row],[Net_sales]]-excelsalesdata[[#This Row],[Cost]]</f>
        <v>13064</v>
      </c>
      <c r="AA309" s="5">
        <f>excelsalesdata[[#This Row],[Profit]]/excelsalesdata[[#This Row],[Net_sales]]</f>
        <v>0.81578618708629946</v>
      </c>
      <c r="AB309" s="4">
        <f>YEAR(excelsalesdata[[#This Row],[Order_Date]])</f>
        <v>2026</v>
      </c>
      <c r="AC309" s="4" t="str">
        <f>TEXT(excelsalesdata[[#This Row],[Order_Date]],"mmm")</f>
        <v>Feb</v>
      </c>
      <c r="AD309" s="4" t="str">
        <f>"Q"&amp;ROUNDUP(MONTH(excelsalesdata[[#This Row],[Order_Date]])/3,0)</f>
        <v>Q1</v>
      </c>
    </row>
    <row r="310" spans="1:30" x14ac:dyDescent="0.35">
      <c r="A310" t="s">
        <v>813</v>
      </c>
      <c r="B310" s="3">
        <v>46068</v>
      </c>
      <c r="C310" t="s">
        <v>814</v>
      </c>
      <c r="D310" t="s">
        <v>691</v>
      </c>
      <c r="E310" t="str">
        <f>TRIM(excelsalesdata[[#This Row],[Customer_Name]])</f>
        <v>Vivaan Singh</v>
      </c>
      <c r="F310" t="s">
        <v>23</v>
      </c>
      <c r="G310">
        <v>57</v>
      </c>
      <c r="H310" t="s">
        <v>114</v>
      </c>
      <c r="I310" t="str">
        <f>TRIM(excelsalesdata[[#This Row],[City]])</f>
        <v>Hyderabad</v>
      </c>
      <c r="J310" t="s">
        <v>115</v>
      </c>
      <c r="K310" t="s">
        <v>47</v>
      </c>
      <c r="L310" t="s">
        <v>27</v>
      </c>
      <c r="M310" t="s">
        <v>295</v>
      </c>
      <c r="N310" t="s">
        <v>295</v>
      </c>
      <c r="O310">
        <v>1</v>
      </c>
      <c r="P310">
        <v>4310</v>
      </c>
      <c r="Q310">
        <v>0.1</v>
      </c>
      <c r="R310">
        <v>2560</v>
      </c>
      <c r="S310" t="s">
        <v>29</v>
      </c>
      <c r="T310" t="s">
        <v>30</v>
      </c>
      <c r="U310">
        <v>5</v>
      </c>
      <c r="V310" t="s">
        <v>31</v>
      </c>
      <c r="W310">
        <f>excelsalesdata[[#This Row],[Quantity]]*excelsalesdata[[#This Row],[Unit_Price]]</f>
        <v>4310</v>
      </c>
      <c r="X310">
        <f>excelsalesdata[[#This Row],[Gross_sales]]*excelsalesdata[[#This Row],[Discount_%]]</f>
        <v>431</v>
      </c>
      <c r="Y310">
        <f>excelsalesdata[[#This Row],[Gross_sales]]-excelsalesdata[[#This Row],[Discount_amt]]</f>
        <v>3879</v>
      </c>
      <c r="Z310" s="4">
        <f>excelsalesdata[[#This Row],[Net_sales]]-excelsalesdata[[#This Row],[Cost]]</f>
        <v>1319</v>
      </c>
      <c r="AA310" s="5">
        <f>excelsalesdata[[#This Row],[Profit]]/excelsalesdata[[#This Row],[Net_sales]]</f>
        <v>0.34003609177623101</v>
      </c>
      <c r="AB310" s="4">
        <f>YEAR(excelsalesdata[[#This Row],[Order_Date]])</f>
        <v>2026</v>
      </c>
      <c r="AC310" s="4" t="str">
        <f>TEXT(excelsalesdata[[#This Row],[Order_Date]],"mmm")</f>
        <v>Feb</v>
      </c>
      <c r="AD310" s="4" t="str">
        <f>"Q"&amp;ROUNDUP(MONTH(excelsalesdata[[#This Row],[Order_Date]])/3,0)</f>
        <v>Q1</v>
      </c>
    </row>
    <row r="311" spans="1:30" x14ac:dyDescent="0.35">
      <c r="A311" t="s">
        <v>815</v>
      </c>
      <c r="B311" s="3">
        <v>46069</v>
      </c>
      <c r="C311" t="s">
        <v>816</v>
      </c>
      <c r="D311" t="s">
        <v>490</v>
      </c>
      <c r="E311" t="str">
        <f>TRIM(excelsalesdata[[#This Row],[Customer_Name]])</f>
        <v>Aditya Singh</v>
      </c>
      <c r="F311" t="s">
        <v>44</v>
      </c>
      <c r="G311">
        <v>40</v>
      </c>
      <c r="H311" t="s">
        <v>190</v>
      </c>
      <c r="I311" t="str">
        <f>TRIM(excelsalesdata[[#This Row],[City]])</f>
        <v>Ahmedabad</v>
      </c>
      <c r="J311" t="s">
        <v>191</v>
      </c>
      <c r="K311" t="s">
        <v>26</v>
      </c>
      <c r="L311" t="s">
        <v>38</v>
      </c>
      <c r="M311" t="s">
        <v>73</v>
      </c>
      <c r="N311" t="s">
        <v>73</v>
      </c>
      <c r="O311">
        <v>1</v>
      </c>
      <c r="P311">
        <v>5170</v>
      </c>
      <c r="Q311">
        <v>0.05</v>
      </c>
      <c r="R311">
        <v>3120</v>
      </c>
      <c r="S311" t="s">
        <v>29</v>
      </c>
      <c r="T311" t="s">
        <v>30</v>
      </c>
      <c r="U311">
        <v>6</v>
      </c>
      <c r="V311" t="s">
        <v>40</v>
      </c>
      <c r="W311">
        <f>excelsalesdata[[#This Row],[Quantity]]*excelsalesdata[[#This Row],[Unit_Price]]</f>
        <v>5170</v>
      </c>
      <c r="X311">
        <f>excelsalesdata[[#This Row],[Gross_sales]]*excelsalesdata[[#This Row],[Discount_%]]</f>
        <v>258.5</v>
      </c>
      <c r="Y311">
        <f>excelsalesdata[[#This Row],[Gross_sales]]-excelsalesdata[[#This Row],[Discount_amt]]</f>
        <v>4911.5</v>
      </c>
      <c r="Z311" s="4">
        <f>excelsalesdata[[#This Row],[Net_sales]]-excelsalesdata[[#This Row],[Cost]]</f>
        <v>1791.5</v>
      </c>
      <c r="AA311" s="5">
        <f>excelsalesdata[[#This Row],[Profit]]/excelsalesdata[[#This Row],[Net_sales]]</f>
        <v>0.36475618446503105</v>
      </c>
      <c r="AB311" s="4">
        <f>YEAR(excelsalesdata[[#This Row],[Order_Date]])</f>
        <v>2026</v>
      </c>
      <c r="AC311" s="4" t="str">
        <f>TEXT(excelsalesdata[[#This Row],[Order_Date]],"mmm")</f>
        <v>Feb</v>
      </c>
      <c r="AD311" s="4" t="str">
        <f>"Q"&amp;ROUNDUP(MONTH(excelsalesdata[[#This Row],[Order_Date]])/3,0)</f>
        <v>Q1</v>
      </c>
    </row>
    <row r="312" spans="1:30" x14ac:dyDescent="0.35">
      <c r="A312" t="s">
        <v>817</v>
      </c>
      <c r="B312" s="3">
        <v>46070</v>
      </c>
      <c r="C312" t="s">
        <v>818</v>
      </c>
      <c r="D312" t="s">
        <v>820</v>
      </c>
      <c r="E312" t="str">
        <f>TRIM(excelsalesdata[[#This Row],[Customer_Name]])</f>
        <v>Ishita Verma</v>
      </c>
      <c r="F312" t="s">
        <v>44</v>
      </c>
      <c r="G312">
        <v>23</v>
      </c>
      <c r="H312" t="s">
        <v>78</v>
      </c>
      <c r="I312" t="str">
        <f>TRIM(excelsalesdata[[#This Row],[City]])</f>
        <v>Guwahati</v>
      </c>
      <c r="J312" t="s">
        <v>79</v>
      </c>
      <c r="K312" t="s">
        <v>37</v>
      </c>
      <c r="L312" t="s">
        <v>27</v>
      </c>
      <c r="M312" t="s">
        <v>48</v>
      </c>
      <c r="N312" t="s">
        <v>48</v>
      </c>
      <c r="O312">
        <v>2</v>
      </c>
      <c r="P312">
        <v>880</v>
      </c>
      <c r="Q312">
        <v>0.05</v>
      </c>
      <c r="R312">
        <v>430</v>
      </c>
      <c r="S312" t="s">
        <v>80</v>
      </c>
      <c r="T312" t="s">
        <v>30</v>
      </c>
      <c r="U312">
        <v>2</v>
      </c>
      <c r="V312" t="s">
        <v>40</v>
      </c>
      <c r="W312">
        <f>excelsalesdata[[#This Row],[Quantity]]*excelsalesdata[[#This Row],[Unit_Price]]</f>
        <v>1760</v>
      </c>
      <c r="X312">
        <f>excelsalesdata[[#This Row],[Gross_sales]]*excelsalesdata[[#This Row],[Discount_%]]</f>
        <v>88</v>
      </c>
      <c r="Y312">
        <f>excelsalesdata[[#This Row],[Gross_sales]]-excelsalesdata[[#This Row],[Discount_amt]]</f>
        <v>1672</v>
      </c>
      <c r="Z312" s="4">
        <f>excelsalesdata[[#This Row],[Net_sales]]-excelsalesdata[[#This Row],[Cost]]</f>
        <v>1242</v>
      </c>
      <c r="AA312" s="5">
        <f>excelsalesdata[[#This Row],[Profit]]/excelsalesdata[[#This Row],[Net_sales]]</f>
        <v>0.74282296650717705</v>
      </c>
      <c r="AB312" s="4">
        <f>YEAR(excelsalesdata[[#This Row],[Order_Date]])</f>
        <v>2026</v>
      </c>
      <c r="AC312" s="4" t="str">
        <f>TEXT(excelsalesdata[[#This Row],[Order_Date]],"mmm")</f>
        <v>Feb</v>
      </c>
      <c r="AD312" s="4" t="str">
        <f>"Q"&amp;ROUNDUP(MONTH(excelsalesdata[[#This Row],[Order_Date]])/3,0)</f>
        <v>Q1</v>
      </c>
    </row>
    <row r="313" spans="1:30" x14ac:dyDescent="0.35">
      <c r="A313" t="s">
        <v>819</v>
      </c>
      <c r="B313" s="3">
        <v>46071</v>
      </c>
      <c r="C313" t="s">
        <v>272</v>
      </c>
      <c r="D313" t="s">
        <v>490</v>
      </c>
      <c r="E313" t="str">
        <f>TRIM(excelsalesdata[[#This Row],[Customer_Name]])</f>
        <v>Aditya Singh</v>
      </c>
      <c r="F313" t="s">
        <v>44</v>
      </c>
      <c r="G313">
        <v>33</v>
      </c>
      <c r="H313" t="s">
        <v>114</v>
      </c>
      <c r="I313" t="str">
        <f>TRIM(excelsalesdata[[#This Row],[City]])</f>
        <v>Hyderabad</v>
      </c>
      <c r="J313" t="s">
        <v>115</v>
      </c>
      <c r="K313" t="s">
        <v>47</v>
      </c>
      <c r="L313" t="s">
        <v>103</v>
      </c>
      <c r="M313" t="s">
        <v>178</v>
      </c>
      <c r="N313" t="s">
        <v>178</v>
      </c>
      <c r="O313">
        <v>3</v>
      </c>
      <c r="P313">
        <v>1750</v>
      </c>
      <c r="Q313">
        <v>0.05</v>
      </c>
      <c r="R313">
        <v>940</v>
      </c>
      <c r="S313" t="s">
        <v>105</v>
      </c>
      <c r="T313" t="s">
        <v>30</v>
      </c>
      <c r="U313">
        <v>3</v>
      </c>
      <c r="V313" t="s">
        <v>31</v>
      </c>
      <c r="W313">
        <f>excelsalesdata[[#This Row],[Quantity]]*excelsalesdata[[#This Row],[Unit_Price]]</f>
        <v>5250</v>
      </c>
      <c r="X313">
        <f>excelsalesdata[[#This Row],[Gross_sales]]*excelsalesdata[[#This Row],[Discount_%]]</f>
        <v>262.5</v>
      </c>
      <c r="Y313">
        <f>excelsalesdata[[#This Row],[Gross_sales]]-excelsalesdata[[#This Row],[Discount_amt]]</f>
        <v>4987.5</v>
      </c>
      <c r="Z313" s="4">
        <f>excelsalesdata[[#This Row],[Net_sales]]-excelsalesdata[[#This Row],[Cost]]</f>
        <v>4047.5</v>
      </c>
      <c r="AA313" s="5">
        <f>excelsalesdata[[#This Row],[Profit]]/excelsalesdata[[#This Row],[Net_sales]]</f>
        <v>0.81152882205513788</v>
      </c>
      <c r="AB313" s="4">
        <f>YEAR(excelsalesdata[[#This Row],[Order_Date]])</f>
        <v>2026</v>
      </c>
      <c r="AC313" s="4" t="str">
        <f>TEXT(excelsalesdata[[#This Row],[Order_Date]],"mmm")</f>
        <v>Feb</v>
      </c>
      <c r="AD313" s="4" t="str">
        <f>"Q"&amp;ROUNDUP(MONTH(excelsalesdata[[#This Row],[Order_Date]])/3,0)</f>
        <v>Q1</v>
      </c>
    </row>
    <row r="314" spans="1:30" x14ac:dyDescent="0.35">
      <c r="A314" t="s">
        <v>821</v>
      </c>
      <c r="B314" s="3">
        <v>46072</v>
      </c>
      <c r="C314" t="s">
        <v>337</v>
      </c>
      <c r="D314" t="s">
        <v>713</v>
      </c>
      <c r="E314" t="str">
        <f>TRIM(excelsalesdata[[#This Row],[Customer_Name]])</f>
        <v>Meera Singh</v>
      </c>
      <c r="F314" t="s">
        <v>23</v>
      </c>
      <c r="G314">
        <v>29</v>
      </c>
      <c r="H314" t="s">
        <v>155</v>
      </c>
      <c r="I314" t="str">
        <f>TRIM(excelsalesdata[[#This Row],[City]])</f>
        <v>Chennai</v>
      </c>
      <c r="J314" t="s">
        <v>156</v>
      </c>
      <c r="K314" t="s">
        <v>47</v>
      </c>
      <c r="L314" t="s">
        <v>93</v>
      </c>
      <c r="M314" t="s">
        <v>206</v>
      </c>
      <c r="N314" t="s">
        <v>206</v>
      </c>
      <c r="O314">
        <v>3</v>
      </c>
      <c r="P314">
        <v>640</v>
      </c>
      <c r="Q314">
        <v>0.3</v>
      </c>
      <c r="R314">
        <v>290</v>
      </c>
      <c r="S314" t="s">
        <v>151</v>
      </c>
      <c r="T314" t="s">
        <v>30</v>
      </c>
      <c r="U314">
        <v>5</v>
      </c>
      <c r="V314" t="s">
        <v>40</v>
      </c>
      <c r="W314">
        <f>excelsalesdata[[#This Row],[Quantity]]*excelsalesdata[[#This Row],[Unit_Price]]</f>
        <v>1920</v>
      </c>
      <c r="X314">
        <f>excelsalesdata[[#This Row],[Gross_sales]]*excelsalesdata[[#This Row],[Discount_%]]</f>
        <v>576</v>
      </c>
      <c r="Y314">
        <f>excelsalesdata[[#This Row],[Gross_sales]]-excelsalesdata[[#This Row],[Discount_amt]]</f>
        <v>1344</v>
      </c>
      <c r="Z314" s="4">
        <f>excelsalesdata[[#This Row],[Net_sales]]-excelsalesdata[[#This Row],[Cost]]</f>
        <v>1054</v>
      </c>
      <c r="AA314" s="5">
        <f>excelsalesdata[[#This Row],[Profit]]/excelsalesdata[[#This Row],[Net_sales]]</f>
        <v>0.78422619047619047</v>
      </c>
      <c r="AB314" s="4">
        <f>YEAR(excelsalesdata[[#This Row],[Order_Date]])</f>
        <v>2026</v>
      </c>
      <c r="AC314" s="4" t="str">
        <f>TEXT(excelsalesdata[[#This Row],[Order_Date]],"mmm")</f>
        <v>Feb</v>
      </c>
      <c r="AD314" s="4" t="str">
        <f>"Q"&amp;ROUNDUP(MONTH(excelsalesdata[[#This Row],[Order_Date]])/3,0)</f>
        <v>Q1</v>
      </c>
    </row>
    <row r="315" spans="1:30" x14ac:dyDescent="0.35">
      <c r="A315" t="s">
        <v>822</v>
      </c>
      <c r="B315" s="3">
        <v>46073</v>
      </c>
      <c r="C315" t="s">
        <v>408</v>
      </c>
      <c r="D315" t="s">
        <v>214</v>
      </c>
      <c r="E315" t="str">
        <f>TRIM(excelsalesdata[[#This Row],[Customer_Name]])</f>
        <v>Meera Naidu</v>
      </c>
      <c r="F315" t="s">
        <v>23</v>
      </c>
      <c r="G315">
        <v>60</v>
      </c>
      <c r="H315" t="s">
        <v>114</v>
      </c>
      <c r="I315" t="str">
        <f>TRIM(excelsalesdata[[#This Row],[City]])</f>
        <v>Hyderabad</v>
      </c>
      <c r="J315" t="s">
        <v>115</v>
      </c>
      <c r="K315" t="s">
        <v>47</v>
      </c>
      <c r="L315" t="s">
        <v>54</v>
      </c>
      <c r="M315" t="s">
        <v>157</v>
      </c>
      <c r="N315" t="s">
        <v>157</v>
      </c>
      <c r="O315">
        <v>2</v>
      </c>
      <c r="P315">
        <v>53080</v>
      </c>
      <c r="Q315">
        <v>0.05</v>
      </c>
      <c r="R315">
        <v>41070</v>
      </c>
      <c r="S315" t="s">
        <v>151</v>
      </c>
      <c r="T315" t="s">
        <v>30</v>
      </c>
      <c r="U315">
        <v>5</v>
      </c>
      <c r="V315" t="s">
        <v>40</v>
      </c>
      <c r="W315">
        <f>excelsalesdata[[#This Row],[Quantity]]*excelsalesdata[[#This Row],[Unit_Price]]</f>
        <v>106160</v>
      </c>
      <c r="X315">
        <f>excelsalesdata[[#This Row],[Gross_sales]]*excelsalesdata[[#This Row],[Discount_%]]</f>
        <v>5308</v>
      </c>
      <c r="Y315">
        <f>excelsalesdata[[#This Row],[Gross_sales]]-excelsalesdata[[#This Row],[Discount_amt]]</f>
        <v>100852</v>
      </c>
      <c r="Z315" s="4">
        <f>excelsalesdata[[#This Row],[Net_sales]]-excelsalesdata[[#This Row],[Cost]]</f>
        <v>59782</v>
      </c>
      <c r="AA315" s="5">
        <f>excelsalesdata[[#This Row],[Profit]]/excelsalesdata[[#This Row],[Net_sales]]</f>
        <v>0.5927696029825883</v>
      </c>
      <c r="AB315" s="4">
        <f>YEAR(excelsalesdata[[#This Row],[Order_Date]])</f>
        <v>2026</v>
      </c>
      <c r="AC315" s="4" t="str">
        <f>TEXT(excelsalesdata[[#This Row],[Order_Date]],"mmm")</f>
        <v>Feb</v>
      </c>
      <c r="AD315" s="4" t="str">
        <f>"Q"&amp;ROUNDUP(MONTH(excelsalesdata[[#This Row],[Order_Date]])/3,0)</f>
        <v>Q1</v>
      </c>
    </row>
    <row r="316" spans="1:30" x14ac:dyDescent="0.35">
      <c r="A316" t="s">
        <v>823</v>
      </c>
      <c r="B316" s="3">
        <v>46074</v>
      </c>
      <c r="C316" t="s">
        <v>824</v>
      </c>
      <c r="D316" t="s">
        <v>399</v>
      </c>
      <c r="E316" t="str">
        <f>TRIM(excelsalesdata[[#This Row],[Customer_Name]])</f>
        <v>Ishita Kumar</v>
      </c>
      <c r="F316" t="s">
        <v>44</v>
      </c>
      <c r="G316">
        <v>28</v>
      </c>
      <c r="H316" t="s">
        <v>168</v>
      </c>
      <c r="I316" t="str">
        <f>TRIM(excelsalesdata[[#This Row],[City]])</f>
        <v>Delhi</v>
      </c>
      <c r="J316" t="s">
        <v>168</v>
      </c>
      <c r="K316" t="s">
        <v>61</v>
      </c>
      <c r="L316" t="s">
        <v>38</v>
      </c>
      <c r="M316" t="s">
        <v>73</v>
      </c>
      <c r="N316" t="s">
        <v>73</v>
      </c>
      <c r="O316">
        <v>1</v>
      </c>
      <c r="P316">
        <v>5000</v>
      </c>
      <c r="Q316">
        <v>0.15</v>
      </c>
      <c r="R316">
        <v>3120</v>
      </c>
      <c r="S316" t="s">
        <v>80</v>
      </c>
      <c r="T316" t="s">
        <v>30</v>
      </c>
      <c r="U316">
        <v>6</v>
      </c>
      <c r="V316" t="s">
        <v>40</v>
      </c>
      <c r="W316">
        <f>excelsalesdata[[#This Row],[Quantity]]*excelsalesdata[[#This Row],[Unit_Price]]</f>
        <v>5000</v>
      </c>
      <c r="X316">
        <f>excelsalesdata[[#This Row],[Gross_sales]]*excelsalesdata[[#This Row],[Discount_%]]</f>
        <v>750</v>
      </c>
      <c r="Y316">
        <f>excelsalesdata[[#This Row],[Gross_sales]]-excelsalesdata[[#This Row],[Discount_amt]]</f>
        <v>4250</v>
      </c>
      <c r="Z316" s="4">
        <f>excelsalesdata[[#This Row],[Net_sales]]-excelsalesdata[[#This Row],[Cost]]</f>
        <v>1130</v>
      </c>
      <c r="AA316" s="5">
        <f>excelsalesdata[[#This Row],[Profit]]/excelsalesdata[[#This Row],[Net_sales]]</f>
        <v>0.26588235294117646</v>
      </c>
      <c r="AB316" s="4">
        <f>YEAR(excelsalesdata[[#This Row],[Order_Date]])</f>
        <v>2026</v>
      </c>
      <c r="AC316" s="4" t="str">
        <f>TEXT(excelsalesdata[[#This Row],[Order_Date]],"mmm")</f>
        <v>Feb</v>
      </c>
      <c r="AD316" s="4" t="str">
        <f>"Q"&amp;ROUNDUP(MONTH(excelsalesdata[[#This Row],[Order_Date]])/3,0)</f>
        <v>Q1</v>
      </c>
    </row>
    <row r="317" spans="1:30" x14ac:dyDescent="0.35">
      <c r="A317" t="s">
        <v>825</v>
      </c>
      <c r="B317" s="3">
        <v>46075</v>
      </c>
      <c r="C317" t="s">
        <v>69</v>
      </c>
      <c r="D317" t="s">
        <v>342</v>
      </c>
      <c r="E317" t="str">
        <f>TRIM(excelsalesdata[[#This Row],[Customer_Name]])</f>
        <v>Sneha Gupta</v>
      </c>
      <c r="F317" t="s">
        <v>23</v>
      </c>
      <c r="G317">
        <v>24</v>
      </c>
      <c r="H317" t="s">
        <v>185</v>
      </c>
      <c r="I317" t="str">
        <f>TRIM(excelsalesdata[[#This Row],[City]])</f>
        <v>Lucknow</v>
      </c>
      <c r="J317" t="s">
        <v>186</v>
      </c>
      <c r="K317" t="s">
        <v>61</v>
      </c>
      <c r="L317" t="s">
        <v>85</v>
      </c>
      <c r="M317" t="s">
        <v>172</v>
      </c>
      <c r="N317" t="s">
        <v>172</v>
      </c>
      <c r="O317">
        <v>1</v>
      </c>
      <c r="P317">
        <v>4650</v>
      </c>
      <c r="Q317">
        <v>0.1</v>
      </c>
      <c r="R317">
        <v>2760</v>
      </c>
      <c r="S317" t="s">
        <v>67</v>
      </c>
      <c r="T317" t="s">
        <v>30</v>
      </c>
      <c r="U317">
        <v>3</v>
      </c>
      <c r="V317" t="s">
        <v>31</v>
      </c>
      <c r="W317">
        <f>excelsalesdata[[#This Row],[Quantity]]*excelsalesdata[[#This Row],[Unit_Price]]</f>
        <v>4650</v>
      </c>
      <c r="X317">
        <f>excelsalesdata[[#This Row],[Gross_sales]]*excelsalesdata[[#This Row],[Discount_%]]</f>
        <v>465</v>
      </c>
      <c r="Y317">
        <f>excelsalesdata[[#This Row],[Gross_sales]]-excelsalesdata[[#This Row],[Discount_amt]]</f>
        <v>4185</v>
      </c>
      <c r="Z317" s="4">
        <f>excelsalesdata[[#This Row],[Net_sales]]-excelsalesdata[[#This Row],[Cost]]</f>
        <v>1425</v>
      </c>
      <c r="AA317" s="5">
        <f>excelsalesdata[[#This Row],[Profit]]/excelsalesdata[[#This Row],[Net_sales]]</f>
        <v>0.34050179211469533</v>
      </c>
      <c r="AB317" s="4">
        <f>YEAR(excelsalesdata[[#This Row],[Order_Date]])</f>
        <v>2026</v>
      </c>
      <c r="AC317" s="4" t="str">
        <f>TEXT(excelsalesdata[[#This Row],[Order_Date]],"mmm")</f>
        <v>Feb</v>
      </c>
      <c r="AD317" s="4" t="str">
        <f>"Q"&amp;ROUNDUP(MONTH(excelsalesdata[[#This Row],[Order_Date]])/3,0)</f>
        <v>Q1</v>
      </c>
    </row>
    <row r="318" spans="1:30" x14ac:dyDescent="0.35">
      <c r="A318" t="s">
        <v>826</v>
      </c>
      <c r="B318" s="3">
        <v>46076</v>
      </c>
      <c r="C318" t="s">
        <v>654</v>
      </c>
      <c r="D318" t="s">
        <v>527</v>
      </c>
      <c r="E318" t="str">
        <f>TRIM(excelsalesdata[[#This Row],[Customer_Name]])</f>
        <v>Aditya Sharma</v>
      </c>
      <c r="F318" t="s">
        <v>44</v>
      </c>
      <c r="G318">
        <v>21</v>
      </c>
      <c r="H318" t="s">
        <v>185</v>
      </c>
      <c r="I318" t="str">
        <f>TRIM(excelsalesdata[[#This Row],[City]])</f>
        <v>Lucknow</v>
      </c>
      <c r="J318" t="s">
        <v>186</v>
      </c>
      <c r="K318" t="s">
        <v>61</v>
      </c>
      <c r="L318" t="s">
        <v>85</v>
      </c>
      <c r="M318" t="s">
        <v>110</v>
      </c>
      <c r="N318" t="s">
        <v>110</v>
      </c>
      <c r="O318">
        <v>1</v>
      </c>
      <c r="P318">
        <v>1280</v>
      </c>
      <c r="Q318">
        <v>0.05</v>
      </c>
      <c r="R318">
        <v>580</v>
      </c>
      <c r="S318" t="s">
        <v>105</v>
      </c>
      <c r="T318" t="s">
        <v>99</v>
      </c>
      <c r="U318">
        <v>3</v>
      </c>
      <c r="V318" t="s">
        <v>40</v>
      </c>
      <c r="W318">
        <f>excelsalesdata[[#This Row],[Quantity]]*excelsalesdata[[#This Row],[Unit_Price]]</f>
        <v>1280</v>
      </c>
      <c r="X318">
        <f>excelsalesdata[[#This Row],[Gross_sales]]*excelsalesdata[[#This Row],[Discount_%]]</f>
        <v>64</v>
      </c>
      <c r="Y318">
        <f>excelsalesdata[[#This Row],[Gross_sales]]-excelsalesdata[[#This Row],[Discount_amt]]</f>
        <v>1216</v>
      </c>
      <c r="Z318" s="4">
        <f>excelsalesdata[[#This Row],[Net_sales]]-excelsalesdata[[#This Row],[Cost]]</f>
        <v>636</v>
      </c>
      <c r="AA318" s="5">
        <f>excelsalesdata[[#This Row],[Profit]]/excelsalesdata[[#This Row],[Net_sales]]</f>
        <v>0.52302631578947367</v>
      </c>
      <c r="AB318" s="4">
        <f>YEAR(excelsalesdata[[#This Row],[Order_Date]])</f>
        <v>2026</v>
      </c>
      <c r="AC318" s="4" t="str">
        <f>TEXT(excelsalesdata[[#This Row],[Order_Date]],"mmm")</f>
        <v>Feb</v>
      </c>
      <c r="AD318" s="4" t="str">
        <f>"Q"&amp;ROUNDUP(MONTH(excelsalesdata[[#This Row],[Order_Date]])/3,0)</f>
        <v>Q1</v>
      </c>
    </row>
    <row r="319" spans="1:30" x14ac:dyDescent="0.35">
      <c r="A319" t="s">
        <v>827</v>
      </c>
      <c r="B319" s="3">
        <v>46077</v>
      </c>
      <c r="C319" t="s">
        <v>83</v>
      </c>
      <c r="D319" t="s">
        <v>830</v>
      </c>
      <c r="E319" t="str">
        <f>TRIM(excelsalesdata[[#This Row],[Customer_Name]])</f>
        <v>Rohan Bhat</v>
      </c>
      <c r="F319" t="s">
        <v>44</v>
      </c>
      <c r="G319">
        <v>31</v>
      </c>
      <c r="H319" t="s">
        <v>114</v>
      </c>
      <c r="I319" t="str">
        <f>TRIM(excelsalesdata[[#This Row],[City]])</f>
        <v>Hyderabad</v>
      </c>
      <c r="J319" t="s">
        <v>115</v>
      </c>
      <c r="K319" t="s">
        <v>47</v>
      </c>
      <c r="L319" t="s">
        <v>93</v>
      </c>
      <c r="M319" t="s">
        <v>206</v>
      </c>
      <c r="N319" t="s">
        <v>206</v>
      </c>
      <c r="O319">
        <v>1</v>
      </c>
      <c r="P319">
        <v>610</v>
      </c>
      <c r="Q319">
        <v>0.25</v>
      </c>
      <c r="R319">
        <v>310</v>
      </c>
      <c r="S319" t="s">
        <v>80</v>
      </c>
      <c r="T319" t="s">
        <v>99</v>
      </c>
      <c r="U319">
        <v>1</v>
      </c>
      <c r="V319" t="s">
        <v>40</v>
      </c>
      <c r="W319">
        <f>excelsalesdata[[#This Row],[Quantity]]*excelsalesdata[[#This Row],[Unit_Price]]</f>
        <v>610</v>
      </c>
      <c r="X319">
        <f>excelsalesdata[[#This Row],[Gross_sales]]*excelsalesdata[[#This Row],[Discount_%]]</f>
        <v>152.5</v>
      </c>
      <c r="Y319">
        <f>excelsalesdata[[#This Row],[Gross_sales]]-excelsalesdata[[#This Row],[Discount_amt]]</f>
        <v>457.5</v>
      </c>
      <c r="Z319" s="4">
        <f>excelsalesdata[[#This Row],[Net_sales]]-excelsalesdata[[#This Row],[Cost]]</f>
        <v>147.5</v>
      </c>
      <c r="AA319" s="5">
        <f>excelsalesdata[[#This Row],[Profit]]/excelsalesdata[[#This Row],[Net_sales]]</f>
        <v>0.32240437158469948</v>
      </c>
      <c r="AB319" s="4">
        <f>YEAR(excelsalesdata[[#This Row],[Order_Date]])</f>
        <v>2026</v>
      </c>
      <c r="AC319" s="4" t="str">
        <f>TEXT(excelsalesdata[[#This Row],[Order_Date]],"mmm")</f>
        <v>Feb</v>
      </c>
      <c r="AD319" s="4" t="str">
        <f>"Q"&amp;ROUNDUP(MONTH(excelsalesdata[[#This Row],[Order_Date]])/3,0)</f>
        <v>Q1</v>
      </c>
    </row>
    <row r="320" spans="1:30" x14ac:dyDescent="0.35">
      <c r="A320" t="s">
        <v>828</v>
      </c>
      <c r="B320" s="3">
        <v>46078</v>
      </c>
      <c r="C320" t="s">
        <v>829</v>
      </c>
      <c r="D320" t="s">
        <v>833</v>
      </c>
      <c r="E320" t="str">
        <f>TRIM(excelsalesdata[[#This Row],[Customer_Name]])</f>
        <v>Rohan Mehta</v>
      </c>
      <c r="F320" t="s">
        <v>44</v>
      </c>
      <c r="G320">
        <v>55</v>
      </c>
      <c r="H320" t="s">
        <v>24</v>
      </c>
      <c r="I320" t="str">
        <f>TRIM(excelsalesdata[[#This Row],[City]])</f>
        <v>Pune</v>
      </c>
      <c r="J320" t="s">
        <v>25</v>
      </c>
      <c r="K320" t="s">
        <v>26</v>
      </c>
      <c r="L320" t="s">
        <v>38</v>
      </c>
      <c r="M320" t="s">
        <v>39</v>
      </c>
      <c r="N320" t="s">
        <v>39</v>
      </c>
      <c r="O320">
        <v>4</v>
      </c>
      <c r="P320">
        <v>6140</v>
      </c>
      <c r="Q320">
        <v>0.1</v>
      </c>
      <c r="R320">
        <v>4240</v>
      </c>
      <c r="S320" t="s">
        <v>105</v>
      </c>
      <c r="T320" t="s">
        <v>30</v>
      </c>
      <c r="U320">
        <v>3</v>
      </c>
      <c r="V320" t="s">
        <v>40</v>
      </c>
      <c r="W320">
        <f>excelsalesdata[[#This Row],[Quantity]]*excelsalesdata[[#This Row],[Unit_Price]]</f>
        <v>24560</v>
      </c>
      <c r="X320">
        <f>excelsalesdata[[#This Row],[Gross_sales]]*excelsalesdata[[#This Row],[Discount_%]]</f>
        <v>2456</v>
      </c>
      <c r="Y320">
        <f>excelsalesdata[[#This Row],[Gross_sales]]-excelsalesdata[[#This Row],[Discount_amt]]</f>
        <v>22104</v>
      </c>
      <c r="Z320" s="4">
        <f>excelsalesdata[[#This Row],[Net_sales]]-excelsalesdata[[#This Row],[Cost]]</f>
        <v>17864</v>
      </c>
      <c r="AA320" s="5">
        <f>excelsalesdata[[#This Row],[Profit]]/excelsalesdata[[#This Row],[Net_sales]]</f>
        <v>0.80817951501990593</v>
      </c>
      <c r="AB320" s="4">
        <f>YEAR(excelsalesdata[[#This Row],[Order_Date]])</f>
        <v>2026</v>
      </c>
      <c r="AC320" s="4" t="str">
        <f>TEXT(excelsalesdata[[#This Row],[Order_Date]],"mmm")</f>
        <v>Feb</v>
      </c>
      <c r="AD320" s="4" t="str">
        <f>"Q"&amp;ROUNDUP(MONTH(excelsalesdata[[#This Row],[Order_Date]])/3,0)</f>
        <v>Q1</v>
      </c>
    </row>
    <row r="321" spans="1:30" x14ac:dyDescent="0.35">
      <c r="A321" t="s">
        <v>831</v>
      </c>
      <c r="B321" s="3">
        <v>46079</v>
      </c>
      <c r="C321" t="s">
        <v>832</v>
      </c>
      <c r="D321" t="s">
        <v>466</v>
      </c>
      <c r="E321" t="str">
        <f>TRIM(excelsalesdata[[#This Row],[Customer_Name]])</f>
        <v>Ishita Bhat</v>
      </c>
      <c r="F321" t="s">
        <v>44</v>
      </c>
      <c r="G321">
        <v>34</v>
      </c>
      <c r="H321" t="s">
        <v>155</v>
      </c>
      <c r="I321" t="str">
        <f>TRIM(excelsalesdata[[#This Row],[City]])</f>
        <v>Chennai</v>
      </c>
      <c r="J321" t="s">
        <v>156</v>
      </c>
      <c r="K321" t="s">
        <v>47</v>
      </c>
      <c r="L321" t="s">
        <v>54</v>
      </c>
      <c r="M321" t="s">
        <v>157</v>
      </c>
      <c r="N321" t="s">
        <v>157</v>
      </c>
      <c r="O321">
        <v>1</v>
      </c>
      <c r="P321">
        <v>50970</v>
      </c>
      <c r="Q321">
        <v>0.1</v>
      </c>
      <c r="R321">
        <v>40310</v>
      </c>
      <c r="S321" t="s">
        <v>29</v>
      </c>
      <c r="T321" t="s">
        <v>30</v>
      </c>
      <c r="U321">
        <v>3</v>
      </c>
      <c r="V321" t="s">
        <v>40</v>
      </c>
      <c r="W321">
        <f>excelsalesdata[[#This Row],[Quantity]]*excelsalesdata[[#This Row],[Unit_Price]]</f>
        <v>50970</v>
      </c>
      <c r="X321">
        <f>excelsalesdata[[#This Row],[Gross_sales]]*excelsalesdata[[#This Row],[Discount_%]]</f>
        <v>5097</v>
      </c>
      <c r="Y321">
        <f>excelsalesdata[[#This Row],[Gross_sales]]-excelsalesdata[[#This Row],[Discount_amt]]</f>
        <v>45873</v>
      </c>
      <c r="Z321" s="4">
        <f>excelsalesdata[[#This Row],[Net_sales]]-excelsalesdata[[#This Row],[Cost]]</f>
        <v>5563</v>
      </c>
      <c r="AA321" s="5">
        <f>excelsalesdata[[#This Row],[Profit]]/excelsalesdata[[#This Row],[Net_sales]]</f>
        <v>0.12126959213480697</v>
      </c>
      <c r="AB321" s="4">
        <f>YEAR(excelsalesdata[[#This Row],[Order_Date]])</f>
        <v>2026</v>
      </c>
      <c r="AC321" s="4" t="str">
        <f>TEXT(excelsalesdata[[#This Row],[Order_Date]],"mmm")</f>
        <v>Feb</v>
      </c>
      <c r="AD321" s="4" t="str">
        <f>"Q"&amp;ROUNDUP(MONTH(excelsalesdata[[#This Row],[Order_Date]])/3,0)</f>
        <v>Q1</v>
      </c>
    </row>
    <row r="322" spans="1:30" x14ac:dyDescent="0.35">
      <c r="A322" t="s">
        <v>834</v>
      </c>
      <c r="B322" s="3">
        <v>46080</v>
      </c>
      <c r="C322" t="s">
        <v>835</v>
      </c>
      <c r="D322" t="s">
        <v>469</v>
      </c>
      <c r="E322" t="str">
        <f>TRIM(excelsalesdata[[#This Row],[Customer_Name]])</f>
        <v>Rahul Joshi</v>
      </c>
      <c r="F322" t="s">
        <v>23</v>
      </c>
      <c r="G322">
        <v>35</v>
      </c>
      <c r="H322" t="s">
        <v>60</v>
      </c>
      <c r="I322" t="str">
        <f>TRIM(excelsalesdata[[#This Row],[City]])</f>
        <v>Chandigarh</v>
      </c>
      <c r="J322" t="s">
        <v>60</v>
      </c>
      <c r="K322" t="s">
        <v>61</v>
      </c>
      <c r="L322" t="s">
        <v>38</v>
      </c>
      <c r="M322" t="s">
        <v>73</v>
      </c>
      <c r="N322" t="s">
        <v>73</v>
      </c>
      <c r="O322">
        <v>1</v>
      </c>
      <c r="P322">
        <v>4950</v>
      </c>
      <c r="Q322">
        <v>0.1</v>
      </c>
      <c r="R322">
        <v>3070</v>
      </c>
      <c r="S322" t="s">
        <v>67</v>
      </c>
      <c r="T322" t="s">
        <v>30</v>
      </c>
      <c r="U322">
        <v>4</v>
      </c>
      <c r="V322" t="s">
        <v>40</v>
      </c>
      <c r="W322">
        <f>excelsalesdata[[#This Row],[Quantity]]*excelsalesdata[[#This Row],[Unit_Price]]</f>
        <v>4950</v>
      </c>
      <c r="X322">
        <f>excelsalesdata[[#This Row],[Gross_sales]]*excelsalesdata[[#This Row],[Discount_%]]</f>
        <v>495</v>
      </c>
      <c r="Y322">
        <f>excelsalesdata[[#This Row],[Gross_sales]]-excelsalesdata[[#This Row],[Discount_amt]]</f>
        <v>4455</v>
      </c>
      <c r="Z322" s="4">
        <f>excelsalesdata[[#This Row],[Net_sales]]-excelsalesdata[[#This Row],[Cost]]</f>
        <v>1385</v>
      </c>
      <c r="AA322" s="5">
        <f>excelsalesdata[[#This Row],[Profit]]/excelsalesdata[[#This Row],[Net_sales]]</f>
        <v>0.31088664421997753</v>
      </c>
      <c r="AB322" s="4">
        <f>YEAR(excelsalesdata[[#This Row],[Order_Date]])</f>
        <v>2026</v>
      </c>
      <c r="AC322" s="4" t="str">
        <f>TEXT(excelsalesdata[[#This Row],[Order_Date]],"mmm")</f>
        <v>Feb</v>
      </c>
      <c r="AD322" s="4" t="str">
        <f>"Q"&amp;ROUNDUP(MONTH(excelsalesdata[[#This Row],[Order_Date]])/3,0)</f>
        <v>Q1</v>
      </c>
    </row>
    <row r="323" spans="1:30" x14ac:dyDescent="0.35">
      <c r="A323" t="s">
        <v>836</v>
      </c>
      <c r="B323" s="3">
        <v>46081</v>
      </c>
      <c r="C323" t="s">
        <v>837</v>
      </c>
      <c r="D323" t="s">
        <v>219</v>
      </c>
      <c r="E323" t="str">
        <f>TRIM(excelsalesdata[[#This Row],[Customer_Name]])</f>
        <v>Rohan Patel</v>
      </c>
      <c r="F323" t="s">
        <v>23</v>
      </c>
      <c r="G323">
        <v>29</v>
      </c>
      <c r="H323" t="s">
        <v>71</v>
      </c>
      <c r="I323" t="str">
        <f>TRIM(excelsalesdata[[#This Row],[City]])</f>
        <v>Bhubaneswar</v>
      </c>
      <c r="J323" t="s">
        <v>72</v>
      </c>
      <c r="K323" t="s">
        <v>37</v>
      </c>
      <c r="L323" t="s">
        <v>38</v>
      </c>
      <c r="M323" t="s">
        <v>119</v>
      </c>
      <c r="N323" t="s">
        <v>119</v>
      </c>
      <c r="O323">
        <v>1</v>
      </c>
      <c r="P323">
        <v>9100</v>
      </c>
      <c r="Q323">
        <v>0</v>
      </c>
      <c r="R323">
        <v>5810</v>
      </c>
      <c r="S323" t="s">
        <v>56</v>
      </c>
      <c r="T323" t="s">
        <v>30</v>
      </c>
      <c r="U323">
        <v>5</v>
      </c>
      <c r="V323" t="s">
        <v>40</v>
      </c>
      <c r="W323">
        <f>excelsalesdata[[#This Row],[Quantity]]*excelsalesdata[[#This Row],[Unit_Price]]</f>
        <v>9100</v>
      </c>
      <c r="X323">
        <f>excelsalesdata[[#This Row],[Gross_sales]]*excelsalesdata[[#This Row],[Discount_%]]</f>
        <v>0</v>
      </c>
      <c r="Y323">
        <f>excelsalesdata[[#This Row],[Gross_sales]]-excelsalesdata[[#This Row],[Discount_amt]]</f>
        <v>9100</v>
      </c>
      <c r="Z323" s="4">
        <f>excelsalesdata[[#This Row],[Net_sales]]-excelsalesdata[[#This Row],[Cost]]</f>
        <v>3290</v>
      </c>
      <c r="AA323" s="5">
        <f>excelsalesdata[[#This Row],[Profit]]/excelsalesdata[[#This Row],[Net_sales]]</f>
        <v>0.36153846153846153</v>
      </c>
      <c r="AB323" s="4">
        <f>YEAR(excelsalesdata[[#This Row],[Order_Date]])</f>
        <v>2026</v>
      </c>
      <c r="AC323" s="4" t="str">
        <f>TEXT(excelsalesdata[[#This Row],[Order_Date]],"mmm")</f>
        <v>Feb</v>
      </c>
      <c r="AD323" s="4" t="str">
        <f>"Q"&amp;ROUNDUP(MONTH(excelsalesdata[[#This Row],[Order_Date]])/3,0)</f>
        <v>Q1</v>
      </c>
    </row>
    <row r="324" spans="1:30" x14ac:dyDescent="0.35">
      <c r="A324" t="s">
        <v>838</v>
      </c>
      <c r="B324" s="3">
        <v>46082</v>
      </c>
      <c r="C324" t="s">
        <v>839</v>
      </c>
      <c r="D324" t="s">
        <v>237</v>
      </c>
      <c r="E324" t="str">
        <f>TRIM(excelsalesdata[[#This Row],[Customer_Name]])</f>
        <v>Vivaan Kumar</v>
      </c>
      <c r="F324" t="s">
        <v>23</v>
      </c>
      <c r="G324">
        <v>54</v>
      </c>
      <c r="H324" t="s">
        <v>71</v>
      </c>
      <c r="I324" t="str">
        <f>TRIM(excelsalesdata[[#This Row],[City]])</f>
        <v>Bhubaneswar</v>
      </c>
      <c r="J324" t="s">
        <v>72</v>
      </c>
      <c r="K324" t="s">
        <v>37</v>
      </c>
      <c r="L324" t="s">
        <v>93</v>
      </c>
      <c r="M324" t="s">
        <v>206</v>
      </c>
      <c r="N324" t="s">
        <v>206</v>
      </c>
      <c r="O324">
        <v>1</v>
      </c>
      <c r="P324">
        <v>680</v>
      </c>
      <c r="Q324">
        <v>0.15</v>
      </c>
      <c r="R324">
        <v>300</v>
      </c>
      <c r="S324" t="s">
        <v>67</v>
      </c>
      <c r="T324" t="s">
        <v>30</v>
      </c>
      <c r="U324">
        <v>2</v>
      </c>
      <c r="V324" t="s">
        <v>40</v>
      </c>
      <c r="W324">
        <f>excelsalesdata[[#This Row],[Quantity]]*excelsalesdata[[#This Row],[Unit_Price]]</f>
        <v>680</v>
      </c>
      <c r="X324">
        <f>excelsalesdata[[#This Row],[Gross_sales]]*excelsalesdata[[#This Row],[Discount_%]]</f>
        <v>102</v>
      </c>
      <c r="Y324">
        <f>excelsalesdata[[#This Row],[Gross_sales]]-excelsalesdata[[#This Row],[Discount_amt]]</f>
        <v>578</v>
      </c>
      <c r="Z324" s="4">
        <f>excelsalesdata[[#This Row],[Net_sales]]-excelsalesdata[[#This Row],[Cost]]</f>
        <v>278</v>
      </c>
      <c r="AA324" s="5">
        <f>excelsalesdata[[#This Row],[Profit]]/excelsalesdata[[#This Row],[Net_sales]]</f>
        <v>0.48096885813148788</v>
      </c>
      <c r="AB324" s="4">
        <f>YEAR(excelsalesdata[[#This Row],[Order_Date]])</f>
        <v>2026</v>
      </c>
      <c r="AC324" s="4" t="str">
        <f>TEXT(excelsalesdata[[#This Row],[Order_Date]],"mmm")</f>
        <v>Mar</v>
      </c>
      <c r="AD324" s="4" t="str">
        <f>"Q"&amp;ROUNDUP(MONTH(excelsalesdata[[#This Row],[Order_Date]])/3,0)</f>
        <v>Q1</v>
      </c>
    </row>
    <row r="325" spans="1:30" x14ac:dyDescent="0.35">
      <c r="A325" t="s">
        <v>840</v>
      </c>
      <c r="B325" s="3">
        <v>46083</v>
      </c>
      <c r="C325" t="s">
        <v>841</v>
      </c>
      <c r="D325" t="s">
        <v>844</v>
      </c>
      <c r="E325" t="str">
        <f>TRIM(excelsalesdata[[#This Row],[Customer_Name]])</f>
        <v>Vikram Gupta</v>
      </c>
      <c r="F325" t="s">
        <v>44</v>
      </c>
      <c r="G325">
        <v>35</v>
      </c>
      <c r="H325" t="s">
        <v>114</v>
      </c>
      <c r="I325" t="str">
        <f>TRIM(excelsalesdata[[#This Row],[City]])</f>
        <v>Hyderabad</v>
      </c>
      <c r="J325" t="s">
        <v>115</v>
      </c>
      <c r="K325" t="s">
        <v>47</v>
      </c>
      <c r="L325" t="s">
        <v>54</v>
      </c>
      <c r="M325" t="s">
        <v>157</v>
      </c>
      <c r="N325" t="s">
        <v>157</v>
      </c>
      <c r="O325">
        <v>1</v>
      </c>
      <c r="P325">
        <v>52500</v>
      </c>
      <c r="Q325">
        <v>0.1</v>
      </c>
      <c r="R325">
        <v>40100</v>
      </c>
      <c r="S325" t="s">
        <v>151</v>
      </c>
      <c r="T325" t="s">
        <v>74</v>
      </c>
      <c r="U325">
        <v>4</v>
      </c>
      <c r="V325" t="s">
        <v>40</v>
      </c>
      <c r="W325">
        <f>excelsalesdata[[#This Row],[Quantity]]*excelsalesdata[[#This Row],[Unit_Price]]</f>
        <v>52500</v>
      </c>
      <c r="X325">
        <f>excelsalesdata[[#This Row],[Gross_sales]]*excelsalesdata[[#This Row],[Discount_%]]</f>
        <v>5250</v>
      </c>
      <c r="Y325">
        <f>excelsalesdata[[#This Row],[Gross_sales]]-excelsalesdata[[#This Row],[Discount_amt]]</f>
        <v>47250</v>
      </c>
      <c r="Z325" s="4">
        <f>excelsalesdata[[#This Row],[Net_sales]]-excelsalesdata[[#This Row],[Cost]]</f>
        <v>7150</v>
      </c>
      <c r="AA325" s="5">
        <f>excelsalesdata[[#This Row],[Profit]]/excelsalesdata[[#This Row],[Net_sales]]</f>
        <v>0.15132275132275133</v>
      </c>
      <c r="AB325" s="4">
        <f>YEAR(excelsalesdata[[#This Row],[Order_Date]])</f>
        <v>2026</v>
      </c>
      <c r="AC325" s="4" t="str">
        <f>TEXT(excelsalesdata[[#This Row],[Order_Date]],"mmm")</f>
        <v>Mar</v>
      </c>
      <c r="AD325" s="4" t="str">
        <f>"Q"&amp;ROUNDUP(MONTH(excelsalesdata[[#This Row],[Order_Date]])/3,0)</f>
        <v>Q1</v>
      </c>
    </row>
    <row r="326" spans="1:30" x14ac:dyDescent="0.35">
      <c r="A326" t="s">
        <v>842</v>
      </c>
      <c r="B326" s="3">
        <v>46084</v>
      </c>
      <c r="C326" t="s">
        <v>843</v>
      </c>
      <c r="D326" t="s">
        <v>488</v>
      </c>
      <c r="E326" t="str">
        <f>TRIM(excelsalesdata[[#This Row],[Customer_Name]])</f>
        <v>Nisha Singh</v>
      </c>
      <c r="F326" t="s">
        <v>44</v>
      </c>
      <c r="G326">
        <v>23</v>
      </c>
      <c r="H326" t="s">
        <v>168</v>
      </c>
      <c r="I326" t="str">
        <f>TRIM(excelsalesdata[[#This Row],[City]])</f>
        <v>Delhi</v>
      </c>
      <c r="J326" t="s">
        <v>168</v>
      </c>
      <c r="K326" t="s">
        <v>61</v>
      </c>
      <c r="L326" t="s">
        <v>103</v>
      </c>
      <c r="M326" t="s">
        <v>238</v>
      </c>
      <c r="N326" t="s">
        <v>238</v>
      </c>
      <c r="O326">
        <v>1</v>
      </c>
      <c r="P326">
        <v>4030</v>
      </c>
      <c r="Q326">
        <v>0.2</v>
      </c>
      <c r="R326">
        <v>2610</v>
      </c>
      <c r="S326" t="s">
        <v>80</v>
      </c>
      <c r="T326" t="s">
        <v>30</v>
      </c>
      <c r="U326">
        <v>3</v>
      </c>
      <c r="V326" t="s">
        <v>40</v>
      </c>
      <c r="W326">
        <f>excelsalesdata[[#This Row],[Quantity]]*excelsalesdata[[#This Row],[Unit_Price]]</f>
        <v>4030</v>
      </c>
      <c r="X326">
        <f>excelsalesdata[[#This Row],[Gross_sales]]*excelsalesdata[[#This Row],[Discount_%]]</f>
        <v>806</v>
      </c>
      <c r="Y326">
        <f>excelsalesdata[[#This Row],[Gross_sales]]-excelsalesdata[[#This Row],[Discount_amt]]</f>
        <v>3224</v>
      </c>
      <c r="Z326" s="4">
        <f>excelsalesdata[[#This Row],[Net_sales]]-excelsalesdata[[#This Row],[Cost]]</f>
        <v>614</v>
      </c>
      <c r="AA326" s="5">
        <f>excelsalesdata[[#This Row],[Profit]]/excelsalesdata[[#This Row],[Net_sales]]</f>
        <v>0.19044665012406947</v>
      </c>
      <c r="AB326" s="4">
        <f>YEAR(excelsalesdata[[#This Row],[Order_Date]])</f>
        <v>2026</v>
      </c>
      <c r="AC326" s="4" t="str">
        <f>TEXT(excelsalesdata[[#This Row],[Order_Date]],"mmm")</f>
        <v>Mar</v>
      </c>
      <c r="AD326" s="4" t="str">
        <f>"Q"&amp;ROUNDUP(MONTH(excelsalesdata[[#This Row],[Order_Date]])/3,0)</f>
        <v>Q1</v>
      </c>
    </row>
    <row r="327" spans="1:30" x14ac:dyDescent="0.35">
      <c r="A327" t="s">
        <v>845</v>
      </c>
      <c r="B327" s="3">
        <v>46085</v>
      </c>
      <c r="C327" t="s">
        <v>846</v>
      </c>
      <c r="D327" t="s">
        <v>164</v>
      </c>
      <c r="E327" t="str">
        <f>TRIM(excelsalesdata[[#This Row],[Customer_Name]])</f>
        <v>Priya Naidu</v>
      </c>
      <c r="F327" t="s">
        <v>23</v>
      </c>
      <c r="G327">
        <v>59</v>
      </c>
      <c r="H327" t="s">
        <v>45</v>
      </c>
      <c r="I327" t="str">
        <f>TRIM(excelsalesdata[[#This Row],[City]])</f>
        <v>Kochi</v>
      </c>
      <c r="J327" t="s">
        <v>46</v>
      </c>
      <c r="K327" t="s">
        <v>47</v>
      </c>
      <c r="L327" t="s">
        <v>27</v>
      </c>
      <c r="M327" t="s">
        <v>48</v>
      </c>
      <c r="N327" t="s">
        <v>48</v>
      </c>
      <c r="O327">
        <v>2</v>
      </c>
      <c r="P327">
        <v>880</v>
      </c>
      <c r="Q327">
        <v>0.15</v>
      </c>
      <c r="R327">
        <v>430</v>
      </c>
      <c r="S327" t="s">
        <v>29</v>
      </c>
      <c r="T327" t="s">
        <v>30</v>
      </c>
      <c r="U327">
        <v>2</v>
      </c>
      <c r="V327" t="s">
        <v>40</v>
      </c>
      <c r="W327">
        <f>excelsalesdata[[#This Row],[Quantity]]*excelsalesdata[[#This Row],[Unit_Price]]</f>
        <v>1760</v>
      </c>
      <c r="X327">
        <f>excelsalesdata[[#This Row],[Gross_sales]]*excelsalesdata[[#This Row],[Discount_%]]</f>
        <v>264</v>
      </c>
      <c r="Y327">
        <f>excelsalesdata[[#This Row],[Gross_sales]]-excelsalesdata[[#This Row],[Discount_amt]]</f>
        <v>1496</v>
      </c>
      <c r="Z327" s="4">
        <f>excelsalesdata[[#This Row],[Net_sales]]-excelsalesdata[[#This Row],[Cost]]</f>
        <v>1066</v>
      </c>
      <c r="AA327" s="5">
        <f>excelsalesdata[[#This Row],[Profit]]/excelsalesdata[[#This Row],[Net_sales]]</f>
        <v>0.71256684491978606</v>
      </c>
      <c r="AB327" s="4">
        <f>YEAR(excelsalesdata[[#This Row],[Order_Date]])</f>
        <v>2026</v>
      </c>
      <c r="AC327" s="4" t="str">
        <f>TEXT(excelsalesdata[[#This Row],[Order_Date]],"mmm")</f>
        <v>Mar</v>
      </c>
      <c r="AD327" s="4" t="str">
        <f>"Q"&amp;ROUNDUP(MONTH(excelsalesdata[[#This Row],[Order_Date]])/3,0)</f>
        <v>Q1</v>
      </c>
    </row>
    <row r="328" spans="1:30" x14ac:dyDescent="0.35">
      <c r="A328" t="s">
        <v>847</v>
      </c>
      <c r="B328" s="3">
        <v>46086</v>
      </c>
      <c r="C328" t="s">
        <v>236</v>
      </c>
      <c r="D328" t="s">
        <v>849</v>
      </c>
      <c r="E328" t="str">
        <f>TRIM(excelsalesdata[[#This Row],[Customer_Name]])</f>
        <v>Rohan Nair</v>
      </c>
      <c r="F328" t="s">
        <v>23</v>
      </c>
      <c r="G328">
        <v>46</v>
      </c>
      <c r="H328" t="s">
        <v>114</v>
      </c>
      <c r="I328" t="str">
        <f>TRIM(excelsalesdata[[#This Row],[City]])</f>
        <v>Hyderabad</v>
      </c>
      <c r="J328" t="s">
        <v>115</v>
      </c>
      <c r="K328" t="s">
        <v>47</v>
      </c>
      <c r="L328" t="s">
        <v>103</v>
      </c>
      <c r="M328" t="s">
        <v>312</v>
      </c>
      <c r="N328" t="s">
        <v>312</v>
      </c>
      <c r="O328">
        <v>1</v>
      </c>
      <c r="P328">
        <v>6510</v>
      </c>
      <c r="Q328">
        <v>0</v>
      </c>
      <c r="R328">
        <v>4020</v>
      </c>
      <c r="S328" t="s">
        <v>105</v>
      </c>
      <c r="T328" t="s">
        <v>30</v>
      </c>
      <c r="U328">
        <v>6</v>
      </c>
      <c r="V328" t="s">
        <v>40</v>
      </c>
      <c r="W328">
        <f>excelsalesdata[[#This Row],[Quantity]]*excelsalesdata[[#This Row],[Unit_Price]]</f>
        <v>6510</v>
      </c>
      <c r="X328">
        <f>excelsalesdata[[#This Row],[Gross_sales]]*excelsalesdata[[#This Row],[Discount_%]]</f>
        <v>0</v>
      </c>
      <c r="Y328">
        <f>excelsalesdata[[#This Row],[Gross_sales]]-excelsalesdata[[#This Row],[Discount_amt]]</f>
        <v>6510</v>
      </c>
      <c r="Z328" s="4">
        <f>excelsalesdata[[#This Row],[Net_sales]]-excelsalesdata[[#This Row],[Cost]]</f>
        <v>2490</v>
      </c>
      <c r="AA328" s="5">
        <f>excelsalesdata[[#This Row],[Profit]]/excelsalesdata[[#This Row],[Net_sales]]</f>
        <v>0.38248847926267282</v>
      </c>
      <c r="AB328" s="4">
        <f>YEAR(excelsalesdata[[#This Row],[Order_Date]])</f>
        <v>2026</v>
      </c>
      <c r="AC328" s="4" t="str">
        <f>TEXT(excelsalesdata[[#This Row],[Order_Date]],"mmm")</f>
        <v>Mar</v>
      </c>
      <c r="AD328" s="4" t="str">
        <f>"Q"&amp;ROUNDUP(MONTH(excelsalesdata[[#This Row],[Order_Date]])/3,0)</f>
        <v>Q1</v>
      </c>
    </row>
    <row r="329" spans="1:30" x14ac:dyDescent="0.35">
      <c r="A329" t="s">
        <v>848</v>
      </c>
      <c r="B329" s="3">
        <v>46087</v>
      </c>
      <c r="C329" t="s">
        <v>737</v>
      </c>
      <c r="D329" t="s">
        <v>268</v>
      </c>
      <c r="E329" t="str">
        <f>TRIM(excelsalesdata[[#This Row],[Customer_Name]])</f>
        <v>Diya Shah</v>
      </c>
      <c r="F329" t="s">
        <v>23</v>
      </c>
      <c r="G329">
        <v>24</v>
      </c>
      <c r="H329" t="s">
        <v>98</v>
      </c>
      <c r="I329" t="str">
        <f>TRIM(excelsalesdata[[#This Row],[City]])</f>
        <v>Mumbai</v>
      </c>
      <c r="J329" t="s">
        <v>25</v>
      </c>
      <c r="K329" t="s">
        <v>26</v>
      </c>
      <c r="L329" t="s">
        <v>103</v>
      </c>
      <c r="M329" t="s">
        <v>238</v>
      </c>
      <c r="N329" t="s">
        <v>238</v>
      </c>
      <c r="O329">
        <v>2</v>
      </c>
      <c r="P329">
        <v>3890</v>
      </c>
      <c r="Q329">
        <v>0.25</v>
      </c>
      <c r="R329">
        <v>2790</v>
      </c>
      <c r="S329" t="s">
        <v>29</v>
      </c>
      <c r="T329" t="s">
        <v>30</v>
      </c>
      <c r="U329">
        <v>2</v>
      </c>
      <c r="V329" t="s">
        <v>31</v>
      </c>
      <c r="W329">
        <f>excelsalesdata[[#This Row],[Quantity]]*excelsalesdata[[#This Row],[Unit_Price]]</f>
        <v>7780</v>
      </c>
      <c r="X329">
        <f>excelsalesdata[[#This Row],[Gross_sales]]*excelsalesdata[[#This Row],[Discount_%]]</f>
        <v>1945</v>
      </c>
      <c r="Y329">
        <f>excelsalesdata[[#This Row],[Gross_sales]]-excelsalesdata[[#This Row],[Discount_amt]]</f>
        <v>5835</v>
      </c>
      <c r="Z329" s="4">
        <f>excelsalesdata[[#This Row],[Net_sales]]-excelsalesdata[[#This Row],[Cost]]</f>
        <v>3045</v>
      </c>
      <c r="AA329" s="5">
        <f>excelsalesdata[[#This Row],[Profit]]/excelsalesdata[[#This Row],[Net_sales]]</f>
        <v>0.52185089974293064</v>
      </c>
      <c r="AB329" s="4">
        <f>YEAR(excelsalesdata[[#This Row],[Order_Date]])</f>
        <v>2026</v>
      </c>
      <c r="AC329" s="4" t="str">
        <f>TEXT(excelsalesdata[[#This Row],[Order_Date]],"mmm")</f>
        <v>Mar</v>
      </c>
      <c r="AD329" s="4" t="str">
        <f>"Q"&amp;ROUNDUP(MONTH(excelsalesdata[[#This Row],[Order_Date]])/3,0)</f>
        <v>Q1</v>
      </c>
    </row>
    <row r="330" spans="1:30" x14ac:dyDescent="0.35">
      <c r="A330" t="s">
        <v>850</v>
      </c>
      <c r="B330" s="3">
        <v>46088</v>
      </c>
      <c r="C330" t="s">
        <v>337</v>
      </c>
      <c r="D330" t="s">
        <v>305</v>
      </c>
      <c r="E330" t="str">
        <f>TRIM(excelsalesdata[[#This Row],[Customer_Name]])</f>
        <v>Priya Reddy</v>
      </c>
      <c r="F330" t="s">
        <v>44</v>
      </c>
      <c r="G330">
        <v>58</v>
      </c>
      <c r="H330" t="s">
        <v>155</v>
      </c>
      <c r="I330" t="str">
        <f>TRIM(excelsalesdata[[#This Row],[City]])</f>
        <v>Chennai</v>
      </c>
      <c r="J330" t="s">
        <v>156</v>
      </c>
      <c r="K330" t="s">
        <v>47</v>
      </c>
      <c r="L330" t="s">
        <v>38</v>
      </c>
      <c r="M330" t="s">
        <v>73</v>
      </c>
      <c r="N330" t="s">
        <v>73</v>
      </c>
      <c r="O330">
        <v>2</v>
      </c>
      <c r="P330">
        <v>5180</v>
      </c>
      <c r="Q330">
        <v>0</v>
      </c>
      <c r="R330">
        <v>3340</v>
      </c>
      <c r="S330" t="s">
        <v>29</v>
      </c>
      <c r="T330" t="s">
        <v>30</v>
      </c>
      <c r="U330">
        <v>4</v>
      </c>
      <c r="V330" t="s">
        <v>40</v>
      </c>
      <c r="W330">
        <f>excelsalesdata[[#This Row],[Quantity]]*excelsalesdata[[#This Row],[Unit_Price]]</f>
        <v>10360</v>
      </c>
      <c r="X330">
        <f>excelsalesdata[[#This Row],[Gross_sales]]*excelsalesdata[[#This Row],[Discount_%]]</f>
        <v>0</v>
      </c>
      <c r="Y330">
        <f>excelsalesdata[[#This Row],[Gross_sales]]-excelsalesdata[[#This Row],[Discount_amt]]</f>
        <v>10360</v>
      </c>
      <c r="Z330" s="4">
        <f>excelsalesdata[[#This Row],[Net_sales]]-excelsalesdata[[#This Row],[Cost]]</f>
        <v>7020</v>
      </c>
      <c r="AA330" s="5">
        <f>excelsalesdata[[#This Row],[Profit]]/excelsalesdata[[#This Row],[Net_sales]]</f>
        <v>0.67760617760617758</v>
      </c>
      <c r="AB330" s="4">
        <f>YEAR(excelsalesdata[[#This Row],[Order_Date]])</f>
        <v>2026</v>
      </c>
      <c r="AC330" s="4" t="str">
        <f>TEXT(excelsalesdata[[#This Row],[Order_Date]],"mmm")</f>
        <v>Mar</v>
      </c>
      <c r="AD330" s="4" t="str">
        <f>"Q"&amp;ROUNDUP(MONTH(excelsalesdata[[#This Row],[Order_Date]])/3,0)</f>
        <v>Q1</v>
      </c>
    </row>
    <row r="331" spans="1:30" x14ac:dyDescent="0.35">
      <c r="A331" t="s">
        <v>851</v>
      </c>
      <c r="B331" s="3">
        <v>46089</v>
      </c>
      <c r="C331" t="s">
        <v>852</v>
      </c>
      <c r="D331" t="s">
        <v>563</v>
      </c>
      <c r="E331" t="str">
        <f>TRIM(excelsalesdata[[#This Row],[Customer_Name]])</f>
        <v>Sneha Verma</v>
      </c>
      <c r="F331" t="s">
        <v>44</v>
      </c>
      <c r="G331">
        <v>49</v>
      </c>
      <c r="H331" t="s">
        <v>78</v>
      </c>
      <c r="I331" t="str">
        <f>TRIM(excelsalesdata[[#This Row],[City]])</f>
        <v>Guwahati</v>
      </c>
      <c r="J331" t="s">
        <v>79</v>
      </c>
      <c r="K331" t="s">
        <v>37</v>
      </c>
      <c r="L331" t="s">
        <v>38</v>
      </c>
      <c r="M331" t="s">
        <v>161</v>
      </c>
      <c r="N331" t="s">
        <v>161</v>
      </c>
      <c r="O331">
        <v>2</v>
      </c>
      <c r="P331">
        <v>25860</v>
      </c>
      <c r="Q331">
        <v>0.3</v>
      </c>
      <c r="R331">
        <v>19560</v>
      </c>
      <c r="S331" t="s">
        <v>56</v>
      </c>
      <c r="T331" t="s">
        <v>30</v>
      </c>
      <c r="U331">
        <v>8</v>
      </c>
      <c r="V331" t="s">
        <v>31</v>
      </c>
      <c r="W331">
        <f>excelsalesdata[[#This Row],[Quantity]]*excelsalesdata[[#This Row],[Unit_Price]]</f>
        <v>51720</v>
      </c>
      <c r="X331">
        <f>excelsalesdata[[#This Row],[Gross_sales]]*excelsalesdata[[#This Row],[Discount_%]]</f>
        <v>15516</v>
      </c>
      <c r="Y331">
        <f>excelsalesdata[[#This Row],[Gross_sales]]-excelsalesdata[[#This Row],[Discount_amt]]</f>
        <v>36204</v>
      </c>
      <c r="Z331" s="4">
        <f>excelsalesdata[[#This Row],[Net_sales]]-excelsalesdata[[#This Row],[Cost]]</f>
        <v>16644</v>
      </c>
      <c r="AA331" s="5">
        <f>excelsalesdata[[#This Row],[Profit]]/excelsalesdata[[#This Row],[Net_sales]]</f>
        <v>0.45972820682797483</v>
      </c>
      <c r="AB331" s="4">
        <f>YEAR(excelsalesdata[[#This Row],[Order_Date]])</f>
        <v>2026</v>
      </c>
      <c r="AC331" s="4" t="str">
        <f>TEXT(excelsalesdata[[#This Row],[Order_Date]],"mmm")</f>
        <v>Mar</v>
      </c>
      <c r="AD331" s="4" t="str">
        <f>"Q"&amp;ROUNDUP(MONTH(excelsalesdata[[#This Row],[Order_Date]])/3,0)</f>
        <v>Q1</v>
      </c>
    </row>
    <row r="332" spans="1:30" x14ac:dyDescent="0.35">
      <c r="A332" t="s">
        <v>853</v>
      </c>
      <c r="B332" s="3">
        <v>46090</v>
      </c>
      <c r="C332" t="s">
        <v>854</v>
      </c>
      <c r="D332" t="s">
        <v>338</v>
      </c>
      <c r="E332" t="str">
        <f>TRIM(excelsalesdata[[#This Row],[Customer_Name]])</f>
        <v>Karan Singh</v>
      </c>
      <c r="F332" t="s">
        <v>44</v>
      </c>
      <c r="G332">
        <v>37</v>
      </c>
      <c r="H332" t="s">
        <v>98</v>
      </c>
      <c r="I332" t="str">
        <f>TRIM(excelsalesdata[[#This Row],[City]])</f>
        <v>Mumbai</v>
      </c>
      <c r="J332" t="s">
        <v>25</v>
      </c>
      <c r="K332" t="s">
        <v>26</v>
      </c>
      <c r="L332" t="s">
        <v>27</v>
      </c>
      <c r="M332" t="s">
        <v>48</v>
      </c>
      <c r="N332" t="s">
        <v>48</v>
      </c>
      <c r="O332">
        <v>2</v>
      </c>
      <c r="P332">
        <v>910</v>
      </c>
      <c r="Q332">
        <v>0.1</v>
      </c>
      <c r="R332">
        <v>470</v>
      </c>
      <c r="S332" t="s">
        <v>29</v>
      </c>
      <c r="T332" t="s">
        <v>30</v>
      </c>
      <c r="U332">
        <v>3</v>
      </c>
      <c r="V332" t="s">
        <v>40</v>
      </c>
      <c r="W332">
        <f>excelsalesdata[[#This Row],[Quantity]]*excelsalesdata[[#This Row],[Unit_Price]]</f>
        <v>1820</v>
      </c>
      <c r="X332">
        <f>excelsalesdata[[#This Row],[Gross_sales]]*excelsalesdata[[#This Row],[Discount_%]]</f>
        <v>182</v>
      </c>
      <c r="Y332">
        <f>excelsalesdata[[#This Row],[Gross_sales]]-excelsalesdata[[#This Row],[Discount_amt]]</f>
        <v>1638</v>
      </c>
      <c r="Z332" s="4">
        <f>excelsalesdata[[#This Row],[Net_sales]]-excelsalesdata[[#This Row],[Cost]]</f>
        <v>1168</v>
      </c>
      <c r="AA332" s="5">
        <f>excelsalesdata[[#This Row],[Profit]]/excelsalesdata[[#This Row],[Net_sales]]</f>
        <v>0.71306471306471308</v>
      </c>
      <c r="AB332" s="4">
        <f>YEAR(excelsalesdata[[#This Row],[Order_Date]])</f>
        <v>2026</v>
      </c>
      <c r="AC332" s="4" t="str">
        <f>TEXT(excelsalesdata[[#This Row],[Order_Date]],"mmm")</f>
        <v>Mar</v>
      </c>
      <c r="AD332" s="4" t="str">
        <f>"Q"&amp;ROUNDUP(MONTH(excelsalesdata[[#This Row],[Order_Date]])/3,0)</f>
        <v>Q1</v>
      </c>
    </row>
    <row r="333" spans="1:30" x14ac:dyDescent="0.35">
      <c r="A333" t="s">
        <v>855</v>
      </c>
      <c r="B333" s="3">
        <v>46091</v>
      </c>
      <c r="C333" t="s">
        <v>125</v>
      </c>
      <c r="D333" t="s">
        <v>522</v>
      </c>
      <c r="E333" t="str">
        <f>TRIM(excelsalesdata[[#This Row],[Customer_Name]])</f>
        <v>Priya Joshi</v>
      </c>
      <c r="F333" t="s">
        <v>23</v>
      </c>
      <c r="G333">
        <v>31</v>
      </c>
      <c r="H333" t="s">
        <v>98</v>
      </c>
      <c r="I333" t="str">
        <f>TRIM(excelsalesdata[[#This Row],[City]])</f>
        <v>Mumbai</v>
      </c>
      <c r="J333" t="s">
        <v>25</v>
      </c>
      <c r="K333" t="s">
        <v>26</v>
      </c>
      <c r="L333" t="s">
        <v>93</v>
      </c>
      <c r="M333" t="s">
        <v>206</v>
      </c>
      <c r="N333" t="s">
        <v>206</v>
      </c>
      <c r="O333">
        <v>2</v>
      </c>
      <c r="P333">
        <v>670</v>
      </c>
      <c r="Q333">
        <v>0.15</v>
      </c>
      <c r="R333">
        <v>290</v>
      </c>
      <c r="S333" t="s">
        <v>29</v>
      </c>
      <c r="T333" t="s">
        <v>30</v>
      </c>
      <c r="U333">
        <v>3</v>
      </c>
      <c r="V333" t="s">
        <v>40</v>
      </c>
      <c r="W333">
        <f>excelsalesdata[[#This Row],[Quantity]]*excelsalesdata[[#This Row],[Unit_Price]]</f>
        <v>1340</v>
      </c>
      <c r="X333">
        <f>excelsalesdata[[#This Row],[Gross_sales]]*excelsalesdata[[#This Row],[Discount_%]]</f>
        <v>201</v>
      </c>
      <c r="Y333">
        <f>excelsalesdata[[#This Row],[Gross_sales]]-excelsalesdata[[#This Row],[Discount_amt]]</f>
        <v>1139</v>
      </c>
      <c r="Z333" s="4">
        <f>excelsalesdata[[#This Row],[Net_sales]]-excelsalesdata[[#This Row],[Cost]]</f>
        <v>849</v>
      </c>
      <c r="AA333" s="5">
        <f>excelsalesdata[[#This Row],[Profit]]/excelsalesdata[[#This Row],[Net_sales]]</f>
        <v>0.74539069359086918</v>
      </c>
      <c r="AB333" s="4">
        <f>YEAR(excelsalesdata[[#This Row],[Order_Date]])</f>
        <v>2026</v>
      </c>
      <c r="AC333" s="4" t="str">
        <f>TEXT(excelsalesdata[[#This Row],[Order_Date]],"mmm")</f>
        <v>Mar</v>
      </c>
      <c r="AD333" s="4" t="str">
        <f>"Q"&amp;ROUNDUP(MONTH(excelsalesdata[[#This Row],[Order_Date]])/3,0)</f>
        <v>Q1</v>
      </c>
    </row>
    <row r="334" spans="1:30" x14ac:dyDescent="0.35">
      <c r="A334" t="s">
        <v>856</v>
      </c>
      <c r="B334" s="3">
        <v>46092</v>
      </c>
      <c r="C334" t="s">
        <v>498</v>
      </c>
      <c r="D334" t="s">
        <v>689</v>
      </c>
      <c r="E334" t="str">
        <f>TRIM(excelsalesdata[[#This Row],[Customer_Name]])</f>
        <v>Priya Rao</v>
      </c>
      <c r="F334" t="s">
        <v>44</v>
      </c>
      <c r="G334">
        <v>54</v>
      </c>
      <c r="H334" t="s">
        <v>168</v>
      </c>
      <c r="I334" t="str">
        <f>TRIM(excelsalesdata[[#This Row],[City]])</f>
        <v>Delhi</v>
      </c>
      <c r="J334" t="s">
        <v>168</v>
      </c>
      <c r="K334" t="s">
        <v>61</v>
      </c>
      <c r="L334" t="s">
        <v>103</v>
      </c>
      <c r="M334" t="s">
        <v>178</v>
      </c>
      <c r="N334" t="s">
        <v>178</v>
      </c>
      <c r="O334">
        <v>2</v>
      </c>
      <c r="P334">
        <v>1850</v>
      </c>
      <c r="Q334">
        <v>0.15</v>
      </c>
      <c r="R334">
        <v>960</v>
      </c>
      <c r="S334" t="s">
        <v>29</v>
      </c>
      <c r="T334" t="s">
        <v>30</v>
      </c>
      <c r="U334">
        <v>5</v>
      </c>
      <c r="V334" t="s">
        <v>31</v>
      </c>
      <c r="W334">
        <f>excelsalesdata[[#This Row],[Quantity]]*excelsalesdata[[#This Row],[Unit_Price]]</f>
        <v>3700</v>
      </c>
      <c r="X334">
        <f>excelsalesdata[[#This Row],[Gross_sales]]*excelsalesdata[[#This Row],[Discount_%]]</f>
        <v>555</v>
      </c>
      <c r="Y334">
        <f>excelsalesdata[[#This Row],[Gross_sales]]-excelsalesdata[[#This Row],[Discount_amt]]</f>
        <v>3145</v>
      </c>
      <c r="Z334" s="4">
        <f>excelsalesdata[[#This Row],[Net_sales]]-excelsalesdata[[#This Row],[Cost]]</f>
        <v>2185</v>
      </c>
      <c r="AA334" s="5">
        <f>excelsalesdata[[#This Row],[Profit]]/excelsalesdata[[#This Row],[Net_sales]]</f>
        <v>0.69475357710651831</v>
      </c>
      <c r="AB334" s="4">
        <f>YEAR(excelsalesdata[[#This Row],[Order_Date]])</f>
        <v>2026</v>
      </c>
      <c r="AC334" s="4" t="str">
        <f>TEXT(excelsalesdata[[#This Row],[Order_Date]],"mmm")</f>
        <v>Mar</v>
      </c>
      <c r="AD334" s="4" t="str">
        <f>"Q"&amp;ROUNDUP(MONTH(excelsalesdata[[#This Row],[Order_Date]])/3,0)</f>
        <v>Q1</v>
      </c>
    </row>
    <row r="335" spans="1:30" x14ac:dyDescent="0.35">
      <c r="A335" t="s">
        <v>857</v>
      </c>
      <c r="B335" s="3">
        <v>46093</v>
      </c>
      <c r="C335" t="s">
        <v>69</v>
      </c>
      <c r="D335" t="s">
        <v>849</v>
      </c>
      <c r="E335" t="str">
        <f>TRIM(excelsalesdata[[#This Row],[Customer_Name]])</f>
        <v>Rohan Nair</v>
      </c>
      <c r="F335" t="s">
        <v>23</v>
      </c>
      <c r="G335">
        <v>38</v>
      </c>
      <c r="H335" t="s">
        <v>168</v>
      </c>
      <c r="I335" t="str">
        <f>TRIM(excelsalesdata[[#This Row],[City]])</f>
        <v>Delhi</v>
      </c>
      <c r="J335" t="s">
        <v>168</v>
      </c>
      <c r="K335" t="s">
        <v>61</v>
      </c>
      <c r="L335" t="s">
        <v>85</v>
      </c>
      <c r="M335" t="s">
        <v>251</v>
      </c>
      <c r="N335" t="s">
        <v>251</v>
      </c>
      <c r="O335">
        <v>1</v>
      </c>
      <c r="P335">
        <v>3130</v>
      </c>
      <c r="Q335">
        <v>0.05</v>
      </c>
      <c r="R335">
        <v>1940</v>
      </c>
      <c r="S335" t="s">
        <v>105</v>
      </c>
      <c r="T335" t="s">
        <v>30</v>
      </c>
      <c r="U335">
        <v>7</v>
      </c>
      <c r="V335" t="s">
        <v>31</v>
      </c>
      <c r="W335">
        <f>excelsalesdata[[#This Row],[Quantity]]*excelsalesdata[[#This Row],[Unit_Price]]</f>
        <v>3130</v>
      </c>
      <c r="X335">
        <f>excelsalesdata[[#This Row],[Gross_sales]]*excelsalesdata[[#This Row],[Discount_%]]</f>
        <v>156.5</v>
      </c>
      <c r="Y335">
        <f>excelsalesdata[[#This Row],[Gross_sales]]-excelsalesdata[[#This Row],[Discount_amt]]</f>
        <v>2973.5</v>
      </c>
      <c r="Z335" s="4">
        <f>excelsalesdata[[#This Row],[Net_sales]]-excelsalesdata[[#This Row],[Cost]]</f>
        <v>1033.5</v>
      </c>
      <c r="AA335" s="5">
        <f>excelsalesdata[[#This Row],[Profit]]/excelsalesdata[[#This Row],[Net_sales]]</f>
        <v>0.34757020346393142</v>
      </c>
      <c r="AB335" s="4">
        <f>YEAR(excelsalesdata[[#This Row],[Order_Date]])</f>
        <v>2026</v>
      </c>
      <c r="AC335" s="4" t="str">
        <f>TEXT(excelsalesdata[[#This Row],[Order_Date]],"mmm")</f>
        <v>Mar</v>
      </c>
      <c r="AD335" s="4" t="str">
        <f>"Q"&amp;ROUNDUP(MONTH(excelsalesdata[[#This Row],[Order_Date]])/3,0)</f>
        <v>Q1</v>
      </c>
    </row>
    <row r="336" spans="1:30" x14ac:dyDescent="0.35">
      <c r="A336" t="s">
        <v>858</v>
      </c>
      <c r="B336" s="3">
        <v>46094</v>
      </c>
      <c r="C336" t="s">
        <v>859</v>
      </c>
      <c r="D336" t="s">
        <v>138</v>
      </c>
      <c r="E336" t="str">
        <f>TRIM(excelsalesdata[[#This Row],[Customer_Name]])</f>
        <v>Vikram Bhat</v>
      </c>
      <c r="F336" t="s">
        <v>44</v>
      </c>
      <c r="G336">
        <v>44</v>
      </c>
      <c r="H336" t="s">
        <v>35</v>
      </c>
      <c r="I336" t="str">
        <f>TRIM(excelsalesdata[[#This Row],[City]])</f>
        <v>Kolkata</v>
      </c>
      <c r="J336" t="s">
        <v>36</v>
      </c>
      <c r="K336" t="s">
        <v>37</v>
      </c>
      <c r="L336" t="s">
        <v>54</v>
      </c>
      <c r="M336" t="s">
        <v>66</v>
      </c>
      <c r="N336" t="s">
        <v>66</v>
      </c>
      <c r="O336">
        <v>3</v>
      </c>
      <c r="P336">
        <v>2400</v>
      </c>
      <c r="Q336">
        <v>0.1</v>
      </c>
      <c r="R336">
        <v>1430</v>
      </c>
      <c r="S336" t="s">
        <v>105</v>
      </c>
      <c r="T336" t="s">
        <v>30</v>
      </c>
      <c r="U336">
        <v>5</v>
      </c>
      <c r="V336" t="s">
        <v>40</v>
      </c>
      <c r="W336">
        <f>excelsalesdata[[#This Row],[Quantity]]*excelsalesdata[[#This Row],[Unit_Price]]</f>
        <v>7200</v>
      </c>
      <c r="X336">
        <f>excelsalesdata[[#This Row],[Gross_sales]]*excelsalesdata[[#This Row],[Discount_%]]</f>
        <v>720</v>
      </c>
      <c r="Y336">
        <f>excelsalesdata[[#This Row],[Gross_sales]]-excelsalesdata[[#This Row],[Discount_amt]]</f>
        <v>6480</v>
      </c>
      <c r="Z336" s="4">
        <f>excelsalesdata[[#This Row],[Net_sales]]-excelsalesdata[[#This Row],[Cost]]</f>
        <v>5050</v>
      </c>
      <c r="AA336" s="5">
        <f>excelsalesdata[[#This Row],[Profit]]/excelsalesdata[[#This Row],[Net_sales]]</f>
        <v>0.77932098765432101</v>
      </c>
      <c r="AB336" s="4">
        <f>YEAR(excelsalesdata[[#This Row],[Order_Date]])</f>
        <v>2026</v>
      </c>
      <c r="AC336" s="4" t="str">
        <f>TEXT(excelsalesdata[[#This Row],[Order_Date]],"mmm")</f>
        <v>Mar</v>
      </c>
      <c r="AD336" s="4" t="str">
        <f>"Q"&amp;ROUNDUP(MONTH(excelsalesdata[[#This Row],[Order_Date]])/3,0)</f>
        <v>Q1</v>
      </c>
    </row>
    <row r="337" spans="1:30" x14ac:dyDescent="0.35">
      <c r="A337" t="s">
        <v>860</v>
      </c>
      <c r="B337" s="3">
        <v>46095</v>
      </c>
      <c r="C337" t="s">
        <v>487</v>
      </c>
      <c r="D337" t="s">
        <v>862</v>
      </c>
      <c r="E337" t="str">
        <f>TRIM(excelsalesdata[[#This Row],[Customer_Name]])</f>
        <v>Vivaan Iyer</v>
      </c>
      <c r="F337" t="s">
        <v>44</v>
      </c>
      <c r="G337">
        <v>40</v>
      </c>
      <c r="H337" t="s">
        <v>155</v>
      </c>
      <c r="I337" t="str">
        <f>TRIM(excelsalesdata[[#This Row],[City]])</f>
        <v>Chennai</v>
      </c>
      <c r="J337" t="s">
        <v>156</v>
      </c>
      <c r="K337" t="s">
        <v>47</v>
      </c>
      <c r="L337" t="s">
        <v>54</v>
      </c>
      <c r="M337" t="s">
        <v>62</v>
      </c>
      <c r="N337" t="s">
        <v>62</v>
      </c>
      <c r="O337">
        <v>1</v>
      </c>
      <c r="P337">
        <v>22680</v>
      </c>
      <c r="Q337">
        <v>0.05</v>
      </c>
      <c r="R337">
        <v>15220</v>
      </c>
      <c r="S337" t="s">
        <v>80</v>
      </c>
      <c r="T337" t="s">
        <v>81</v>
      </c>
      <c r="U337">
        <v>0</v>
      </c>
      <c r="V337" t="s">
        <v>40</v>
      </c>
      <c r="W337">
        <f>excelsalesdata[[#This Row],[Quantity]]*excelsalesdata[[#This Row],[Unit_Price]]</f>
        <v>22680</v>
      </c>
      <c r="X337">
        <f>excelsalesdata[[#This Row],[Gross_sales]]*excelsalesdata[[#This Row],[Discount_%]]</f>
        <v>1134</v>
      </c>
      <c r="Y337">
        <f>excelsalesdata[[#This Row],[Gross_sales]]-excelsalesdata[[#This Row],[Discount_amt]]</f>
        <v>21546</v>
      </c>
      <c r="Z337" s="4">
        <f>excelsalesdata[[#This Row],[Net_sales]]-excelsalesdata[[#This Row],[Cost]]</f>
        <v>6326</v>
      </c>
      <c r="AA337" s="5">
        <f>excelsalesdata[[#This Row],[Profit]]/excelsalesdata[[#This Row],[Net_sales]]</f>
        <v>0.29360438132367955</v>
      </c>
      <c r="AB337" s="4">
        <f>YEAR(excelsalesdata[[#This Row],[Order_Date]])</f>
        <v>2026</v>
      </c>
      <c r="AC337" s="4" t="str">
        <f>TEXT(excelsalesdata[[#This Row],[Order_Date]],"mmm")</f>
        <v>Mar</v>
      </c>
      <c r="AD337" s="4" t="str">
        <f>"Q"&amp;ROUNDUP(MONTH(excelsalesdata[[#This Row],[Order_Date]])/3,0)</f>
        <v>Q1</v>
      </c>
    </row>
    <row r="338" spans="1:30" x14ac:dyDescent="0.35">
      <c r="A338" t="s">
        <v>861</v>
      </c>
      <c r="B338" s="3">
        <v>46096</v>
      </c>
      <c r="C338" t="s">
        <v>722</v>
      </c>
      <c r="D338" t="s">
        <v>308</v>
      </c>
      <c r="E338" t="str">
        <f>TRIM(excelsalesdata[[#This Row],[Customer_Name]])</f>
        <v>Vivaan Nair</v>
      </c>
      <c r="F338" t="s">
        <v>44</v>
      </c>
      <c r="G338">
        <v>52</v>
      </c>
      <c r="H338" t="s">
        <v>52</v>
      </c>
      <c r="I338" t="str">
        <f>TRIM(excelsalesdata[[#This Row],[City]])</f>
        <v>Bengaluru</v>
      </c>
      <c r="J338" t="s">
        <v>53</v>
      </c>
      <c r="K338" t="s">
        <v>47</v>
      </c>
      <c r="L338" t="s">
        <v>54</v>
      </c>
      <c r="M338" t="s">
        <v>157</v>
      </c>
      <c r="N338" t="s">
        <v>157</v>
      </c>
      <c r="O338">
        <v>2</v>
      </c>
      <c r="P338">
        <v>53780</v>
      </c>
      <c r="Q338">
        <v>0</v>
      </c>
      <c r="R338">
        <v>40970</v>
      </c>
      <c r="S338" t="s">
        <v>105</v>
      </c>
      <c r="T338" t="s">
        <v>30</v>
      </c>
      <c r="U338">
        <v>3</v>
      </c>
      <c r="V338" t="s">
        <v>40</v>
      </c>
      <c r="W338">
        <f>excelsalesdata[[#This Row],[Quantity]]*excelsalesdata[[#This Row],[Unit_Price]]</f>
        <v>107560</v>
      </c>
      <c r="X338">
        <f>excelsalesdata[[#This Row],[Gross_sales]]*excelsalesdata[[#This Row],[Discount_%]]</f>
        <v>0</v>
      </c>
      <c r="Y338">
        <f>excelsalesdata[[#This Row],[Gross_sales]]-excelsalesdata[[#This Row],[Discount_amt]]</f>
        <v>107560</v>
      </c>
      <c r="Z338" s="4">
        <f>excelsalesdata[[#This Row],[Net_sales]]-excelsalesdata[[#This Row],[Cost]]</f>
        <v>66590</v>
      </c>
      <c r="AA338" s="5">
        <f>excelsalesdata[[#This Row],[Profit]]/excelsalesdata[[#This Row],[Net_sales]]</f>
        <v>0.61909631833395318</v>
      </c>
      <c r="AB338" s="4">
        <f>YEAR(excelsalesdata[[#This Row],[Order_Date]])</f>
        <v>2026</v>
      </c>
      <c r="AC338" s="4" t="str">
        <f>TEXT(excelsalesdata[[#This Row],[Order_Date]],"mmm")</f>
        <v>Mar</v>
      </c>
      <c r="AD338" s="4" t="str">
        <f>"Q"&amp;ROUNDUP(MONTH(excelsalesdata[[#This Row],[Order_Date]])/3,0)</f>
        <v>Q1</v>
      </c>
    </row>
    <row r="339" spans="1:30" x14ac:dyDescent="0.35">
      <c r="A339" t="s">
        <v>863</v>
      </c>
      <c r="B339" s="3">
        <v>46097</v>
      </c>
      <c r="C339" t="s">
        <v>864</v>
      </c>
      <c r="D339" t="s">
        <v>563</v>
      </c>
      <c r="E339" t="str">
        <f>TRIM(excelsalesdata[[#This Row],[Customer_Name]])</f>
        <v>Sneha Verma</v>
      </c>
      <c r="F339" t="s">
        <v>44</v>
      </c>
      <c r="G339">
        <v>46</v>
      </c>
      <c r="H339" t="s">
        <v>114</v>
      </c>
      <c r="I339" t="str">
        <f>TRIM(excelsalesdata[[#This Row],[City]])</f>
        <v>Hyderabad</v>
      </c>
      <c r="J339" t="s">
        <v>115</v>
      </c>
      <c r="K339" t="s">
        <v>47</v>
      </c>
      <c r="L339" t="s">
        <v>103</v>
      </c>
      <c r="M339" t="s">
        <v>238</v>
      </c>
      <c r="N339" t="s">
        <v>238</v>
      </c>
      <c r="O339">
        <v>3</v>
      </c>
      <c r="P339">
        <v>4480</v>
      </c>
      <c r="Q339">
        <v>0.1</v>
      </c>
      <c r="R339">
        <v>2610</v>
      </c>
      <c r="S339" t="s">
        <v>29</v>
      </c>
      <c r="T339" t="s">
        <v>30</v>
      </c>
      <c r="U339">
        <v>2</v>
      </c>
      <c r="V339" t="s">
        <v>31</v>
      </c>
      <c r="W339">
        <f>excelsalesdata[[#This Row],[Quantity]]*excelsalesdata[[#This Row],[Unit_Price]]</f>
        <v>13440</v>
      </c>
      <c r="X339">
        <f>excelsalesdata[[#This Row],[Gross_sales]]*excelsalesdata[[#This Row],[Discount_%]]</f>
        <v>1344</v>
      </c>
      <c r="Y339">
        <f>excelsalesdata[[#This Row],[Gross_sales]]-excelsalesdata[[#This Row],[Discount_amt]]</f>
        <v>12096</v>
      </c>
      <c r="Z339" s="4">
        <f>excelsalesdata[[#This Row],[Net_sales]]-excelsalesdata[[#This Row],[Cost]]</f>
        <v>9486</v>
      </c>
      <c r="AA339" s="5">
        <f>excelsalesdata[[#This Row],[Profit]]/excelsalesdata[[#This Row],[Net_sales]]</f>
        <v>0.78422619047619047</v>
      </c>
      <c r="AB339" s="4">
        <f>YEAR(excelsalesdata[[#This Row],[Order_Date]])</f>
        <v>2026</v>
      </c>
      <c r="AC339" s="4" t="str">
        <f>TEXT(excelsalesdata[[#This Row],[Order_Date]],"mmm")</f>
        <v>Mar</v>
      </c>
      <c r="AD339" s="4" t="str">
        <f>"Q"&amp;ROUNDUP(MONTH(excelsalesdata[[#This Row],[Order_Date]])/3,0)</f>
        <v>Q1</v>
      </c>
    </row>
    <row r="340" spans="1:30" x14ac:dyDescent="0.35">
      <c r="A340" t="s">
        <v>865</v>
      </c>
      <c r="B340" s="3">
        <v>46098</v>
      </c>
      <c r="C340" t="s">
        <v>743</v>
      </c>
      <c r="D340" t="s">
        <v>867</v>
      </c>
      <c r="E340" t="str">
        <f>TRIM(excelsalesdata[[#This Row],[Customer_Name]])</f>
        <v>Sneha Nair</v>
      </c>
      <c r="F340" t="s">
        <v>23</v>
      </c>
      <c r="G340">
        <v>23</v>
      </c>
      <c r="H340" t="s">
        <v>133</v>
      </c>
      <c r="I340" t="str">
        <f>TRIM(excelsalesdata[[#This Row],[City]])</f>
        <v>Jaipur</v>
      </c>
      <c r="J340" t="s">
        <v>134</v>
      </c>
      <c r="K340" t="s">
        <v>61</v>
      </c>
      <c r="L340" t="s">
        <v>54</v>
      </c>
      <c r="M340" t="s">
        <v>157</v>
      </c>
      <c r="N340" t="s">
        <v>157</v>
      </c>
      <c r="O340">
        <v>3</v>
      </c>
      <c r="P340">
        <v>56890</v>
      </c>
      <c r="Q340">
        <v>0.1</v>
      </c>
      <c r="R340">
        <v>39960</v>
      </c>
      <c r="S340" t="s">
        <v>80</v>
      </c>
      <c r="T340" t="s">
        <v>30</v>
      </c>
      <c r="U340">
        <v>3</v>
      </c>
      <c r="V340" t="s">
        <v>31</v>
      </c>
      <c r="W340">
        <f>excelsalesdata[[#This Row],[Quantity]]*excelsalesdata[[#This Row],[Unit_Price]]</f>
        <v>170670</v>
      </c>
      <c r="X340">
        <f>excelsalesdata[[#This Row],[Gross_sales]]*excelsalesdata[[#This Row],[Discount_%]]</f>
        <v>17067</v>
      </c>
      <c r="Y340">
        <f>excelsalesdata[[#This Row],[Gross_sales]]-excelsalesdata[[#This Row],[Discount_amt]]</f>
        <v>153603</v>
      </c>
      <c r="Z340" s="4">
        <f>excelsalesdata[[#This Row],[Net_sales]]-excelsalesdata[[#This Row],[Cost]]</f>
        <v>113643</v>
      </c>
      <c r="AA340" s="5">
        <f>excelsalesdata[[#This Row],[Profit]]/excelsalesdata[[#This Row],[Net_sales]]</f>
        <v>0.73984883107751798</v>
      </c>
      <c r="AB340" s="4">
        <f>YEAR(excelsalesdata[[#This Row],[Order_Date]])</f>
        <v>2026</v>
      </c>
      <c r="AC340" s="4" t="str">
        <f>TEXT(excelsalesdata[[#This Row],[Order_Date]],"mmm")</f>
        <v>Mar</v>
      </c>
      <c r="AD340" s="4" t="str">
        <f>"Q"&amp;ROUNDUP(MONTH(excelsalesdata[[#This Row],[Order_Date]])/3,0)</f>
        <v>Q1</v>
      </c>
    </row>
    <row r="341" spans="1:30" x14ac:dyDescent="0.35">
      <c r="A341" t="s">
        <v>866</v>
      </c>
      <c r="B341" s="3">
        <v>46099</v>
      </c>
      <c r="C341" t="s">
        <v>290</v>
      </c>
      <c r="D341" t="s">
        <v>331</v>
      </c>
      <c r="E341" t="str">
        <f>TRIM(excelsalesdata[[#This Row],[Customer_Name]])</f>
        <v>Ananya Iyer</v>
      </c>
      <c r="F341" t="s">
        <v>44</v>
      </c>
      <c r="G341">
        <v>34</v>
      </c>
      <c r="H341" t="s">
        <v>78</v>
      </c>
      <c r="I341" t="str">
        <f>TRIM(excelsalesdata[[#This Row],[City]])</f>
        <v>Guwahati</v>
      </c>
      <c r="J341" t="s">
        <v>79</v>
      </c>
      <c r="K341" t="s">
        <v>37</v>
      </c>
      <c r="L341" t="s">
        <v>54</v>
      </c>
      <c r="M341" t="s">
        <v>55</v>
      </c>
      <c r="N341" t="s">
        <v>55</v>
      </c>
      <c r="O341">
        <v>2</v>
      </c>
      <c r="P341">
        <v>7180</v>
      </c>
      <c r="Q341">
        <v>0.2</v>
      </c>
      <c r="R341">
        <v>4670</v>
      </c>
      <c r="S341" t="s">
        <v>151</v>
      </c>
      <c r="T341" t="s">
        <v>30</v>
      </c>
      <c r="U341">
        <v>5</v>
      </c>
      <c r="V341" t="s">
        <v>40</v>
      </c>
      <c r="W341">
        <f>excelsalesdata[[#This Row],[Quantity]]*excelsalesdata[[#This Row],[Unit_Price]]</f>
        <v>14360</v>
      </c>
      <c r="X341">
        <f>excelsalesdata[[#This Row],[Gross_sales]]*excelsalesdata[[#This Row],[Discount_%]]</f>
        <v>2872</v>
      </c>
      <c r="Y341">
        <f>excelsalesdata[[#This Row],[Gross_sales]]-excelsalesdata[[#This Row],[Discount_amt]]</f>
        <v>11488</v>
      </c>
      <c r="Z341" s="4">
        <f>excelsalesdata[[#This Row],[Net_sales]]-excelsalesdata[[#This Row],[Cost]]</f>
        <v>6818</v>
      </c>
      <c r="AA341" s="5">
        <f>excelsalesdata[[#This Row],[Profit]]/excelsalesdata[[#This Row],[Net_sales]]</f>
        <v>0.59348885793871864</v>
      </c>
      <c r="AB341" s="4">
        <f>YEAR(excelsalesdata[[#This Row],[Order_Date]])</f>
        <v>2026</v>
      </c>
      <c r="AC341" s="4" t="str">
        <f>TEXT(excelsalesdata[[#This Row],[Order_Date]],"mmm")</f>
        <v>Mar</v>
      </c>
      <c r="AD341" s="4" t="str">
        <f>"Q"&amp;ROUNDUP(MONTH(excelsalesdata[[#This Row],[Order_Date]])/3,0)</f>
        <v>Q1</v>
      </c>
    </row>
    <row r="342" spans="1:30" x14ac:dyDescent="0.35">
      <c r="A342" t="s">
        <v>868</v>
      </c>
      <c r="B342" s="3">
        <v>46100</v>
      </c>
      <c r="C342" t="s">
        <v>802</v>
      </c>
      <c r="D342" t="s">
        <v>871</v>
      </c>
      <c r="E342" t="str">
        <f>TRIM(excelsalesdata[[#This Row],[Customer_Name]])</f>
        <v>Rahul Iyer</v>
      </c>
      <c r="F342" t="s">
        <v>23</v>
      </c>
      <c r="G342">
        <v>26</v>
      </c>
      <c r="H342" t="s">
        <v>71</v>
      </c>
      <c r="I342" t="str">
        <f>TRIM(excelsalesdata[[#This Row],[City]])</f>
        <v>Bhubaneswar</v>
      </c>
      <c r="J342" t="s">
        <v>72</v>
      </c>
      <c r="K342" t="s">
        <v>37</v>
      </c>
      <c r="L342" t="s">
        <v>54</v>
      </c>
      <c r="M342" t="s">
        <v>66</v>
      </c>
      <c r="N342" t="s">
        <v>66</v>
      </c>
      <c r="O342">
        <v>4</v>
      </c>
      <c r="P342">
        <v>2310</v>
      </c>
      <c r="Q342">
        <v>0.05</v>
      </c>
      <c r="R342">
        <v>1490</v>
      </c>
      <c r="S342" t="s">
        <v>80</v>
      </c>
      <c r="T342" t="s">
        <v>81</v>
      </c>
      <c r="U342">
        <v>0</v>
      </c>
      <c r="V342" t="s">
        <v>40</v>
      </c>
      <c r="W342">
        <f>excelsalesdata[[#This Row],[Quantity]]*excelsalesdata[[#This Row],[Unit_Price]]</f>
        <v>9240</v>
      </c>
      <c r="X342">
        <f>excelsalesdata[[#This Row],[Gross_sales]]*excelsalesdata[[#This Row],[Discount_%]]</f>
        <v>462</v>
      </c>
      <c r="Y342">
        <f>excelsalesdata[[#This Row],[Gross_sales]]-excelsalesdata[[#This Row],[Discount_amt]]</f>
        <v>8778</v>
      </c>
      <c r="Z342" s="4">
        <f>excelsalesdata[[#This Row],[Net_sales]]-excelsalesdata[[#This Row],[Cost]]</f>
        <v>7288</v>
      </c>
      <c r="AA342" s="5">
        <f>excelsalesdata[[#This Row],[Profit]]/excelsalesdata[[#This Row],[Net_sales]]</f>
        <v>0.83025746183640925</v>
      </c>
      <c r="AB342" s="4">
        <f>YEAR(excelsalesdata[[#This Row],[Order_Date]])</f>
        <v>2026</v>
      </c>
      <c r="AC342" s="4" t="str">
        <f>TEXT(excelsalesdata[[#This Row],[Order_Date]],"mmm")</f>
        <v>Mar</v>
      </c>
      <c r="AD342" s="4" t="str">
        <f>"Q"&amp;ROUNDUP(MONTH(excelsalesdata[[#This Row],[Order_Date]])/3,0)</f>
        <v>Q1</v>
      </c>
    </row>
    <row r="343" spans="1:30" x14ac:dyDescent="0.35">
      <c r="A343" t="s">
        <v>869</v>
      </c>
      <c r="B343" s="3">
        <v>46101</v>
      </c>
      <c r="C343" t="s">
        <v>870</v>
      </c>
      <c r="D343" t="s">
        <v>308</v>
      </c>
      <c r="E343" t="str">
        <f>TRIM(excelsalesdata[[#This Row],[Customer_Name]])</f>
        <v>Vivaan Nair</v>
      </c>
      <c r="F343" t="s">
        <v>23</v>
      </c>
      <c r="G343">
        <v>56</v>
      </c>
      <c r="H343" t="s">
        <v>190</v>
      </c>
      <c r="I343" t="str">
        <f>TRIM(excelsalesdata[[#This Row],[City]])</f>
        <v>Ahmedabad</v>
      </c>
      <c r="J343" t="s">
        <v>191</v>
      </c>
      <c r="K343" t="s">
        <v>26</v>
      </c>
      <c r="L343" t="s">
        <v>103</v>
      </c>
      <c r="M343" t="s">
        <v>347</v>
      </c>
      <c r="N343" t="s">
        <v>347</v>
      </c>
      <c r="O343">
        <v>4</v>
      </c>
      <c r="P343">
        <v>11620</v>
      </c>
      <c r="Q343">
        <v>0.15</v>
      </c>
      <c r="R343">
        <v>8420</v>
      </c>
      <c r="S343" t="s">
        <v>105</v>
      </c>
      <c r="T343" t="s">
        <v>99</v>
      </c>
      <c r="U343">
        <v>3</v>
      </c>
      <c r="V343" t="s">
        <v>40</v>
      </c>
      <c r="W343">
        <f>excelsalesdata[[#This Row],[Quantity]]*excelsalesdata[[#This Row],[Unit_Price]]</f>
        <v>46480</v>
      </c>
      <c r="X343">
        <f>excelsalesdata[[#This Row],[Gross_sales]]*excelsalesdata[[#This Row],[Discount_%]]</f>
        <v>6972</v>
      </c>
      <c r="Y343">
        <f>excelsalesdata[[#This Row],[Gross_sales]]-excelsalesdata[[#This Row],[Discount_amt]]</f>
        <v>39508</v>
      </c>
      <c r="Z343" s="4">
        <f>excelsalesdata[[#This Row],[Net_sales]]-excelsalesdata[[#This Row],[Cost]]</f>
        <v>31088</v>
      </c>
      <c r="AA343" s="5">
        <f>excelsalesdata[[#This Row],[Profit]]/excelsalesdata[[#This Row],[Net_sales]]</f>
        <v>0.78687860686443256</v>
      </c>
      <c r="AB343" s="4">
        <f>YEAR(excelsalesdata[[#This Row],[Order_Date]])</f>
        <v>2026</v>
      </c>
      <c r="AC343" s="4" t="str">
        <f>TEXT(excelsalesdata[[#This Row],[Order_Date]],"mmm")</f>
        <v>Mar</v>
      </c>
      <c r="AD343" s="4" t="str">
        <f>"Q"&amp;ROUNDUP(MONTH(excelsalesdata[[#This Row],[Order_Date]])/3,0)</f>
        <v>Q1</v>
      </c>
    </row>
    <row r="344" spans="1:30" x14ac:dyDescent="0.35">
      <c r="A344" t="s">
        <v>872</v>
      </c>
      <c r="B344" s="3">
        <v>46102</v>
      </c>
      <c r="C344" t="s">
        <v>674</v>
      </c>
      <c r="D344" t="s">
        <v>160</v>
      </c>
      <c r="E344" t="str">
        <f>TRIM(excelsalesdata[[#This Row],[Customer_Name]])</f>
        <v>Nisha Bhat</v>
      </c>
      <c r="F344" t="s">
        <v>23</v>
      </c>
      <c r="G344">
        <v>56</v>
      </c>
      <c r="H344" t="s">
        <v>60</v>
      </c>
      <c r="I344" t="str">
        <f>TRIM(excelsalesdata[[#This Row],[City]])</f>
        <v>Chandigarh</v>
      </c>
      <c r="J344" t="s">
        <v>60</v>
      </c>
      <c r="K344" t="s">
        <v>61</v>
      </c>
      <c r="L344" t="s">
        <v>54</v>
      </c>
      <c r="M344" t="s">
        <v>66</v>
      </c>
      <c r="N344" t="s">
        <v>66</v>
      </c>
      <c r="O344">
        <v>1</v>
      </c>
      <c r="P344">
        <v>2470</v>
      </c>
      <c r="Q344">
        <v>0.15</v>
      </c>
      <c r="R344">
        <v>1540</v>
      </c>
      <c r="S344" t="s">
        <v>29</v>
      </c>
      <c r="T344" t="s">
        <v>30</v>
      </c>
      <c r="U344">
        <v>3</v>
      </c>
      <c r="V344" t="s">
        <v>31</v>
      </c>
      <c r="W344">
        <f>excelsalesdata[[#This Row],[Quantity]]*excelsalesdata[[#This Row],[Unit_Price]]</f>
        <v>2470</v>
      </c>
      <c r="X344">
        <f>excelsalesdata[[#This Row],[Gross_sales]]*excelsalesdata[[#This Row],[Discount_%]]</f>
        <v>370.5</v>
      </c>
      <c r="Y344">
        <f>excelsalesdata[[#This Row],[Gross_sales]]-excelsalesdata[[#This Row],[Discount_amt]]</f>
        <v>2099.5</v>
      </c>
      <c r="Z344" s="4">
        <f>excelsalesdata[[#This Row],[Net_sales]]-excelsalesdata[[#This Row],[Cost]]</f>
        <v>559.5</v>
      </c>
      <c r="AA344" s="5">
        <f>excelsalesdata[[#This Row],[Profit]]/excelsalesdata[[#This Row],[Net_sales]]</f>
        <v>0.26649202190997856</v>
      </c>
      <c r="AB344" s="4">
        <f>YEAR(excelsalesdata[[#This Row],[Order_Date]])</f>
        <v>2026</v>
      </c>
      <c r="AC344" s="4" t="str">
        <f>TEXT(excelsalesdata[[#This Row],[Order_Date]],"mmm")</f>
        <v>Mar</v>
      </c>
      <c r="AD344" s="4" t="str">
        <f>"Q"&amp;ROUNDUP(MONTH(excelsalesdata[[#This Row],[Order_Date]])/3,0)</f>
        <v>Q1</v>
      </c>
    </row>
    <row r="345" spans="1:30" x14ac:dyDescent="0.35">
      <c r="A345" t="s">
        <v>873</v>
      </c>
      <c r="B345" s="3">
        <v>46103</v>
      </c>
      <c r="C345" t="s">
        <v>246</v>
      </c>
      <c r="D345" t="s">
        <v>291</v>
      </c>
      <c r="E345" t="str">
        <f>TRIM(excelsalesdata[[#This Row],[Customer_Name]])</f>
        <v>Vikram Patel</v>
      </c>
      <c r="F345" t="s">
        <v>23</v>
      </c>
      <c r="G345">
        <v>21</v>
      </c>
      <c r="H345" t="s">
        <v>78</v>
      </c>
      <c r="I345" t="str">
        <f>TRIM(excelsalesdata[[#This Row],[City]])</f>
        <v>Guwahati</v>
      </c>
      <c r="J345" t="s">
        <v>79</v>
      </c>
      <c r="K345" t="s">
        <v>37</v>
      </c>
      <c r="L345" t="s">
        <v>93</v>
      </c>
      <c r="M345" t="s">
        <v>94</v>
      </c>
      <c r="N345" t="s">
        <v>94</v>
      </c>
      <c r="O345">
        <v>3</v>
      </c>
      <c r="P345">
        <v>470</v>
      </c>
      <c r="Q345">
        <v>0.25</v>
      </c>
      <c r="R345">
        <v>230</v>
      </c>
      <c r="S345" t="s">
        <v>80</v>
      </c>
      <c r="T345" t="s">
        <v>30</v>
      </c>
      <c r="U345">
        <v>3</v>
      </c>
      <c r="V345" t="s">
        <v>31</v>
      </c>
      <c r="W345">
        <f>excelsalesdata[[#This Row],[Quantity]]*excelsalesdata[[#This Row],[Unit_Price]]</f>
        <v>1410</v>
      </c>
      <c r="X345">
        <f>excelsalesdata[[#This Row],[Gross_sales]]*excelsalesdata[[#This Row],[Discount_%]]</f>
        <v>352.5</v>
      </c>
      <c r="Y345">
        <f>excelsalesdata[[#This Row],[Gross_sales]]-excelsalesdata[[#This Row],[Discount_amt]]</f>
        <v>1057.5</v>
      </c>
      <c r="Z345" s="4">
        <f>excelsalesdata[[#This Row],[Net_sales]]-excelsalesdata[[#This Row],[Cost]]</f>
        <v>827.5</v>
      </c>
      <c r="AA345" s="5">
        <f>excelsalesdata[[#This Row],[Profit]]/excelsalesdata[[#This Row],[Net_sales]]</f>
        <v>0.78250591016548465</v>
      </c>
      <c r="AB345" s="4">
        <f>YEAR(excelsalesdata[[#This Row],[Order_Date]])</f>
        <v>2026</v>
      </c>
      <c r="AC345" s="4" t="str">
        <f>TEXT(excelsalesdata[[#This Row],[Order_Date]],"mmm")</f>
        <v>Mar</v>
      </c>
      <c r="AD345" s="4" t="str">
        <f>"Q"&amp;ROUNDUP(MONTH(excelsalesdata[[#This Row],[Order_Date]])/3,0)</f>
        <v>Q1</v>
      </c>
    </row>
    <row r="346" spans="1:30" x14ac:dyDescent="0.35">
      <c r="A346" t="s">
        <v>874</v>
      </c>
      <c r="B346" s="3">
        <v>46104</v>
      </c>
      <c r="C346" t="s">
        <v>358</v>
      </c>
      <c r="D346" t="s">
        <v>544</v>
      </c>
      <c r="E346" t="str">
        <f>TRIM(excelsalesdata[[#This Row],[Customer_Name]])</f>
        <v>Kavya Iyer</v>
      </c>
      <c r="F346" t="s">
        <v>44</v>
      </c>
      <c r="G346">
        <v>36</v>
      </c>
      <c r="H346" t="s">
        <v>168</v>
      </c>
      <c r="I346" t="str">
        <f>TRIM(excelsalesdata[[#This Row],[City]])</f>
        <v>Delhi</v>
      </c>
      <c r="J346" t="s">
        <v>168</v>
      </c>
      <c r="K346" t="s">
        <v>61</v>
      </c>
      <c r="L346" t="s">
        <v>27</v>
      </c>
      <c r="M346" t="s">
        <v>123</v>
      </c>
      <c r="N346" t="s">
        <v>123</v>
      </c>
      <c r="O346">
        <v>3</v>
      </c>
      <c r="P346">
        <v>2960</v>
      </c>
      <c r="Q346">
        <v>0.15</v>
      </c>
      <c r="R346">
        <v>1540</v>
      </c>
      <c r="S346" t="s">
        <v>105</v>
      </c>
      <c r="T346" t="s">
        <v>81</v>
      </c>
      <c r="U346">
        <v>0</v>
      </c>
      <c r="V346" t="s">
        <v>40</v>
      </c>
      <c r="W346">
        <f>excelsalesdata[[#This Row],[Quantity]]*excelsalesdata[[#This Row],[Unit_Price]]</f>
        <v>8880</v>
      </c>
      <c r="X346">
        <f>excelsalesdata[[#This Row],[Gross_sales]]*excelsalesdata[[#This Row],[Discount_%]]</f>
        <v>1332</v>
      </c>
      <c r="Y346">
        <f>excelsalesdata[[#This Row],[Gross_sales]]-excelsalesdata[[#This Row],[Discount_amt]]</f>
        <v>7548</v>
      </c>
      <c r="Z346" s="4">
        <f>excelsalesdata[[#This Row],[Net_sales]]-excelsalesdata[[#This Row],[Cost]]</f>
        <v>6008</v>
      </c>
      <c r="AA346" s="5">
        <f>excelsalesdata[[#This Row],[Profit]]/excelsalesdata[[#This Row],[Net_sales]]</f>
        <v>0.79597244303126657</v>
      </c>
      <c r="AB346" s="4">
        <f>YEAR(excelsalesdata[[#This Row],[Order_Date]])</f>
        <v>2026</v>
      </c>
      <c r="AC346" s="4" t="str">
        <f>TEXT(excelsalesdata[[#This Row],[Order_Date]],"mmm")</f>
        <v>Mar</v>
      </c>
      <c r="AD346" s="4" t="str">
        <f>"Q"&amp;ROUNDUP(MONTH(excelsalesdata[[#This Row],[Order_Date]])/3,0)</f>
        <v>Q1</v>
      </c>
    </row>
    <row r="347" spans="1:30" x14ac:dyDescent="0.35">
      <c r="A347" t="s">
        <v>875</v>
      </c>
      <c r="B347" s="3">
        <v>46105</v>
      </c>
      <c r="C347" t="s">
        <v>587</v>
      </c>
      <c r="D347" t="s">
        <v>231</v>
      </c>
      <c r="E347" t="str">
        <f>TRIM(excelsalesdata[[#This Row],[Customer_Name]])</f>
        <v>Ananya Verma</v>
      </c>
      <c r="F347" t="s">
        <v>44</v>
      </c>
      <c r="G347">
        <v>51</v>
      </c>
      <c r="H347" t="s">
        <v>60</v>
      </c>
      <c r="I347" t="str">
        <f>TRIM(excelsalesdata[[#This Row],[City]])</f>
        <v>Chandigarh</v>
      </c>
      <c r="J347" t="s">
        <v>60</v>
      </c>
      <c r="K347" t="s">
        <v>61</v>
      </c>
      <c r="L347" t="s">
        <v>103</v>
      </c>
      <c r="M347" t="s">
        <v>347</v>
      </c>
      <c r="N347" t="s">
        <v>347</v>
      </c>
      <c r="O347">
        <v>1</v>
      </c>
      <c r="P347">
        <v>12870</v>
      </c>
      <c r="Q347">
        <v>0.05</v>
      </c>
      <c r="R347">
        <v>8330</v>
      </c>
      <c r="S347" t="s">
        <v>151</v>
      </c>
      <c r="T347" t="s">
        <v>30</v>
      </c>
      <c r="U347">
        <v>7</v>
      </c>
      <c r="V347" t="s">
        <v>31</v>
      </c>
      <c r="W347">
        <f>excelsalesdata[[#This Row],[Quantity]]*excelsalesdata[[#This Row],[Unit_Price]]</f>
        <v>12870</v>
      </c>
      <c r="X347">
        <f>excelsalesdata[[#This Row],[Gross_sales]]*excelsalesdata[[#This Row],[Discount_%]]</f>
        <v>643.5</v>
      </c>
      <c r="Y347">
        <f>excelsalesdata[[#This Row],[Gross_sales]]-excelsalesdata[[#This Row],[Discount_amt]]</f>
        <v>12226.5</v>
      </c>
      <c r="Z347" s="4">
        <f>excelsalesdata[[#This Row],[Net_sales]]-excelsalesdata[[#This Row],[Cost]]</f>
        <v>3896.5</v>
      </c>
      <c r="AA347" s="5">
        <f>excelsalesdata[[#This Row],[Profit]]/excelsalesdata[[#This Row],[Net_sales]]</f>
        <v>0.3186930029035292</v>
      </c>
      <c r="AB347" s="4">
        <f>YEAR(excelsalesdata[[#This Row],[Order_Date]])</f>
        <v>2026</v>
      </c>
      <c r="AC347" s="4" t="str">
        <f>TEXT(excelsalesdata[[#This Row],[Order_Date]],"mmm")</f>
        <v>Mar</v>
      </c>
      <c r="AD347" s="4" t="str">
        <f>"Q"&amp;ROUNDUP(MONTH(excelsalesdata[[#This Row],[Order_Date]])/3,0)</f>
        <v>Q1</v>
      </c>
    </row>
    <row r="348" spans="1:30" x14ac:dyDescent="0.35">
      <c r="A348" t="s">
        <v>876</v>
      </c>
      <c r="B348" s="3">
        <v>46106</v>
      </c>
      <c r="C348" t="s">
        <v>275</v>
      </c>
      <c r="D348" t="s">
        <v>879</v>
      </c>
      <c r="E348" t="str">
        <f>TRIM(excelsalesdata[[#This Row],[Customer_Name]])</f>
        <v>Ishita Das</v>
      </c>
      <c r="F348" t="s">
        <v>23</v>
      </c>
      <c r="G348">
        <v>25</v>
      </c>
      <c r="H348" t="s">
        <v>190</v>
      </c>
      <c r="I348" t="str">
        <f>TRIM(excelsalesdata[[#This Row],[City]])</f>
        <v>Ahmedabad</v>
      </c>
      <c r="J348" t="s">
        <v>191</v>
      </c>
      <c r="K348" t="s">
        <v>26</v>
      </c>
      <c r="L348" t="s">
        <v>93</v>
      </c>
      <c r="M348" t="s">
        <v>94</v>
      </c>
      <c r="N348" t="s">
        <v>94</v>
      </c>
      <c r="O348">
        <v>3</v>
      </c>
      <c r="P348">
        <v>470</v>
      </c>
      <c r="Q348">
        <v>0</v>
      </c>
      <c r="R348">
        <v>240</v>
      </c>
      <c r="S348" t="s">
        <v>80</v>
      </c>
      <c r="T348" t="s">
        <v>74</v>
      </c>
      <c r="U348">
        <v>3</v>
      </c>
      <c r="V348" t="s">
        <v>31</v>
      </c>
      <c r="W348">
        <f>excelsalesdata[[#This Row],[Quantity]]*excelsalesdata[[#This Row],[Unit_Price]]</f>
        <v>1410</v>
      </c>
      <c r="X348">
        <f>excelsalesdata[[#This Row],[Gross_sales]]*excelsalesdata[[#This Row],[Discount_%]]</f>
        <v>0</v>
      </c>
      <c r="Y348">
        <f>excelsalesdata[[#This Row],[Gross_sales]]-excelsalesdata[[#This Row],[Discount_amt]]</f>
        <v>1410</v>
      </c>
      <c r="Z348" s="4">
        <f>excelsalesdata[[#This Row],[Net_sales]]-excelsalesdata[[#This Row],[Cost]]</f>
        <v>1170</v>
      </c>
      <c r="AA348" s="5">
        <f>excelsalesdata[[#This Row],[Profit]]/excelsalesdata[[#This Row],[Net_sales]]</f>
        <v>0.82978723404255317</v>
      </c>
      <c r="AB348" s="4">
        <f>YEAR(excelsalesdata[[#This Row],[Order_Date]])</f>
        <v>2026</v>
      </c>
      <c r="AC348" s="4" t="str">
        <f>TEXT(excelsalesdata[[#This Row],[Order_Date]],"mmm")</f>
        <v>Mar</v>
      </c>
      <c r="AD348" s="4" t="str">
        <f>"Q"&amp;ROUNDUP(MONTH(excelsalesdata[[#This Row],[Order_Date]])/3,0)</f>
        <v>Q1</v>
      </c>
    </row>
    <row r="349" spans="1:30" x14ac:dyDescent="0.35">
      <c r="A349" t="s">
        <v>877</v>
      </c>
      <c r="B349" s="3">
        <v>46107</v>
      </c>
      <c r="C349" t="s">
        <v>878</v>
      </c>
      <c r="D349" t="s">
        <v>214</v>
      </c>
      <c r="E349" t="str">
        <f>TRIM(excelsalesdata[[#This Row],[Customer_Name]])</f>
        <v>Meera Naidu</v>
      </c>
      <c r="F349" t="s">
        <v>23</v>
      </c>
      <c r="G349">
        <v>53</v>
      </c>
      <c r="H349" t="s">
        <v>45</v>
      </c>
      <c r="I349" t="str">
        <f>TRIM(excelsalesdata[[#This Row],[City]])</f>
        <v>Kochi</v>
      </c>
      <c r="J349" t="s">
        <v>46</v>
      </c>
      <c r="K349" t="s">
        <v>47</v>
      </c>
      <c r="L349" t="s">
        <v>27</v>
      </c>
      <c r="M349" t="s">
        <v>195</v>
      </c>
      <c r="N349" t="s">
        <v>195</v>
      </c>
      <c r="O349">
        <v>2</v>
      </c>
      <c r="P349">
        <v>2320</v>
      </c>
      <c r="Q349">
        <v>0.2</v>
      </c>
      <c r="R349">
        <v>1230</v>
      </c>
      <c r="S349" t="s">
        <v>29</v>
      </c>
      <c r="T349" t="s">
        <v>74</v>
      </c>
      <c r="U349">
        <v>4</v>
      </c>
      <c r="V349" t="s">
        <v>40</v>
      </c>
      <c r="W349">
        <f>excelsalesdata[[#This Row],[Quantity]]*excelsalesdata[[#This Row],[Unit_Price]]</f>
        <v>4640</v>
      </c>
      <c r="X349">
        <f>excelsalesdata[[#This Row],[Gross_sales]]*excelsalesdata[[#This Row],[Discount_%]]</f>
        <v>928</v>
      </c>
      <c r="Y349">
        <f>excelsalesdata[[#This Row],[Gross_sales]]-excelsalesdata[[#This Row],[Discount_amt]]</f>
        <v>3712</v>
      </c>
      <c r="Z349" s="4">
        <f>excelsalesdata[[#This Row],[Net_sales]]-excelsalesdata[[#This Row],[Cost]]</f>
        <v>2482</v>
      </c>
      <c r="AA349" s="5">
        <f>excelsalesdata[[#This Row],[Profit]]/excelsalesdata[[#This Row],[Net_sales]]</f>
        <v>0.66864224137931039</v>
      </c>
      <c r="AB349" s="4">
        <f>YEAR(excelsalesdata[[#This Row],[Order_Date]])</f>
        <v>2026</v>
      </c>
      <c r="AC349" s="4" t="str">
        <f>TEXT(excelsalesdata[[#This Row],[Order_Date]],"mmm")</f>
        <v>Mar</v>
      </c>
      <c r="AD349" s="4" t="str">
        <f>"Q"&amp;ROUNDUP(MONTH(excelsalesdata[[#This Row],[Order_Date]])/3,0)</f>
        <v>Q1</v>
      </c>
    </row>
    <row r="350" spans="1:30" x14ac:dyDescent="0.35">
      <c r="A350" t="s">
        <v>880</v>
      </c>
      <c r="B350" s="3">
        <v>46108</v>
      </c>
      <c r="C350" t="s">
        <v>881</v>
      </c>
      <c r="D350" t="s">
        <v>181</v>
      </c>
      <c r="E350" t="str">
        <f>TRIM(excelsalesdata[[#This Row],[Customer_Name]])</f>
        <v>Ananya Patel</v>
      </c>
      <c r="F350" t="s">
        <v>23</v>
      </c>
      <c r="G350">
        <v>41</v>
      </c>
      <c r="H350" t="s">
        <v>155</v>
      </c>
      <c r="I350" t="str">
        <f>TRIM(excelsalesdata[[#This Row],[City]])</f>
        <v>Chennai</v>
      </c>
      <c r="J350" t="s">
        <v>156</v>
      </c>
      <c r="K350" t="s">
        <v>47</v>
      </c>
      <c r="L350" t="s">
        <v>54</v>
      </c>
      <c r="M350" t="s">
        <v>157</v>
      </c>
      <c r="N350" t="s">
        <v>157</v>
      </c>
      <c r="O350">
        <v>1</v>
      </c>
      <c r="P350">
        <v>53470</v>
      </c>
      <c r="Q350">
        <v>0</v>
      </c>
      <c r="R350">
        <v>41370</v>
      </c>
      <c r="S350" t="s">
        <v>67</v>
      </c>
      <c r="T350" t="s">
        <v>30</v>
      </c>
      <c r="U350">
        <v>4</v>
      </c>
      <c r="V350" t="s">
        <v>31</v>
      </c>
      <c r="W350">
        <f>excelsalesdata[[#This Row],[Quantity]]*excelsalesdata[[#This Row],[Unit_Price]]</f>
        <v>53470</v>
      </c>
      <c r="X350">
        <f>excelsalesdata[[#This Row],[Gross_sales]]*excelsalesdata[[#This Row],[Discount_%]]</f>
        <v>0</v>
      </c>
      <c r="Y350">
        <f>excelsalesdata[[#This Row],[Gross_sales]]-excelsalesdata[[#This Row],[Discount_amt]]</f>
        <v>53470</v>
      </c>
      <c r="Z350" s="4">
        <f>excelsalesdata[[#This Row],[Net_sales]]-excelsalesdata[[#This Row],[Cost]]</f>
        <v>12100</v>
      </c>
      <c r="AA350" s="5">
        <f>excelsalesdata[[#This Row],[Profit]]/excelsalesdata[[#This Row],[Net_sales]]</f>
        <v>0.22629511875818215</v>
      </c>
      <c r="AB350" s="4">
        <f>YEAR(excelsalesdata[[#This Row],[Order_Date]])</f>
        <v>2026</v>
      </c>
      <c r="AC350" s="4" t="str">
        <f>TEXT(excelsalesdata[[#This Row],[Order_Date]],"mmm")</f>
        <v>Mar</v>
      </c>
      <c r="AD350" s="4" t="str">
        <f>"Q"&amp;ROUNDUP(MONTH(excelsalesdata[[#This Row],[Order_Date]])/3,0)</f>
        <v>Q1</v>
      </c>
    </row>
    <row r="351" spans="1:30" x14ac:dyDescent="0.35">
      <c r="A351" t="s">
        <v>882</v>
      </c>
      <c r="B351" s="3">
        <v>46109</v>
      </c>
      <c r="C351" t="s">
        <v>468</v>
      </c>
      <c r="D351" t="s">
        <v>201</v>
      </c>
      <c r="E351" t="str">
        <f>TRIM(excelsalesdata[[#This Row],[Customer_Name]])</f>
        <v>Nisha Verma</v>
      </c>
      <c r="F351" t="s">
        <v>23</v>
      </c>
      <c r="G351">
        <v>49</v>
      </c>
      <c r="H351" t="s">
        <v>35</v>
      </c>
      <c r="I351" t="str">
        <f>TRIM(excelsalesdata[[#This Row],[City]])</f>
        <v>Kolkata</v>
      </c>
      <c r="J351" t="s">
        <v>36</v>
      </c>
      <c r="K351" t="s">
        <v>37</v>
      </c>
      <c r="L351" t="s">
        <v>54</v>
      </c>
      <c r="M351" t="s">
        <v>55</v>
      </c>
      <c r="N351" t="s">
        <v>55</v>
      </c>
      <c r="O351">
        <v>2</v>
      </c>
      <c r="P351">
        <v>7530</v>
      </c>
      <c r="Q351">
        <v>0.1</v>
      </c>
      <c r="R351">
        <v>4440</v>
      </c>
      <c r="S351" t="s">
        <v>80</v>
      </c>
      <c r="T351" t="s">
        <v>30</v>
      </c>
      <c r="U351">
        <v>3</v>
      </c>
      <c r="V351" t="s">
        <v>31</v>
      </c>
      <c r="W351">
        <f>excelsalesdata[[#This Row],[Quantity]]*excelsalesdata[[#This Row],[Unit_Price]]</f>
        <v>15060</v>
      </c>
      <c r="X351">
        <f>excelsalesdata[[#This Row],[Gross_sales]]*excelsalesdata[[#This Row],[Discount_%]]</f>
        <v>1506</v>
      </c>
      <c r="Y351">
        <f>excelsalesdata[[#This Row],[Gross_sales]]-excelsalesdata[[#This Row],[Discount_amt]]</f>
        <v>13554</v>
      </c>
      <c r="Z351" s="4">
        <f>excelsalesdata[[#This Row],[Net_sales]]-excelsalesdata[[#This Row],[Cost]]</f>
        <v>9114</v>
      </c>
      <c r="AA351" s="5">
        <f>excelsalesdata[[#This Row],[Profit]]/excelsalesdata[[#This Row],[Net_sales]]</f>
        <v>0.67242142540947325</v>
      </c>
      <c r="AB351" s="4">
        <f>YEAR(excelsalesdata[[#This Row],[Order_Date]])</f>
        <v>2026</v>
      </c>
      <c r="AC351" s="4" t="str">
        <f>TEXT(excelsalesdata[[#This Row],[Order_Date]],"mmm")</f>
        <v>Mar</v>
      </c>
      <c r="AD351" s="4" t="str">
        <f>"Q"&amp;ROUNDUP(MONTH(excelsalesdata[[#This Row],[Order_Date]])/3,0)</f>
        <v>Q1</v>
      </c>
    </row>
    <row r="352" spans="1:30" x14ac:dyDescent="0.35">
      <c r="A352" t="s">
        <v>883</v>
      </c>
      <c r="B352" s="3">
        <v>46110</v>
      </c>
      <c r="C352" t="s">
        <v>183</v>
      </c>
      <c r="D352" t="s">
        <v>102</v>
      </c>
      <c r="E352" t="str">
        <f>TRIM(excelsalesdata[[#This Row],[Customer_Name]])</f>
        <v>Nisha Sharma</v>
      </c>
      <c r="F352" t="s">
        <v>44</v>
      </c>
      <c r="G352">
        <v>31</v>
      </c>
      <c r="H352" t="s">
        <v>190</v>
      </c>
      <c r="I352" t="str">
        <f>TRIM(excelsalesdata[[#This Row],[City]])</f>
        <v>Ahmedabad</v>
      </c>
      <c r="J352" t="s">
        <v>191</v>
      </c>
      <c r="K352" t="s">
        <v>26</v>
      </c>
      <c r="L352" t="s">
        <v>38</v>
      </c>
      <c r="M352" t="s">
        <v>119</v>
      </c>
      <c r="N352" t="s">
        <v>119</v>
      </c>
      <c r="O352">
        <v>1</v>
      </c>
      <c r="P352">
        <v>8720</v>
      </c>
      <c r="Q352">
        <v>0.1</v>
      </c>
      <c r="R352">
        <v>5550</v>
      </c>
      <c r="S352" t="s">
        <v>80</v>
      </c>
      <c r="T352" t="s">
        <v>30</v>
      </c>
      <c r="U352">
        <v>2</v>
      </c>
      <c r="V352" t="s">
        <v>31</v>
      </c>
      <c r="W352">
        <f>excelsalesdata[[#This Row],[Quantity]]*excelsalesdata[[#This Row],[Unit_Price]]</f>
        <v>8720</v>
      </c>
      <c r="X352">
        <f>excelsalesdata[[#This Row],[Gross_sales]]*excelsalesdata[[#This Row],[Discount_%]]</f>
        <v>872</v>
      </c>
      <c r="Y352">
        <f>excelsalesdata[[#This Row],[Gross_sales]]-excelsalesdata[[#This Row],[Discount_amt]]</f>
        <v>7848</v>
      </c>
      <c r="Z352" s="4">
        <f>excelsalesdata[[#This Row],[Net_sales]]-excelsalesdata[[#This Row],[Cost]]</f>
        <v>2298</v>
      </c>
      <c r="AA352" s="5">
        <f>excelsalesdata[[#This Row],[Profit]]/excelsalesdata[[#This Row],[Net_sales]]</f>
        <v>0.29281345565749234</v>
      </c>
      <c r="AB352" s="4">
        <f>YEAR(excelsalesdata[[#This Row],[Order_Date]])</f>
        <v>2026</v>
      </c>
      <c r="AC352" s="4" t="str">
        <f>TEXT(excelsalesdata[[#This Row],[Order_Date]],"mmm")</f>
        <v>Mar</v>
      </c>
      <c r="AD352" s="4" t="str">
        <f>"Q"&amp;ROUNDUP(MONTH(excelsalesdata[[#This Row],[Order_Date]])/3,0)</f>
        <v>Q1</v>
      </c>
    </row>
    <row r="353" spans="1:30" x14ac:dyDescent="0.35">
      <c r="A353" t="s">
        <v>884</v>
      </c>
      <c r="B353" s="3">
        <v>46111</v>
      </c>
      <c r="C353" t="s">
        <v>885</v>
      </c>
      <c r="D353" t="s">
        <v>359</v>
      </c>
      <c r="E353" t="str">
        <f>TRIM(excelsalesdata[[#This Row],[Customer_Name]])</f>
        <v>Vikram Nair</v>
      </c>
      <c r="F353" t="s">
        <v>44</v>
      </c>
      <c r="G353">
        <v>33</v>
      </c>
      <c r="H353" t="s">
        <v>168</v>
      </c>
      <c r="I353" t="str">
        <f>TRIM(excelsalesdata[[#This Row],[City]])</f>
        <v>Delhi</v>
      </c>
      <c r="J353" t="s">
        <v>168</v>
      </c>
      <c r="K353" t="s">
        <v>61</v>
      </c>
      <c r="L353" t="s">
        <v>54</v>
      </c>
      <c r="M353" t="s">
        <v>55</v>
      </c>
      <c r="N353" t="s">
        <v>55</v>
      </c>
      <c r="O353">
        <v>2</v>
      </c>
      <c r="P353">
        <v>6800</v>
      </c>
      <c r="Q353">
        <v>0.1</v>
      </c>
      <c r="R353">
        <v>4720</v>
      </c>
      <c r="S353" t="s">
        <v>80</v>
      </c>
      <c r="T353" t="s">
        <v>81</v>
      </c>
      <c r="U353">
        <v>0</v>
      </c>
      <c r="V353" t="s">
        <v>40</v>
      </c>
      <c r="W353">
        <f>excelsalesdata[[#This Row],[Quantity]]*excelsalesdata[[#This Row],[Unit_Price]]</f>
        <v>13600</v>
      </c>
      <c r="X353">
        <f>excelsalesdata[[#This Row],[Gross_sales]]*excelsalesdata[[#This Row],[Discount_%]]</f>
        <v>1360</v>
      </c>
      <c r="Y353">
        <f>excelsalesdata[[#This Row],[Gross_sales]]-excelsalesdata[[#This Row],[Discount_amt]]</f>
        <v>12240</v>
      </c>
      <c r="Z353" s="4">
        <f>excelsalesdata[[#This Row],[Net_sales]]-excelsalesdata[[#This Row],[Cost]]</f>
        <v>7520</v>
      </c>
      <c r="AA353" s="5">
        <f>excelsalesdata[[#This Row],[Profit]]/excelsalesdata[[#This Row],[Net_sales]]</f>
        <v>0.6143790849673203</v>
      </c>
      <c r="AB353" s="4">
        <f>YEAR(excelsalesdata[[#This Row],[Order_Date]])</f>
        <v>2026</v>
      </c>
      <c r="AC353" s="4" t="str">
        <f>TEXT(excelsalesdata[[#This Row],[Order_Date]],"mmm")</f>
        <v>Mar</v>
      </c>
      <c r="AD353" s="4" t="str">
        <f>"Q"&amp;ROUNDUP(MONTH(excelsalesdata[[#This Row],[Order_Date]])/3,0)</f>
        <v>Q1</v>
      </c>
    </row>
    <row r="354" spans="1:30" x14ac:dyDescent="0.35">
      <c r="A354" t="s">
        <v>886</v>
      </c>
      <c r="B354" s="3">
        <v>46112</v>
      </c>
      <c r="C354" t="s">
        <v>387</v>
      </c>
      <c r="D354" t="s">
        <v>460</v>
      </c>
      <c r="E354" t="str">
        <f>TRIM(excelsalesdata[[#This Row],[Customer_Name]])</f>
        <v>Vivaan Joshi</v>
      </c>
      <c r="F354" t="s">
        <v>44</v>
      </c>
      <c r="G354">
        <v>19</v>
      </c>
      <c r="H354" t="s">
        <v>133</v>
      </c>
      <c r="I354" t="str">
        <f>TRIM(excelsalesdata[[#This Row],[City]])</f>
        <v>Jaipur</v>
      </c>
      <c r="J354" t="s">
        <v>134</v>
      </c>
      <c r="K354" t="s">
        <v>61</v>
      </c>
      <c r="L354" t="s">
        <v>27</v>
      </c>
      <c r="M354" t="s">
        <v>48</v>
      </c>
      <c r="N354" t="s">
        <v>48</v>
      </c>
      <c r="O354">
        <v>1</v>
      </c>
      <c r="P354">
        <v>850</v>
      </c>
      <c r="Q354">
        <v>0</v>
      </c>
      <c r="R354">
        <v>460</v>
      </c>
      <c r="S354" t="s">
        <v>67</v>
      </c>
      <c r="T354" t="s">
        <v>30</v>
      </c>
      <c r="U354">
        <v>2</v>
      </c>
      <c r="V354" t="s">
        <v>40</v>
      </c>
      <c r="W354">
        <f>excelsalesdata[[#This Row],[Quantity]]*excelsalesdata[[#This Row],[Unit_Price]]</f>
        <v>850</v>
      </c>
      <c r="X354">
        <f>excelsalesdata[[#This Row],[Gross_sales]]*excelsalesdata[[#This Row],[Discount_%]]</f>
        <v>0</v>
      </c>
      <c r="Y354">
        <f>excelsalesdata[[#This Row],[Gross_sales]]-excelsalesdata[[#This Row],[Discount_amt]]</f>
        <v>850</v>
      </c>
      <c r="Z354" s="4">
        <f>excelsalesdata[[#This Row],[Net_sales]]-excelsalesdata[[#This Row],[Cost]]</f>
        <v>390</v>
      </c>
      <c r="AA354" s="5">
        <f>excelsalesdata[[#This Row],[Profit]]/excelsalesdata[[#This Row],[Net_sales]]</f>
        <v>0.45882352941176469</v>
      </c>
      <c r="AB354" s="4">
        <f>YEAR(excelsalesdata[[#This Row],[Order_Date]])</f>
        <v>2026</v>
      </c>
      <c r="AC354" s="4" t="str">
        <f>TEXT(excelsalesdata[[#This Row],[Order_Date]],"mmm")</f>
        <v>Mar</v>
      </c>
      <c r="AD354" s="4" t="str">
        <f>"Q"&amp;ROUNDUP(MONTH(excelsalesdata[[#This Row],[Order_Date]])/3,0)</f>
        <v>Q1</v>
      </c>
    </row>
    <row r="355" spans="1:30" x14ac:dyDescent="0.35">
      <c r="A355" t="s">
        <v>887</v>
      </c>
      <c r="B355" s="3">
        <v>46113</v>
      </c>
      <c r="C355" t="s">
        <v>888</v>
      </c>
      <c r="D355" t="s">
        <v>891</v>
      </c>
      <c r="E355" t="str">
        <f>TRIM(excelsalesdata[[#This Row],[Customer_Name]])</f>
        <v>Rahul Verma</v>
      </c>
      <c r="F355" t="s">
        <v>44</v>
      </c>
      <c r="G355">
        <v>49</v>
      </c>
      <c r="H355" t="s">
        <v>52</v>
      </c>
      <c r="I355" t="str">
        <f>TRIM(excelsalesdata[[#This Row],[City]])</f>
        <v>Bengaluru</v>
      </c>
      <c r="J355" t="s">
        <v>53</v>
      </c>
      <c r="K355" t="s">
        <v>47</v>
      </c>
      <c r="L355" t="s">
        <v>93</v>
      </c>
      <c r="M355" t="s">
        <v>206</v>
      </c>
      <c r="N355" t="s">
        <v>206</v>
      </c>
      <c r="O355">
        <v>3</v>
      </c>
      <c r="P355">
        <v>690</v>
      </c>
      <c r="Q355">
        <v>0</v>
      </c>
      <c r="R355">
        <v>290</v>
      </c>
      <c r="S355" t="s">
        <v>151</v>
      </c>
      <c r="T355" t="s">
        <v>30</v>
      </c>
      <c r="U355">
        <v>4</v>
      </c>
      <c r="V355" t="s">
        <v>40</v>
      </c>
      <c r="W355">
        <f>excelsalesdata[[#This Row],[Quantity]]*excelsalesdata[[#This Row],[Unit_Price]]</f>
        <v>2070</v>
      </c>
      <c r="X355">
        <f>excelsalesdata[[#This Row],[Gross_sales]]*excelsalesdata[[#This Row],[Discount_%]]</f>
        <v>0</v>
      </c>
      <c r="Y355">
        <f>excelsalesdata[[#This Row],[Gross_sales]]-excelsalesdata[[#This Row],[Discount_amt]]</f>
        <v>2070</v>
      </c>
      <c r="Z355" s="4">
        <f>excelsalesdata[[#This Row],[Net_sales]]-excelsalesdata[[#This Row],[Cost]]</f>
        <v>1780</v>
      </c>
      <c r="AA355" s="5">
        <f>excelsalesdata[[#This Row],[Profit]]/excelsalesdata[[#This Row],[Net_sales]]</f>
        <v>0.85990338164251212</v>
      </c>
      <c r="AB355" s="4">
        <f>YEAR(excelsalesdata[[#This Row],[Order_Date]])</f>
        <v>2026</v>
      </c>
      <c r="AC355" s="4" t="str">
        <f>TEXT(excelsalesdata[[#This Row],[Order_Date]],"mmm")</f>
        <v>Apr</v>
      </c>
      <c r="AD355" s="4" t="str">
        <f>"Q"&amp;ROUNDUP(MONTH(excelsalesdata[[#This Row],[Order_Date]])/3,0)</f>
        <v>Q2</v>
      </c>
    </row>
    <row r="356" spans="1:30" x14ac:dyDescent="0.35">
      <c r="A356" t="s">
        <v>889</v>
      </c>
      <c r="B356" s="3">
        <v>46114</v>
      </c>
      <c r="C356" t="s">
        <v>890</v>
      </c>
      <c r="D356" t="s">
        <v>844</v>
      </c>
      <c r="E356" t="str">
        <f>TRIM(excelsalesdata[[#This Row],[Customer_Name]])</f>
        <v>Vikram Gupta</v>
      </c>
      <c r="F356" t="s">
        <v>23</v>
      </c>
      <c r="G356">
        <v>60</v>
      </c>
      <c r="H356" t="s">
        <v>24</v>
      </c>
      <c r="I356" t="str">
        <f>TRIM(excelsalesdata[[#This Row],[City]])</f>
        <v>Pune</v>
      </c>
      <c r="J356" t="s">
        <v>25</v>
      </c>
      <c r="K356" t="s">
        <v>26</v>
      </c>
      <c r="L356" t="s">
        <v>103</v>
      </c>
      <c r="M356" t="s">
        <v>238</v>
      </c>
      <c r="N356" t="s">
        <v>238</v>
      </c>
      <c r="O356">
        <v>3</v>
      </c>
      <c r="P356">
        <v>4450</v>
      </c>
      <c r="Q356">
        <v>0</v>
      </c>
      <c r="R356">
        <v>2780</v>
      </c>
      <c r="S356" t="s">
        <v>80</v>
      </c>
      <c r="T356" t="s">
        <v>99</v>
      </c>
      <c r="U356">
        <v>3</v>
      </c>
      <c r="V356" t="s">
        <v>40</v>
      </c>
      <c r="W356">
        <f>excelsalesdata[[#This Row],[Quantity]]*excelsalesdata[[#This Row],[Unit_Price]]</f>
        <v>13350</v>
      </c>
      <c r="X356">
        <f>excelsalesdata[[#This Row],[Gross_sales]]*excelsalesdata[[#This Row],[Discount_%]]</f>
        <v>0</v>
      </c>
      <c r="Y356">
        <f>excelsalesdata[[#This Row],[Gross_sales]]-excelsalesdata[[#This Row],[Discount_amt]]</f>
        <v>13350</v>
      </c>
      <c r="Z356" s="4">
        <f>excelsalesdata[[#This Row],[Net_sales]]-excelsalesdata[[#This Row],[Cost]]</f>
        <v>10570</v>
      </c>
      <c r="AA356" s="5">
        <f>excelsalesdata[[#This Row],[Profit]]/excelsalesdata[[#This Row],[Net_sales]]</f>
        <v>0.79176029962546812</v>
      </c>
      <c r="AB356" s="4">
        <f>YEAR(excelsalesdata[[#This Row],[Order_Date]])</f>
        <v>2026</v>
      </c>
      <c r="AC356" s="4" t="str">
        <f>TEXT(excelsalesdata[[#This Row],[Order_Date]],"mmm")</f>
        <v>Apr</v>
      </c>
      <c r="AD356" s="4" t="str">
        <f>"Q"&amp;ROUNDUP(MONTH(excelsalesdata[[#This Row],[Order_Date]])/3,0)</f>
        <v>Q2</v>
      </c>
    </row>
    <row r="357" spans="1:30" x14ac:dyDescent="0.35">
      <c r="A357" t="s">
        <v>892</v>
      </c>
      <c r="B357" s="3">
        <v>46115</v>
      </c>
      <c r="C357" t="s">
        <v>893</v>
      </c>
      <c r="D357" t="s">
        <v>896</v>
      </c>
      <c r="E357" t="str">
        <f>TRIM(excelsalesdata[[#This Row],[Customer_Name]])</f>
        <v>Arjun Iyer</v>
      </c>
      <c r="F357" t="s">
        <v>44</v>
      </c>
      <c r="G357">
        <v>18</v>
      </c>
      <c r="H357" t="s">
        <v>155</v>
      </c>
      <c r="I357" t="str">
        <f>TRIM(excelsalesdata[[#This Row],[City]])</f>
        <v>Chennai</v>
      </c>
      <c r="J357" t="s">
        <v>156</v>
      </c>
      <c r="K357" t="s">
        <v>47</v>
      </c>
      <c r="L357" t="s">
        <v>85</v>
      </c>
      <c r="M357" t="s">
        <v>172</v>
      </c>
      <c r="N357" t="s">
        <v>172</v>
      </c>
      <c r="O357">
        <v>3</v>
      </c>
      <c r="P357">
        <v>4330</v>
      </c>
      <c r="Q357">
        <v>0.1</v>
      </c>
      <c r="R357">
        <v>2900</v>
      </c>
      <c r="S357" t="s">
        <v>80</v>
      </c>
      <c r="T357" t="s">
        <v>81</v>
      </c>
      <c r="U357">
        <v>0</v>
      </c>
      <c r="V357" t="s">
        <v>40</v>
      </c>
      <c r="W357">
        <f>excelsalesdata[[#This Row],[Quantity]]*excelsalesdata[[#This Row],[Unit_Price]]</f>
        <v>12990</v>
      </c>
      <c r="X357">
        <f>excelsalesdata[[#This Row],[Gross_sales]]*excelsalesdata[[#This Row],[Discount_%]]</f>
        <v>1299</v>
      </c>
      <c r="Y357">
        <f>excelsalesdata[[#This Row],[Gross_sales]]-excelsalesdata[[#This Row],[Discount_amt]]</f>
        <v>11691</v>
      </c>
      <c r="Z357" s="4">
        <f>excelsalesdata[[#This Row],[Net_sales]]-excelsalesdata[[#This Row],[Cost]]</f>
        <v>8791</v>
      </c>
      <c r="AA357" s="5">
        <f>excelsalesdata[[#This Row],[Profit]]/excelsalesdata[[#This Row],[Net_sales]]</f>
        <v>0.75194594132238479</v>
      </c>
      <c r="AB357" s="4">
        <f>YEAR(excelsalesdata[[#This Row],[Order_Date]])</f>
        <v>2026</v>
      </c>
      <c r="AC357" s="4" t="str">
        <f>TEXT(excelsalesdata[[#This Row],[Order_Date]],"mmm")</f>
        <v>Apr</v>
      </c>
      <c r="AD357" s="4" t="str">
        <f>"Q"&amp;ROUNDUP(MONTH(excelsalesdata[[#This Row],[Order_Date]])/3,0)</f>
        <v>Q2</v>
      </c>
    </row>
    <row r="358" spans="1:30" x14ac:dyDescent="0.35">
      <c r="A358" t="s">
        <v>894</v>
      </c>
      <c r="B358" s="3">
        <v>46116</v>
      </c>
      <c r="C358" t="s">
        <v>895</v>
      </c>
      <c r="D358" t="s">
        <v>899</v>
      </c>
      <c r="E358" t="str">
        <f>TRIM(excelsalesdata[[#This Row],[Customer_Name]])</f>
        <v>Arjun Shah</v>
      </c>
      <c r="F358" t="s">
        <v>44</v>
      </c>
      <c r="G358">
        <v>25</v>
      </c>
      <c r="H358" t="s">
        <v>52</v>
      </c>
      <c r="I358" t="str">
        <f>TRIM(excelsalesdata[[#This Row],[City]])</f>
        <v>Bengaluru</v>
      </c>
      <c r="J358" t="s">
        <v>53</v>
      </c>
      <c r="K358" t="s">
        <v>47</v>
      </c>
      <c r="L358" t="s">
        <v>85</v>
      </c>
      <c r="M358" t="s">
        <v>251</v>
      </c>
      <c r="N358" t="s">
        <v>251</v>
      </c>
      <c r="O358">
        <v>1</v>
      </c>
      <c r="P358">
        <v>2980</v>
      </c>
      <c r="Q358">
        <v>0.05</v>
      </c>
      <c r="R358">
        <v>1910</v>
      </c>
      <c r="S358" t="s">
        <v>29</v>
      </c>
      <c r="T358" t="s">
        <v>30</v>
      </c>
      <c r="U358">
        <v>3</v>
      </c>
      <c r="V358" t="s">
        <v>40</v>
      </c>
      <c r="W358">
        <f>excelsalesdata[[#This Row],[Quantity]]*excelsalesdata[[#This Row],[Unit_Price]]</f>
        <v>2980</v>
      </c>
      <c r="X358">
        <f>excelsalesdata[[#This Row],[Gross_sales]]*excelsalesdata[[#This Row],[Discount_%]]</f>
        <v>149</v>
      </c>
      <c r="Y358">
        <f>excelsalesdata[[#This Row],[Gross_sales]]-excelsalesdata[[#This Row],[Discount_amt]]</f>
        <v>2831</v>
      </c>
      <c r="Z358" s="4">
        <f>excelsalesdata[[#This Row],[Net_sales]]-excelsalesdata[[#This Row],[Cost]]</f>
        <v>921</v>
      </c>
      <c r="AA358" s="5">
        <f>excelsalesdata[[#This Row],[Profit]]/excelsalesdata[[#This Row],[Net_sales]]</f>
        <v>0.32532673966796183</v>
      </c>
      <c r="AB358" s="4">
        <f>YEAR(excelsalesdata[[#This Row],[Order_Date]])</f>
        <v>2026</v>
      </c>
      <c r="AC358" s="4" t="str">
        <f>TEXT(excelsalesdata[[#This Row],[Order_Date]],"mmm")</f>
        <v>Apr</v>
      </c>
      <c r="AD358" s="4" t="str">
        <f>"Q"&amp;ROUNDUP(MONTH(excelsalesdata[[#This Row],[Order_Date]])/3,0)</f>
        <v>Q2</v>
      </c>
    </row>
    <row r="359" spans="1:30" x14ac:dyDescent="0.35">
      <c r="A359" t="s">
        <v>897</v>
      </c>
      <c r="B359" s="3">
        <v>46117</v>
      </c>
      <c r="C359" t="s">
        <v>898</v>
      </c>
      <c r="D359" t="s">
        <v>553</v>
      </c>
      <c r="E359" t="str">
        <f>TRIM(excelsalesdata[[#This Row],[Customer_Name]])</f>
        <v>Vivaan Reddy</v>
      </c>
      <c r="F359" t="s">
        <v>44</v>
      </c>
      <c r="G359">
        <v>58</v>
      </c>
      <c r="H359" t="s">
        <v>168</v>
      </c>
      <c r="I359" t="str">
        <f>TRIM(excelsalesdata[[#This Row],[City]])</f>
        <v>Delhi</v>
      </c>
      <c r="J359" t="s">
        <v>168</v>
      </c>
      <c r="K359" t="s">
        <v>61</v>
      </c>
      <c r="L359" t="s">
        <v>54</v>
      </c>
      <c r="M359" t="s">
        <v>157</v>
      </c>
      <c r="N359" t="s">
        <v>157</v>
      </c>
      <c r="O359">
        <v>1</v>
      </c>
      <c r="P359">
        <v>53220</v>
      </c>
      <c r="Q359">
        <v>0.05</v>
      </c>
      <c r="R359">
        <v>40590</v>
      </c>
      <c r="S359" t="s">
        <v>151</v>
      </c>
      <c r="T359" t="s">
        <v>30</v>
      </c>
      <c r="U359">
        <v>4</v>
      </c>
      <c r="V359" t="s">
        <v>31</v>
      </c>
      <c r="W359">
        <f>excelsalesdata[[#This Row],[Quantity]]*excelsalesdata[[#This Row],[Unit_Price]]</f>
        <v>53220</v>
      </c>
      <c r="X359">
        <f>excelsalesdata[[#This Row],[Gross_sales]]*excelsalesdata[[#This Row],[Discount_%]]</f>
        <v>2661</v>
      </c>
      <c r="Y359">
        <f>excelsalesdata[[#This Row],[Gross_sales]]-excelsalesdata[[#This Row],[Discount_amt]]</f>
        <v>50559</v>
      </c>
      <c r="Z359" s="4">
        <f>excelsalesdata[[#This Row],[Net_sales]]-excelsalesdata[[#This Row],[Cost]]</f>
        <v>9969</v>
      </c>
      <c r="AA359" s="5">
        <f>excelsalesdata[[#This Row],[Profit]]/excelsalesdata[[#This Row],[Net_sales]]</f>
        <v>0.1971755770485967</v>
      </c>
      <c r="AB359" s="4">
        <f>YEAR(excelsalesdata[[#This Row],[Order_Date]])</f>
        <v>2026</v>
      </c>
      <c r="AC359" s="4" t="str">
        <f>TEXT(excelsalesdata[[#This Row],[Order_Date]],"mmm")</f>
        <v>Apr</v>
      </c>
      <c r="AD359" s="4" t="str">
        <f>"Q"&amp;ROUNDUP(MONTH(excelsalesdata[[#This Row],[Order_Date]])/3,0)</f>
        <v>Q2</v>
      </c>
    </row>
    <row r="360" spans="1:30" x14ac:dyDescent="0.35">
      <c r="A360" t="s">
        <v>900</v>
      </c>
      <c r="B360" s="3">
        <v>46118</v>
      </c>
      <c r="C360" t="s">
        <v>50</v>
      </c>
      <c r="D360" t="s">
        <v>731</v>
      </c>
      <c r="E360" t="str">
        <f>TRIM(excelsalesdata[[#This Row],[Customer_Name]])</f>
        <v>Diya Bhat</v>
      </c>
      <c r="F360" t="s">
        <v>23</v>
      </c>
      <c r="G360">
        <v>18</v>
      </c>
      <c r="H360" t="s">
        <v>155</v>
      </c>
      <c r="I360" t="str">
        <f>TRIM(excelsalesdata[[#This Row],[City]])</f>
        <v>Chennai</v>
      </c>
      <c r="J360" t="s">
        <v>156</v>
      </c>
      <c r="K360" t="s">
        <v>47</v>
      </c>
      <c r="L360" t="s">
        <v>103</v>
      </c>
      <c r="M360" t="s">
        <v>347</v>
      </c>
      <c r="N360" t="s">
        <v>347</v>
      </c>
      <c r="O360">
        <v>1</v>
      </c>
      <c r="P360">
        <v>11950</v>
      </c>
      <c r="Q360">
        <v>0.15</v>
      </c>
      <c r="R360">
        <v>7900</v>
      </c>
      <c r="S360" t="s">
        <v>80</v>
      </c>
      <c r="T360" t="s">
        <v>30</v>
      </c>
      <c r="U360">
        <v>2</v>
      </c>
      <c r="V360" t="s">
        <v>31</v>
      </c>
      <c r="W360">
        <f>excelsalesdata[[#This Row],[Quantity]]*excelsalesdata[[#This Row],[Unit_Price]]</f>
        <v>11950</v>
      </c>
      <c r="X360">
        <f>excelsalesdata[[#This Row],[Gross_sales]]*excelsalesdata[[#This Row],[Discount_%]]</f>
        <v>1792.5</v>
      </c>
      <c r="Y360">
        <f>excelsalesdata[[#This Row],[Gross_sales]]-excelsalesdata[[#This Row],[Discount_amt]]</f>
        <v>10157.5</v>
      </c>
      <c r="Z360" s="4">
        <f>excelsalesdata[[#This Row],[Net_sales]]-excelsalesdata[[#This Row],[Cost]]</f>
        <v>2257.5</v>
      </c>
      <c r="AA360" s="5">
        <f>excelsalesdata[[#This Row],[Profit]]/excelsalesdata[[#This Row],[Net_sales]]</f>
        <v>0.22224956928378045</v>
      </c>
      <c r="AB360" s="4">
        <f>YEAR(excelsalesdata[[#This Row],[Order_Date]])</f>
        <v>2026</v>
      </c>
      <c r="AC360" s="4" t="str">
        <f>TEXT(excelsalesdata[[#This Row],[Order_Date]],"mmm")</f>
        <v>Apr</v>
      </c>
      <c r="AD360" s="4" t="str">
        <f>"Q"&amp;ROUNDUP(MONTH(excelsalesdata[[#This Row],[Order_Date]])/3,0)</f>
        <v>Q2</v>
      </c>
    </row>
    <row r="361" spans="1:30" x14ac:dyDescent="0.35">
      <c r="A361" t="s">
        <v>901</v>
      </c>
      <c r="B361" s="3">
        <v>46119</v>
      </c>
      <c r="C361" t="s">
        <v>379</v>
      </c>
      <c r="D361" t="s">
        <v>833</v>
      </c>
      <c r="E361" t="str">
        <f>TRIM(excelsalesdata[[#This Row],[Customer_Name]])</f>
        <v>Rohan Mehta</v>
      </c>
      <c r="F361" t="s">
        <v>23</v>
      </c>
      <c r="G361">
        <v>40</v>
      </c>
      <c r="H361" t="s">
        <v>24</v>
      </c>
      <c r="I361" t="str">
        <f>TRIM(excelsalesdata[[#This Row],[City]])</f>
        <v>Pune</v>
      </c>
      <c r="J361" t="s">
        <v>25</v>
      </c>
      <c r="K361" t="s">
        <v>26</v>
      </c>
      <c r="L361" t="s">
        <v>54</v>
      </c>
      <c r="M361" t="s">
        <v>55</v>
      </c>
      <c r="N361" t="s">
        <v>55</v>
      </c>
      <c r="O361">
        <v>1</v>
      </c>
      <c r="P361">
        <v>6860</v>
      </c>
      <c r="Q361">
        <v>0.1</v>
      </c>
      <c r="R361">
        <v>4520</v>
      </c>
      <c r="S361" t="s">
        <v>29</v>
      </c>
      <c r="T361" t="s">
        <v>30</v>
      </c>
      <c r="U361">
        <v>2</v>
      </c>
      <c r="V361" t="s">
        <v>40</v>
      </c>
      <c r="W361">
        <f>excelsalesdata[[#This Row],[Quantity]]*excelsalesdata[[#This Row],[Unit_Price]]</f>
        <v>6860</v>
      </c>
      <c r="X361">
        <f>excelsalesdata[[#This Row],[Gross_sales]]*excelsalesdata[[#This Row],[Discount_%]]</f>
        <v>686</v>
      </c>
      <c r="Y361">
        <f>excelsalesdata[[#This Row],[Gross_sales]]-excelsalesdata[[#This Row],[Discount_amt]]</f>
        <v>6174</v>
      </c>
      <c r="Z361" s="4">
        <f>excelsalesdata[[#This Row],[Net_sales]]-excelsalesdata[[#This Row],[Cost]]</f>
        <v>1654</v>
      </c>
      <c r="AA361" s="5">
        <f>excelsalesdata[[#This Row],[Profit]]/excelsalesdata[[#This Row],[Net_sales]]</f>
        <v>0.267897635244574</v>
      </c>
      <c r="AB361" s="4">
        <f>YEAR(excelsalesdata[[#This Row],[Order_Date]])</f>
        <v>2026</v>
      </c>
      <c r="AC361" s="4" t="str">
        <f>TEXT(excelsalesdata[[#This Row],[Order_Date]],"mmm")</f>
        <v>Apr</v>
      </c>
      <c r="AD361" s="4" t="str">
        <f>"Q"&amp;ROUNDUP(MONTH(excelsalesdata[[#This Row],[Order_Date]])/3,0)</f>
        <v>Q2</v>
      </c>
    </row>
    <row r="362" spans="1:30" x14ac:dyDescent="0.35">
      <c r="A362" t="s">
        <v>902</v>
      </c>
      <c r="B362" s="3">
        <v>46120</v>
      </c>
      <c r="C362" t="s">
        <v>903</v>
      </c>
      <c r="D362" t="s">
        <v>619</v>
      </c>
      <c r="E362" t="str">
        <f>TRIM(excelsalesdata[[#This Row],[Customer_Name]])</f>
        <v>Aarav Naidu</v>
      </c>
      <c r="F362" t="s">
        <v>23</v>
      </c>
      <c r="G362">
        <v>49</v>
      </c>
      <c r="H362" t="s">
        <v>133</v>
      </c>
      <c r="I362" t="str">
        <f>TRIM(excelsalesdata[[#This Row],[City]])</f>
        <v>Jaipur</v>
      </c>
      <c r="J362" t="s">
        <v>134</v>
      </c>
      <c r="K362" t="s">
        <v>61</v>
      </c>
      <c r="L362" t="s">
        <v>93</v>
      </c>
      <c r="M362" t="s">
        <v>135</v>
      </c>
      <c r="N362" t="s">
        <v>135</v>
      </c>
      <c r="O362">
        <v>1</v>
      </c>
      <c r="P362">
        <v>1880</v>
      </c>
      <c r="Q362">
        <v>0.05</v>
      </c>
      <c r="R362">
        <v>970</v>
      </c>
      <c r="S362" t="s">
        <v>56</v>
      </c>
      <c r="T362" t="s">
        <v>30</v>
      </c>
      <c r="U362">
        <v>3</v>
      </c>
      <c r="V362" t="s">
        <v>40</v>
      </c>
      <c r="W362">
        <f>excelsalesdata[[#This Row],[Quantity]]*excelsalesdata[[#This Row],[Unit_Price]]</f>
        <v>1880</v>
      </c>
      <c r="X362">
        <f>excelsalesdata[[#This Row],[Gross_sales]]*excelsalesdata[[#This Row],[Discount_%]]</f>
        <v>94</v>
      </c>
      <c r="Y362">
        <f>excelsalesdata[[#This Row],[Gross_sales]]-excelsalesdata[[#This Row],[Discount_amt]]</f>
        <v>1786</v>
      </c>
      <c r="Z362" s="4">
        <f>excelsalesdata[[#This Row],[Net_sales]]-excelsalesdata[[#This Row],[Cost]]</f>
        <v>816</v>
      </c>
      <c r="AA362" s="5">
        <f>excelsalesdata[[#This Row],[Profit]]/excelsalesdata[[#This Row],[Net_sales]]</f>
        <v>0.45688689809630462</v>
      </c>
      <c r="AB362" s="4">
        <f>YEAR(excelsalesdata[[#This Row],[Order_Date]])</f>
        <v>2026</v>
      </c>
      <c r="AC362" s="4" t="str">
        <f>TEXT(excelsalesdata[[#This Row],[Order_Date]],"mmm")</f>
        <v>Apr</v>
      </c>
      <c r="AD362" s="4" t="str">
        <f>"Q"&amp;ROUNDUP(MONTH(excelsalesdata[[#This Row],[Order_Date]])/3,0)</f>
        <v>Q2</v>
      </c>
    </row>
    <row r="363" spans="1:30" x14ac:dyDescent="0.35">
      <c r="A363" t="s">
        <v>904</v>
      </c>
      <c r="B363" s="3">
        <v>46121</v>
      </c>
      <c r="C363" t="s">
        <v>577</v>
      </c>
      <c r="D363" t="s">
        <v>65</v>
      </c>
      <c r="E363" t="str">
        <f>TRIM(excelsalesdata[[#This Row],[Customer_Name]])</f>
        <v>Aarav Nair</v>
      </c>
      <c r="F363" t="s">
        <v>23</v>
      </c>
      <c r="G363">
        <v>44</v>
      </c>
      <c r="H363" t="s">
        <v>133</v>
      </c>
      <c r="I363" t="str">
        <f>TRIM(excelsalesdata[[#This Row],[City]])</f>
        <v>Jaipur</v>
      </c>
      <c r="J363" t="s">
        <v>134</v>
      </c>
      <c r="K363" t="s">
        <v>61</v>
      </c>
      <c r="L363" t="s">
        <v>93</v>
      </c>
      <c r="M363" t="s">
        <v>718</v>
      </c>
      <c r="N363" t="s">
        <v>718</v>
      </c>
      <c r="O363">
        <v>3</v>
      </c>
      <c r="P363">
        <v>1690</v>
      </c>
      <c r="Q363">
        <v>0.3</v>
      </c>
      <c r="R363">
        <v>890</v>
      </c>
      <c r="S363" t="s">
        <v>151</v>
      </c>
      <c r="T363" t="s">
        <v>30</v>
      </c>
      <c r="U363">
        <v>4</v>
      </c>
      <c r="V363" t="s">
        <v>40</v>
      </c>
      <c r="W363">
        <f>excelsalesdata[[#This Row],[Quantity]]*excelsalesdata[[#This Row],[Unit_Price]]</f>
        <v>5070</v>
      </c>
      <c r="X363">
        <f>excelsalesdata[[#This Row],[Gross_sales]]*excelsalesdata[[#This Row],[Discount_%]]</f>
        <v>1521</v>
      </c>
      <c r="Y363">
        <f>excelsalesdata[[#This Row],[Gross_sales]]-excelsalesdata[[#This Row],[Discount_amt]]</f>
        <v>3549</v>
      </c>
      <c r="Z363" s="4">
        <f>excelsalesdata[[#This Row],[Net_sales]]-excelsalesdata[[#This Row],[Cost]]</f>
        <v>2659</v>
      </c>
      <c r="AA363" s="5">
        <f>excelsalesdata[[#This Row],[Profit]]/excelsalesdata[[#This Row],[Net_sales]]</f>
        <v>0.74922513384051848</v>
      </c>
      <c r="AB363" s="4">
        <f>YEAR(excelsalesdata[[#This Row],[Order_Date]])</f>
        <v>2026</v>
      </c>
      <c r="AC363" s="4" t="str">
        <f>TEXT(excelsalesdata[[#This Row],[Order_Date]],"mmm")</f>
        <v>Apr</v>
      </c>
      <c r="AD363" s="4" t="str">
        <f>"Q"&amp;ROUNDUP(MONTH(excelsalesdata[[#This Row],[Order_Date]])/3,0)</f>
        <v>Q2</v>
      </c>
    </row>
    <row r="364" spans="1:30" x14ac:dyDescent="0.35">
      <c r="A364" t="s">
        <v>905</v>
      </c>
      <c r="B364" s="3">
        <v>46122</v>
      </c>
      <c r="C364" t="s">
        <v>317</v>
      </c>
      <c r="D364" t="s">
        <v>273</v>
      </c>
      <c r="E364" t="str">
        <f>TRIM(excelsalesdata[[#This Row],[Customer_Name]])</f>
        <v>Aarav Sharma</v>
      </c>
      <c r="F364" t="s">
        <v>23</v>
      </c>
      <c r="G364">
        <v>24</v>
      </c>
      <c r="H364" t="s">
        <v>114</v>
      </c>
      <c r="I364" t="str">
        <f>TRIM(excelsalesdata[[#This Row],[City]])</f>
        <v>Hyderabad</v>
      </c>
      <c r="J364" t="s">
        <v>115</v>
      </c>
      <c r="K364" t="s">
        <v>47</v>
      </c>
      <c r="L364" t="s">
        <v>103</v>
      </c>
      <c r="M364" t="s">
        <v>312</v>
      </c>
      <c r="N364" t="s">
        <v>312</v>
      </c>
      <c r="O364">
        <v>4</v>
      </c>
      <c r="P364">
        <v>6830</v>
      </c>
      <c r="Q364">
        <v>0.1</v>
      </c>
      <c r="R364">
        <v>4270</v>
      </c>
      <c r="S364" t="s">
        <v>67</v>
      </c>
      <c r="T364" t="s">
        <v>30</v>
      </c>
      <c r="U364">
        <v>5</v>
      </c>
      <c r="V364" t="s">
        <v>40</v>
      </c>
      <c r="W364">
        <f>excelsalesdata[[#This Row],[Quantity]]*excelsalesdata[[#This Row],[Unit_Price]]</f>
        <v>27320</v>
      </c>
      <c r="X364">
        <f>excelsalesdata[[#This Row],[Gross_sales]]*excelsalesdata[[#This Row],[Discount_%]]</f>
        <v>2732</v>
      </c>
      <c r="Y364">
        <f>excelsalesdata[[#This Row],[Gross_sales]]-excelsalesdata[[#This Row],[Discount_amt]]</f>
        <v>24588</v>
      </c>
      <c r="Z364" s="4">
        <f>excelsalesdata[[#This Row],[Net_sales]]-excelsalesdata[[#This Row],[Cost]]</f>
        <v>20318</v>
      </c>
      <c r="AA364" s="5">
        <f>excelsalesdata[[#This Row],[Profit]]/excelsalesdata[[#This Row],[Net_sales]]</f>
        <v>0.82633805108182856</v>
      </c>
      <c r="AB364" s="4">
        <f>YEAR(excelsalesdata[[#This Row],[Order_Date]])</f>
        <v>2026</v>
      </c>
      <c r="AC364" s="4" t="str">
        <f>TEXT(excelsalesdata[[#This Row],[Order_Date]],"mmm")</f>
        <v>Apr</v>
      </c>
      <c r="AD364" s="4" t="str">
        <f>"Q"&amp;ROUNDUP(MONTH(excelsalesdata[[#This Row],[Order_Date]])/3,0)</f>
        <v>Q2</v>
      </c>
    </row>
    <row r="365" spans="1:30" x14ac:dyDescent="0.35">
      <c r="A365" t="s">
        <v>906</v>
      </c>
      <c r="B365" s="3">
        <v>46123</v>
      </c>
      <c r="C365" t="s">
        <v>907</v>
      </c>
      <c r="D365" t="s">
        <v>22</v>
      </c>
      <c r="E365" t="str">
        <f>TRIM(excelsalesdata[[#This Row],[Customer_Name]])</f>
        <v>Sneha Naidu</v>
      </c>
      <c r="F365" t="s">
        <v>44</v>
      </c>
      <c r="G365">
        <v>59</v>
      </c>
      <c r="H365" t="s">
        <v>114</v>
      </c>
      <c r="I365" t="str">
        <f>TRIM(excelsalesdata[[#This Row],[City]])</f>
        <v>Hyderabad</v>
      </c>
      <c r="J365" t="s">
        <v>115</v>
      </c>
      <c r="K365" t="s">
        <v>47</v>
      </c>
      <c r="L365" t="s">
        <v>93</v>
      </c>
      <c r="M365" t="s">
        <v>206</v>
      </c>
      <c r="N365" t="s">
        <v>206</v>
      </c>
      <c r="O365">
        <v>2</v>
      </c>
      <c r="P365">
        <v>680</v>
      </c>
      <c r="Q365">
        <v>0.15</v>
      </c>
      <c r="R365">
        <v>290</v>
      </c>
      <c r="S365" t="s">
        <v>80</v>
      </c>
      <c r="T365" t="s">
        <v>30</v>
      </c>
      <c r="U365">
        <v>3</v>
      </c>
      <c r="V365" t="s">
        <v>31</v>
      </c>
      <c r="W365">
        <f>excelsalesdata[[#This Row],[Quantity]]*excelsalesdata[[#This Row],[Unit_Price]]</f>
        <v>1360</v>
      </c>
      <c r="X365">
        <f>excelsalesdata[[#This Row],[Gross_sales]]*excelsalesdata[[#This Row],[Discount_%]]</f>
        <v>204</v>
      </c>
      <c r="Y365">
        <f>excelsalesdata[[#This Row],[Gross_sales]]-excelsalesdata[[#This Row],[Discount_amt]]</f>
        <v>1156</v>
      </c>
      <c r="Z365" s="4">
        <f>excelsalesdata[[#This Row],[Net_sales]]-excelsalesdata[[#This Row],[Cost]]</f>
        <v>866</v>
      </c>
      <c r="AA365" s="5">
        <f>excelsalesdata[[#This Row],[Profit]]/excelsalesdata[[#This Row],[Net_sales]]</f>
        <v>0.74913494809688586</v>
      </c>
      <c r="AB365" s="4">
        <f>YEAR(excelsalesdata[[#This Row],[Order_Date]])</f>
        <v>2026</v>
      </c>
      <c r="AC365" s="4" t="str">
        <f>TEXT(excelsalesdata[[#This Row],[Order_Date]],"mmm")</f>
        <v>Apr</v>
      </c>
      <c r="AD365" s="4" t="str">
        <f>"Q"&amp;ROUNDUP(MONTH(excelsalesdata[[#This Row],[Order_Date]])/3,0)</f>
        <v>Q2</v>
      </c>
    </row>
    <row r="366" spans="1:30" x14ac:dyDescent="0.35">
      <c r="A366" t="s">
        <v>908</v>
      </c>
      <c r="B366" s="3">
        <v>46124</v>
      </c>
      <c r="C366" t="s">
        <v>909</v>
      </c>
      <c r="D366" t="s">
        <v>205</v>
      </c>
      <c r="E366" t="str">
        <f>TRIM(excelsalesdata[[#This Row],[Customer_Name]])</f>
        <v>Vivaan Bhat</v>
      </c>
      <c r="F366" t="s">
        <v>44</v>
      </c>
      <c r="G366">
        <v>39</v>
      </c>
      <c r="H366" t="s">
        <v>78</v>
      </c>
      <c r="I366" t="str">
        <f>TRIM(excelsalesdata[[#This Row],[City]])</f>
        <v>Guwahati</v>
      </c>
      <c r="J366" t="s">
        <v>79</v>
      </c>
      <c r="K366" t="s">
        <v>37</v>
      </c>
      <c r="L366" t="s">
        <v>27</v>
      </c>
      <c r="M366" t="s">
        <v>28</v>
      </c>
      <c r="N366" t="s">
        <v>28</v>
      </c>
      <c r="O366">
        <v>1</v>
      </c>
      <c r="P366">
        <v>3560</v>
      </c>
      <c r="Q366">
        <v>0.05</v>
      </c>
      <c r="R366">
        <v>2080</v>
      </c>
      <c r="S366" t="s">
        <v>29</v>
      </c>
      <c r="T366" t="s">
        <v>30</v>
      </c>
      <c r="U366">
        <v>3</v>
      </c>
      <c r="V366" t="s">
        <v>40</v>
      </c>
      <c r="W366">
        <f>excelsalesdata[[#This Row],[Quantity]]*excelsalesdata[[#This Row],[Unit_Price]]</f>
        <v>3560</v>
      </c>
      <c r="X366">
        <f>excelsalesdata[[#This Row],[Gross_sales]]*excelsalesdata[[#This Row],[Discount_%]]</f>
        <v>178</v>
      </c>
      <c r="Y366">
        <f>excelsalesdata[[#This Row],[Gross_sales]]-excelsalesdata[[#This Row],[Discount_amt]]</f>
        <v>3382</v>
      </c>
      <c r="Z366" s="4">
        <f>excelsalesdata[[#This Row],[Net_sales]]-excelsalesdata[[#This Row],[Cost]]</f>
        <v>1302</v>
      </c>
      <c r="AA366" s="5">
        <f>excelsalesdata[[#This Row],[Profit]]/excelsalesdata[[#This Row],[Net_sales]]</f>
        <v>0.38497930218805443</v>
      </c>
      <c r="AB366" s="4">
        <f>YEAR(excelsalesdata[[#This Row],[Order_Date]])</f>
        <v>2026</v>
      </c>
      <c r="AC366" s="4" t="str">
        <f>TEXT(excelsalesdata[[#This Row],[Order_Date]],"mmm")</f>
        <v>Apr</v>
      </c>
      <c r="AD366" s="4" t="str">
        <f>"Q"&amp;ROUNDUP(MONTH(excelsalesdata[[#This Row],[Order_Date]])/3,0)</f>
        <v>Q2</v>
      </c>
    </row>
    <row r="367" spans="1:30" x14ac:dyDescent="0.35">
      <c r="A367" t="s">
        <v>910</v>
      </c>
      <c r="B367" s="3">
        <v>46125</v>
      </c>
      <c r="C367" t="s">
        <v>911</v>
      </c>
      <c r="D367" t="s">
        <v>914</v>
      </c>
      <c r="E367" t="str">
        <f>TRIM(excelsalesdata[[#This Row],[Customer_Name]])</f>
        <v>Nisha Kumar</v>
      </c>
      <c r="F367" t="s">
        <v>44</v>
      </c>
      <c r="G367">
        <v>41</v>
      </c>
      <c r="H367" t="s">
        <v>133</v>
      </c>
      <c r="I367" t="str">
        <f>TRIM(excelsalesdata[[#This Row],[City]])</f>
        <v>Jaipur</v>
      </c>
      <c r="J367" t="s">
        <v>134</v>
      </c>
      <c r="K367" t="s">
        <v>61</v>
      </c>
      <c r="L367" t="s">
        <v>38</v>
      </c>
      <c r="M367" t="s">
        <v>39</v>
      </c>
      <c r="N367" t="s">
        <v>39</v>
      </c>
      <c r="O367">
        <v>1</v>
      </c>
      <c r="P367">
        <v>6980</v>
      </c>
      <c r="Q367">
        <v>0.05</v>
      </c>
      <c r="R367">
        <v>4300</v>
      </c>
      <c r="S367" t="s">
        <v>80</v>
      </c>
      <c r="T367" t="s">
        <v>74</v>
      </c>
      <c r="U367">
        <v>4</v>
      </c>
      <c r="V367" t="s">
        <v>31</v>
      </c>
      <c r="W367">
        <f>excelsalesdata[[#This Row],[Quantity]]*excelsalesdata[[#This Row],[Unit_Price]]</f>
        <v>6980</v>
      </c>
      <c r="X367">
        <f>excelsalesdata[[#This Row],[Gross_sales]]*excelsalesdata[[#This Row],[Discount_%]]</f>
        <v>349</v>
      </c>
      <c r="Y367">
        <f>excelsalesdata[[#This Row],[Gross_sales]]-excelsalesdata[[#This Row],[Discount_amt]]</f>
        <v>6631</v>
      </c>
      <c r="Z367" s="4">
        <f>excelsalesdata[[#This Row],[Net_sales]]-excelsalesdata[[#This Row],[Cost]]</f>
        <v>2331</v>
      </c>
      <c r="AA367" s="5">
        <f>excelsalesdata[[#This Row],[Profit]]/excelsalesdata[[#This Row],[Net_sales]]</f>
        <v>0.35153068918715125</v>
      </c>
      <c r="AB367" s="4">
        <f>YEAR(excelsalesdata[[#This Row],[Order_Date]])</f>
        <v>2026</v>
      </c>
      <c r="AC367" s="4" t="str">
        <f>TEXT(excelsalesdata[[#This Row],[Order_Date]],"mmm")</f>
        <v>Apr</v>
      </c>
      <c r="AD367" s="4" t="str">
        <f>"Q"&amp;ROUNDUP(MONTH(excelsalesdata[[#This Row],[Order_Date]])/3,0)</f>
        <v>Q2</v>
      </c>
    </row>
    <row r="368" spans="1:30" x14ac:dyDescent="0.35">
      <c r="A368" t="s">
        <v>912</v>
      </c>
      <c r="B368" s="3">
        <v>46126</v>
      </c>
      <c r="C368" t="s">
        <v>913</v>
      </c>
      <c r="D368" t="s">
        <v>34</v>
      </c>
      <c r="E368" t="str">
        <f>TRIM(excelsalesdata[[#This Row],[Customer_Name]])</f>
        <v>Priya Singh</v>
      </c>
      <c r="F368" t="s">
        <v>23</v>
      </c>
      <c r="G368">
        <v>35</v>
      </c>
      <c r="H368" t="s">
        <v>52</v>
      </c>
      <c r="I368" t="str">
        <f>TRIM(excelsalesdata[[#This Row],[City]])</f>
        <v>Bengaluru</v>
      </c>
      <c r="J368" t="s">
        <v>53</v>
      </c>
      <c r="K368" t="s">
        <v>47</v>
      </c>
      <c r="L368" t="s">
        <v>38</v>
      </c>
      <c r="M368" t="s">
        <v>39</v>
      </c>
      <c r="N368" t="s">
        <v>39</v>
      </c>
      <c r="O368">
        <v>1</v>
      </c>
      <c r="P368">
        <v>5980</v>
      </c>
      <c r="Q368">
        <v>0.1</v>
      </c>
      <c r="R368">
        <v>4230</v>
      </c>
      <c r="S368" t="s">
        <v>105</v>
      </c>
      <c r="T368" t="s">
        <v>30</v>
      </c>
      <c r="U368">
        <v>3</v>
      </c>
      <c r="V368" t="s">
        <v>40</v>
      </c>
      <c r="W368">
        <f>excelsalesdata[[#This Row],[Quantity]]*excelsalesdata[[#This Row],[Unit_Price]]</f>
        <v>5980</v>
      </c>
      <c r="X368">
        <f>excelsalesdata[[#This Row],[Gross_sales]]*excelsalesdata[[#This Row],[Discount_%]]</f>
        <v>598</v>
      </c>
      <c r="Y368">
        <f>excelsalesdata[[#This Row],[Gross_sales]]-excelsalesdata[[#This Row],[Discount_amt]]</f>
        <v>5382</v>
      </c>
      <c r="Z368" s="4">
        <f>excelsalesdata[[#This Row],[Net_sales]]-excelsalesdata[[#This Row],[Cost]]</f>
        <v>1152</v>
      </c>
      <c r="AA368" s="5">
        <f>excelsalesdata[[#This Row],[Profit]]/excelsalesdata[[#This Row],[Net_sales]]</f>
        <v>0.21404682274247491</v>
      </c>
      <c r="AB368" s="4">
        <f>YEAR(excelsalesdata[[#This Row],[Order_Date]])</f>
        <v>2026</v>
      </c>
      <c r="AC368" s="4" t="str">
        <f>TEXT(excelsalesdata[[#This Row],[Order_Date]],"mmm")</f>
        <v>Apr</v>
      </c>
      <c r="AD368" s="4" t="str">
        <f>"Q"&amp;ROUNDUP(MONTH(excelsalesdata[[#This Row],[Order_Date]])/3,0)</f>
        <v>Q2</v>
      </c>
    </row>
    <row r="369" spans="1:30" x14ac:dyDescent="0.35">
      <c r="A369" t="s">
        <v>915</v>
      </c>
      <c r="B369" s="3">
        <v>46127</v>
      </c>
      <c r="C369" t="s">
        <v>841</v>
      </c>
      <c r="D369" t="s">
        <v>918</v>
      </c>
      <c r="E369" t="str">
        <f>TRIM(excelsalesdata[[#This Row],[Customer_Name]])</f>
        <v>Vikram Naidu</v>
      </c>
      <c r="F369" t="s">
        <v>23</v>
      </c>
      <c r="G369">
        <v>43</v>
      </c>
      <c r="H369" t="s">
        <v>155</v>
      </c>
      <c r="I369" t="str">
        <f>TRIM(excelsalesdata[[#This Row],[City]])</f>
        <v>Chennai</v>
      </c>
      <c r="J369" t="s">
        <v>156</v>
      </c>
      <c r="K369" t="s">
        <v>47</v>
      </c>
      <c r="L369" t="s">
        <v>27</v>
      </c>
      <c r="M369" t="s">
        <v>48</v>
      </c>
      <c r="N369" t="s">
        <v>48</v>
      </c>
      <c r="O369">
        <v>1</v>
      </c>
      <c r="P369">
        <v>970</v>
      </c>
      <c r="Q369">
        <v>0.1</v>
      </c>
      <c r="R369">
        <v>450</v>
      </c>
      <c r="S369" t="s">
        <v>80</v>
      </c>
      <c r="T369" t="s">
        <v>81</v>
      </c>
      <c r="U369">
        <v>0</v>
      </c>
      <c r="V369" t="s">
        <v>40</v>
      </c>
      <c r="W369">
        <f>excelsalesdata[[#This Row],[Quantity]]*excelsalesdata[[#This Row],[Unit_Price]]</f>
        <v>970</v>
      </c>
      <c r="X369">
        <f>excelsalesdata[[#This Row],[Gross_sales]]*excelsalesdata[[#This Row],[Discount_%]]</f>
        <v>97</v>
      </c>
      <c r="Y369">
        <f>excelsalesdata[[#This Row],[Gross_sales]]-excelsalesdata[[#This Row],[Discount_amt]]</f>
        <v>873</v>
      </c>
      <c r="Z369" s="4">
        <f>excelsalesdata[[#This Row],[Net_sales]]-excelsalesdata[[#This Row],[Cost]]</f>
        <v>423</v>
      </c>
      <c r="AA369" s="5">
        <f>excelsalesdata[[#This Row],[Profit]]/excelsalesdata[[#This Row],[Net_sales]]</f>
        <v>0.4845360824742268</v>
      </c>
      <c r="AB369" s="4">
        <f>YEAR(excelsalesdata[[#This Row],[Order_Date]])</f>
        <v>2026</v>
      </c>
      <c r="AC369" s="4" t="str">
        <f>TEXT(excelsalesdata[[#This Row],[Order_Date]],"mmm")</f>
        <v>Apr</v>
      </c>
      <c r="AD369" s="4" t="str">
        <f>"Q"&amp;ROUNDUP(MONTH(excelsalesdata[[#This Row],[Order_Date]])/3,0)</f>
        <v>Q2</v>
      </c>
    </row>
    <row r="370" spans="1:30" x14ac:dyDescent="0.35">
      <c r="A370" t="s">
        <v>916</v>
      </c>
      <c r="B370" s="3">
        <v>46128</v>
      </c>
      <c r="C370" t="s">
        <v>917</v>
      </c>
      <c r="D370" t="s">
        <v>160</v>
      </c>
      <c r="E370" t="str">
        <f>TRIM(excelsalesdata[[#This Row],[Customer_Name]])</f>
        <v>Nisha Bhat</v>
      </c>
      <c r="F370" t="s">
        <v>23</v>
      </c>
      <c r="G370">
        <v>43</v>
      </c>
      <c r="H370" t="s">
        <v>114</v>
      </c>
      <c r="I370" t="str">
        <f>TRIM(excelsalesdata[[#This Row],[City]])</f>
        <v>Hyderabad</v>
      </c>
      <c r="J370" t="s">
        <v>115</v>
      </c>
      <c r="K370" t="s">
        <v>47</v>
      </c>
      <c r="L370" t="s">
        <v>85</v>
      </c>
      <c r="M370" t="s">
        <v>172</v>
      </c>
      <c r="N370" t="s">
        <v>172</v>
      </c>
      <c r="O370">
        <v>4</v>
      </c>
      <c r="P370">
        <v>4590</v>
      </c>
      <c r="Q370">
        <v>0.15</v>
      </c>
      <c r="R370">
        <v>2890</v>
      </c>
      <c r="S370" t="s">
        <v>67</v>
      </c>
      <c r="T370" t="s">
        <v>30</v>
      </c>
      <c r="U370">
        <v>1</v>
      </c>
      <c r="V370" t="s">
        <v>40</v>
      </c>
      <c r="W370">
        <f>excelsalesdata[[#This Row],[Quantity]]*excelsalesdata[[#This Row],[Unit_Price]]</f>
        <v>18360</v>
      </c>
      <c r="X370">
        <f>excelsalesdata[[#This Row],[Gross_sales]]*excelsalesdata[[#This Row],[Discount_%]]</f>
        <v>2754</v>
      </c>
      <c r="Y370">
        <f>excelsalesdata[[#This Row],[Gross_sales]]-excelsalesdata[[#This Row],[Discount_amt]]</f>
        <v>15606</v>
      </c>
      <c r="Z370" s="4">
        <f>excelsalesdata[[#This Row],[Net_sales]]-excelsalesdata[[#This Row],[Cost]]</f>
        <v>12716</v>
      </c>
      <c r="AA370" s="5">
        <f>excelsalesdata[[#This Row],[Profit]]/excelsalesdata[[#This Row],[Net_sales]]</f>
        <v>0.81481481481481477</v>
      </c>
      <c r="AB370" s="4">
        <f>YEAR(excelsalesdata[[#This Row],[Order_Date]])</f>
        <v>2026</v>
      </c>
      <c r="AC370" s="4" t="str">
        <f>TEXT(excelsalesdata[[#This Row],[Order_Date]],"mmm")</f>
        <v>Apr</v>
      </c>
      <c r="AD370" s="4" t="str">
        <f>"Q"&amp;ROUNDUP(MONTH(excelsalesdata[[#This Row],[Order_Date]])/3,0)</f>
        <v>Q2</v>
      </c>
    </row>
    <row r="371" spans="1:30" x14ac:dyDescent="0.35">
      <c r="A371" t="s">
        <v>919</v>
      </c>
      <c r="B371" s="3">
        <v>46129</v>
      </c>
      <c r="C371" t="s">
        <v>920</v>
      </c>
      <c r="D371" t="s">
        <v>922</v>
      </c>
      <c r="E371" t="str">
        <f>TRIM(excelsalesdata[[#This Row],[Customer_Name]])</f>
        <v>Arjun Kumar</v>
      </c>
      <c r="F371" t="s">
        <v>44</v>
      </c>
      <c r="G371">
        <v>46</v>
      </c>
      <c r="H371" t="s">
        <v>24</v>
      </c>
      <c r="I371" t="str">
        <f>TRIM(excelsalesdata[[#This Row],[City]])</f>
        <v>Pune</v>
      </c>
      <c r="J371" t="s">
        <v>25</v>
      </c>
      <c r="K371" t="s">
        <v>26</v>
      </c>
      <c r="L371" t="s">
        <v>38</v>
      </c>
      <c r="M371" t="s">
        <v>161</v>
      </c>
      <c r="N371" t="s">
        <v>161</v>
      </c>
      <c r="O371">
        <v>1</v>
      </c>
      <c r="P371">
        <v>29120</v>
      </c>
      <c r="Q371">
        <v>0.1</v>
      </c>
      <c r="R371">
        <v>19890</v>
      </c>
      <c r="S371" t="s">
        <v>29</v>
      </c>
      <c r="T371" t="s">
        <v>30</v>
      </c>
      <c r="U371">
        <v>3</v>
      </c>
      <c r="V371" t="s">
        <v>40</v>
      </c>
      <c r="W371">
        <f>excelsalesdata[[#This Row],[Quantity]]*excelsalesdata[[#This Row],[Unit_Price]]</f>
        <v>29120</v>
      </c>
      <c r="X371">
        <f>excelsalesdata[[#This Row],[Gross_sales]]*excelsalesdata[[#This Row],[Discount_%]]</f>
        <v>2912</v>
      </c>
      <c r="Y371">
        <f>excelsalesdata[[#This Row],[Gross_sales]]-excelsalesdata[[#This Row],[Discount_amt]]</f>
        <v>26208</v>
      </c>
      <c r="Z371" s="4">
        <f>excelsalesdata[[#This Row],[Net_sales]]-excelsalesdata[[#This Row],[Cost]]</f>
        <v>6318</v>
      </c>
      <c r="AA371" s="5">
        <f>excelsalesdata[[#This Row],[Profit]]/excelsalesdata[[#This Row],[Net_sales]]</f>
        <v>0.24107142857142858</v>
      </c>
      <c r="AB371" s="4">
        <f>YEAR(excelsalesdata[[#This Row],[Order_Date]])</f>
        <v>2026</v>
      </c>
      <c r="AC371" s="4" t="str">
        <f>TEXT(excelsalesdata[[#This Row],[Order_Date]],"mmm")</f>
        <v>Apr</v>
      </c>
      <c r="AD371" s="4" t="str">
        <f>"Q"&amp;ROUNDUP(MONTH(excelsalesdata[[#This Row],[Order_Date]])/3,0)</f>
        <v>Q2</v>
      </c>
    </row>
    <row r="372" spans="1:30" x14ac:dyDescent="0.35">
      <c r="A372" t="s">
        <v>921</v>
      </c>
      <c r="B372" s="3">
        <v>46130</v>
      </c>
      <c r="C372" t="s">
        <v>696</v>
      </c>
      <c r="D372" t="s">
        <v>925</v>
      </c>
      <c r="E372" t="str">
        <f>TRIM(excelsalesdata[[#This Row],[Customer_Name]])</f>
        <v>Ananya Rao</v>
      </c>
      <c r="F372" t="s">
        <v>23</v>
      </c>
      <c r="G372">
        <v>28</v>
      </c>
      <c r="H372" t="s">
        <v>109</v>
      </c>
      <c r="I372" t="str">
        <f>TRIM(excelsalesdata[[#This Row],[City]])</f>
        <v>Mysuru</v>
      </c>
      <c r="J372" t="s">
        <v>53</v>
      </c>
      <c r="K372" t="s">
        <v>47</v>
      </c>
      <c r="L372" t="s">
        <v>38</v>
      </c>
      <c r="M372" t="s">
        <v>39</v>
      </c>
      <c r="N372" t="s">
        <v>39</v>
      </c>
      <c r="O372">
        <v>4</v>
      </c>
      <c r="P372">
        <v>6530</v>
      </c>
      <c r="Q372">
        <v>0.15</v>
      </c>
      <c r="R372">
        <v>4100</v>
      </c>
      <c r="S372" t="s">
        <v>80</v>
      </c>
      <c r="T372" t="s">
        <v>30</v>
      </c>
      <c r="U372">
        <v>2</v>
      </c>
      <c r="V372" t="s">
        <v>31</v>
      </c>
      <c r="W372">
        <f>excelsalesdata[[#This Row],[Quantity]]*excelsalesdata[[#This Row],[Unit_Price]]</f>
        <v>26120</v>
      </c>
      <c r="X372">
        <f>excelsalesdata[[#This Row],[Gross_sales]]*excelsalesdata[[#This Row],[Discount_%]]</f>
        <v>3918</v>
      </c>
      <c r="Y372">
        <f>excelsalesdata[[#This Row],[Gross_sales]]-excelsalesdata[[#This Row],[Discount_amt]]</f>
        <v>22202</v>
      </c>
      <c r="Z372" s="4">
        <f>excelsalesdata[[#This Row],[Net_sales]]-excelsalesdata[[#This Row],[Cost]]</f>
        <v>18102</v>
      </c>
      <c r="AA372" s="5">
        <f>excelsalesdata[[#This Row],[Profit]]/excelsalesdata[[#This Row],[Net_sales]]</f>
        <v>0.81533195207638953</v>
      </c>
      <c r="AB372" s="4">
        <f>YEAR(excelsalesdata[[#This Row],[Order_Date]])</f>
        <v>2026</v>
      </c>
      <c r="AC372" s="4" t="str">
        <f>TEXT(excelsalesdata[[#This Row],[Order_Date]],"mmm")</f>
        <v>Apr</v>
      </c>
      <c r="AD372" s="4" t="str">
        <f>"Q"&amp;ROUNDUP(MONTH(excelsalesdata[[#This Row],[Order_Date]])/3,0)</f>
        <v>Q2</v>
      </c>
    </row>
    <row r="373" spans="1:30" x14ac:dyDescent="0.35">
      <c r="A373" t="s">
        <v>923</v>
      </c>
      <c r="B373" s="3">
        <v>46131</v>
      </c>
      <c r="C373" t="s">
        <v>924</v>
      </c>
      <c r="D373" t="s">
        <v>927</v>
      </c>
      <c r="E373" t="str">
        <f>TRIM(excelsalesdata[[#This Row],[Customer_Name]])</f>
        <v>Priya Verma</v>
      </c>
      <c r="F373" t="s">
        <v>44</v>
      </c>
      <c r="G373">
        <v>40</v>
      </c>
      <c r="H373" t="s">
        <v>52</v>
      </c>
      <c r="I373" t="str">
        <f>TRIM(excelsalesdata[[#This Row],[City]])</f>
        <v>Bengaluru</v>
      </c>
      <c r="J373" t="s">
        <v>53</v>
      </c>
      <c r="K373" t="s">
        <v>47</v>
      </c>
      <c r="L373" t="s">
        <v>103</v>
      </c>
      <c r="M373" t="s">
        <v>104</v>
      </c>
      <c r="N373" t="s">
        <v>104</v>
      </c>
      <c r="O373">
        <v>3</v>
      </c>
      <c r="P373">
        <v>8990</v>
      </c>
      <c r="Q373">
        <v>0.25</v>
      </c>
      <c r="R373">
        <v>5600</v>
      </c>
      <c r="S373" t="s">
        <v>105</v>
      </c>
      <c r="T373" t="s">
        <v>74</v>
      </c>
      <c r="U373">
        <v>3</v>
      </c>
      <c r="V373" t="s">
        <v>40</v>
      </c>
      <c r="W373">
        <f>excelsalesdata[[#This Row],[Quantity]]*excelsalesdata[[#This Row],[Unit_Price]]</f>
        <v>26970</v>
      </c>
      <c r="X373">
        <f>excelsalesdata[[#This Row],[Gross_sales]]*excelsalesdata[[#This Row],[Discount_%]]</f>
        <v>6742.5</v>
      </c>
      <c r="Y373">
        <f>excelsalesdata[[#This Row],[Gross_sales]]-excelsalesdata[[#This Row],[Discount_amt]]</f>
        <v>20227.5</v>
      </c>
      <c r="Z373" s="4">
        <f>excelsalesdata[[#This Row],[Net_sales]]-excelsalesdata[[#This Row],[Cost]]</f>
        <v>14627.5</v>
      </c>
      <c r="AA373" s="5">
        <f>excelsalesdata[[#This Row],[Profit]]/excelsalesdata[[#This Row],[Net_sales]]</f>
        <v>0.72314917809912249</v>
      </c>
      <c r="AB373" s="4">
        <f>YEAR(excelsalesdata[[#This Row],[Order_Date]])</f>
        <v>2026</v>
      </c>
      <c r="AC373" s="4" t="str">
        <f>TEXT(excelsalesdata[[#This Row],[Order_Date]],"mmm")</f>
        <v>Apr</v>
      </c>
      <c r="AD373" s="4" t="str">
        <f>"Q"&amp;ROUNDUP(MONTH(excelsalesdata[[#This Row],[Order_Date]])/3,0)</f>
        <v>Q2</v>
      </c>
    </row>
    <row r="374" spans="1:30" x14ac:dyDescent="0.35">
      <c r="A374" t="s">
        <v>926</v>
      </c>
      <c r="B374" s="3">
        <v>46132</v>
      </c>
      <c r="C374" t="s">
        <v>769</v>
      </c>
      <c r="D374" t="s">
        <v>830</v>
      </c>
      <c r="E374" t="str">
        <f>TRIM(excelsalesdata[[#This Row],[Customer_Name]])</f>
        <v>Rohan Bhat</v>
      </c>
      <c r="F374" t="s">
        <v>44</v>
      </c>
      <c r="G374">
        <v>30</v>
      </c>
      <c r="H374" t="s">
        <v>155</v>
      </c>
      <c r="I374" t="str">
        <f>TRIM(excelsalesdata[[#This Row],[City]])</f>
        <v>Chennai</v>
      </c>
      <c r="J374" t="s">
        <v>156</v>
      </c>
      <c r="K374" t="s">
        <v>47</v>
      </c>
      <c r="L374" t="s">
        <v>54</v>
      </c>
      <c r="M374" t="s">
        <v>55</v>
      </c>
      <c r="N374" t="s">
        <v>55</v>
      </c>
      <c r="O374">
        <v>3</v>
      </c>
      <c r="P374">
        <v>7130</v>
      </c>
      <c r="Q374">
        <v>0.05</v>
      </c>
      <c r="R374">
        <v>4360</v>
      </c>
      <c r="S374" t="s">
        <v>105</v>
      </c>
      <c r="T374" t="s">
        <v>30</v>
      </c>
      <c r="U374">
        <v>2</v>
      </c>
      <c r="V374" t="s">
        <v>40</v>
      </c>
      <c r="W374">
        <f>excelsalesdata[[#This Row],[Quantity]]*excelsalesdata[[#This Row],[Unit_Price]]</f>
        <v>21390</v>
      </c>
      <c r="X374">
        <f>excelsalesdata[[#This Row],[Gross_sales]]*excelsalesdata[[#This Row],[Discount_%]]</f>
        <v>1069.5</v>
      </c>
      <c r="Y374">
        <f>excelsalesdata[[#This Row],[Gross_sales]]-excelsalesdata[[#This Row],[Discount_amt]]</f>
        <v>20320.5</v>
      </c>
      <c r="Z374" s="4">
        <f>excelsalesdata[[#This Row],[Net_sales]]-excelsalesdata[[#This Row],[Cost]]</f>
        <v>15960.5</v>
      </c>
      <c r="AA374" s="5">
        <f>excelsalesdata[[#This Row],[Profit]]/excelsalesdata[[#This Row],[Net_sales]]</f>
        <v>0.78543835043429044</v>
      </c>
      <c r="AB374" s="4">
        <f>YEAR(excelsalesdata[[#This Row],[Order_Date]])</f>
        <v>2026</v>
      </c>
      <c r="AC374" s="4" t="str">
        <f>TEXT(excelsalesdata[[#This Row],[Order_Date]],"mmm")</f>
        <v>Apr</v>
      </c>
      <c r="AD374" s="4" t="str">
        <f>"Q"&amp;ROUNDUP(MONTH(excelsalesdata[[#This Row],[Order_Date]])/3,0)</f>
        <v>Q2</v>
      </c>
    </row>
    <row r="375" spans="1:30" x14ac:dyDescent="0.35">
      <c r="A375" t="s">
        <v>928</v>
      </c>
      <c r="B375" s="3">
        <v>46133</v>
      </c>
      <c r="C375" t="s">
        <v>929</v>
      </c>
      <c r="D375" t="s">
        <v>583</v>
      </c>
      <c r="E375" t="str">
        <f>TRIM(excelsalesdata[[#This Row],[Customer_Name]])</f>
        <v>Ishita Gupta</v>
      </c>
      <c r="F375" t="s">
        <v>44</v>
      </c>
      <c r="G375">
        <v>22</v>
      </c>
      <c r="H375" t="s">
        <v>185</v>
      </c>
      <c r="I375" t="str">
        <f>TRIM(excelsalesdata[[#This Row],[City]])</f>
        <v>Lucknow</v>
      </c>
      <c r="J375" t="s">
        <v>186</v>
      </c>
      <c r="K375" t="s">
        <v>61</v>
      </c>
      <c r="L375" t="s">
        <v>54</v>
      </c>
      <c r="M375" t="s">
        <v>66</v>
      </c>
      <c r="N375" t="s">
        <v>66</v>
      </c>
      <c r="O375">
        <v>1</v>
      </c>
      <c r="P375">
        <v>2580</v>
      </c>
      <c r="Q375">
        <v>0.1</v>
      </c>
      <c r="R375">
        <v>1520</v>
      </c>
      <c r="S375" t="s">
        <v>29</v>
      </c>
      <c r="T375" t="s">
        <v>30</v>
      </c>
      <c r="U375">
        <v>1</v>
      </c>
      <c r="V375" t="s">
        <v>40</v>
      </c>
      <c r="W375">
        <f>excelsalesdata[[#This Row],[Quantity]]*excelsalesdata[[#This Row],[Unit_Price]]</f>
        <v>2580</v>
      </c>
      <c r="X375">
        <f>excelsalesdata[[#This Row],[Gross_sales]]*excelsalesdata[[#This Row],[Discount_%]]</f>
        <v>258</v>
      </c>
      <c r="Y375">
        <f>excelsalesdata[[#This Row],[Gross_sales]]-excelsalesdata[[#This Row],[Discount_amt]]</f>
        <v>2322</v>
      </c>
      <c r="Z375" s="4">
        <f>excelsalesdata[[#This Row],[Net_sales]]-excelsalesdata[[#This Row],[Cost]]</f>
        <v>802</v>
      </c>
      <c r="AA375" s="5">
        <f>excelsalesdata[[#This Row],[Profit]]/excelsalesdata[[#This Row],[Net_sales]]</f>
        <v>0.34539190353143839</v>
      </c>
      <c r="AB375" s="4">
        <f>YEAR(excelsalesdata[[#This Row],[Order_Date]])</f>
        <v>2026</v>
      </c>
      <c r="AC375" s="4" t="str">
        <f>TEXT(excelsalesdata[[#This Row],[Order_Date]],"mmm")</f>
        <v>Apr</v>
      </c>
      <c r="AD375" s="4" t="str">
        <f>"Q"&amp;ROUNDUP(MONTH(excelsalesdata[[#This Row],[Order_Date]])/3,0)</f>
        <v>Q2</v>
      </c>
    </row>
    <row r="376" spans="1:30" x14ac:dyDescent="0.35">
      <c r="A376" t="s">
        <v>930</v>
      </c>
      <c r="B376" s="3">
        <v>46134</v>
      </c>
      <c r="C376" t="s">
        <v>320</v>
      </c>
      <c r="D376" t="s">
        <v>933</v>
      </c>
      <c r="E376" t="str">
        <f>TRIM(excelsalesdata[[#This Row],[Customer_Name]])</f>
        <v>Sneha Patel</v>
      </c>
      <c r="F376" t="s">
        <v>23</v>
      </c>
      <c r="G376">
        <v>41</v>
      </c>
      <c r="H376" t="s">
        <v>35</v>
      </c>
      <c r="I376" t="str">
        <f>TRIM(excelsalesdata[[#This Row],[City]])</f>
        <v>Kolkata</v>
      </c>
      <c r="J376" t="s">
        <v>36</v>
      </c>
      <c r="K376" t="s">
        <v>37</v>
      </c>
      <c r="L376" t="s">
        <v>38</v>
      </c>
      <c r="M376" t="s">
        <v>119</v>
      </c>
      <c r="N376" t="s">
        <v>119</v>
      </c>
      <c r="O376">
        <v>4</v>
      </c>
      <c r="P376">
        <v>8540</v>
      </c>
      <c r="Q376">
        <v>0.05</v>
      </c>
      <c r="R376">
        <v>5350</v>
      </c>
      <c r="S376" t="s">
        <v>151</v>
      </c>
      <c r="T376" t="s">
        <v>30</v>
      </c>
      <c r="U376">
        <v>3</v>
      </c>
      <c r="V376" t="s">
        <v>31</v>
      </c>
      <c r="W376">
        <f>excelsalesdata[[#This Row],[Quantity]]*excelsalesdata[[#This Row],[Unit_Price]]</f>
        <v>34160</v>
      </c>
      <c r="X376">
        <f>excelsalesdata[[#This Row],[Gross_sales]]*excelsalesdata[[#This Row],[Discount_%]]</f>
        <v>1708</v>
      </c>
      <c r="Y376">
        <f>excelsalesdata[[#This Row],[Gross_sales]]-excelsalesdata[[#This Row],[Discount_amt]]</f>
        <v>32452</v>
      </c>
      <c r="Z376" s="4">
        <f>excelsalesdata[[#This Row],[Net_sales]]-excelsalesdata[[#This Row],[Cost]]</f>
        <v>27102</v>
      </c>
      <c r="AA376" s="5">
        <f>excelsalesdata[[#This Row],[Profit]]/excelsalesdata[[#This Row],[Net_sales]]</f>
        <v>0.83514113151731784</v>
      </c>
      <c r="AB376" s="4">
        <f>YEAR(excelsalesdata[[#This Row],[Order_Date]])</f>
        <v>2026</v>
      </c>
      <c r="AC376" s="4" t="str">
        <f>TEXT(excelsalesdata[[#This Row],[Order_Date]],"mmm")</f>
        <v>Apr</v>
      </c>
      <c r="AD376" s="4" t="str">
        <f>"Q"&amp;ROUNDUP(MONTH(excelsalesdata[[#This Row],[Order_Date]])/3,0)</f>
        <v>Q2</v>
      </c>
    </row>
    <row r="377" spans="1:30" x14ac:dyDescent="0.35">
      <c r="A377" t="s">
        <v>931</v>
      </c>
      <c r="B377" s="3">
        <v>46135</v>
      </c>
      <c r="C377" t="s">
        <v>932</v>
      </c>
      <c r="D377" t="s">
        <v>502</v>
      </c>
      <c r="E377" t="str">
        <f>TRIM(excelsalesdata[[#This Row],[Customer_Name]])</f>
        <v>Diya Joshi</v>
      </c>
      <c r="F377" t="s">
        <v>44</v>
      </c>
      <c r="G377">
        <v>39</v>
      </c>
      <c r="H377" t="s">
        <v>133</v>
      </c>
      <c r="I377" t="str">
        <f>TRIM(excelsalesdata[[#This Row],[City]])</f>
        <v>Jaipur</v>
      </c>
      <c r="J377" t="s">
        <v>134</v>
      </c>
      <c r="K377" t="s">
        <v>61</v>
      </c>
      <c r="L377" t="s">
        <v>85</v>
      </c>
      <c r="M377" t="s">
        <v>86</v>
      </c>
      <c r="N377" t="s">
        <v>86</v>
      </c>
      <c r="O377">
        <v>1</v>
      </c>
      <c r="P377">
        <v>2350</v>
      </c>
      <c r="Q377">
        <v>0.15</v>
      </c>
      <c r="R377">
        <v>1450</v>
      </c>
      <c r="S377" t="s">
        <v>80</v>
      </c>
      <c r="T377" t="s">
        <v>30</v>
      </c>
      <c r="U377">
        <v>1</v>
      </c>
      <c r="V377" t="s">
        <v>31</v>
      </c>
      <c r="W377">
        <f>excelsalesdata[[#This Row],[Quantity]]*excelsalesdata[[#This Row],[Unit_Price]]</f>
        <v>2350</v>
      </c>
      <c r="X377">
        <f>excelsalesdata[[#This Row],[Gross_sales]]*excelsalesdata[[#This Row],[Discount_%]]</f>
        <v>352.5</v>
      </c>
      <c r="Y377">
        <f>excelsalesdata[[#This Row],[Gross_sales]]-excelsalesdata[[#This Row],[Discount_amt]]</f>
        <v>1997.5</v>
      </c>
      <c r="Z377" s="4">
        <f>excelsalesdata[[#This Row],[Net_sales]]-excelsalesdata[[#This Row],[Cost]]</f>
        <v>547.5</v>
      </c>
      <c r="AA377" s="5">
        <f>excelsalesdata[[#This Row],[Profit]]/excelsalesdata[[#This Row],[Net_sales]]</f>
        <v>0.27409261576971217</v>
      </c>
      <c r="AB377" s="4">
        <f>YEAR(excelsalesdata[[#This Row],[Order_Date]])</f>
        <v>2026</v>
      </c>
      <c r="AC377" s="4" t="str">
        <f>TEXT(excelsalesdata[[#This Row],[Order_Date]],"mmm")</f>
        <v>Apr</v>
      </c>
      <c r="AD377" s="4" t="str">
        <f>"Q"&amp;ROUNDUP(MONTH(excelsalesdata[[#This Row],[Order_Date]])/3,0)</f>
        <v>Q2</v>
      </c>
    </row>
    <row r="378" spans="1:30" x14ac:dyDescent="0.35">
      <c r="A378" t="s">
        <v>934</v>
      </c>
      <c r="B378" s="3">
        <v>46136</v>
      </c>
      <c r="C378" t="s">
        <v>537</v>
      </c>
      <c r="D378" t="s">
        <v>588</v>
      </c>
      <c r="E378" t="str">
        <f>TRIM(excelsalesdata[[#This Row],[Customer_Name]])</f>
        <v>Karan Rao</v>
      </c>
      <c r="F378" t="s">
        <v>44</v>
      </c>
      <c r="G378">
        <v>53</v>
      </c>
      <c r="H378" t="s">
        <v>168</v>
      </c>
      <c r="I378" t="str">
        <f>TRIM(excelsalesdata[[#This Row],[City]])</f>
        <v>Delhi</v>
      </c>
      <c r="J378" t="s">
        <v>168</v>
      </c>
      <c r="K378" t="s">
        <v>61</v>
      </c>
      <c r="L378" t="s">
        <v>103</v>
      </c>
      <c r="M378" t="s">
        <v>104</v>
      </c>
      <c r="N378" t="s">
        <v>104</v>
      </c>
      <c r="O378">
        <v>1</v>
      </c>
      <c r="P378">
        <v>8410</v>
      </c>
      <c r="Q378">
        <v>0.15</v>
      </c>
      <c r="R378">
        <v>5570</v>
      </c>
      <c r="S378" t="s">
        <v>29</v>
      </c>
      <c r="T378" t="s">
        <v>30</v>
      </c>
      <c r="U378">
        <v>3</v>
      </c>
      <c r="V378" t="s">
        <v>40</v>
      </c>
      <c r="W378">
        <f>excelsalesdata[[#This Row],[Quantity]]*excelsalesdata[[#This Row],[Unit_Price]]</f>
        <v>8410</v>
      </c>
      <c r="X378">
        <f>excelsalesdata[[#This Row],[Gross_sales]]*excelsalesdata[[#This Row],[Discount_%]]</f>
        <v>1261.5</v>
      </c>
      <c r="Y378">
        <f>excelsalesdata[[#This Row],[Gross_sales]]-excelsalesdata[[#This Row],[Discount_amt]]</f>
        <v>7148.5</v>
      </c>
      <c r="Z378" s="4">
        <f>excelsalesdata[[#This Row],[Net_sales]]-excelsalesdata[[#This Row],[Cost]]</f>
        <v>1578.5</v>
      </c>
      <c r="AA378" s="5">
        <f>excelsalesdata[[#This Row],[Profit]]/excelsalesdata[[#This Row],[Net_sales]]</f>
        <v>0.22081555571098832</v>
      </c>
      <c r="AB378" s="4">
        <f>YEAR(excelsalesdata[[#This Row],[Order_Date]])</f>
        <v>2026</v>
      </c>
      <c r="AC378" s="4" t="str">
        <f>TEXT(excelsalesdata[[#This Row],[Order_Date]],"mmm")</f>
        <v>Apr</v>
      </c>
      <c r="AD378" s="4" t="str">
        <f>"Q"&amp;ROUNDUP(MONTH(excelsalesdata[[#This Row],[Order_Date]])/3,0)</f>
        <v>Q2</v>
      </c>
    </row>
    <row r="379" spans="1:30" x14ac:dyDescent="0.35">
      <c r="A379" t="s">
        <v>935</v>
      </c>
      <c r="B379" s="3">
        <v>46137</v>
      </c>
      <c r="C379" t="s">
        <v>730</v>
      </c>
      <c r="D379" t="s">
        <v>937</v>
      </c>
      <c r="E379" t="str">
        <f>TRIM(excelsalesdata[[#This Row],[Customer_Name]])</f>
        <v>Vikram Singh</v>
      </c>
      <c r="F379" t="s">
        <v>44</v>
      </c>
      <c r="G379">
        <v>43</v>
      </c>
      <c r="H379" t="s">
        <v>98</v>
      </c>
      <c r="I379" t="str">
        <f>TRIM(excelsalesdata[[#This Row],[City]])</f>
        <v>Mumbai</v>
      </c>
      <c r="J379" t="s">
        <v>25</v>
      </c>
      <c r="K379" t="s">
        <v>26</v>
      </c>
      <c r="L379" t="s">
        <v>103</v>
      </c>
      <c r="M379" t="s">
        <v>347</v>
      </c>
      <c r="N379" t="s">
        <v>347</v>
      </c>
      <c r="O379">
        <v>2</v>
      </c>
      <c r="P379">
        <v>11690</v>
      </c>
      <c r="Q379">
        <v>0.25</v>
      </c>
      <c r="R379">
        <v>7800</v>
      </c>
      <c r="S379" t="s">
        <v>105</v>
      </c>
      <c r="T379" t="s">
        <v>30</v>
      </c>
      <c r="U379">
        <v>3</v>
      </c>
      <c r="V379" t="s">
        <v>40</v>
      </c>
      <c r="W379">
        <f>excelsalesdata[[#This Row],[Quantity]]*excelsalesdata[[#This Row],[Unit_Price]]</f>
        <v>23380</v>
      </c>
      <c r="X379">
        <f>excelsalesdata[[#This Row],[Gross_sales]]*excelsalesdata[[#This Row],[Discount_%]]</f>
        <v>5845</v>
      </c>
      <c r="Y379">
        <f>excelsalesdata[[#This Row],[Gross_sales]]-excelsalesdata[[#This Row],[Discount_amt]]</f>
        <v>17535</v>
      </c>
      <c r="Z379" s="4">
        <f>excelsalesdata[[#This Row],[Net_sales]]-excelsalesdata[[#This Row],[Cost]]</f>
        <v>9735</v>
      </c>
      <c r="AA379" s="5">
        <f>excelsalesdata[[#This Row],[Profit]]/excelsalesdata[[#This Row],[Net_sales]]</f>
        <v>0.55517536355859709</v>
      </c>
      <c r="AB379" s="4">
        <f>YEAR(excelsalesdata[[#This Row],[Order_Date]])</f>
        <v>2026</v>
      </c>
      <c r="AC379" s="4" t="str">
        <f>TEXT(excelsalesdata[[#This Row],[Order_Date]],"mmm")</f>
        <v>Apr</v>
      </c>
      <c r="AD379" s="4" t="str">
        <f>"Q"&amp;ROUNDUP(MONTH(excelsalesdata[[#This Row],[Order_Date]])/3,0)</f>
        <v>Q2</v>
      </c>
    </row>
    <row r="380" spans="1:30" x14ac:dyDescent="0.35">
      <c r="A380" t="s">
        <v>936</v>
      </c>
      <c r="B380" s="3">
        <v>46138</v>
      </c>
      <c r="C380" t="s">
        <v>698</v>
      </c>
      <c r="D380" t="s">
        <v>792</v>
      </c>
      <c r="E380" t="str">
        <f>TRIM(excelsalesdata[[#This Row],[Customer_Name]])</f>
        <v>Nisha Das</v>
      </c>
      <c r="F380" t="s">
        <v>44</v>
      </c>
      <c r="G380">
        <v>38</v>
      </c>
      <c r="H380" t="s">
        <v>133</v>
      </c>
      <c r="I380" t="str">
        <f>TRIM(excelsalesdata[[#This Row],[City]])</f>
        <v>Jaipur</v>
      </c>
      <c r="J380" t="s">
        <v>134</v>
      </c>
      <c r="K380" t="s">
        <v>61</v>
      </c>
      <c r="L380" t="s">
        <v>54</v>
      </c>
      <c r="M380" t="s">
        <v>129</v>
      </c>
      <c r="N380" t="s">
        <v>129</v>
      </c>
      <c r="O380">
        <v>1</v>
      </c>
      <c r="P380">
        <v>16780</v>
      </c>
      <c r="Q380">
        <v>0</v>
      </c>
      <c r="R380">
        <v>12920</v>
      </c>
      <c r="S380" t="s">
        <v>29</v>
      </c>
      <c r="T380" t="s">
        <v>30</v>
      </c>
      <c r="U380">
        <v>3</v>
      </c>
      <c r="V380" t="s">
        <v>40</v>
      </c>
      <c r="W380">
        <f>excelsalesdata[[#This Row],[Quantity]]*excelsalesdata[[#This Row],[Unit_Price]]</f>
        <v>16780</v>
      </c>
      <c r="X380">
        <f>excelsalesdata[[#This Row],[Gross_sales]]*excelsalesdata[[#This Row],[Discount_%]]</f>
        <v>0</v>
      </c>
      <c r="Y380">
        <f>excelsalesdata[[#This Row],[Gross_sales]]-excelsalesdata[[#This Row],[Discount_amt]]</f>
        <v>16780</v>
      </c>
      <c r="Z380" s="4">
        <f>excelsalesdata[[#This Row],[Net_sales]]-excelsalesdata[[#This Row],[Cost]]</f>
        <v>3860</v>
      </c>
      <c r="AA380" s="5">
        <f>excelsalesdata[[#This Row],[Profit]]/excelsalesdata[[#This Row],[Net_sales]]</f>
        <v>0.23003575685339689</v>
      </c>
      <c r="AB380" s="4">
        <f>YEAR(excelsalesdata[[#This Row],[Order_Date]])</f>
        <v>2026</v>
      </c>
      <c r="AC380" s="4" t="str">
        <f>TEXT(excelsalesdata[[#This Row],[Order_Date]],"mmm")</f>
        <v>Apr</v>
      </c>
      <c r="AD380" s="4" t="str">
        <f>"Q"&amp;ROUNDUP(MONTH(excelsalesdata[[#This Row],[Order_Date]])/3,0)</f>
        <v>Q2</v>
      </c>
    </row>
    <row r="381" spans="1:30" x14ac:dyDescent="0.35">
      <c r="A381" t="s">
        <v>938</v>
      </c>
      <c r="B381" s="3">
        <v>46139</v>
      </c>
      <c r="C381" t="s">
        <v>932</v>
      </c>
      <c r="D381" t="s">
        <v>685</v>
      </c>
      <c r="E381" t="str">
        <f>TRIM(excelsalesdata[[#This Row],[Customer_Name]])</f>
        <v>Arjun Reddy</v>
      </c>
      <c r="F381" t="s">
        <v>23</v>
      </c>
      <c r="G381">
        <v>28</v>
      </c>
      <c r="H381" t="s">
        <v>24</v>
      </c>
      <c r="I381" t="str">
        <f>TRIM(excelsalesdata[[#This Row],[City]])</f>
        <v>Pune</v>
      </c>
      <c r="J381" t="s">
        <v>25</v>
      </c>
      <c r="K381" t="s">
        <v>26</v>
      </c>
      <c r="L381" t="s">
        <v>54</v>
      </c>
      <c r="M381" t="s">
        <v>55</v>
      </c>
      <c r="N381" t="s">
        <v>55</v>
      </c>
      <c r="O381">
        <v>1</v>
      </c>
      <c r="P381">
        <v>6870</v>
      </c>
      <c r="Q381">
        <v>0.15</v>
      </c>
      <c r="R381">
        <v>4520</v>
      </c>
      <c r="S381" t="s">
        <v>67</v>
      </c>
      <c r="T381" t="s">
        <v>30</v>
      </c>
      <c r="U381">
        <v>2</v>
      </c>
      <c r="V381" t="s">
        <v>31</v>
      </c>
      <c r="W381">
        <f>excelsalesdata[[#This Row],[Quantity]]*excelsalesdata[[#This Row],[Unit_Price]]</f>
        <v>6870</v>
      </c>
      <c r="X381">
        <f>excelsalesdata[[#This Row],[Gross_sales]]*excelsalesdata[[#This Row],[Discount_%]]</f>
        <v>1030.5</v>
      </c>
      <c r="Y381">
        <f>excelsalesdata[[#This Row],[Gross_sales]]-excelsalesdata[[#This Row],[Discount_amt]]</f>
        <v>5839.5</v>
      </c>
      <c r="Z381" s="4">
        <f>excelsalesdata[[#This Row],[Net_sales]]-excelsalesdata[[#This Row],[Cost]]</f>
        <v>1319.5</v>
      </c>
      <c r="AA381" s="5">
        <f>excelsalesdata[[#This Row],[Profit]]/excelsalesdata[[#This Row],[Net_sales]]</f>
        <v>0.22596112680880212</v>
      </c>
      <c r="AB381" s="4">
        <f>YEAR(excelsalesdata[[#This Row],[Order_Date]])</f>
        <v>2026</v>
      </c>
      <c r="AC381" s="4" t="str">
        <f>TEXT(excelsalesdata[[#This Row],[Order_Date]],"mmm")</f>
        <v>Apr</v>
      </c>
      <c r="AD381" s="4" t="str">
        <f>"Q"&amp;ROUNDUP(MONTH(excelsalesdata[[#This Row],[Order_Date]])/3,0)</f>
        <v>Q2</v>
      </c>
    </row>
    <row r="382" spans="1:30" x14ac:dyDescent="0.35">
      <c r="A382" t="s">
        <v>939</v>
      </c>
      <c r="B382" s="3">
        <v>46140</v>
      </c>
      <c r="C382" t="s">
        <v>940</v>
      </c>
      <c r="D382" t="s">
        <v>534</v>
      </c>
      <c r="E382" t="str">
        <f>TRIM(excelsalesdata[[#This Row],[Customer_Name]])</f>
        <v>Ananya Kumar</v>
      </c>
      <c r="F382" t="s">
        <v>23</v>
      </c>
      <c r="G382">
        <v>35</v>
      </c>
      <c r="H382" t="s">
        <v>71</v>
      </c>
      <c r="I382" t="str">
        <f>TRIM(excelsalesdata[[#This Row],[City]])</f>
        <v>Bhubaneswar</v>
      </c>
      <c r="J382" t="s">
        <v>72</v>
      </c>
      <c r="K382" t="s">
        <v>37</v>
      </c>
      <c r="L382" t="s">
        <v>38</v>
      </c>
      <c r="M382" t="s">
        <v>255</v>
      </c>
      <c r="N382" t="s">
        <v>255</v>
      </c>
      <c r="O382">
        <v>3</v>
      </c>
      <c r="P382">
        <v>4310</v>
      </c>
      <c r="Q382">
        <v>0.1</v>
      </c>
      <c r="R382">
        <v>3040</v>
      </c>
      <c r="S382" t="s">
        <v>67</v>
      </c>
      <c r="T382" t="s">
        <v>30</v>
      </c>
      <c r="U382">
        <v>4</v>
      </c>
      <c r="V382" t="s">
        <v>40</v>
      </c>
      <c r="W382">
        <f>excelsalesdata[[#This Row],[Quantity]]*excelsalesdata[[#This Row],[Unit_Price]]</f>
        <v>12930</v>
      </c>
      <c r="X382">
        <f>excelsalesdata[[#This Row],[Gross_sales]]*excelsalesdata[[#This Row],[Discount_%]]</f>
        <v>1293</v>
      </c>
      <c r="Y382">
        <f>excelsalesdata[[#This Row],[Gross_sales]]-excelsalesdata[[#This Row],[Discount_amt]]</f>
        <v>11637</v>
      </c>
      <c r="Z382" s="4">
        <f>excelsalesdata[[#This Row],[Net_sales]]-excelsalesdata[[#This Row],[Cost]]</f>
        <v>8597</v>
      </c>
      <c r="AA382" s="5">
        <f>excelsalesdata[[#This Row],[Profit]]/excelsalesdata[[#This Row],[Net_sales]]</f>
        <v>0.73876428632809144</v>
      </c>
      <c r="AB382" s="4">
        <f>YEAR(excelsalesdata[[#This Row],[Order_Date]])</f>
        <v>2026</v>
      </c>
      <c r="AC382" s="4" t="str">
        <f>TEXT(excelsalesdata[[#This Row],[Order_Date]],"mmm")</f>
        <v>Apr</v>
      </c>
      <c r="AD382" s="4" t="str">
        <f>"Q"&amp;ROUNDUP(MONTH(excelsalesdata[[#This Row],[Order_Date]])/3,0)</f>
        <v>Q2</v>
      </c>
    </row>
    <row r="383" spans="1:30" x14ac:dyDescent="0.35">
      <c r="A383" t="s">
        <v>941</v>
      </c>
      <c r="B383" s="3">
        <v>46141</v>
      </c>
      <c r="C383" t="s">
        <v>942</v>
      </c>
      <c r="D383" t="s">
        <v>944</v>
      </c>
      <c r="E383" t="str">
        <f>TRIM(excelsalesdata[[#This Row],[Customer_Name]])</f>
        <v>Kavya Gupta</v>
      </c>
      <c r="F383" t="s">
        <v>23</v>
      </c>
      <c r="G383">
        <v>35</v>
      </c>
      <c r="H383" t="s">
        <v>45</v>
      </c>
      <c r="I383" t="str">
        <f>TRIM(excelsalesdata[[#This Row],[City]])</f>
        <v>Kochi</v>
      </c>
      <c r="J383" t="s">
        <v>46</v>
      </c>
      <c r="K383" t="s">
        <v>47</v>
      </c>
      <c r="L383" t="s">
        <v>38</v>
      </c>
      <c r="M383" t="s">
        <v>119</v>
      </c>
      <c r="N383" t="s">
        <v>119</v>
      </c>
      <c r="O383">
        <v>3</v>
      </c>
      <c r="P383">
        <v>8200</v>
      </c>
      <c r="Q383">
        <v>0.05</v>
      </c>
      <c r="R383">
        <v>5840</v>
      </c>
      <c r="S383" t="s">
        <v>29</v>
      </c>
      <c r="T383" t="s">
        <v>30</v>
      </c>
      <c r="U383">
        <v>6</v>
      </c>
      <c r="V383" t="s">
        <v>40</v>
      </c>
      <c r="W383">
        <f>excelsalesdata[[#This Row],[Quantity]]*excelsalesdata[[#This Row],[Unit_Price]]</f>
        <v>24600</v>
      </c>
      <c r="X383">
        <f>excelsalesdata[[#This Row],[Gross_sales]]*excelsalesdata[[#This Row],[Discount_%]]</f>
        <v>1230</v>
      </c>
      <c r="Y383">
        <f>excelsalesdata[[#This Row],[Gross_sales]]-excelsalesdata[[#This Row],[Discount_amt]]</f>
        <v>23370</v>
      </c>
      <c r="Z383" s="4">
        <f>excelsalesdata[[#This Row],[Net_sales]]-excelsalesdata[[#This Row],[Cost]]</f>
        <v>17530</v>
      </c>
      <c r="AA383" s="5">
        <f>excelsalesdata[[#This Row],[Profit]]/excelsalesdata[[#This Row],[Net_sales]]</f>
        <v>0.75010697475395804</v>
      </c>
      <c r="AB383" s="4">
        <f>YEAR(excelsalesdata[[#This Row],[Order_Date]])</f>
        <v>2026</v>
      </c>
      <c r="AC383" s="4" t="str">
        <f>TEXT(excelsalesdata[[#This Row],[Order_Date]],"mmm")</f>
        <v>Apr</v>
      </c>
      <c r="AD383" s="4" t="str">
        <f>"Q"&amp;ROUNDUP(MONTH(excelsalesdata[[#This Row],[Order_Date]])/3,0)</f>
        <v>Q2</v>
      </c>
    </row>
    <row r="384" spans="1:30" x14ac:dyDescent="0.35">
      <c r="A384" t="s">
        <v>943</v>
      </c>
      <c r="B384" s="3">
        <v>46142</v>
      </c>
      <c r="C384" t="s">
        <v>240</v>
      </c>
      <c r="D384" t="s">
        <v>658</v>
      </c>
      <c r="E384" t="str">
        <f>TRIM(excelsalesdata[[#This Row],[Customer_Name]])</f>
        <v>Vikram Mehta</v>
      </c>
      <c r="F384" t="s">
        <v>44</v>
      </c>
      <c r="G384">
        <v>46</v>
      </c>
      <c r="H384" t="s">
        <v>114</v>
      </c>
      <c r="I384" t="str">
        <f>TRIM(excelsalesdata[[#This Row],[City]])</f>
        <v>Hyderabad</v>
      </c>
      <c r="J384" t="s">
        <v>115</v>
      </c>
      <c r="K384" t="s">
        <v>47</v>
      </c>
      <c r="L384" t="s">
        <v>103</v>
      </c>
      <c r="M384" t="s">
        <v>178</v>
      </c>
      <c r="N384" t="s">
        <v>178</v>
      </c>
      <c r="O384">
        <v>1</v>
      </c>
      <c r="P384">
        <v>1870</v>
      </c>
      <c r="Q384">
        <v>0.2</v>
      </c>
      <c r="R384">
        <v>970</v>
      </c>
      <c r="S384" t="s">
        <v>80</v>
      </c>
      <c r="T384" t="s">
        <v>74</v>
      </c>
      <c r="U384">
        <v>4</v>
      </c>
      <c r="V384" t="s">
        <v>31</v>
      </c>
      <c r="W384">
        <f>excelsalesdata[[#This Row],[Quantity]]*excelsalesdata[[#This Row],[Unit_Price]]</f>
        <v>1870</v>
      </c>
      <c r="X384">
        <f>excelsalesdata[[#This Row],[Gross_sales]]*excelsalesdata[[#This Row],[Discount_%]]</f>
        <v>374</v>
      </c>
      <c r="Y384">
        <f>excelsalesdata[[#This Row],[Gross_sales]]-excelsalesdata[[#This Row],[Discount_amt]]</f>
        <v>1496</v>
      </c>
      <c r="Z384" s="4">
        <f>excelsalesdata[[#This Row],[Net_sales]]-excelsalesdata[[#This Row],[Cost]]</f>
        <v>526</v>
      </c>
      <c r="AA384" s="5">
        <f>excelsalesdata[[#This Row],[Profit]]/excelsalesdata[[#This Row],[Net_sales]]</f>
        <v>0.35160427807486633</v>
      </c>
      <c r="AB384" s="4">
        <f>YEAR(excelsalesdata[[#This Row],[Order_Date]])</f>
        <v>2026</v>
      </c>
      <c r="AC384" s="4" t="str">
        <f>TEXT(excelsalesdata[[#This Row],[Order_Date]],"mmm")</f>
        <v>Apr</v>
      </c>
      <c r="AD384" s="4" t="str">
        <f>"Q"&amp;ROUNDUP(MONTH(excelsalesdata[[#This Row],[Order_Date]])/3,0)</f>
        <v>Q2</v>
      </c>
    </row>
    <row r="385" spans="1:30" x14ac:dyDescent="0.35">
      <c r="A385" t="s">
        <v>945</v>
      </c>
      <c r="B385" s="3">
        <v>46143</v>
      </c>
      <c r="C385" t="s">
        <v>946</v>
      </c>
      <c r="D385" t="s">
        <v>150</v>
      </c>
      <c r="E385" t="str">
        <f>TRIM(excelsalesdata[[#This Row],[Customer_Name]])</f>
        <v>Nisha Reddy</v>
      </c>
      <c r="F385" t="s">
        <v>44</v>
      </c>
      <c r="G385">
        <v>57</v>
      </c>
      <c r="H385" t="s">
        <v>71</v>
      </c>
      <c r="I385" t="str">
        <f>TRIM(excelsalesdata[[#This Row],[City]])</f>
        <v>Bhubaneswar</v>
      </c>
      <c r="J385" t="s">
        <v>72</v>
      </c>
      <c r="K385" t="s">
        <v>37</v>
      </c>
      <c r="L385" t="s">
        <v>103</v>
      </c>
      <c r="M385" t="s">
        <v>347</v>
      </c>
      <c r="N385" t="s">
        <v>347</v>
      </c>
      <c r="O385">
        <v>2</v>
      </c>
      <c r="P385">
        <v>11410</v>
      </c>
      <c r="Q385">
        <v>0.15</v>
      </c>
      <c r="R385">
        <v>8010</v>
      </c>
      <c r="S385" t="s">
        <v>80</v>
      </c>
      <c r="T385" t="s">
        <v>74</v>
      </c>
      <c r="U385">
        <v>3</v>
      </c>
      <c r="V385" t="s">
        <v>31</v>
      </c>
      <c r="W385">
        <f>excelsalesdata[[#This Row],[Quantity]]*excelsalesdata[[#This Row],[Unit_Price]]</f>
        <v>22820</v>
      </c>
      <c r="X385">
        <f>excelsalesdata[[#This Row],[Gross_sales]]*excelsalesdata[[#This Row],[Discount_%]]</f>
        <v>3423</v>
      </c>
      <c r="Y385">
        <f>excelsalesdata[[#This Row],[Gross_sales]]-excelsalesdata[[#This Row],[Discount_amt]]</f>
        <v>19397</v>
      </c>
      <c r="Z385" s="4">
        <f>excelsalesdata[[#This Row],[Net_sales]]-excelsalesdata[[#This Row],[Cost]]</f>
        <v>11387</v>
      </c>
      <c r="AA385" s="5">
        <f>excelsalesdata[[#This Row],[Profit]]/excelsalesdata[[#This Row],[Net_sales]]</f>
        <v>0.58704954374387797</v>
      </c>
      <c r="AB385" s="4">
        <f>YEAR(excelsalesdata[[#This Row],[Order_Date]])</f>
        <v>2026</v>
      </c>
      <c r="AC385" s="4" t="str">
        <f>TEXT(excelsalesdata[[#This Row],[Order_Date]],"mmm")</f>
        <v>May</v>
      </c>
      <c r="AD385" s="4" t="str">
        <f>"Q"&amp;ROUNDUP(MONTH(excelsalesdata[[#This Row],[Order_Date]])/3,0)</f>
        <v>Q2</v>
      </c>
    </row>
    <row r="386" spans="1:30" x14ac:dyDescent="0.35">
      <c r="A386" t="s">
        <v>947</v>
      </c>
      <c r="B386" s="3">
        <v>46144</v>
      </c>
      <c r="C386" t="s">
        <v>741</v>
      </c>
      <c r="D386" t="s">
        <v>466</v>
      </c>
      <c r="E386" t="str">
        <f>TRIM(excelsalesdata[[#This Row],[Customer_Name]])</f>
        <v>Ishita Bhat</v>
      </c>
      <c r="F386" t="s">
        <v>44</v>
      </c>
      <c r="G386">
        <v>53</v>
      </c>
      <c r="H386" t="s">
        <v>45</v>
      </c>
      <c r="I386" t="str">
        <f>TRIM(excelsalesdata[[#This Row],[City]])</f>
        <v>Kochi</v>
      </c>
      <c r="J386" t="s">
        <v>46</v>
      </c>
      <c r="K386" t="s">
        <v>47</v>
      </c>
      <c r="L386" t="s">
        <v>38</v>
      </c>
      <c r="M386" t="s">
        <v>161</v>
      </c>
      <c r="N386" t="s">
        <v>161</v>
      </c>
      <c r="O386">
        <v>1</v>
      </c>
      <c r="P386">
        <v>28520</v>
      </c>
      <c r="Q386">
        <v>0</v>
      </c>
      <c r="R386">
        <v>20140</v>
      </c>
      <c r="S386" t="s">
        <v>80</v>
      </c>
      <c r="T386" t="s">
        <v>30</v>
      </c>
      <c r="U386">
        <v>8</v>
      </c>
      <c r="V386" t="s">
        <v>31</v>
      </c>
      <c r="W386">
        <f>excelsalesdata[[#This Row],[Quantity]]*excelsalesdata[[#This Row],[Unit_Price]]</f>
        <v>28520</v>
      </c>
      <c r="X386">
        <f>excelsalesdata[[#This Row],[Gross_sales]]*excelsalesdata[[#This Row],[Discount_%]]</f>
        <v>0</v>
      </c>
      <c r="Y386">
        <f>excelsalesdata[[#This Row],[Gross_sales]]-excelsalesdata[[#This Row],[Discount_amt]]</f>
        <v>28520</v>
      </c>
      <c r="Z386" s="4">
        <f>excelsalesdata[[#This Row],[Net_sales]]-excelsalesdata[[#This Row],[Cost]]</f>
        <v>8380</v>
      </c>
      <c r="AA386" s="5">
        <f>excelsalesdata[[#This Row],[Profit]]/excelsalesdata[[#This Row],[Net_sales]]</f>
        <v>0.29382889200561008</v>
      </c>
      <c r="AB386" s="4">
        <f>YEAR(excelsalesdata[[#This Row],[Order_Date]])</f>
        <v>2026</v>
      </c>
      <c r="AC386" s="4" t="str">
        <f>TEXT(excelsalesdata[[#This Row],[Order_Date]],"mmm")</f>
        <v>May</v>
      </c>
      <c r="AD386" s="4" t="str">
        <f>"Q"&amp;ROUNDUP(MONTH(excelsalesdata[[#This Row],[Order_Date]])/3,0)</f>
        <v>Q2</v>
      </c>
    </row>
    <row r="387" spans="1:30" x14ac:dyDescent="0.35">
      <c r="A387" t="s">
        <v>948</v>
      </c>
      <c r="B387" s="3">
        <v>46145</v>
      </c>
      <c r="C387" t="s">
        <v>949</v>
      </c>
      <c r="D387" t="s">
        <v>490</v>
      </c>
      <c r="E387" t="str">
        <f>TRIM(excelsalesdata[[#This Row],[Customer_Name]])</f>
        <v>Aditya Singh</v>
      </c>
      <c r="F387" t="s">
        <v>44</v>
      </c>
      <c r="G387">
        <v>21</v>
      </c>
      <c r="H387" t="s">
        <v>190</v>
      </c>
      <c r="I387" t="str">
        <f>TRIM(excelsalesdata[[#This Row],[City]])</f>
        <v>Ahmedabad</v>
      </c>
      <c r="J387" t="s">
        <v>191</v>
      </c>
      <c r="K387" t="s">
        <v>26</v>
      </c>
      <c r="L387" t="s">
        <v>27</v>
      </c>
      <c r="M387" t="s">
        <v>123</v>
      </c>
      <c r="N387" t="s">
        <v>123</v>
      </c>
      <c r="O387">
        <v>1</v>
      </c>
      <c r="P387">
        <v>2580</v>
      </c>
      <c r="Q387">
        <v>0.1</v>
      </c>
      <c r="R387">
        <v>1570</v>
      </c>
      <c r="S387" t="s">
        <v>29</v>
      </c>
      <c r="T387" t="s">
        <v>30</v>
      </c>
      <c r="U387">
        <v>3</v>
      </c>
      <c r="V387" t="s">
        <v>40</v>
      </c>
      <c r="W387">
        <f>excelsalesdata[[#This Row],[Quantity]]*excelsalesdata[[#This Row],[Unit_Price]]</f>
        <v>2580</v>
      </c>
      <c r="X387">
        <f>excelsalesdata[[#This Row],[Gross_sales]]*excelsalesdata[[#This Row],[Discount_%]]</f>
        <v>258</v>
      </c>
      <c r="Y387">
        <f>excelsalesdata[[#This Row],[Gross_sales]]-excelsalesdata[[#This Row],[Discount_amt]]</f>
        <v>2322</v>
      </c>
      <c r="Z387" s="4">
        <f>excelsalesdata[[#This Row],[Net_sales]]-excelsalesdata[[#This Row],[Cost]]</f>
        <v>752</v>
      </c>
      <c r="AA387" s="5">
        <f>excelsalesdata[[#This Row],[Profit]]/excelsalesdata[[#This Row],[Net_sales]]</f>
        <v>0.32385874246339363</v>
      </c>
      <c r="AB387" s="4">
        <f>YEAR(excelsalesdata[[#This Row],[Order_Date]])</f>
        <v>2026</v>
      </c>
      <c r="AC387" s="4" t="str">
        <f>TEXT(excelsalesdata[[#This Row],[Order_Date]],"mmm")</f>
        <v>May</v>
      </c>
      <c r="AD387" s="4" t="str">
        <f>"Q"&amp;ROUNDUP(MONTH(excelsalesdata[[#This Row],[Order_Date]])/3,0)</f>
        <v>Q2</v>
      </c>
    </row>
    <row r="388" spans="1:30" x14ac:dyDescent="0.35">
      <c r="A388" t="s">
        <v>950</v>
      </c>
      <c r="B388" s="3">
        <v>46146</v>
      </c>
      <c r="C388" t="s">
        <v>951</v>
      </c>
      <c r="D388" t="s">
        <v>954</v>
      </c>
      <c r="E388" t="str">
        <f>TRIM(excelsalesdata[[#This Row],[Customer_Name]])</f>
        <v>Ishita Nair</v>
      </c>
      <c r="F388" t="s">
        <v>23</v>
      </c>
      <c r="G388">
        <v>51</v>
      </c>
      <c r="H388" t="s">
        <v>35</v>
      </c>
      <c r="I388" t="str">
        <f>TRIM(excelsalesdata[[#This Row],[City]])</f>
        <v>Kolkata</v>
      </c>
      <c r="J388" t="s">
        <v>36</v>
      </c>
      <c r="K388" t="s">
        <v>37</v>
      </c>
      <c r="L388" t="s">
        <v>27</v>
      </c>
      <c r="M388" t="s">
        <v>123</v>
      </c>
      <c r="N388" t="s">
        <v>123</v>
      </c>
      <c r="O388">
        <v>2</v>
      </c>
      <c r="P388">
        <v>2740</v>
      </c>
      <c r="Q388">
        <v>0.25</v>
      </c>
      <c r="R388">
        <v>1560</v>
      </c>
      <c r="S388" t="s">
        <v>80</v>
      </c>
      <c r="T388" t="s">
        <v>30</v>
      </c>
      <c r="U388">
        <v>5</v>
      </c>
      <c r="V388" t="s">
        <v>31</v>
      </c>
      <c r="W388">
        <f>excelsalesdata[[#This Row],[Quantity]]*excelsalesdata[[#This Row],[Unit_Price]]</f>
        <v>5480</v>
      </c>
      <c r="X388">
        <f>excelsalesdata[[#This Row],[Gross_sales]]*excelsalesdata[[#This Row],[Discount_%]]</f>
        <v>1370</v>
      </c>
      <c r="Y388">
        <f>excelsalesdata[[#This Row],[Gross_sales]]-excelsalesdata[[#This Row],[Discount_amt]]</f>
        <v>4110</v>
      </c>
      <c r="Z388" s="4">
        <f>excelsalesdata[[#This Row],[Net_sales]]-excelsalesdata[[#This Row],[Cost]]</f>
        <v>2550</v>
      </c>
      <c r="AA388" s="5">
        <f>excelsalesdata[[#This Row],[Profit]]/excelsalesdata[[#This Row],[Net_sales]]</f>
        <v>0.62043795620437958</v>
      </c>
      <c r="AB388" s="4">
        <f>YEAR(excelsalesdata[[#This Row],[Order_Date]])</f>
        <v>2026</v>
      </c>
      <c r="AC388" s="4" t="str">
        <f>TEXT(excelsalesdata[[#This Row],[Order_Date]],"mmm")</f>
        <v>May</v>
      </c>
      <c r="AD388" s="4" t="str">
        <f>"Q"&amp;ROUNDUP(MONTH(excelsalesdata[[#This Row],[Order_Date]])/3,0)</f>
        <v>Q2</v>
      </c>
    </row>
    <row r="389" spans="1:30" x14ac:dyDescent="0.35">
      <c r="A389" t="s">
        <v>952</v>
      </c>
      <c r="B389" s="3">
        <v>46147</v>
      </c>
      <c r="C389" t="s">
        <v>953</v>
      </c>
      <c r="D389" t="s">
        <v>231</v>
      </c>
      <c r="E389" t="str">
        <f>TRIM(excelsalesdata[[#This Row],[Customer_Name]])</f>
        <v>Ananya Verma</v>
      </c>
      <c r="F389" t="s">
        <v>44</v>
      </c>
      <c r="G389">
        <v>32</v>
      </c>
      <c r="H389" t="s">
        <v>45</v>
      </c>
      <c r="I389" t="str">
        <f>TRIM(excelsalesdata[[#This Row],[City]])</f>
        <v>Kochi</v>
      </c>
      <c r="J389" t="s">
        <v>46</v>
      </c>
      <c r="K389" t="s">
        <v>47</v>
      </c>
      <c r="L389" t="s">
        <v>38</v>
      </c>
      <c r="M389" t="s">
        <v>73</v>
      </c>
      <c r="N389" t="s">
        <v>73</v>
      </c>
      <c r="O389">
        <v>1</v>
      </c>
      <c r="P389">
        <v>5360</v>
      </c>
      <c r="Q389">
        <v>0.25</v>
      </c>
      <c r="R389">
        <v>3060</v>
      </c>
      <c r="S389" t="s">
        <v>80</v>
      </c>
      <c r="T389" t="s">
        <v>30</v>
      </c>
      <c r="U389">
        <v>2</v>
      </c>
      <c r="V389" t="s">
        <v>40</v>
      </c>
      <c r="W389">
        <f>excelsalesdata[[#This Row],[Quantity]]*excelsalesdata[[#This Row],[Unit_Price]]</f>
        <v>5360</v>
      </c>
      <c r="X389">
        <f>excelsalesdata[[#This Row],[Gross_sales]]*excelsalesdata[[#This Row],[Discount_%]]</f>
        <v>1340</v>
      </c>
      <c r="Y389">
        <f>excelsalesdata[[#This Row],[Gross_sales]]-excelsalesdata[[#This Row],[Discount_amt]]</f>
        <v>4020</v>
      </c>
      <c r="Z389" s="4">
        <f>excelsalesdata[[#This Row],[Net_sales]]-excelsalesdata[[#This Row],[Cost]]</f>
        <v>960</v>
      </c>
      <c r="AA389" s="5">
        <f>excelsalesdata[[#This Row],[Profit]]/excelsalesdata[[#This Row],[Net_sales]]</f>
        <v>0.23880597014925373</v>
      </c>
      <c r="AB389" s="4">
        <f>YEAR(excelsalesdata[[#This Row],[Order_Date]])</f>
        <v>2026</v>
      </c>
      <c r="AC389" s="4" t="str">
        <f>TEXT(excelsalesdata[[#This Row],[Order_Date]],"mmm")</f>
        <v>May</v>
      </c>
      <c r="AD389" s="4" t="str">
        <f>"Q"&amp;ROUNDUP(MONTH(excelsalesdata[[#This Row],[Order_Date]])/3,0)</f>
        <v>Q2</v>
      </c>
    </row>
    <row r="390" spans="1:30" x14ac:dyDescent="0.35">
      <c r="A390" t="s">
        <v>955</v>
      </c>
      <c r="B390" s="3">
        <v>46148</v>
      </c>
      <c r="C390" t="s">
        <v>696</v>
      </c>
      <c r="D390" t="s">
        <v>219</v>
      </c>
      <c r="E390" t="str">
        <f>TRIM(excelsalesdata[[#This Row],[Customer_Name]])</f>
        <v>Rohan Patel</v>
      </c>
      <c r="F390" t="s">
        <v>23</v>
      </c>
      <c r="G390">
        <v>60</v>
      </c>
      <c r="H390" t="s">
        <v>114</v>
      </c>
      <c r="I390" t="str">
        <f>TRIM(excelsalesdata[[#This Row],[City]])</f>
        <v>Hyderabad</v>
      </c>
      <c r="J390" t="s">
        <v>115</v>
      </c>
      <c r="K390" t="s">
        <v>47</v>
      </c>
      <c r="L390" t="s">
        <v>27</v>
      </c>
      <c r="M390" t="s">
        <v>195</v>
      </c>
      <c r="N390" t="s">
        <v>195</v>
      </c>
      <c r="O390">
        <v>1</v>
      </c>
      <c r="P390">
        <v>2290</v>
      </c>
      <c r="Q390">
        <v>0.1</v>
      </c>
      <c r="R390">
        <v>1210</v>
      </c>
      <c r="S390" t="s">
        <v>80</v>
      </c>
      <c r="T390" t="s">
        <v>30</v>
      </c>
      <c r="U390">
        <v>2</v>
      </c>
      <c r="V390" t="s">
        <v>31</v>
      </c>
      <c r="W390">
        <f>excelsalesdata[[#This Row],[Quantity]]*excelsalesdata[[#This Row],[Unit_Price]]</f>
        <v>2290</v>
      </c>
      <c r="X390">
        <f>excelsalesdata[[#This Row],[Gross_sales]]*excelsalesdata[[#This Row],[Discount_%]]</f>
        <v>229</v>
      </c>
      <c r="Y390">
        <f>excelsalesdata[[#This Row],[Gross_sales]]-excelsalesdata[[#This Row],[Discount_amt]]</f>
        <v>2061</v>
      </c>
      <c r="Z390" s="4">
        <f>excelsalesdata[[#This Row],[Net_sales]]-excelsalesdata[[#This Row],[Cost]]</f>
        <v>851</v>
      </c>
      <c r="AA390" s="5">
        <f>excelsalesdata[[#This Row],[Profit]]/excelsalesdata[[#This Row],[Net_sales]]</f>
        <v>0.41290635613779719</v>
      </c>
      <c r="AB390" s="4">
        <f>YEAR(excelsalesdata[[#This Row],[Order_Date]])</f>
        <v>2026</v>
      </c>
      <c r="AC390" s="4" t="str">
        <f>TEXT(excelsalesdata[[#This Row],[Order_Date]],"mmm")</f>
        <v>May</v>
      </c>
      <c r="AD390" s="4" t="str">
        <f>"Q"&amp;ROUNDUP(MONTH(excelsalesdata[[#This Row],[Order_Date]])/3,0)</f>
        <v>Q2</v>
      </c>
    </row>
    <row r="391" spans="1:30" x14ac:dyDescent="0.35">
      <c r="A391" t="s">
        <v>956</v>
      </c>
      <c r="B391" s="3">
        <v>46149</v>
      </c>
      <c r="C391" t="s">
        <v>361</v>
      </c>
      <c r="D391" t="s">
        <v>534</v>
      </c>
      <c r="E391" t="str">
        <f>TRIM(excelsalesdata[[#This Row],[Customer_Name]])</f>
        <v>Ananya Kumar</v>
      </c>
      <c r="F391" t="s">
        <v>44</v>
      </c>
      <c r="G391">
        <v>56</v>
      </c>
      <c r="H391" t="s">
        <v>168</v>
      </c>
      <c r="I391" t="str">
        <f>TRIM(excelsalesdata[[#This Row],[City]])</f>
        <v>Delhi</v>
      </c>
      <c r="J391" t="s">
        <v>168</v>
      </c>
      <c r="K391" t="s">
        <v>61</v>
      </c>
      <c r="L391" t="s">
        <v>54</v>
      </c>
      <c r="M391" t="s">
        <v>66</v>
      </c>
      <c r="N391" t="s">
        <v>66</v>
      </c>
      <c r="O391">
        <v>1</v>
      </c>
      <c r="P391">
        <v>2530</v>
      </c>
      <c r="Q391">
        <v>0.2</v>
      </c>
      <c r="R391">
        <v>1450</v>
      </c>
      <c r="S391" t="s">
        <v>105</v>
      </c>
      <c r="T391" t="s">
        <v>30</v>
      </c>
      <c r="U391">
        <v>3</v>
      </c>
      <c r="V391" t="s">
        <v>40</v>
      </c>
      <c r="W391">
        <f>excelsalesdata[[#This Row],[Quantity]]*excelsalesdata[[#This Row],[Unit_Price]]</f>
        <v>2530</v>
      </c>
      <c r="X391">
        <f>excelsalesdata[[#This Row],[Gross_sales]]*excelsalesdata[[#This Row],[Discount_%]]</f>
        <v>506</v>
      </c>
      <c r="Y391">
        <f>excelsalesdata[[#This Row],[Gross_sales]]-excelsalesdata[[#This Row],[Discount_amt]]</f>
        <v>2024</v>
      </c>
      <c r="Z391" s="4">
        <f>excelsalesdata[[#This Row],[Net_sales]]-excelsalesdata[[#This Row],[Cost]]</f>
        <v>574</v>
      </c>
      <c r="AA391" s="5">
        <f>excelsalesdata[[#This Row],[Profit]]/excelsalesdata[[#This Row],[Net_sales]]</f>
        <v>0.283596837944664</v>
      </c>
      <c r="AB391" s="4">
        <f>YEAR(excelsalesdata[[#This Row],[Order_Date]])</f>
        <v>2026</v>
      </c>
      <c r="AC391" s="4" t="str">
        <f>TEXT(excelsalesdata[[#This Row],[Order_Date]],"mmm")</f>
        <v>May</v>
      </c>
      <c r="AD391" s="4" t="str">
        <f>"Q"&amp;ROUNDUP(MONTH(excelsalesdata[[#This Row],[Order_Date]])/3,0)</f>
        <v>Q2</v>
      </c>
    </row>
    <row r="392" spans="1:30" x14ac:dyDescent="0.35">
      <c r="A392" t="s">
        <v>957</v>
      </c>
      <c r="B392" s="3">
        <v>46150</v>
      </c>
      <c r="C392" t="s">
        <v>668</v>
      </c>
      <c r="D392" t="s">
        <v>752</v>
      </c>
      <c r="E392" t="str">
        <f>TRIM(excelsalesdata[[#This Row],[Customer_Name]])</f>
        <v>Kavya Mehta</v>
      </c>
      <c r="F392" t="s">
        <v>44</v>
      </c>
      <c r="G392">
        <v>19</v>
      </c>
      <c r="H392" t="s">
        <v>52</v>
      </c>
      <c r="I392" t="str">
        <f>TRIM(excelsalesdata[[#This Row],[City]])</f>
        <v>Bengaluru</v>
      </c>
      <c r="J392" t="s">
        <v>53</v>
      </c>
      <c r="K392" t="s">
        <v>47</v>
      </c>
      <c r="L392" t="s">
        <v>93</v>
      </c>
      <c r="M392" t="s">
        <v>94</v>
      </c>
      <c r="N392" t="s">
        <v>94</v>
      </c>
      <c r="O392">
        <v>2</v>
      </c>
      <c r="P392">
        <v>530</v>
      </c>
      <c r="Q392">
        <v>0.1</v>
      </c>
      <c r="R392">
        <v>230</v>
      </c>
      <c r="S392" t="s">
        <v>80</v>
      </c>
      <c r="T392" t="s">
        <v>30</v>
      </c>
      <c r="U392">
        <v>3</v>
      </c>
      <c r="V392" t="s">
        <v>40</v>
      </c>
      <c r="W392">
        <f>excelsalesdata[[#This Row],[Quantity]]*excelsalesdata[[#This Row],[Unit_Price]]</f>
        <v>1060</v>
      </c>
      <c r="X392">
        <f>excelsalesdata[[#This Row],[Gross_sales]]*excelsalesdata[[#This Row],[Discount_%]]</f>
        <v>106</v>
      </c>
      <c r="Y392">
        <f>excelsalesdata[[#This Row],[Gross_sales]]-excelsalesdata[[#This Row],[Discount_amt]]</f>
        <v>954</v>
      </c>
      <c r="Z392" s="4">
        <f>excelsalesdata[[#This Row],[Net_sales]]-excelsalesdata[[#This Row],[Cost]]</f>
        <v>724</v>
      </c>
      <c r="AA392" s="5">
        <f>excelsalesdata[[#This Row],[Profit]]/excelsalesdata[[#This Row],[Net_sales]]</f>
        <v>0.75890985324947591</v>
      </c>
      <c r="AB392" s="4">
        <f>YEAR(excelsalesdata[[#This Row],[Order_Date]])</f>
        <v>2026</v>
      </c>
      <c r="AC392" s="4" t="str">
        <f>TEXT(excelsalesdata[[#This Row],[Order_Date]],"mmm")</f>
        <v>May</v>
      </c>
      <c r="AD392" s="4" t="str">
        <f>"Q"&amp;ROUNDUP(MONTH(excelsalesdata[[#This Row],[Order_Date]])/3,0)</f>
        <v>Q2</v>
      </c>
    </row>
    <row r="393" spans="1:30" x14ac:dyDescent="0.35">
      <c r="A393" t="s">
        <v>958</v>
      </c>
      <c r="B393" s="3">
        <v>46151</v>
      </c>
      <c r="C393" t="s">
        <v>959</v>
      </c>
      <c r="D393" t="s">
        <v>655</v>
      </c>
      <c r="E393" t="str">
        <f>TRIM(excelsalesdata[[#This Row],[Customer_Name]])</f>
        <v>Arjun Naidu</v>
      </c>
      <c r="F393" t="s">
        <v>44</v>
      </c>
      <c r="G393">
        <v>20</v>
      </c>
      <c r="H393" t="s">
        <v>98</v>
      </c>
      <c r="I393" t="str">
        <f>TRIM(excelsalesdata[[#This Row],[City]])</f>
        <v>Mumbai</v>
      </c>
      <c r="J393" t="s">
        <v>25</v>
      </c>
      <c r="K393" t="s">
        <v>26</v>
      </c>
      <c r="L393" t="s">
        <v>93</v>
      </c>
      <c r="M393" t="s">
        <v>718</v>
      </c>
      <c r="N393" t="s">
        <v>718</v>
      </c>
      <c r="O393">
        <v>3</v>
      </c>
      <c r="P393">
        <v>1790</v>
      </c>
      <c r="Q393">
        <v>0</v>
      </c>
      <c r="R393">
        <v>900</v>
      </c>
      <c r="S393" t="s">
        <v>80</v>
      </c>
      <c r="T393" t="s">
        <v>74</v>
      </c>
      <c r="U393">
        <v>2</v>
      </c>
      <c r="V393" t="s">
        <v>31</v>
      </c>
      <c r="W393">
        <f>excelsalesdata[[#This Row],[Quantity]]*excelsalesdata[[#This Row],[Unit_Price]]</f>
        <v>5370</v>
      </c>
      <c r="X393">
        <f>excelsalesdata[[#This Row],[Gross_sales]]*excelsalesdata[[#This Row],[Discount_%]]</f>
        <v>0</v>
      </c>
      <c r="Y393">
        <f>excelsalesdata[[#This Row],[Gross_sales]]-excelsalesdata[[#This Row],[Discount_amt]]</f>
        <v>5370</v>
      </c>
      <c r="Z393" s="4">
        <f>excelsalesdata[[#This Row],[Net_sales]]-excelsalesdata[[#This Row],[Cost]]</f>
        <v>4470</v>
      </c>
      <c r="AA393" s="5">
        <f>excelsalesdata[[#This Row],[Profit]]/excelsalesdata[[#This Row],[Net_sales]]</f>
        <v>0.83240223463687146</v>
      </c>
      <c r="AB393" s="4">
        <f>YEAR(excelsalesdata[[#This Row],[Order_Date]])</f>
        <v>2026</v>
      </c>
      <c r="AC393" s="4" t="str">
        <f>TEXT(excelsalesdata[[#This Row],[Order_Date]],"mmm")</f>
        <v>May</v>
      </c>
      <c r="AD393" s="4" t="str">
        <f>"Q"&amp;ROUNDUP(MONTH(excelsalesdata[[#This Row],[Order_Date]])/3,0)</f>
        <v>Q2</v>
      </c>
    </row>
    <row r="394" spans="1:30" x14ac:dyDescent="0.35">
      <c r="A394" t="s">
        <v>960</v>
      </c>
      <c r="B394" s="3">
        <v>46152</v>
      </c>
      <c r="C394" t="s">
        <v>961</v>
      </c>
      <c r="D394" t="s">
        <v>546</v>
      </c>
      <c r="E394" t="str">
        <f>TRIM(excelsalesdata[[#This Row],[Customer_Name]])</f>
        <v>Karan Nair</v>
      </c>
      <c r="F394" t="s">
        <v>23</v>
      </c>
      <c r="G394">
        <v>33</v>
      </c>
      <c r="H394" t="s">
        <v>45</v>
      </c>
      <c r="I394" t="str">
        <f>TRIM(excelsalesdata[[#This Row],[City]])</f>
        <v>Kochi</v>
      </c>
      <c r="J394" t="s">
        <v>46</v>
      </c>
      <c r="K394" t="s">
        <v>47</v>
      </c>
      <c r="L394" t="s">
        <v>38</v>
      </c>
      <c r="M394" t="s">
        <v>39</v>
      </c>
      <c r="N394" t="s">
        <v>39</v>
      </c>
      <c r="O394">
        <v>2</v>
      </c>
      <c r="P394">
        <v>6870</v>
      </c>
      <c r="Q394">
        <v>0.05</v>
      </c>
      <c r="R394">
        <v>4070</v>
      </c>
      <c r="S394" t="s">
        <v>29</v>
      </c>
      <c r="T394" t="s">
        <v>30</v>
      </c>
      <c r="U394">
        <v>5</v>
      </c>
      <c r="V394" t="s">
        <v>31</v>
      </c>
      <c r="W394">
        <f>excelsalesdata[[#This Row],[Quantity]]*excelsalesdata[[#This Row],[Unit_Price]]</f>
        <v>13740</v>
      </c>
      <c r="X394">
        <f>excelsalesdata[[#This Row],[Gross_sales]]*excelsalesdata[[#This Row],[Discount_%]]</f>
        <v>687</v>
      </c>
      <c r="Y394">
        <f>excelsalesdata[[#This Row],[Gross_sales]]-excelsalesdata[[#This Row],[Discount_amt]]</f>
        <v>13053</v>
      </c>
      <c r="Z394" s="4">
        <f>excelsalesdata[[#This Row],[Net_sales]]-excelsalesdata[[#This Row],[Cost]]</f>
        <v>8983</v>
      </c>
      <c r="AA394" s="5">
        <f>excelsalesdata[[#This Row],[Profit]]/excelsalesdata[[#This Row],[Net_sales]]</f>
        <v>0.68819428483873435</v>
      </c>
      <c r="AB394" s="4">
        <f>YEAR(excelsalesdata[[#This Row],[Order_Date]])</f>
        <v>2026</v>
      </c>
      <c r="AC394" s="4" t="str">
        <f>TEXT(excelsalesdata[[#This Row],[Order_Date]],"mmm")</f>
        <v>May</v>
      </c>
      <c r="AD394" s="4" t="str">
        <f>"Q"&amp;ROUNDUP(MONTH(excelsalesdata[[#This Row],[Order_Date]])/3,0)</f>
        <v>Q2</v>
      </c>
    </row>
    <row r="395" spans="1:30" x14ac:dyDescent="0.35">
      <c r="A395" t="s">
        <v>962</v>
      </c>
      <c r="B395" s="3">
        <v>46153</v>
      </c>
      <c r="C395" t="s">
        <v>963</v>
      </c>
      <c r="D395" t="s">
        <v>198</v>
      </c>
      <c r="E395" t="str">
        <f>TRIM(excelsalesdata[[#This Row],[Customer_Name]])</f>
        <v>Rohan Iyer</v>
      </c>
      <c r="F395" t="s">
        <v>44</v>
      </c>
      <c r="G395">
        <v>21</v>
      </c>
      <c r="H395" t="s">
        <v>185</v>
      </c>
      <c r="I395" t="str">
        <f>TRIM(excelsalesdata[[#This Row],[City]])</f>
        <v>Lucknow</v>
      </c>
      <c r="J395" t="s">
        <v>186</v>
      </c>
      <c r="K395" t="s">
        <v>61</v>
      </c>
      <c r="L395" t="s">
        <v>85</v>
      </c>
      <c r="M395" t="s">
        <v>86</v>
      </c>
      <c r="N395" t="s">
        <v>86</v>
      </c>
      <c r="O395">
        <v>1</v>
      </c>
      <c r="P395">
        <v>2480</v>
      </c>
      <c r="Q395">
        <v>0.05</v>
      </c>
      <c r="R395">
        <v>1430</v>
      </c>
      <c r="S395" t="s">
        <v>80</v>
      </c>
      <c r="T395" t="s">
        <v>30</v>
      </c>
      <c r="U395">
        <v>3</v>
      </c>
      <c r="V395" t="s">
        <v>40</v>
      </c>
      <c r="W395">
        <f>excelsalesdata[[#This Row],[Quantity]]*excelsalesdata[[#This Row],[Unit_Price]]</f>
        <v>2480</v>
      </c>
      <c r="X395">
        <f>excelsalesdata[[#This Row],[Gross_sales]]*excelsalesdata[[#This Row],[Discount_%]]</f>
        <v>124</v>
      </c>
      <c r="Y395">
        <f>excelsalesdata[[#This Row],[Gross_sales]]-excelsalesdata[[#This Row],[Discount_amt]]</f>
        <v>2356</v>
      </c>
      <c r="Z395" s="4">
        <f>excelsalesdata[[#This Row],[Net_sales]]-excelsalesdata[[#This Row],[Cost]]</f>
        <v>926</v>
      </c>
      <c r="AA395" s="5">
        <f>excelsalesdata[[#This Row],[Profit]]/excelsalesdata[[#This Row],[Net_sales]]</f>
        <v>0.3930390492359932</v>
      </c>
      <c r="AB395" s="4">
        <f>YEAR(excelsalesdata[[#This Row],[Order_Date]])</f>
        <v>2026</v>
      </c>
      <c r="AC395" s="4" t="str">
        <f>TEXT(excelsalesdata[[#This Row],[Order_Date]],"mmm")</f>
        <v>May</v>
      </c>
      <c r="AD395" s="4" t="str">
        <f>"Q"&amp;ROUNDUP(MONTH(excelsalesdata[[#This Row],[Order_Date]])/3,0)</f>
        <v>Q2</v>
      </c>
    </row>
    <row r="396" spans="1:30" x14ac:dyDescent="0.35">
      <c r="A396" t="s">
        <v>964</v>
      </c>
      <c r="B396" s="3">
        <v>46154</v>
      </c>
      <c r="C396" t="s">
        <v>358</v>
      </c>
      <c r="D396" t="s">
        <v>224</v>
      </c>
      <c r="E396" t="str">
        <f>TRIM(excelsalesdata[[#This Row],[Customer_Name]])</f>
        <v>Vivaan Sharma</v>
      </c>
      <c r="F396" t="s">
        <v>44</v>
      </c>
      <c r="G396">
        <v>56</v>
      </c>
      <c r="H396" t="s">
        <v>71</v>
      </c>
      <c r="I396" t="str">
        <f>TRIM(excelsalesdata[[#This Row],[City]])</f>
        <v>Bhubaneswar</v>
      </c>
      <c r="J396" t="s">
        <v>72</v>
      </c>
      <c r="K396" t="s">
        <v>37</v>
      </c>
      <c r="L396" t="s">
        <v>54</v>
      </c>
      <c r="M396" t="s">
        <v>62</v>
      </c>
      <c r="N396" t="s">
        <v>62</v>
      </c>
      <c r="O396">
        <v>1</v>
      </c>
      <c r="P396">
        <v>20410</v>
      </c>
      <c r="Q396">
        <v>0</v>
      </c>
      <c r="R396">
        <v>15020</v>
      </c>
      <c r="S396" t="s">
        <v>80</v>
      </c>
      <c r="T396" t="s">
        <v>81</v>
      </c>
      <c r="U396">
        <v>0</v>
      </c>
      <c r="V396" t="s">
        <v>40</v>
      </c>
      <c r="W396">
        <f>excelsalesdata[[#This Row],[Quantity]]*excelsalesdata[[#This Row],[Unit_Price]]</f>
        <v>20410</v>
      </c>
      <c r="X396">
        <f>excelsalesdata[[#This Row],[Gross_sales]]*excelsalesdata[[#This Row],[Discount_%]]</f>
        <v>0</v>
      </c>
      <c r="Y396">
        <f>excelsalesdata[[#This Row],[Gross_sales]]-excelsalesdata[[#This Row],[Discount_amt]]</f>
        <v>20410</v>
      </c>
      <c r="Z396" s="4">
        <f>excelsalesdata[[#This Row],[Net_sales]]-excelsalesdata[[#This Row],[Cost]]</f>
        <v>5390</v>
      </c>
      <c r="AA396" s="5">
        <f>excelsalesdata[[#This Row],[Profit]]/excelsalesdata[[#This Row],[Net_sales]]</f>
        <v>0.2640862322390985</v>
      </c>
      <c r="AB396" s="4">
        <f>YEAR(excelsalesdata[[#This Row],[Order_Date]])</f>
        <v>2026</v>
      </c>
      <c r="AC396" s="4" t="str">
        <f>TEXT(excelsalesdata[[#This Row],[Order_Date]],"mmm")</f>
        <v>May</v>
      </c>
      <c r="AD396" s="4" t="str">
        <f>"Q"&amp;ROUNDUP(MONTH(excelsalesdata[[#This Row],[Order_Date]])/3,0)</f>
        <v>Q2</v>
      </c>
    </row>
    <row r="397" spans="1:30" x14ac:dyDescent="0.35">
      <c r="A397" t="s">
        <v>965</v>
      </c>
      <c r="B397" s="3">
        <v>46155</v>
      </c>
      <c r="C397" t="s">
        <v>568</v>
      </c>
      <c r="D397" t="s">
        <v>77</v>
      </c>
      <c r="E397" t="str">
        <f>TRIM(excelsalesdata[[#This Row],[Customer_Name]])</f>
        <v>Kavya Rao</v>
      </c>
      <c r="F397" t="s">
        <v>44</v>
      </c>
      <c r="G397">
        <v>50</v>
      </c>
      <c r="H397" t="s">
        <v>71</v>
      </c>
      <c r="I397" t="str">
        <f>TRIM(excelsalesdata[[#This Row],[City]])</f>
        <v>Bhubaneswar</v>
      </c>
      <c r="J397" t="s">
        <v>72</v>
      </c>
      <c r="K397" t="s">
        <v>37</v>
      </c>
      <c r="L397" t="s">
        <v>38</v>
      </c>
      <c r="M397" t="s">
        <v>39</v>
      </c>
      <c r="N397" t="s">
        <v>39</v>
      </c>
      <c r="O397">
        <v>5</v>
      </c>
      <c r="P397">
        <v>6240</v>
      </c>
      <c r="Q397">
        <v>0.1</v>
      </c>
      <c r="R397">
        <v>4370</v>
      </c>
      <c r="S397" t="s">
        <v>151</v>
      </c>
      <c r="T397" t="s">
        <v>30</v>
      </c>
      <c r="U397">
        <v>7</v>
      </c>
      <c r="V397" t="s">
        <v>31</v>
      </c>
      <c r="W397">
        <f>excelsalesdata[[#This Row],[Quantity]]*excelsalesdata[[#This Row],[Unit_Price]]</f>
        <v>31200</v>
      </c>
      <c r="X397">
        <f>excelsalesdata[[#This Row],[Gross_sales]]*excelsalesdata[[#This Row],[Discount_%]]</f>
        <v>3120</v>
      </c>
      <c r="Y397">
        <f>excelsalesdata[[#This Row],[Gross_sales]]-excelsalesdata[[#This Row],[Discount_amt]]</f>
        <v>28080</v>
      </c>
      <c r="Z397" s="4">
        <f>excelsalesdata[[#This Row],[Net_sales]]-excelsalesdata[[#This Row],[Cost]]</f>
        <v>23710</v>
      </c>
      <c r="AA397" s="5">
        <f>excelsalesdata[[#This Row],[Profit]]/excelsalesdata[[#This Row],[Net_sales]]</f>
        <v>0.84437321937321941</v>
      </c>
      <c r="AB397" s="4">
        <f>YEAR(excelsalesdata[[#This Row],[Order_Date]])</f>
        <v>2026</v>
      </c>
      <c r="AC397" s="4" t="str">
        <f>TEXT(excelsalesdata[[#This Row],[Order_Date]],"mmm")</f>
        <v>May</v>
      </c>
      <c r="AD397" s="4" t="str">
        <f>"Q"&amp;ROUNDUP(MONTH(excelsalesdata[[#This Row],[Order_Date]])/3,0)</f>
        <v>Q2</v>
      </c>
    </row>
    <row r="398" spans="1:30" x14ac:dyDescent="0.35">
      <c r="A398" t="s">
        <v>966</v>
      </c>
      <c r="B398" s="3">
        <v>46156</v>
      </c>
      <c r="C398" t="s">
        <v>951</v>
      </c>
      <c r="D398" t="s">
        <v>331</v>
      </c>
      <c r="E398" t="str">
        <f>TRIM(excelsalesdata[[#This Row],[Customer_Name]])</f>
        <v>Ananya Iyer</v>
      </c>
      <c r="F398" t="s">
        <v>44</v>
      </c>
      <c r="G398">
        <v>55</v>
      </c>
      <c r="H398" t="s">
        <v>98</v>
      </c>
      <c r="I398" t="str">
        <f>TRIM(excelsalesdata[[#This Row],[City]])</f>
        <v>Mumbai</v>
      </c>
      <c r="J398" t="s">
        <v>25</v>
      </c>
      <c r="K398" t="s">
        <v>26</v>
      </c>
      <c r="L398" t="s">
        <v>103</v>
      </c>
      <c r="M398" t="s">
        <v>347</v>
      </c>
      <c r="N398" t="s">
        <v>347</v>
      </c>
      <c r="O398">
        <v>1</v>
      </c>
      <c r="P398">
        <v>12150</v>
      </c>
      <c r="Q398">
        <v>0.05</v>
      </c>
      <c r="R398">
        <v>8020</v>
      </c>
      <c r="S398" t="s">
        <v>80</v>
      </c>
      <c r="T398" t="s">
        <v>99</v>
      </c>
      <c r="U398">
        <v>1</v>
      </c>
      <c r="V398" t="s">
        <v>31</v>
      </c>
      <c r="W398">
        <f>excelsalesdata[[#This Row],[Quantity]]*excelsalesdata[[#This Row],[Unit_Price]]</f>
        <v>12150</v>
      </c>
      <c r="X398">
        <f>excelsalesdata[[#This Row],[Gross_sales]]*excelsalesdata[[#This Row],[Discount_%]]</f>
        <v>607.5</v>
      </c>
      <c r="Y398">
        <f>excelsalesdata[[#This Row],[Gross_sales]]-excelsalesdata[[#This Row],[Discount_amt]]</f>
        <v>11542.5</v>
      </c>
      <c r="Z398" s="4">
        <f>excelsalesdata[[#This Row],[Net_sales]]-excelsalesdata[[#This Row],[Cost]]</f>
        <v>3522.5</v>
      </c>
      <c r="AA398" s="5">
        <f>excelsalesdata[[#This Row],[Profit]]/excelsalesdata[[#This Row],[Net_sales]]</f>
        <v>0.30517652155079056</v>
      </c>
      <c r="AB398" s="4">
        <f>YEAR(excelsalesdata[[#This Row],[Order_Date]])</f>
        <v>2026</v>
      </c>
      <c r="AC398" s="4" t="str">
        <f>TEXT(excelsalesdata[[#This Row],[Order_Date]],"mmm")</f>
        <v>May</v>
      </c>
      <c r="AD398" s="4" t="str">
        <f>"Q"&amp;ROUNDUP(MONTH(excelsalesdata[[#This Row],[Order_Date]])/3,0)</f>
        <v>Q2</v>
      </c>
    </row>
    <row r="399" spans="1:30" x14ac:dyDescent="0.35">
      <c r="A399" t="s">
        <v>967</v>
      </c>
      <c r="B399" s="3">
        <v>46157</v>
      </c>
      <c r="C399" t="s">
        <v>117</v>
      </c>
      <c r="D399" t="s">
        <v>933</v>
      </c>
      <c r="E399" t="str">
        <f>TRIM(excelsalesdata[[#This Row],[Customer_Name]])</f>
        <v>Sneha Patel</v>
      </c>
      <c r="F399" t="s">
        <v>44</v>
      </c>
      <c r="G399">
        <v>55</v>
      </c>
      <c r="H399" t="s">
        <v>35</v>
      </c>
      <c r="I399" t="str">
        <f>TRIM(excelsalesdata[[#This Row],[City]])</f>
        <v>Kolkata</v>
      </c>
      <c r="J399" t="s">
        <v>36</v>
      </c>
      <c r="K399" t="s">
        <v>37</v>
      </c>
      <c r="L399" t="s">
        <v>54</v>
      </c>
      <c r="M399" t="s">
        <v>55</v>
      </c>
      <c r="N399" t="s">
        <v>55</v>
      </c>
      <c r="O399">
        <v>1</v>
      </c>
      <c r="P399">
        <v>7410</v>
      </c>
      <c r="Q399">
        <v>0.1</v>
      </c>
      <c r="R399">
        <v>4600</v>
      </c>
      <c r="S399" t="s">
        <v>80</v>
      </c>
      <c r="T399" t="s">
        <v>30</v>
      </c>
      <c r="U399">
        <v>3</v>
      </c>
      <c r="V399" t="s">
        <v>40</v>
      </c>
      <c r="W399">
        <f>excelsalesdata[[#This Row],[Quantity]]*excelsalesdata[[#This Row],[Unit_Price]]</f>
        <v>7410</v>
      </c>
      <c r="X399">
        <f>excelsalesdata[[#This Row],[Gross_sales]]*excelsalesdata[[#This Row],[Discount_%]]</f>
        <v>741</v>
      </c>
      <c r="Y399">
        <f>excelsalesdata[[#This Row],[Gross_sales]]-excelsalesdata[[#This Row],[Discount_amt]]</f>
        <v>6669</v>
      </c>
      <c r="Z399" s="4">
        <f>excelsalesdata[[#This Row],[Net_sales]]-excelsalesdata[[#This Row],[Cost]]</f>
        <v>2069</v>
      </c>
      <c r="AA399" s="5">
        <f>excelsalesdata[[#This Row],[Profit]]/excelsalesdata[[#This Row],[Net_sales]]</f>
        <v>0.3102414155045734</v>
      </c>
      <c r="AB399" s="4">
        <f>YEAR(excelsalesdata[[#This Row],[Order_Date]])</f>
        <v>2026</v>
      </c>
      <c r="AC399" s="4" t="str">
        <f>TEXT(excelsalesdata[[#This Row],[Order_Date]],"mmm")</f>
        <v>May</v>
      </c>
      <c r="AD399" s="4" t="str">
        <f>"Q"&amp;ROUNDUP(MONTH(excelsalesdata[[#This Row],[Order_Date]])/3,0)</f>
        <v>Q2</v>
      </c>
    </row>
    <row r="400" spans="1:30" x14ac:dyDescent="0.35">
      <c r="A400" t="s">
        <v>968</v>
      </c>
      <c r="B400" s="3">
        <v>46158</v>
      </c>
      <c r="C400" t="s">
        <v>587</v>
      </c>
      <c r="D400" t="s">
        <v>469</v>
      </c>
      <c r="E400" t="str">
        <f>TRIM(excelsalesdata[[#This Row],[Customer_Name]])</f>
        <v>Rahul Joshi</v>
      </c>
      <c r="F400" t="s">
        <v>23</v>
      </c>
      <c r="G400">
        <v>24</v>
      </c>
      <c r="H400" t="s">
        <v>98</v>
      </c>
      <c r="I400" t="str">
        <f>TRIM(excelsalesdata[[#This Row],[City]])</f>
        <v>Mumbai</v>
      </c>
      <c r="J400" t="s">
        <v>25</v>
      </c>
      <c r="K400" t="s">
        <v>26</v>
      </c>
      <c r="L400" t="s">
        <v>54</v>
      </c>
      <c r="M400" t="s">
        <v>157</v>
      </c>
      <c r="N400" t="s">
        <v>157</v>
      </c>
      <c r="O400">
        <v>4</v>
      </c>
      <c r="P400">
        <v>57540</v>
      </c>
      <c r="Q400">
        <v>0</v>
      </c>
      <c r="R400">
        <v>42140</v>
      </c>
      <c r="S400" t="s">
        <v>105</v>
      </c>
      <c r="T400" t="s">
        <v>30</v>
      </c>
      <c r="U400">
        <v>2</v>
      </c>
      <c r="V400" t="s">
        <v>31</v>
      </c>
      <c r="W400">
        <f>excelsalesdata[[#This Row],[Quantity]]*excelsalesdata[[#This Row],[Unit_Price]]</f>
        <v>230160</v>
      </c>
      <c r="X400">
        <f>excelsalesdata[[#This Row],[Gross_sales]]*excelsalesdata[[#This Row],[Discount_%]]</f>
        <v>0</v>
      </c>
      <c r="Y400">
        <f>excelsalesdata[[#This Row],[Gross_sales]]-excelsalesdata[[#This Row],[Discount_amt]]</f>
        <v>230160</v>
      </c>
      <c r="Z400" s="4">
        <f>excelsalesdata[[#This Row],[Net_sales]]-excelsalesdata[[#This Row],[Cost]]</f>
        <v>188020</v>
      </c>
      <c r="AA400" s="5">
        <f>excelsalesdata[[#This Row],[Profit]]/excelsalesdata[[#This Row],[Net_sales]]</f>
        <v>0.81690997566909973</v>
      </c>
      <c r="AB400" s="4">
        <f>YEAR(excelsalesdata[[#This Row],[Order_Date]])</f>
        <v>2026</v>
      </c>
      <c r="AC400" s="4" t="str">
        <f>TEXT(excelsalesdata[[#This Row],[Order_Date]],"mmm")</f>
        <v>May</v>
      </c>
      <c r="AD400" s="4" t="str">
        <f>"Q"&amp;ROUNDUP(MONTH(excelsalesdata[[#This Row],[Order_Date]])/3,0)</f>
        <v>Q2</v>
      </c>
    </row>
    <row r="401" spans="1:30" x14ac:dyDescent="0.35">
      <c r="A401" t="s">
        <v>969</v>
      </c>
      <c r="B401" s="3">
        <v>46159</v>
      </c>
      <c r="C401" t="s">
        <v>970</v>
      </c>
      <c r="D401" t="s">
        <v>972</v>
      </c>
      <c r="E401" t="str">
        <f>TRIM(excelsalesdata[[#This Row],[Customer_Name]])</f>
        <v>Ananya Reddy</v>
      </c>
      <c r="F401" t="s">
        <v>44</v>
      </c>
      <c r="G401">
        <v>56</v>
      </c>
      <c r="H401" t="s">
        <v>155</v>
      </c>
      <c r="I401" t="str">
        <f>TRIM(excelsalesdata[[#This Row],[City]])</f>
        <v>Chennai</v>
      </c>
      <c r="J401" t="s">
        <v>156</v>
      </c>
      <c r="K401" t="s">
        <v>47</v>
      </c>
      <c r="L401" t="s">
        <v>54</v>
      </c>
      <c r="M401" t="s">
        <v>55</v>
      </c>
      <c r="N401" t="s">
        <v>55</v>
      </c>
      <c r="O401">
        <v>5</v>
      </c>
      <c r="P401">
        <v>7400</v>
      </c>
      <c r="Q401">
        <v>0.1</v>
      </c>
      <c r="R401">
        <v>4550</v>
      </c>
      <c r="S401" t="s">
        <v>29</v>
      </c>
      <c r="T401" t="s">
        <v>30</v>
      </c>
      <c r="U401">
        <v>4</v>
      </c>
      <c r="V401" t="s">
        <v>31</v>
      </c>
      <c r="W401">
        <f>excelsalesdata[[#This Row],[Quantity]]*excelsalesdata[[#This Row],[Unit_Price]]</f>
        <v>37000</v>
      </c>
      <c r="X401">
        <f>excelsalesdata[[#This Row],[Gross_sales]]*excelsalesdata[[#This Row],[Discount_%]]</f>
        <v>3700</v>
      </c>
      <c r="Y401">
        <f>excelsalesdata[[#This Row],[Gross_sales]]-excelsalesdata[[#This Row],[Discount_amt]]</f>
        <v>33300</v>
      </c>
      <c r="Z401" s="4">
        <f>excelsalesdata[[#This Row],[Net_sales]]-excelsalesdata[[#This Row],[Cost]]</f>
        <v>28750</v>
      </c>
      <c r="AA401" s="5">
        <f>excelsalesdata[[#This Row],[Profit]]/excelsalesdata[[#This Row],[Net_sales]]</f>
        <v>0.86336336336336339</v>
      </c>
      <c r="AB401" s="4">
        <f>YEAR(excelsalesdata[[#This Row],[Order_Date]])</f>
        <v>2026</v>
      </c>
      <c r="AC401" s="4" t="str">
        <f>TEXT(excelsalesdata[[#This Row],[Order_Date]],"mmm")</f>
        <v>May</v>
      </c>
      <c r="AD401" s="4" t="str">
        <f>"Q"&amp;ROUNDUP(MONTH(excelsalesdata[[#This Row],[Order_Date]])/3,0)</f>
        <v>Q2</v>
      </c>
    </row>
    <row r="402" spans="1:30" x14ac:dyDescent="0.35">
      <c r="A402" t="s">
        <v>971</v>
      </c>
      <c r="B402" s="3">
        <v>46160</v>
      </c>
      <c r="C402" t="s">
        <v>932</v>
      </c>
      <c r="D402" t="s">
        <v>540</v>
      </c>
      <c r="E402" t="str">
        <f>TRIM(excelsalesdata[[#This Row],[Customer_Name]])</f>
        <v>Priya Kumar</v>
      </c>
      <c r="F402" t="s">
        <v>23</v>
      </c>
      <c r="G402">
        <v>34</v>
      </c>
      <c r="H402" t="s">
        <v>71</v>
      </c>
      <c r="I402" t="str">
        <f>TRIM(excelsalesdata[[#This Row],[City]])</f>
        <v>Bhubaneswar</v>
      </c>
      <c r="J402" t="s">
        <v>72</v>
      </c>
      <c r="K402" t="s">
        <v>37</v>
      </c>
      <c r="L402" t="s">
        <v>103</v>
      </c>
      <c r="M402" t="s">
        <v>178</v>
      </c>
      <c r="N402" t="s">
        <v>178</v>
      </c>
      <c r="O402">
        <v>1</v>
      </c>
      <c r="P402">
        <v>1910</v>
      </c>
      <c r="Q402">
        <v>0</v>
      </c>
      <c r="R402">
        <v>930</v>
      </c>
      <c r="S402" t="s">
        <v>29</v>
      </c>
      <c r="T402" t="s">
        <v>30</v>
      </c>
      <c r="U402">
        <v>4</v>
      </c>
      <c r="V402" t="s">
        <v>31</v>
      </c>
      <c r="W402">
        <f>excelsalesdata[[#This Row],[Quantity]]*excelsalesdata[[#This Row],[Unit_Price]]</f>
        <v>1910</v>
      </c>
      <c r="X402">
        <f>excelsalesdata[[#This Row],[Gross_sales]]*excelsalesdata[[#This Row],[Discount_%]]</f>
        <v>0</v>
      </c>
      <c r="Y402">
        <f>excelsalesdata[[#This Row],[Gross_sales]]-excelsalesdata[[#This Row],[Discount_amt]]</f>
        <v>1910</v>
      </c>
      <c r="Z402" s="4">
        <f>excelsalesdata[[#This Row],[Net_sales]]-excelsalesdata[[#This Row],[Cost]]</f>
        <v>980</v>
      </c>
      <c r="AA402" s="5">
        <f>excelsalesdata[[#This Row],[Profit]]/excelsalesdata[[#This Row],[Net_sales]]</f>
        <v>0.51308900523560208</v>
      </c>
      <c r="AB402" s="4">
        <f>YEAR(excelsalesdata[[#This Row],[Order_Date]])</f>
        <v>2026</v>
      </c>
      <c r="AC402" s="4" t="str">
        <f>TEXT(excelsalesdata[[#This Row],[Order_Date]],"mmm")</f>
        <v>May</v>
      </c>
      <c r="AD402" s="4" t="str">
        <f>"Q"&amp;ROUNDUP(MONTH(excelsalesdata[[#This Row],[Order_Date]])/3,0)</f>
        <v>Q2</v>
      </c>
    </row>
    <row r="403" spans="1:30" x14ac:dyDescent="0.35">
      <c r="A403" t="s">
        <v>973</v>
      </c>
      <c r="B403" s="3">
        <v>46161</v>
      </c>
      <c r="C403" t="s">
        <v>974</v>
      </c>
      <c r="D403" t="s">
        <v>844</v>
      </c>
      <c r="E403" t="str">
        <f>TRIM(excelsalesdata[[#This Row],[Customer_Name]])</f>
        <v>Vikram Gupta</v>
      </c>
      <c r="F403" t="s">
        <v>44</v>
      </c>
      <c r="G403">
        <v>18</v>
      </c>
      <c r="H403" t="s">
        <v>168</v>
      </c>
      <c r="I403" t="str">
        <f>TRIM(excelsalesdata[[#This Row],[City]])</f>
        <v>Delhi</v>
      </c>
      <c r="J403" t="s">
        <v>168</v>
      </c>
      <c r="K403" t="s">
        <v>61</v>
      </c>
      <c r="L403" t="s">
        <v>54</v>
      </c>
      <c r="M403" t="s">
        <v>66</v>
      </c>
      <c r="N403" t="s">
        <v>66</v>
      </c>
      <c r="O403">
        <v>1</v>
      </c>
      <c r="P403">
        <v>2370</v>
      </c>
      <c r="Q403">
        <v>0.1</v>
      </c>
      <c r="R403">
        <v>1550</v>
      </c>
      <c r="S403" t="s">
        <v>29</v>
      </c>
      <c r="T403" t="s">
        <v>30</v>
      </c>
      <c r="U403">
        <v>4</v>
      </c>
      <c r="V403" t="s">
        <v>31</v>
      </c>
      <c r="W403">
        <f>excelsalesdata[[#This Row],[Quantity]]*excelsalesdata[[#This Row],[Unit_Price]]</f>
        <v>2370</v>
      </c>
      <c r="X403">
        <f>excelsalesdata[[#This Row],[Gross_sales]]*excelsalesdata[[#This Row],[Discount_%]]</f>
        <v>237</v>
      </c>
      <c r="Y403">
        <f>excelsalesdata[[#This Row],[Gross_sales]]-excelsalesdata[[#This Row],[Discount_amt]]</f>
        <v>2133</v>
      </c>
      <c r="Z403" s="4">
        <f>excelsalesdata[[#This Row],[Net_sales]]-excelsalesdata[[#This Row],[Cost]]</f>
        <v>583</v>
      </c>
      <c r="AA403" s="5">
        <f>excelsalesdata[[#This Row],[Profit]]/excelsalesdata[[#This Row],[Net_sales]]</f>
        <v>0.27332395686826066</v>
      </c>
      <c r="AB403" s="4">
        <f>YEAR(excelsalesdata[[#This Row],[Order_Date]])</f>
        <v>2026</v>
      </c>
      <c r="AC403" s="4" t="str">
        <f>TEXT(excelsalesdata[[#This Row],[Order_Date]],"mmm")</f>
        <v>May</v>
      </c>
      <c r="AD403" s="4" t="str">
        <f>"Q"&amp;ROUNDUP(MONTH(excelsalesdata[[#This Row],[Order_Date]])/3,0)</f>
        <v>Q2</v>
      </c>
    </row>
    <row r="404" spans="1:30" x14ac:dyDescent="0.35">
      <c r="A404" t="s">
        <v>975</v>
      </c>
      <c r="B404" s="3">
        <v>46162</v>
      </c>
      <c r="C404" t="s">
        <v>50</v>
      </c>
      <c r="D404" t="s">
        <v>479</v>
      </c>
      <c r="E404" t="str">
        <f>TRIM(excelsalesdata[[#This Row],[Customer_Name]])</f>
        <v>Karan Kumar</v>
      </c>
      <c r="F404" t="s">
        <v>23</v>
      </c>
      <c r="G404">
        <v>51</v>
      </c>
      <c r="H404" t="s">
        <v>24</v>
      </c>
      <c r="I404" t="str">
        <f>TRIM(excelsalesdata[[#This Row],[City]])</f>
        <v>Pune</v>
      </c>
      <c r="J404" t="s">
        <v>25</v>
      </c>
      <c r="K404" t="s">
        <v>26</v>
      </c>
      <c r="L404" t="s">
        <v>38</v>
      </c>
      <c r="M404" t="s">
        <v>161</v>
      </c>
      <c r="N404" t="s">
        <v>161</v>
      </c>
      <c r="O404">
        <v>2</v>
      </c>
      <c r="P404">
        <v>27530</v>
      </c>
      <c r="Q404">
        <v>0.2</v>
      </c>
      <c r="R404">
        <v>19980</v>
      </c>
      <c r="S404" t="s">
        <v>56</v>
      </c>
      <c r="T404" t="s">
        <v>81</v>
      </c>
      <c r="U404">
        <v>0</v>
      </c>
      <c r="V404" t="s">
        <v>31</v>
      </c>
      <c r="W404">
        <f>excelsalesdata[[#This Row],[Quantity]]*excelsalesdata[[#This Row],[Unit_Price]]</f>
        <v>55060</v>
      </c>
      <c r="X404">
        <f>excelsalesdata[[#This Row],[Gross_sales]]*excelsalesdata[[#This Row],[Discount_%]]</f>
        <v>11012</v>
      </c>
      <c r="Y404">
        <f>excelsalesdata[[#This Row],[Gross_sales]]-excelsalesdata[[#This Row],[Discount_amt]]</f>
        <v>44048</v>
      </c>
      <c r="Z404" s="4">
        <f>excelsalesdata[[#This Row],[Net_sales]]-excelsalesdata[[#This Row],[Cost]]</f>
        <v>24068</v>
      </c>
      <c r="AA404" s="5">
        <f>excelsalesdata[[#This Row],[Profit]]/excelsalesdata[[#This Row],[Net_sales]]</f>
        <v>0.54640392299309848</v>
      </c>
      <c r="AB404" s="4">
        <f>YEAR(excelsalesdata[[#This Row],[Order_Date]])</f>
        <v>2026</v>
      </c>
      <c r="AC404" s="4" t="str">
        <f>TEXT(excelsalesdata[[#This Row],[Order_Date]],"mmm")</f>
        <v>May</v>
      </c>
      <c r="AD404" s="4" t="str">
        <f>"Q"&amp;ROUNDUP(MONTH(excelsalesdata[[#This Row],[Order_Date]])/3,0)</f>
        <v>Q2</v>
      </c>
    </row>
    <row r="405" spans="1:30" x14ac:dyDescent="0.35">
      <c r="A405" t="s">
        <v>976</v>
      </c>
      <c r="B405" s="3">
        <v>46163</v>
      </c>
      <c r="C405" t="s">
        <v>346</v>
      </c>
      <c r="D405" t="s">
        <v>362</v>
      </c>
      <c r="E405" t="str">
        <f>TRIM(excelsalesdata[[#This Row],[Customer_Name]])</f>
        <v>Diya Gupta</v>
      </c>
      <c r="F405" t="s">
        <v>44</v>
      </c>
      <c r="G405">
        <v>45</v>
      </c>
      <c r="H405" t="s">
        <v>60</v>
      </c>
      <c r="I405" t="str">
        <f>TRIM(excelsalesdata[[#This Row],[City]])</f>
        <v>Chandigarh</v>
      </c>
      <c r="J405" t="s">
        <v>60</v>
      </c>
      <c r="K405" t="s">
        <v>61</v>
      </c>
      <c r="L405" t="s">
        <v>54</v>
      </c>
      <c r="M405" t="s">
        <v>55</v>
      </c>
      <c r="N405" t="s">
        <v>55</v>
      </c>
      <c r="O405">
        <v>1</v>
      </c>
      <c r="P405">
        <v>6560</v>
      </c>
      <c r="Q405">
        <v>0.2</v>
      </c>
      <c r="R405">
        <v>4340</v>
      </c>
      <c r="S405" t="s">
        <v>151</v>
      </c>
      <c r="T405" t="s">
        <v>30</v>
      </c>
      <c r="U405">
        <v>7</v>
      </c>
      <c r="V405" t="s">
        <v>40</v>
      </c>
      <c r="W405">
        <f>excelsalesdata[[#This Row],[Quantity]]*excelsalesdata[[#This Row],[Unit_Price]]</f>
        <v>6560</v>
      </c>
      <c r="X405">
        <f>excelsalesdata[[#This Row],[Gross_sales]]*excelsalesdata[[#This Row],[Discount_%]]</f>
        <v>1312</v>
      </c>
      <c r="Y405">
        <f>excelsalesdata[[#This Row],[Gross_sales]]-excelsalesdata[[#This Row],[Discount_amt]]</f>
        <v>5248</v>
      </c>
      <c r="Z405" s="4">
        <f>excelsalesdata[[#This Row],[Net_sales]]-excelsalesdata[[#This Row],[Cost]]</f>
        <v>908</v>
      </c>
      <c r="AA405" s="5">
        <f>excelsalesdata[[#This Row],[Profit]]/excelsalesdata[[#This Row],[Net_sales]]</f>
        <v>0.17301829268292682</v>
      </c>
      <c r="AB405" s="4">
        <f>YEAR(excelsalesdata[[#This Row],[Order_Date]])</f>
        <v>2026</v>
      </c>
      <c r="AC405" s="4" t="str">
        <f>TEXT(excelsalesdata[[#This Row],[Order_Date]],"mmm")</f>
        <v>May</v>
      </c>
      <c r="AD405" s="4" t="str">
        <f>"Q"&amp;ROUNDUP(MONTH(excelsalesdata[[#This Row],[Order_Date]])/3,0)</f>
        <v>Q2</v>
      </c>
    </row>
    <row r="406" spans="1:30" x14ac:dyDescent="0.35">
      <c r="A406" t="s">
        <v>977</v>
      </c>
      <c r="B406" s="3">
        <v>46164</v>
      </c>
      <c r="C406" t="s">
        <v>671</v>
      </c>
      <c r="D406" t="s">
        <v>980</v>
      </c>
      <c r="E406" t="str">
        <f>TRIM(excelsalesdata[[#This Row],[Customer_Name]])</f>
        <v>Sneha Das</v>
      </c>
      <c r="F406" t="s">
        <v>23</v>
      </c>
      <c r="G406">
        <v>56</v>
      </c>
      <c r="H406" t="s">
        <v>109</v>
      </c>
      <c r="I406" t="str">
        <f>TRIM(excelsalesdata[[#This Row],[City]])</f>
        <v>Mysuru</v>
      </c>
      <c r="J406" t="s">
        <v>53</v>
      </c>
      <c r="K406" t="s">
        <v>47</v>
      </c>
      <c r="L406" t="s">
        <v>103</v>
      </c>
      <c r="M406" t="s">
        <v>104</v>
      </c>
      <c r="N406" t="s">
        <v>104</v>
      </c>
      <c r="O406">
        <v>5</v>
      </c>
      <c r="P406">
        <v>8150</v>
      </c>
      <c r="Q406">
        <v>0.15</v>
      </c>
      <c r="R406">
        <v>5720</v>
      </c>
      <c r="S406" t="s">
        <v>105</v>
      </c>
      <c r="T406" t="s">
        <v>30</v>
      </c>
      <c r="U406">
        <v>4</v>
      </c>
      <c r="V406" t="s">
        <v>40</v>
      </c>
      <c r="W406">
        <f>excelsalesdata[[#This Row],[Quantity]]*excelsalesdata[[#This Row],[Unit_Price]]</f>
        <v>40750</v>
      </c>
      <c r="X406">
        <f>excelsalesdata[[#This Row],[Gross_sales]]*excelsalesdata[[#This Row],[Discount_%]]</f>
        <v>6112.5</v>
      </c>
      <c r="Y406">
        <f>excelsalesdata[[#This Row],[Gross_sales]]-excelsalesdata[[#This Row],[Discount_amt]]</f>
        <v>34637.5</v>
      </c>
      <c r="Z406" s="4">
        <f>excelsalesdata[[#This Row],[Net_sales]]-excelsalesdata[[#This Row],[Cost]]</f>
        <v>28917.5</v>
      </c>
      <c r="AA406" s="5">
        <f>excelsalesdata[[#This Row],[Profit]]/excelsalesdata[[#This Row],[Net_sales]]</f>
        <v>0.83486106098881274</v>
      </c>
      <c r="AB406" s="4">
        <f>YEAR(excelsalesdata[[#This Row],[Order_Date]])</f>
        <v>2026</v>
      </c>
      <c r="AC406" s="4" t="str">
        <f>TEXT(excelsalesdata[[#This Row],[Order_Date]],"mmm")</f>
        <v>May</v>
      </c>
      <c r="AD406" s="4" t="str">
        <f>"Q"&amp;ROUNDUP(MONTH(excelsalesdata[[#This Row],[Order_Date]])/3,0)</f>
        <v>Q2</v>
      </c>
    </row>
    <row r="407" spans="1:30" x14ac:dyDescent="0.35">
      <c r="A407" t="s">
        <v>978</v>
      </c>
      <c r="B407" s="3">
        <v>46165</v>
      </c>
      <c r="C407" t="s">
        <v>979</v>
      </c>
      <c r="D407" t="s">
        <v>291</v>
      </c>
      <c r="E407" t="str">
        <f>TRIM(excelsalesdata[[#This Row],[Customer_Name]])</f>
        <v>Vikram Patel</v>
      </c>
      <c r="F407" t="s">
        <v>44</v>
      </c>
      <c r="G407">
        <v>51</v>
      </c>
      <c r="H407" t="s">
        <v>60</v>
      </c>
      <c r="I407" t="str">
        <f>TRIM(excelsalesdata[[#This Row],[City]])</f>
        <v>Chandigarh</v>
      </c>
      <c r="J407" t="s">
        <v>60</v>
      </c>
      <c r="K407" t="s">
        <v>61</v>
      </c>
      <c r="L407" t="s">
        <v>93</v>
      </c>
      <c r="M407" t="s">
        <v>718</v>
      </c>
      <c r="N407" t="s">
        <v>718</v>
      </c>
      <c r="O407">
        <v>1</v>
      </c>
      <c r="P407">
        <v>1750</v>
      </c>
      <c r="Q407">
        <v>0.25</v>
      </c>
      <c r="R407">
        <v>920</v>
      </c>
      <c r="S407" t="s">
        <v>29</v>
      </c>
      <c r="T407" t="s">
        <v>30</v>
      </c>
      <c r="U407">
        <v>3</v>
      </c>
      <c r="V407" t="s">
        <v>31</v>
      </c>
      <c r="W407">
        <f>excelsalesdata[[#This Row],[Quantity]]*excelsalesdata[[#This Row],[Unit_Price]]</f>
        <v>1750</v>
      </c>
      <c r="X407">
        <f>excelsalesdata[[#This Row],[Gross_sales]]*excelsalesdata[[#This Row],[Discount_%]]</f>
        <v>437.5</v>
      </c>
      <c r="Y407">
        <f>excelsalesdata[[#This Row],[Gross_sales]]-excelsalesdata[[#This Row],[Discount_amt]]</f>
        <v>1312.5</v>
      </c>
      <c r="Z407" s="4">
        <f>excelsalesdata[[#This Row],[Net_sales]]-excelsalesdata[[#This Row],[Cost]]</f>
        <v>392.5</v>
      </c>
      <c r="AA407" s="5">
        <f>excelsalesdata[[#This Row],[Profit]]/excelsalesdata[[#This Row],[Net_sales]]</f>
        <v>0.29904761904761906</v>
      </c>
      <c r="AB407" s="4">
        <f>YEAR(excelsalesdata[[#This Row],[Order_Date]])</f>
        <v>2026</v>
      </c>
      <c r="AC407" s="4" t="str">
        <f>TEXT(excelsalesdata[[#This Row],[Order_Date]],"mmm")</f>
        <v>May</v>
      </c>
      <c r="AD407" s="4" t="str">
        <f>"Q"&amp;ROUNDUP(MONTH(excelsalesdata[[#This Row],[Order_Date]])/3,0)</f>
        <v>Q2</v>
      </c>
    </row>
    <row r="408" spans="1:30" x14ac:dyDescent="0.35">
      <c r="A408" t="s">
        <v>981</v>
      </c>
      <c r="B408" s="3">
        <v>46166</v>
      </c>
      <c r="C408" t="s">
        <v>982</v>
      </c>
      <c r="D408" t="s">
        <v>984</v>
      </c>
      <c r="E408" t="str">
        <f>TRIM(excelsalesdata[[#This Row],[Customer_Name]])</f>
        <v>Ananya Singh</v>
      </c>
      <c r="F408" t="s">
        <v>44</v>
      </c>
      <c r="G408">
        <v>56</v>
      </c>
      <c r="H408" t="s">
        <v>190</v>
      </c>
      <c r="I408" t="str">
        <f>TRIM(excelsalesdata[[#This Row],[City]])</f>
        <v>Ahmedabad</v>
      </c>
      <c r="J408" t="s">
        <v>191</v>
      </c>
      <c r="K408" t="s">
        <v>26</v>
      </c>
      <c r="L408" t="s">
        <v>54</v>
      </c>
      <c r="M408" t="s">
        <v>66</v>
      </c>
      <c r="N408" t="s">
        <v>66</v>
      </c>
      <c r="O408">
        <v>1</v>
      </c>
      <c r="P408">
        <v>2580</v>
      </c>
      <c r="Q408">
        <v>0.05</v>
      </c>
      <c r="R408">
        <v>1480</v>
      </c>
      <c r="S408" t="s">
        <v>80</v>
      </c>
      <c r="T408" t="s">
        <v>99</v>
      </c>
      <c r="U408">
        <v>7</v>
      </c>
      <c r="V408" t="s">
        <v>40</v>
      </c>
      <c r="W408">
        <f>excelsalesdata[[#This Row],[Quantity]]*excelsalesdata[[#This Row],[Unit_Price]]</f>
        <v>2580</v>
      </c>
      <c r="X408">
        <f>excelsalesdata[[#This Row],[Gross_sales]]*excelsalesdata[[#This Row],[Discount_%]]</f>
        <v>129</v>
      </c>
      <c r="Y408">
        <f>excelsalesdata[[#This Row],[Gross_sales]]-excelsalesdata[[#This Row],[Discount_amt]]</f>
        <v>2451</v>
      </c>
      <c r="Z408" s="4">
        <f>excelsalesdata[[#This Row],[Net_sales]]-excelsalesdata[[#This Row],[Cost]]</f>
        <v>971</v>
      </c>
      <c r="AA408" s="5">
        <f>excelsalesdata[[#This Row],[Profit]]/excelsalesdata[[#This Row],[Net_sales]]</f>
        <v>0.39616483068135455</v>
      </c>
      <c r="AB408" s="4">
        <f>YEAR(excelsalesdata[[#This Row],[Order_Date]])</f>
        <v>2026</v>
      </c>
      <c r="AC408" s="4" t="str">
        <f>TEXT(excelsalesdata[[#This Row],[Order_Date]],"mmm")</f>
        <v>May</v>
      </c>
      <c r="AD408" s="4" t="str">
        <f>"Q"&amp;ROUNDUP(MONTH(excelsalesdata[[#This Row],[Order_Date]])/3,0)</f>
        <v>Q2</v>
      </c>
    </row>
    <row r="409" spans="1:30" x14ac:dyDescent="0.35">
      <c r="A409" t="s">
        <v>983</v>
      </c>
      <c r="B409" s="3">
        <v>46167</v>
      </c>
      <c r="C409" t="s">
        <v>682</v>
      </c>
      <c r="D409" t="s">
        <v>237</v>
      </c>
      <c r="E409" t="str">
        <f>TRIM(excelsalesdata[[#This Row],[Customer_Name]])</f>
        <v>Vivaan Kumar</v>
      </c>
      <c r="F409" t="s">
        <v>44</v>
      </c>
      <c r="G409">
        <v>52</v>
      </c>
      <c r="H409" t="s">
        <v>78</v>
      </c>
      <c r="I409" t="str">
        <f>TRIM(excelsalesdata[[#This Row],[City]])</f>
        <v>Guwahati</v>
      </c>
      <c r="J409" t="s">
        <v>79</v>
      </c>
      <c r="K409" t="s">
        <v>37</v>
      </c>
      <c r="L409" t="s">
        <v>54</v>
      </c>
      <c r="M409" t="s">
        <v>129</v>
      </c>
      <c r="N409" t="s">
        <v>129</v>
      </c>
      <c r="O409">
        <v>3</v>
      </c>
      <c r="P409">
        <v>19030</v>
      </c>
      <c r="Q409">
        <v>0.2</v>
      </c>
      <c r="R409">
        <v>12320</v>
      </c>
      <c r="S409" t="s">
        <v>105</v>
      </c>
      <c r="T409" t="s">
        <v>30</v>
      </c>
      <c r="U409">
        <v>1</v>
      </c>
      <c r="V409" t="s">
        <v>31</v>
      </c>
      <c r="W409">
        <f>excelsalesdata[[#This Row],[Quantity]]*excelsalesdata[[#This Row],[Unit_Price]]</f>
        <v>57090</v>
      </c>
      <c r="X409">
        <f>excelsalesdata[[#This Row],[Gross_sales]]*excelsalesdata[[#This Row],[Discount_%]]</f>
        <v>11418</v>
      </c>
      <c r="Y409">
        <f>excelsalesdata[[#This Row],[Gross_sales]]-excelsalesdata[[#This Row],[Discount_amt]]</f>
        <v>45672</v>
      </c>
      <c r="Z409" s="4">
        <f>excelsalesdata[[#This Row],[Net_sales]]-excelsalesdata[[#This Row],[Cost]]</f>
        <v>33352</v>
      </c>
      <c r="AA409" s="5">
        <f>excelsalesdata[[#This Row],[Profit]]/excelsalesdata[[#This Row],[Net_sales]]</f>
        <v>0.73025048169556839</v>
      </c>
      <c r="AB409" s="4">
        <f>YEAR(excelsalesdata[[#This Row],[Order_Date]])</f>
        <v>2026</v>
      </c>
      <c r="AC409" s="4" t="str">
        <f>TEXT(excelsalesdata[[#This Row],[Order_Date]],"mmm")</f>
        <v>May</v>
      </c>
      <c r="AD409" s="4" t="str">
        <f>"Q"&amp;ROUNDUP(MONTH(excelsalesdata[[#This Row],[Order_Date]])/3,0)</f>
        <v>Q2</v>
      </c>
    </row>
    <row r="410" spans="1:30" x14ac:dyDescent="0.35">
      <c r="A410" t="s">
        <v>985</v>
      </c>
      <c r="B410" s="3">
        <v>46168</v>
      </c>
      <c r="C410" t="s">
        <v>226</v>
      </c>
      <c r="D410" t="s">
        <v>988</v>
      </c>
      <c r="E410" t="str">
        <f>TRIM(excelsalesdata[[#This Row],[Customer_Name]])</f>
        <v>Vikram Das</v>
      </c>
      <c r="F410" t="s">
        <v>44</v>
      </c>
      <c r="G410">
        <v>43</v>
      </c>
      <c r="H410" t="s">
        <v>98</v>
      </c>
      <c r="I410" t="str">
        <f>TRIM(excelsalesdata[[#This Row],[City]])</f>
        <v>Mumbai</v>
      </c>
      <c r="J410" t="s">
        <v>25</v>
      </c>
      <c r="K410" t="s">
        <v>26</v>
      </c>
      <c r="L410" t="s">
        <v>38</v>
      </c>
      <c r="M410" t="s">
        <v>73</v>
      </c>
      <c r="N410" t="s">
        <v>73</v>
      </c>
      <c r="O410">
        <v>1</v>
      </c>
      <c r="P410">
        <v>4960</v>
      </c>
      <c r="Q410">
        <v>0.15</v>
      </c>
      <c r="R410">
        <v>3260</v>
      </c>
      <c r="S410" t="s">
        <v>56</v>
      </c>
      <c r="T410" t="s">
        <v>30</v>
      </c>
      <c r="U410">
        <v>4</v>
      </c>
      <c r="V410" t="s">
        <v>40</v>
      </c>
      <c r="W410">
        <f>excelsalesdata[[#This Row],[Quantity]]*excelsalesdata[[#This Row],[Unit_Price]]</f>
        <v>4960</v>
      </c>
      <c r="X410">
        <f>excelsalesdata[[#This Row],[Gross_sales]]*excelsalesdata[[#This Row],[Discount_%]]</f>
        <v>744</v>
      </c>
      <c r="Y410">
        <f>excelsalesdata[[#This Row],[Gross_sales]]-excelsalesdata[[#This Row],[Discount_amt]]</f>
        <v>4216</v>
      </c>
      <c r="Z410" s="4">
        <f>excelsalesdata[[#This Row],[Net_sales]]-excelsalesdata[[#This Row],[Cost]]</f>
        <v>956</v>
      </c>
      <c r="AA410" s="5">
        <f>excelsalesdata[[#This Row],[Profit]]/excelsalesdata[[#This Row],[Net_sales]]</f>
        <v>0.22675521821631878</v>
      </c>
      <c r="AB410" s="4">
        <f>YEAR(excelsalesdata[[#This Row],[Order_Date]])</f>
        <v>2026</v>
      </c>
      <c r="AC410" s="4" t="str">
        <f>TEXT(excelsalesdata[[#This Row],[Order_Date]],"mmm")</f>
        <v>May</v>
      </c>
      <c r="AD410" s="4" t="str">
        <f>"Q"&amp;ROUNDUP(MONTH(excelsalesdata[[#This Row],[Order_Date]])/3,0)</f>
        <v>Q2</v>
      </c>
    </row>
    <row r="411" spans="1:30" x14ac:dyDescent="0.35">
      <c r="A411" t="s">
        <v>986</v>
      </c>
      <c r="B411" s="3">
        <v>46169</v>
      </c>
      <c r="C411" t="s">
        <v>987</v>
      </c>
      <c r="D411" t="s">
        <v>392</v>
      </c>
      <c r="E411" t="str">
        <f>TRIM(excelsalesdata[[#This Row],[Customer_Name]])</f>
        <v>Meera Joshi</v>
      </c>
      <c r="F411" t="s">
        <v>44</v>
      </c>
      <c r="G411">
        <v>57</v>
      </c>
      <c r="H411" t="s">
        <v>98</v>
      </c>
      <c r="I411" t="str">
        <f>TRIM(excelsalesdata[[#This Row],[City]])</f>
        <v>Mumbai</v>
      </c>
      <c r="J411" t="s">
        <v>25</v>
      </c>
      <c r="K411" t="s">
        <v>26</v>
      </c>
      <c r="L411" t="s">
        <v>27</v>
      </c>
      <c r="M411" t="s">
        <v>123</v>
      </c>
      <c r="N411" t="s">
        <v>123</v>
      </c>
      <c r="O411">
        <v>1</v>
      </c>
      <c r="P411">
        <v>2690</v>
      </c>
      <c r="Q411">
        <v>0.1</v>
      </c>
      <c r="R411">
        <v>1640</v>
      </c>
      <c r="S411" t="s">
        <v>29</v>
      </c>
      <c r="T411" t="s">
        <v>30</v>
      </c>
      <c r="U411">
        <v>5</v>
      </c>
      <c r="V411" t="s">
        <v>40</v>
      </c>
      <c r="W411">
        <f>excelsalesdata[[#This Row],[Quantity]]*excelsalesdata[[#This Row],[Unit_Price]]</f>
        <v>2690</v>
      </c>
      <c r="X411">
        <f>excelsalesdata[[#This Row],[Gross_sales]]*excelsalesdata[[#This Row],[Discount_%]]</f>
        <v>269</v>
      </c>
      <c r="Y411">
        <f>excelsalesdata[[#This Row],[Gross_sales]]-excelsalesdata[[#This Row],[Discount_amt]]</f>
        <v>2421</v>
      </c>
      <c r="Z411" s="4">
        <f>excelsalesdata[[#This Row],[Net_sales]]-excelsalesdata[[#This Row],[Cost]]</f>
        <v>781</v>
      </c>
      <c r="AA411" s="5">
        <f>excelsalesdata[[#This Row],[Profit]]/excelsalesdata[[#This Row],[Net_sales]]</f>
        <v>0.32259396943411811</v>
      </c>
      <c r="AB411" s="4">
        <f>YEAR(excelsalesdata[[#This Row],[Order_Date]])</f>
        <v>2026</v>
      </c>
      <c r="AC411" s="4" t="str">
        <f>TEXT(excelsalesdata[[#This Row],[Order_Date]],"mmm")</f>
        <v>May</v>
      </c>
      <c r="AD411" s="4" t="str">
        <f>"Q"&amp;ROUNDUP(MONTH(excelsalesdata[[#This Row],[Order_Date]])/3,0)</f>
        <v>Q2</v>
      </c>
    </row>
    <row r="412" spans="1:30" x14ac:dyDescent="0.35">
      <c r="A412" t="s">
        <v>989</v>
      </c>
      <c r="B412" s="3">
        <v>46170</v>
      </c>
      <c r="C412" t="s">
        <v>990</v>
      </c>
      <c r="D412" t="s">
        <v>605</v>
      </c>
      <c r="E412" t="str">
        <f>TRIM(excelsalesdata[[#This Row],[Customer_Name]])</f>
        <v>Rahul Gupta</v>
      </c>
      <c r="F412" t="s">
        <v>44</v>
      </c>
      <c r="G412">
        <v>19</v>
      </c>
      <c r="H412" t="s">
        <v>98</v>
      </c>
      <c r="I412" t="str">
        <f>TRIM(excelsalesdata[[#This Row],[City]])</f>
        <v>Mumbai</v>
      </c>
      <c r="J412" t="s">
        <v>25</v>
      </c>
      <c r="K412" t="s">
        <v>26</v>
      </c>
      <c r="L412" t="s">
        <v>54</v>
      </c>
      <c r="M412" t="s">
        <v>55</v>
      </c>
      <c r="N412" t="s">
        <v>55</v>
      </c>
      <c r="O412">
        <v>1</v>
      </c>
      <c r="P412">
        <v>6730</v>
      </c>
      <c r="Q412">
        <v>0.1</v>
      </c>
      <c r="R412">
        <v>4330</v>
      </c>
      <c r="S412" t="s">
        <v>67</v>
      </c>
      <c r="T412" t="s">
        <v>74</v>
      </c>
      <c r="U412">
        <v>4</v>
      </c>
      <c r="V412" t="s">
        <v>40</v>
      </c>
      <c r="W412">
        <f>excelsalesdata[[#This Row],[Quantity]]*excelsalesdata[[#This Row],[Unit_Price]]</f>
        <v>6730</v>
      </c>
      <c r="X412">
        <f>excelsalesdata[[#This Row],[Gross_sales]]*excelsalesdata[[#This Row],[Discount_%]]</f>
        <v>673</v>
      </c>
      <c r="Y412">
        <f>excelsalesdata[[#This Row],[Gross_sales]]-excelsalesdata[[#This Row],[Discount_amt]]</f>
        <v>6057</v>
      </c>
      <c r="Z412" s="4">
        <f>excelsalesdata[[#This Row],[Net_sales]]-excelsalesdata[[#This Row],[Cost]]</f>
        <v>1727</v>
      </c>
      <c r="AA412" s="5">
        <f>excelsalesdata[[#This Row],[Profit]]/excelsalesdata[[#This Row],[Net_sales]]</f>
        <v>0.28512464916625391</v>
      </c>
      <c r="AB412" s="4">
        <f>YEAR(excelsalesdata[[#This Row],[Order_Date]])</f>
        <v>2026</v>
      </c>
      <c r="AC412" s="4" t="str">
        <f>TEXT(excelsalesdata[[#This Row],[Order_Date]],"mmm")</f>
        <v>May</v>
      </c>
      <c r="AD412" s="4" t="str">
        <f>"Q"&amp;ROUNDUP(MONTH(excelsalesdata[[#This Row],[Order_Date]])/3,0)</f>
        <v>Q2</v>
      </c>
    </row>
    <row r="413" spans="1:30" x14ac:dyDescent="0.35">
      <c r="A413" t="s">
        <v>991</v>
      </c>
      <c r="B413" s="3">
        <v>46171</v>
      </c>
      <c r="C413" t="s">
        <v>992</v>
      </c>
      <c r="D413" t="s">
        <v>994</v>
      </c>
      <c r="E413" t="str">
        <f>TRIM(excelsalesdata[[#This Row],[Customer_Name]])</f>
        <v>Rohan Shah</v>
      </c>
      <c r="F413" t="s">
        <v>23</v>
      </c>
      <c r="G413">
        <v>39</v>
      </c>
      <c r="H413" t="s">
        <v>155</v>
      </c>
      <c r="I413" t="str">
        <f>TRIM(excelsalesdata[[#This Row],[City]])</f>
        <v>Chennai</v>
      </c>
      <c r="J413" t="s">
        <v>156</v>
      </c>
      <c r="K413" t="s">
        <v>47</v>
      </c>
      <c r="L413" t="s">
        <v>54</v>
      </c>
      <c r="M413" t="s">
        <v>55</v>
      </c>
      <c r="N413" t="s">
        <v>55</v>
      </c>
      <c r="O413">
        <v>1</v>
      </c>
      <c r="P413">
        <v>7000</v>
      </c>
      <c r="Q413">
        <v>0.15</v>
      </c>
      <c r="R413">
        <v>4390</v>
      </c>
      <c r="S413" t="s">
        <v>151</v>
      </c>
      <c r="T413" t="s">
        <v>30</v>
      </c>
      <c r="U413">
        <v>5</v>
      </c>
      <c r="V413" t="s">
        <v>40</v>
      </c>
      <c r="W413">
        <f>excelsalesdata[[#This Row],[Quantity]]*excelsalesdata[[#This Row],[Unit_Price]]</f>
        <v>7000</v>
      </c>
      <c r="X413">
        <f>excelsalesdata[[#This Row],[Gross_sales]]*excelsalesdata[[#This Row],[Discount_%]]</f>
        <v>1050</v>
      </c>
      <c r="Y413">
        <f>excelsalesdata[[#This Row],[Gross_sales]]-excelsalesdata[[#This Row],[Discount_amt]]</f>
        <v>5950</v>
      </c>
      <c r="Z413" s="4">
        <f>excelsalesdata[[#This Row],[Net_sales]]-excelsalesdata[[#This Row],[Cost]]</f>
        <v>1560</v>
      </c>
      <c r="AA413" s="5">
        <f>excelsalesdata[[#This Row],[Profit]]/excelsalesdata[[#This Row],[Net_sales]]</f>
        <v>0.26218487394957984</v>
      </c>
      <c r="AB413" s="4">
        <f>YEAR(excelsalesdata[[#This Row],[Order_Date]])</f>
        <v>2026</v>
      </c>
      <c r="AC413" s="4" t="str">
        <f>TEXT(excelsalesdata[[#This Row],[Order_Date]],"mmm")</f>
        <v>May</v>
      </c>
      <c r="AD413" s="4" t="str">
        <f>"Q"&amp;ROUNDUP(MONTH(excelsalesdata[[#This Row],[Order_Date]])/3,0)</f>
        <v>Q2</v>
      </c>
    </row>
    <row r="414" spans="1:30" x14ac:dyDescent="0.35">
      <c r="A414" t="s">
        <v>993</v>
      </c>
      <c r="B414" s="3">
        <v>46172</v>
      </c>
      <c r="C414" t="s">
        <v>970</v>
      </c>
      <c r="D414" t="s">
        <v>154</v>
      </c>
      <c r="E414" t="str">
        <f>TRIM(excelsalesdata[[#This Row],[Customer_Name]])</f>
        <v>Rohan Rao</v>
      </c>
      <c r="F414" t="s">
        <v>44</v>
      </c>
      <c r="G414">
        <v>27</v>
      </c>
      <c r="H414" t="s">
        <v>78</v>
      </c>
      <c r="I414" t="str">
        <f>TRIM(excelsalesdata[[#This Row],[City]])</f>
        <v>Guwahati</v>
      </c>
      <c r="J414" t="s">
        <v>79</v>
      </c>
      <c r="K414" t="s">
        <v>37</v>
      </c>
      <c r="L414" t="s">
        <v>54</v>
      </c>
      <c r="M414" t="s">
        <v>55</v>
      </c>
      <c r="N414" t="s">
        <v>55</v>
      </c>
      <c r="O414">
        <v>3</v>
      </c>
      <c r="P414">
        <v>6620</v>
      </c>
      <c r="Q414">
        <v>0</v>
      </c>
      <c r="R414">
        <v>4340</v>
      </c>
      <c r="S414" t="s">
        <v>67</v>
      </c>
      <c r="T414" t="s">
        <v>30</v>
      </c>
      <c r="U414">
        <v>3</v>
      </c>
      <c r="V414" t="s">
        <v>31</v>
      </c>
      <c r="W414">
        <f>excelsalesdata[[#This Row],[Quantity]]*excelsalesdata[[#This Row],[Unit_Price]]</f>
        <v>19860</v>
      </c>
      <c r="X414">
        <f>excelsalesdata[[#This Row],[Gross_sales]]*excelsalesdata[[#This Row],[Discount_%]]</f>
        <v>0</v>
      </c>
      <c r="Y414">
        <f>excelsalesdata[[#This Row],[Gross_sales]]-excelsalesdata[[#This Row],[Discount_amt]]</f>
        <v>19860</v>
      </c>
      <c r="Z414" s="4">
        <f>excelsalesdata[[#This Row],[Net_sales]]-excelsalesdata[[#This Row],[Cost]]</f>
        <v>15520</v>
      </c>
      <c r="AA414" s="5">
        <f>excelsalesdata[[#This Row],[Profit]]/excelsalesdata[[#This Row],[Net_sales]]</f>
        <v>0.78147029204431018</v>
      </c>
      <c r="AB414" s="4">
        <f>YEAR(excelsalesdata[[#This Row],[Order_Date]])</f>
        <v>2026</v>
      </c>
      <c r="AC414" s="4" t="str">
        <f>TEXT(excelsalesdata[[#This Row],[Order_Date]],"mmm")</f>
        <v>May</v>
      </c>
      <c r="AD414" s="4" t="str">
        <f>"Q"&amp;ROUNDUP(MONTH(excelsalesdata[[#This Row],[Order_Date]])/3,0)</f>
        <v>Q2</v>
      </c>
    </row>
    <row r="415" spans="1:30" x14ac:dyDescent="0.35">
      <c r="A415" t="s">
        <v>995</v>
      </c>
      <c r="B415" s="3">
        <v>46173</v>
      </c>
      <c r="C415" t="s">
        <v>349</v>
      </c>
      <c r="D415" t="s">
        <v>792</v>
      </c>
      <c r="E415" t="str">
        <f>TRIM(excelsalesdata[[#This Row],[Customer_Name]])</f>
        <v>Nisha Das</v>
      </c>
      <c r="F415" t="s">
        <v>23</v>
      </c>
      <c r="G415">
        <v>41</v>
      </c>
      <c r="H415" t="s">
        <v>35</v>
      </c>
      <c r="I415" t="str">
        <f>TRIM(excelsalesdata[[#This Row],[City]])</f>
        <v>Kolkata</v>
      </c>
      <c r="J415" t="s">
        <v>36</v>
      </c>
      <c r="K415" t="s">
        <v>37</v>
      </c>
      <c r="L415" t="s">
        <v>54</v>
      </c>
      <c r="M415" t="s">
        <v>157</v>
      </c>
      <c r="N415" t="s">
        <v>157</v>
      </c>
      <c r="O415">
        <v>2</v>
      </c>
      <c r="P415">
        <v>52530</v>
      </c>
      <c r="Q415">
        <v>0.1</v>
      </c>
      <c r="R415">
        <v>43680</v>
      </c>
      <c r="S415" t="s">
        <v>29</v>
      </c>
      <c r="T415" t="s">
        <v>30</v>
      </c>
      <c r="U415">
        <v>5</v>
      </c>
      <c r="V415" t="s">
        <v>40</v>
      </c>
      <c r="W415">
        <f>excelsalesdata[[#This Row],[Quantity]]*excelsalesdata[[#This Row],[Unit_Price]]</f>
        <v>105060</v>
      </c>
      <c r="X415">
        <f>excelsalesdata[[#This Row],[Gross_sales]]*excelsalesdata[[#This Row],[Discount_%]]</f>
        <v>10506</v>
      </c>
      <c r="Y415">
        <f>excelsalesdata[[#This Row],[Gross_sales]]-excelsalesdata[[#This Row],[Discount_amt]]</f>
        <v>94554</v>
      </c>
      <c r="Z415" s="4">
        <f>excelsalesdata[[#This Row],[Net_sales]]-excelsalesdata[[#This Row],[Cost]]</f>
        <v>50874</v>
      </c>
      <c r="AA415" s="5">
        <f>excelsalesdata[[#This Row],[Profit]]/excelsalesdata[[#This Row],[Net_sales]]</f>
        <v>0.53804175391839582</v>
      </c>
      <c r="AB415" s="4">
        <f>YEAR(excelsalesdata[[#This Row],[Order_Date]])</f>
        <v>2026</v>
      </c>
      <c r="AC415" s="4" t="str">
        <f>TEXT(excelsalesdata[[#This Row],[Order_Date]],"mmm")</f>
        <v>May</v>
      </c>
      <c r="AD415" s="4" t="str">
        <f>"Q"&amp;ROUNDUP(MONTH(excelsalesdata[[#This Row],[Order_Date]])/3,0)</f>
        <v>Q2</v>
      </c>
    </row>
    <row r="416" spans="1:30" x14ac:dyDescent="0.35">
      <c r="A416" t="s">
        <v>996</v>
      </c>
      <c r="B416" s="3">
        <v>46174</v>
      </c>
      <c r="C416" t="s">
        <v>322</v>
      </c>
      <c r="D416" t="s">
        <v>208</v>
      </c>
      <c r="E416" t="str">
        <f>TRIM(excelsalesdata[[#This Row],[Customer_Name]])</f>
        <v>Aarav Singh</v>
      </c>
      <c r="F416" t="s">
        <v>44</v>
      </c>
      <c r="G416">
        <v>36</v>
      </c>
      <c r="H416" t="s">
        <v>133</v>
      </c>
      <c r="I416" t="str">
        <f>TRIM(excelsalesdata[[#This Row],[City]])</f>
        <v>Jaipur</v>
      </c>
      <c r="J416" t="s">
        <v>134</v>
      </c>
      <c r="K416" t="s">
        <v>61</v>
      </c>
      <c r="L416" t="s">
        <v>85</v>
      </c>
      <c r="M416" t="s">
        <v>86</v>
      </c>
      <c r="N416" t="s">
        <v>86</v>
      </c>
      <c r="O416">
        <v>1</v>
      </c>
      <c r="P416">
        <v>2470</v>
      </c>
      <c r="Q416">
        <v>0.1</v>
      </c>
      <c r="R416">
        <v>1540</v>
      </c>
      <c r="S416" t="s">
        <v>105</v>
      </c>
      <c r="T416" t="s">
        <v>30</v>
      </c>
      <c r="U416">
        <v>10</v>
      </c>
      <c r="V416" t="s">
        <v>31</v>
      </c>
      <c r="W416">
        <f>excelsalesdata[[#This Row],[Quantity]]*excelsalesdata[[#This Row],[Unit_Price]]</f>
        <v>2470</v>
      </c>
      <c r="X416">
        <f>excelsalesdata[[#This Row],[Gross_sales]]*excelsalesdata[[#This Row],[Discount_%]]</f>
        <v>247</v>
      </c>
      <c r="Y416">
        <f>excelsalesdata[[#This Row],[Gross_sales]]-excelsalesdata[[#This Row],[Discount_amt]]</f>
        <v>2223</v>
      </c>
      <c r="Z416" s="4">
        <f>excelsalesdata[[#This Row],[Net_sales]]-excelsalesdata[[#This Row],[Cost]]</f>
        <v>683</v>
      </c>
      <c r="AA416" s="5">
        <f>excelsalesdata[[#This Row],[Profit]]/excelsalesdata[[#This Row],[Net_sales]]</f>
        <v>0.30724246513720199</v>
      </c>
      <c r="AB416" s="4">
        <f>YEAR(excelsalesdata[[#This Row],[Order_Date]])</f>
        <v>2026</v>
      </c>
      <c r="AC416" s="4" t="str">
        <f>TEXT(excelsalesdata[[#This Row],[Order_Date]],"mmm")</f>
        <v>Jun</v>
      </c>
      <c r="AD416" s="4" t="str">
        <f>"Q"&amp;ROUNDUP(MONTH(excelsalesdata[[#This Row],[Order_Date]])/3,0)</f>
        <v>Q2</v>
      </c>
    </row>
    <row r="417" spans="1:30" x14ac:dyDescent="0.35">
      <c r="A417" t="s">
        <v>997</v>
      </c>
      <c r="B417" s="3">
        <v>46175</v>
      </c>
      <c r="C417" t="s">
        <v>621</v>
      </c>
      <c r="D417" t="s">
        <v>368</v>
      </c>
      <c r="E417" t="str">
        <f>TRIM(excelsalesdata[[#This Row],[Customer_Name]])</f>
        <v>Aditya Naidu</v>
      </c>
      <c r="F417" t="s">
        <v>44</v>
      </c>
      <c r="G417">
        <v>55</v>
      </c>
      <c r="H417" t="s">
        <v>71</v>
      </c>
      <c r="I417" t="str">
        <f>TRIM(excelsalesdata[[#This Row],[City]])</f>
        <v>Bhubaneswar</v>
      </c>
      <c r="J417" t="s">
        <v>72</v>
      </c>
      <c r="K417" t="s">
        <v>37</v>
      </c>
      <c r="L417" t="s">
        <v>54</v>
      </c>
      <c r="M417" t="s">
        <v>55</v>
      </c>
      <c r="N417" t="s">
        <v>55</v>
      </c>
      <c r="O417">
        <v>3</v>
      </c>
      <c r="P417">
        <v>7160</v>
      </c>
      <c r="Q417">
        <v>0.15</v>
      </c>
      <c r="R417">
        <v>4330</v>
      </c>
      <c r="S417" t="s">
        <v>105</v>
      </c>
      <c r="T417" t="s">
        <v>99</v>
      </c>
      <c r="U417">
        <v>6</v>
      </c>
      <c r="V417" t="s">
        <v>31</v>
      </c>
      <c r="W417">
        <f>excelsalesdata[[#This Row],[Quantity]]*excelsalesdata[[#This Row],[Unit_Price]]</f>
        <v>21480</v>
      </c>
      <c r="X417">
        <f>excelsalesdata[[#This Row],[Gross_sales]]*excelsalesdata[[#This Row],[Discount_%]]</f>
        <v>3222</v>
      </c>
      <c r="Y417">
        <f>excelsalesdata[[#This Row],[Gross_sales]]-excelsalesdata[[#This Row],[Discount_amt]]</f>
        <v>18258</v>
      </c>
      <c r="Z417" s="4">
        <f>excelsalesdata[[#This Row],[Net_sales]]-excelsalesdata[[#This Row],[Cost]]</f>
        <v>13928</v>
      </c>
      <c r="AA417" s="5">
        <f>excelsalesdata[[#This Row],[Profit]]/excelsalesdata[[#This Row],[Net_sales]]</f>
        <v>0.76284368496001753</v>
      </c>
      <c r="AB417" s="4">
        <f>YEAR(excelsalesdata[[#This Row],[Order_Date]])</f>
        <v>2026</v>
      </c>
      <c r="AC417" s="4" t="str">
        <f>TEXT(excelsalesdata[[#This Row],[Order_Date]],"mmm")</f>
        <v>Jun</v>
      </c>
      <c r="AD417" s="4" t="str">
        <f>"Q"&amp;ROUNDUP(MONTH(excelsalesdata[[#This Row],[Order_Date]])/3,0)</f>
        <v>Q2</v>
      </c>
    </row>
    <row r="418" spans="1:30" x14ac:dyDescent="0.35">
      <c r="A418" t="s">
        <v>998</v>
      </c>
      <c r="B418" s="3">
        <v>46176</v>
      </c>
      <c r="C418" t="s">
        <v>999</v>
      </c>
      <c r="D418" t="s">
        <v>798</v>
      </c>
      <c r="E418" t="str">
        <f>TRIM(excelsalesdata[[#This Row],[Customer_Name]])</f>
        <v>Rahul Bhat</v>
      </c>
      <c r="F418" t="s">
        <v>44</v>
      </c>
      <c r="G418">
        <v>35</v>
      </c>
      <c r="H418" t="s">
        <v>71</v>
      </c>
      <c r="I418" t="str">
        <f>TRIM(excelsalesdata[[#This Row],[City]])</f>
        <v>Bhubaneswar</v>
      </c>
      <c r="J418" t="s">
        <v>72</v>
      </c>
      <c r="K418" t="s">
        <v>37</v>
      </c>
      <c r="L418" t="s">
        <v>93</v>
      </c>
      <c r="M418" t="s">
        <v>718</v>
      </c>
      <c r="N418" t="s">
        <v>718</v>
      </c>
      <c r="O418">
        <v>1</v>
      </c>
      <c r="P418">
        <v>1780</v>
      </c>
      <c r="Q418">
        <v>0.1</v>
      </c>
      <c r="R418">
        <v>940</v>
      </c>
      <c r="S418" t="s">
        <v>105</v>
      </c>
      <c r="T418" t="s">
        <v>30</v>
      </c>
      <c r="U418">
        <v>4</v>
      </c>
      <c r="V418" t="s">
        <v>40</v>
      </c>
      <c r="W418">
        <f>excelsalesdata[[#This Row],[Quantity]]*excelsalesdata[[#This Row],[Unit_Price]]</f>
        <v>1780</v>
      </c>
      <c r="X418">
        <f>excelsalesdata[[#This Row],[Gross_sales]]*excelsalesdata[[#This Row],[Discount_%]]</f>
        <v>178</v>
      </c>
      <c r="Y418">
        <f>excelsalesdata[[#This Row],[Gross_sales]]-excelsalesdata[[#This Row],[Discount_amt]]</f>
        <v>1602</v>
      </c>
      <c r="Z418" s="4">
        <f>excelsalesdata[[#This Row],[Net_sales]]-excelsalesdata[[#This Row],[Cost]]</f>
        <v>662</v>
      </c>
      <c r="AA418" s="5">
        <f>excelsalesdata[[#This Row],[Profit]]/excelsalesdata[[#This Row],[Net_sales]]</f>
        <v>0.41323345817727841</v>
      </c>
      <c r="AB418" s="4">
        <f>YEAR(excelsalesdata[[#This Row],[Order_Date]])</f>
        <v>2026</v>
      </c>
      <c r="AC418" s="4" t="str">
        <f>TEXT(excelsalesdata[[#This Row],[Order_Date]],"mmm")</f>
        <v>Jun</v>
      </c>
      <c r="AD418" s="4" t="str">
        <f>"Q"&amp;ROUNDUP(MONTH(excelsalesdata[[#This Row],[Order_Date]])/3,0)</f>
        <v>Q2</v>
      </c>
    </row>
    <row r="419" spans="1:30" x14ac:dyDescent="0.35">
      <c r="A419" t="s">
        <v>1000</v>
      </c>
      <c r="B419" s="3">
        <v>46177</v>
      </c>
      <c r="C419" t="s">
        <v>1001</v>
      </c>
      <c r="D419" t="s">
        <v>655</v>
      </c>
      <c r="E419" t="str">
        <f>TRIM(excelsalesdata[[#This Row],[Customer_Name]])</f>
        <v>Arjun Naidu</v>
      </c>
      <c r="F419" t="s">
        <v>44</v>
      </c>
      <c r="G419">
        <v>27</v>
      </c>
      <c r="H419" t="s">
        <v>45</v>
      </c>
      <c r="I419" t="str">
        <f>TRIM(excelsalesdata[[#This Row],[City]])</f>
        <v>Kochi</v>
      </c>
      <c r="J419" t="s">
        <v>46</v>
      </c>
      <c r="K419" t="s">
        <v>47</v>
      </c>
      <c r="L419" t="s">
        <v>38</v>
      </c>
      <c r="M419" t="s">
        <v>255</v>
      </c>
      <c r="N419" t="s">
        <v>255</v>
      </c>
      <c r="O419">
        <v>3</v>
      </c>
      <c r="P419">
        <v>4640</v>
      </c>
      <c r="Q419">
        <v>0.05</v>
      </c>
      <c r="R419">
        <v>2770</v>
      </c>
      <c r="S419" t="s">
        <v>80</v>
      </c>
      <c r="T419" t="s">
        <v>30</v>
      </c>
      <c r="U419">
        <v>2</v>
      </c>
      <c r="V419" t="s">
        <v>31</v>
      </c>
      <c r="W419">
        <f>excelsalesdata[[#This Row],[Quantity]]*excelsalesdata[[#This Row],[Unit_Price]]</f>
        <v>13920</v>
      </c>
      <c r="X419">
        <f>excelsalesdata[[#This Row],[Gross_sales]]*excelsalesdata[[#This Row],[Discount_%]]</f>
        <v>696</v>
      </c>
      <c r="Y419">
        <f>excelsalesdata[[#This Row],[Gross_sales]]-excelsalesdata[[#This Row],[Discount_amt]]</f>
        <v>13224</v>
      </c>
      <c r="Z419" s="4">
        <f>excelsalesdata[[#This Row],[Net_sales]]-excelsalesdata[[#This Row],[Cost]]</f>
        <v>10454</v>
      </c>
      <c r="AA419" s="5">
        <f>excelsalesdata[[#This Row],[Profit]]/excelsalesdata[[#This Row],[Net_sales]]</f>
        <v>0.79053236539624927</v>
      </c>
      <c r="AB419" s="4">
        <f>YEAR(excelsalesdata[[#This Row],[Order_Date]])</f>
        <v>2026</v>
      </c>
      <c r="AC419" s="4" t="str">
        <f>TEXT(excelsalesdata[[#This Row],[Order_Date]],"mmm")</f>
        <v>Jun</v>
      </c>
      <c r="AD419" s="4" t="str">
        <f>"Q"&amp;ROUNDUP(MONTH(excelsalesdata[[#This Row],[Order_Date]])/3,0)</f>
        <v>Q2</v>
      </c>
    </row>
    <row r="420" spans="1:30" x14ac:dyDescent="0.35">
      <c r="A420" t="s">
        <v>1002</v>
      </c>
      <c r="B420" s="3">
        <v>46178</v>
      </c>
      <c r="C420" t="s">
        <v>1003</v>
      </c>
      <c r="D420" t="s">
        <v>593</v>
      </c>
      <c r="E420" t="str">
        <f>TRIM(excelsalesdata[[#This Row],[Customer_Name]])</f>
        <v>Nisha Gupta</v>
      </c>
      <c r="F420" t="s">
        <v>23</v>
      </c>
      <c r="G420">
        <v>33</v>
      </c>
      <c r="H420" t="s">
        <v>24</v>
      </c>
      <c r="I420" t="str">
        <f>TRIM(excelsalesdata[[#This Row],[City]])</f>
        <v>Pune</v>
      </c>
      <c r="J420" t="s">
        <v>25</v>
      </c>
      <c r="K420" t="s">
        <v>26</v>
      </c>
      <c r="L420" t="s">
        <v>27</v>
      </c>
      <c r="M420" t="s">
        <v>48</v>
      </c>
      <c r="N420" t="s">
        <v>48</v>
      </c>
      <c r="O420">
        <v>2</v>
      </c>
      <c r="P420">
        <v>950</v>
      </c>
      <c r="Q420">
        <v>0.05</v>
      </c>
      <c r="R420">
        <v>450</v>
      </c>
      <c r="S420" t="s">
        <v>67</v>
      </c>
      <c r="T420" t="s">
        <v>74</v>
      </c>
      <c r="U420">
        <v>2</v>
      </c>
      <c r="V420" t="s">
        <v>40</v>
      </c>
      <c r="W420">
        <f>excelsalesdata[[#This Row],[Quantity]]*excelsalesdata[[#This Row],[Unit_Price]]</f>
        <v>1900</v>
      </c>
      <c r="X420">
        <f>excelsalesdata[[#This Row],[Gross_sales]]*excelsalesdata[[#This Row],[Discount_%]]</f>
        <v>95</v>
      </c>
      <c r="Y420">
        <f>excelsalesdata[[#This Row],[Gross_sales]]-excelsalesdata[[#This Row],[Discount_amt]]</f>
        <v>1805</v>
      </c>
      <c r="Z420" s="4">
        <f>excelsalesdata[[#This Row],[Net_sales]]-excelsalesdata[[#This Row],[Cost]]</f>
        <v>1355</v>
      </c>
      <c r="AA420" s="5">
        <f>excelsalesdata[[#This Row],[Profit]]/excelsalesdata[[#This Row],[Net_sales]]</f>
        <v>0.75069252077562332</v>
      </c>
      <c r="AB420" s="4">
        <f>YEAR(excelsalesdata[[#This Row],[Order_Date]])</f>
        <v>2026</v>
      </c>
      <c r="AC420" s="4" t="str">
        <f>TEXT(excelsalesdata[[#This Row],[Order_Date]],"mmm")</f>
        <v>Jun</v>
      </c>
      <c r="AD420" s="4" t="str">
        <f>"Q"&amp;ROUNDUP(MONTH(excelsalesdata[[#This Row],[Order_Date]])/3,0)</f>
        <v>Q2</v>
      </c>
    </row>
    <row r="421" spans="1:30" x14ac:dyDescent="0.35">
      <c r="A421" t="s">
        <v>1004</v>
      </c>
      <c r="B421" s="3">
        <v>46179</v>
      </c>
      <c r="C421" t="s">
        <v>909</v>
      </c>
      <c r="D421" t="s">
        <v>755</v>
      </c>
      <c r="E421" t="str">
        <f>TRIM(excelsalesdata[[#This Row],[Customer_Name]])</f>
        <v>Rahul Singh</v>
      </c>
      <c r="F421" t="s">
        <v>44</v>
      </c>
      <c r="G421">
        <v>38</v>
      </c>
      <c r="H421" t="s">
        <v>190</v>
      </c>
      <c r="I421" t="str">
        <f>TRIM(excelsalesdata[[#This Row],[City]])</f>
        <v>Ahmedabad</v>
      </c>
      <c r="J421" t="s">
        <v>191</v>
      </c>
      <c r="K421" t="s">
        <v>26</v>
      </c>
      <c r="L421" t="s">
        <v>54</v>
      </c>
      <c r="M421" t="s">
        <v>157</v>
      </c>
      <c r="N421" t="s">
        <v>157</v>
      </c>
      <c r="O421">
        <v>2</v>
      </c>
      <c r="P421">
        <v>56160</v>
      </c>
      <c r="Q421">
        <v>0.1</v>
      </c>
      <c r="R421">
        <v>42350</v>
      </c>
      <c r="S421" t="s">
        <v>105</v>
      </c>
      <c r="T421" t="s">
        <v>30</v>
      </c>
      <c r="U421">
        <v>5</v>
      </c>
      <c r="V421" t="s">
        <v>40</v>
      </c>
      <c r="W421">
        <f>excelsalesdata[[#This Row],[Quantity]]*excelsalesdata[[#This Row],[Unit_Price]]</f>
        <v>112320</v>
      </c>
      <c r="X421">
        <f>excelsalesdata[[#This Row],[Gross_sales]]*excelsalesdata[[#This Row],[Discount_%]]</f>
        <v>11232</v>
      </c>
      <c r="Y421">
        <f>excelsalesdata[[#This Row],[Gross_sales]]-excelsalesdata[[#This Row],[Discount_amt]]</f>
        <v>101088</v>
      </c>
      <c r="Z421" s="4">
        <f>excelsalesdata[[#This Row],[Net_sales]]-excelsalesdata[[#This Row],[Cost]]</f>
        <v>58738</v>
      </c>
      <c r="AA421" s="5">
        <f>excelsalesdata[[#This Row],[Profit]]/excelsalesdata[[#This Row],[Net_sales]]</f>
        <v>0.58105808800253245</v>
      </c>
      <c r="AB421" s="4">
        <f>YEAR(excelsalesdata[[#This Row],[Order_Date]])</f>
        <v>2026</v>
      </c>
      <c r="AC421" s="4" t="str">
        <f>TEXT(excelsalesdata[[#This Row],[Order_Date]],"mmm")</f>
        <v>Jun</v>
      </c>
      <c r="AD421" s="4" t="str">
        <f>"Q"&amp;ROUNDUP(MONTH(excelsalesdata[[#This Row],[Order_Date]])/3,0)</f>
        <v>Q2</v>
      </c>
    </row>
    <row r="422" spans="1:30" x14ac:dyDescent="0.35">
      <c r="A422" t="s">
        <v>1005</v>
      </c>
      <c r="B422" s="3">
        <v>46180</v>
      </c>
      <c r="C422" t="s">
        <v>974</v>
      </c>
      <c r="D422" t="s">
        <v>299</v>
      </c>
      <c r="E422" t="str">
        <f>TRIM(excelsalesdata[[#This Row],[Customer_Name]])</f>
        <v>Aarav Joshi</v>
      </c>
      <c r="F422" t="s">
        <v>44</v>
      </c>
      <c r="G422">
        <v>40</v>
      </c>
      <c r="H422" t="s">
        <v>133</v>
      </c>
      <c r="I422" t="str">
        <f>TRIM(excelsalesdata[[#This Row],[City]])</f>
        <v>Jaipur</v>
      </c>
      <c r="J422" t="s">
        <v>134</v>
      </c>
      <c r="K422" t="s">
        <v>61</v>
      </c>
      <c r="L422" t="s">
        <v>103</v>
      </c>
      <c r="M422" t="s">
        <v>104</v>
      </c>
      <c r="N422" t="s">
        <v>104</v>
      </c>
      <c r="O422">
        <v>1</v>
      </c>
      <c r="P422">
        <v>8100</v>
      </c>
      <c r="Q422">
        <v>0.3</v>
      </c>
      <c r="R422">
        <v>5620</v>
      </c>
      <c r="S422" t="s">
        <v>29</v>
      </c>
      <c r="T422" t="s">
        <v>99</v>
      </c>
      <c r="U422">
        <v>8</v>
      </c>
      <c r="V422" t="s">
        <v>31</v>
      </c>
      <c r="W422">
        <f>excelsalesdata[[#This Row],[Quantity]]*excelsalesdata[[#This Row],[Unit_Price]]</f>
        <v>8100</v>
      </c>
      <c r="X422">
        <f>excelsalesdata[[#This Row],[Gross_sales]]*excelsalesdata[[#This Row],[Discount_%]]</f>
        <v>2430</v>
      </c>
      <c r="Y422">
        <f>excelsalesdata[[#This Row],[Gross_sales]]-excelsalesdata[[#This Row],[Discount_amt]]</f>
        <v>5670</v>
      </c>
      <c r="Z422" s="4">
        <f>excelsalesdata[[#This Row],[Net_sales]]-excelsalesdata[[#This Row],[Cost]]</f>
        <v>50</v>
      </c>
      <c r="AA422" s="5">
        <f>excelsalesdata[[#This Row],[Profit]]/excelsalesdata[[#This Row],[Net_sales]]</f>
        <v>8.8183421516754845E-3</v>
      </c>
      <c r="AB422" s="4">
        <f>YEAR(excelsalesdata[[#This Row],[Order_Date]])</f>
        <v>2026</v>
      </c>
      <c r="AC422" s="4" t="str">
        <f>TEXT(excelsalesdata[[#This Row],[Order_Date]],"mmm")</f>
        <v>Jun</v>
      </c>
      <c r="AD422" s="4" t="str">
        <f>"Q"&amp;ROUNDUP(MONTH(excelsalesdata[[#This Row],[Order_Date]])/3,0)</f>
        <v>Q2</v>
      </c>
    </row>
    <row r="423" spans="1:30" x14ac:dyDescent="0.35">
      <c r="A423" t="s">
        <v>1006</v>
      </c>
      <c r="B423" s="3">
        <v>46181</v>
      </c>
      <c r="C423" t="s">
        <v>462</v>
      </c>
      <c r="D423" t="s">
        <v>294</v>
      </c>
      <c r="E423" t="str">
        <f>TRIM(excelsalesdata[[#This Row],[Customer_Name]])</f>
        <v>Ananya Gupta</v>
      </c>
      <c r="F423" t="s">
        <v>23</v>
      </c>
      <c r="G423">
        <v>25</v>
      </c>
      <c r="H423" t="s">
        <v>24</v>
      </c>
      <c r="I423" t="str">
        <f>TRIM(excelsalesdata[[#This Row],[City]])</f>
        <v>Pune</v>
      </c>
      <c r="J423" t="s">
        <v>25</v>
      </c>
      <c r="K423" t="s">
        <v>26</v>
      </c>
      <c r="L423" t="s">
        <v>93</v>
      </c>
      <c r="M423" t="s">
        <v>718</v>
      </c>
      <c r="N423" t="s">
        <v>718</v>
      </c>
      <c r="O423">
        <v>1</v>
      </c>
      <c r="P423">
        <v>1760</v>
      </c>
      <c r="Q423">
        <v>0</v>
      </c>
      <c r="R423">
        <v>870</v>
      </c>
      <c r="S423" t="s">
        <v>105</v>
      </c>
      <c r="T423" t="s">
        <v>74</v>
      </c>
      <c r="U423">
        <v>8</v>
      </c>
      <c r="V423" t="s">
        <v>31</v>
      </c>
      <c r="W423">
        <f>excelsalesdata[[#This Row],[Quantity]]*excelsalesdata[[#This Row],[Unit_Price]]</f>
        <v>1760</v>
      </c>
      <c r="X423">
        <f>excelsalesdata[[#This Row],[Gross_sales]]*excelsalesdata[[#This Row],[Discount_%]]</f>
        <v>0</v>
      </c>
      <c r="Y423">
        <f>excelsalesdata[[#This Row],[Gross_sales]]-excelsalesdata[[#This Row],[Discount_amt]]</f>
        <v>1760</v>
      </c>
      <c r="Z423" s="4">
        <f>excelsalesdata[[#This Row],[Net_sales]]-excelsalesdata[[#This Row],[Cost]]</f>
        <v>890</v>
      </c>
      <c r="AA423" s="5">
        <f>excelsalesdata[[#This Row],[Profit]]/excelsalesdata[[#This Row],[Net_sales]]</f>
        <v>0.50568181818181823</v>
      </c>
      <c r="AB423" s="4">
        <f>YEAR(excelsalesdata[[#This Row],[Order_Date]])</f>
        <v>2026</v>
      </c>
      <c r="AC423" s="4" t="str">
        <f>TEXT(excelsalesdata[[#This Row],[Order_Date]],"mmm")</f>
        <v>Jun</v>
      </c>
      <c r="AD423" s="4" t="str">
        <f>"Q"&amp;ROUNDUP(MONTH(excelsalesdata[[#This Row],[Order_Date]])/3,0)</f>
        <v>Q2</v>
      </c>
    </row>
    <row r="424" spans="1:30" x14ac:dyDescent="0.35">
      <c r="A424" t="s">
        <v>1007</v>
      </c>
      <c r="B424" s="3">
        <v>46182</v>
      </c>
      <c r="C424" t="s">
        <v>21</v>
      </c>
      <c r="D424" t="s">
        <v>299</v>
      </c>
      <c r="E424" t="str">
        <f>TRIM(excelsalesdata[[#This Row],[Customer_Name]])</f>
        <v>Aarav Joshi</v>
      </c>
      <c r="F424" t="s">
        <v>44</v>
      </c>
      <c r="G424">
        <v>23</v>
      </c>
      <c r="H424" t="s">
        <v>35</v>
      </c>
      <c r="I424" t="str">
        <f>TRIM(excelsalesdata[[#This Row],[City]])</f>
        <v>Kolkata</v>
      </c>
      <c r="J424" t="s">
        <v>36</v>
      </c>
      <c r="K424" t="s">
        <v>37</v>
      </c>
      <c r="L424" t="s">
        <v>38</v>
      </c>
      <c r="M424" t="s">
        <v>255</v>
      </c>
      <c r="N424" t="s">
        <v>255</v>
      </c>
      <c r="O424">
        <v>3</v>
      </c>
      <c r="P424">
        <v>4650</v>
      </c>
      <c r="Q424">
        <v>0.2</v>
      </c>
      <c r="R424">
        <v>2770</v>
      </c>
      <c r="S424" t="s">
        <v>151</v>
      </c>
      <c r="T424" t="s">
        <v>74</v>
      </c>
      <c r="U424">
        <v>3</v>
      </c>
      <c r="V424" t="s">
        <v>31</v>
      </c>
      <c r="W424">
        <f>excelsalesdata[[#This Row],[Quantity]]*excelsalesdata[[#This Row],[Unit_Price]]</f>
        <v>13950</v>
      </c>
      <c r="X424">
        <f>excelsalesdata[[#This Row],[Gross_sales]]*excelsalesdata[[#This Row],[Discount_%]]</f>
        <v>2790</v>
      </c>
      <c r="Y424">
        <f>excelsalesdata[[#This Row],[Gross_sales]]-excelsalesdata[[#This Row],[Discount_amt]]</f>
        <v>11160</v>
      </c>
      <c r="Z424" s="4">
        <f>excelsalesdata[[#This Row],[Net_sales]]-excelsalesdata[[#This Row],[Cost]]</f>
        <v>8390</v>
      </c>
      <c r="AA424" s="5">
        <f>excelsalesdata[[#This Row],[Profit]]/excelsalesdata[[#This Row],[Net_sales]]</f>
        <v>0.75179211469534046</v>
      </c>
      <c r="AB424" s="4">
        <f>YEAR(excelsalesdata[[#This Row],[Order_Date]])</f>
        <v>2026</v>
      </c>
      <c r="AC424" s="4" t="str">
        <f>TEXT(excelsalesdata[[#This Row],[Order_Date]],"mmm")</f>
        <v>Jun</v>
      </c>
      <c r="AD424" s="4" t="str">
        <f>"Q"&amp;ROUNDUP(MONTH(excelsalesdata[[#This Row],[Order_Date]])/3,0)</f>
        <v>Q2</v>
      </c>
    </row>
    <row r="425" spans="1:30" x14ac:dyDescent="0.35">
      <c r="A425" t="s">
        <v>1008</v>
      </c>
      <c r="B425" s="3">
        <v>46183</v>
      </c>
      <c r="C425" t="s">
        <v>210</v>
      </c>
      <c r="D425" t="s">
        <v>138</v>
      </c>
      <c r="E425" t="str">
        <f>TRIM(excelsalesdata[[#This Row],[Customer_Name]])</f>
        <v>Vikram Bhat</v>
      </c>
      <c r="F425" t="s">
        <v>23</v>
      </c>
      <c r="G425">
        <v>47</v>
      </c>
      <c r="H425" t="s">
        <v>133</v>
      </c>
      <c r="I425" t="str">
        <f>TRIM(excelsalesdata[[#This Row],[City]])</f>
        <v>Jaipur</v>
      </c>
      <c r="J425" t="s">
        <v>134</v>
      </c>
      <c r="K425" t="s">
        <v>61</v>
      </c>
      <c r="L425" t="s">
        <v>54</v>
      </c>
      <c r="M425" t="s">
        <v>66</v>
      </c>
      <c r="N425" t="s">
        <v>66</v>
      </c>
      <c r="O425">
        <v>1</v>
      </c>
      <c r="P425">
        <v>2550</v>
      </c>
      <c r="Q425">
        <v>0</v>
      </c>
      <c r="R425">
        <v>1500</v>
      </c>
      <c r="S425" t="s">
        <v>29</v>
      </c>
      <c r="T425" t="s">
        <v>81</v>
      </c>
      <c r="U425">
        <v>0</v>
      </c>
      <c r="V425" t="s">
        <v>31</v>
      </c>
      <c r="W425">
        <f>excelsalesdata[[#This Row],[Quantity]]*excelsalesdata[[#This Row],[Unit_Price]]</f>
        <v>2550</v>
      </c>
      <c r="X425">
        <f>excelsalesdata[[#This Row],[Gross_sales]]*excelsalesdata[[#This Row],[Discount_%]]</f>
        <v>0</v>
      </c>
      <c r="Y425">
        <f>excelsalesdata[[#This Row],[Gross_sales]]-excelsalesdata[[#This Row],[Discount_amt]]</f>
        <v>2550</v>
      </c>
      <c r="Z425" s="4">
        <f>excelsalesdata[[#This Row],[Net_sales]]-excelsalesdata[[#This Row],[Cost]]</f>
        <v>1050</v>
      </c>
      <c r="AA425" s="5">
        <f>excelsalesdata[[#This Row],[Profit]]/excelsalesdata[[#This Row],[Net_sales]]</f>
        <v>0.41176470588235292</v>
      </c>
      <c r="AB425" s="4">
        <f>YEAR(excelsalesdata[[#This Row],[Order_Date]])</f>
        <v>2026</v>
      </c>
      <c r="AC425" s="4" t="str">
        <f>TEXT(excelsalesdata[[#This Row],[Order_Date]],"mmm")</f>
        <v>Jun</v>
      </c>
      <c r="AD425" s="4" t="str">
        <f>"Q"&amp;ROUNDUP(MONTH(excelsalesdata[[#This Row],[Order_Date]])/3,0)</f>
        <v>Q2</v>
      </c>
    </row>
    <row r="426" spans="1:30" x14ac:dyDescent="0.35">
      <c r="A426" t="s">
        <v>1009</v>
      </c>
      <c r="B426" s="3">
        <v>46184</v>
      </c>
      <c r="C426" t="s">
        <v>657</v>
      </c>
      <c r="D426" t="s">
        <v>1011</v>
      </c>
      <c r="E426" t="str">
        <f>TRIM(excelsalesdata[[#This Row],[Customer_Name]])</f>
        <v>Vivaan Rao</v>
      </c>
      <c r="F426" t="s">
        <v>23</v>
      </c>
      <c r="G426">
        <v>32</v>
      </c>
      <c r="H426" t="s">
        <v>78</v>
      </c>
      <c r="I426" t="str">
        <f>TRIM(excelsalesdata[[#This Row],[City]])</f>
        <v>Guwahati</v>
      </c>
      <c r="J426" t="s">
        <v>79</v>
      </c>
      <c r="K426" t="s">
        <v>37</v>
      </c>
      <c r="L426" t="s">
        <v>93</v>
      </c>
      <c r="M426" t="s">
        <v>94</v>
      </c>
      <c r="N426" t="s">
        <v>94</v>
      </c>
      <c r="O426">
        <v>3</v>
      </c>
      <c r="P426">
        <v>500</v>
      </c>
      <c r="Q426">
        <v>0.25</v>
      </c>
      <c r="R426">
        <v>240</v>
      </c>
      <c r="S426" t="s">
        <v>29</v>
      </c>
      <c r="T426" t="s">
        <v>30</v>
      </c>
      <c r="U426">
        <v>8</v>
      </c>
      <c r="V426" t="s">
        <v>31</v>
      </c>
      <c r="W426">
        <f>excelsalesdata[[#This Row],[Quantity]]*excelsalesdata[[#This Row],[Unit_Price]]</f>
        <v>1500</v>
      </c>
      <c r="X426">
        <f>excelsalesdata[[#This Row],[Gross_sales]]*excelsalesdata[[#This Row],[Discount_%]]</f>
        <v>375</v>
      </c>
      <c r="Y426">
        <f>excelsalesdata[[#This Row],[Gross_sales]]-excelsalesdata[[#This Row],[Discount_amt]]</f>
        <v>1125</v>
      </c>
      <c r="Z426" s="4">
        <f>excelsalesdata[[#This Row],[Net_sales]]-excelsalesdata[[#This Row],[Cost]]</f>
        <v>885</v>
      </c>
      <c r="AA426" s="5">
        <f>excelsalesdata[[#This Row],[Profit]]/excelsalesdata[[#This Row],[Net_sales]]</f>
        <v>0.78666666666666663</v>
      </c>
      <c r="AB426" s="4">
        <f>YEAR(excelsalesdata[[#This Row],[Order_Date]])</f>
        <v>2026</v>
      </c>
      <c r="AC426" s="4" t="str">
        <f>TEXT(excelsalesdata[[#This Row],[Order_Date]],"mmm")</f>
        <v>Jun</v>
      </c>
      <c r="AD426" s="4" t="str">
        <f>"Q"&amp;ROUNDUP(MONTH(excelsalesdata[[#This Row],[Order_Date]])/3,0)</f>
        <v>Q2</v>
      </c>
    </row>
    <row r="427" spans="1:30" x14ac:dyDescent="0.35">
      <c r="A427" t="s">
        <v>1010</v>
      </c>
      <c r="B427" s="3">
        <v>46185</v>
      </c>
      <c r="C427" t="s">
        <v>131</v>
      </c>
      <c r="D427" t="s">
        <v>1013</v>
      </c>
      <c r="E427" t="str">
        <f>TRIM(excelsalesdata[[#This Row],[Customer_Name]])</f>
        <v>Aarav Mehta</v>
      </c>
      <c r="F427" t="s">
        <v>23</v>
      </c>
      <c r="G427">
        <v>56</v>
      </c>
      <c r="H427" t="s">
        <v>114</v>
      </c>
      <c r="I427" t="str">
        <f>TRIM(excelsalesdata[[#This Row],[City]])</f>
        <v>Hyderabad</v>
      </c>
      <c r="J427" t="s">
        <v>115</v>
      </c>
      <c r="K427" t="s">
        <v>47</v>
      </c>
      <c r="L427" t="s">
        <v>54</v>
      </c>
      <c r="M427" t="s">
        <v>129</v>
      </c>
      <c r="N427" t="s">
        <v>129</v>
      </c>
      <c r="O427">
        <v>4</v>
      </c>
      <c r="P427">
        <v>16860</v>
      </c>
      <c r="Q427">
        <v>0.15</v>
      </c>
      <c r="R427">
        <v>13010</v>
      </c>
      <c r="S427" t="s">
        <v>29</v>
      </c>
      <c r="T427" t="s">
        <v>99</v>
      </c>
      <c r="U427">
        <v>3</v>
      </c>
      <c r="V427" t="s">
        <v>31</v>
      </c>
      <c r="W427">
        <f>excelsalesdata[[#This Row],[Quantity]]*excelsalesdata[[#This Row],[Unit_Price]]</f>
        <v>67440</v>
      </c>
      <c r="X427">
        <f>excelsalesdata[[#This Row],[Gross_sales]]*excelsalesdata[[#This Row],[Discount_%]]</f>
        <v>10116</v>
      </c>
      <c r="Y427">
        <f>excelsalesdata[[#This Row],[Gross_sales]]-excelsalesdata[[#This Row],[Discount_amt]]</f>
        <v>57324</v>
      </c>
      <c r="Z427" s="4">
        <f>excelsalesdata[[#This Row],[Net_sales]]-excelsalesdata[[#This Row],[Cost]]</f>
        <v>44314</v>
      </c>
      <c r="AA427" s="5">
        <f>excelsalesdata[[#This Row],[Profit]]/excelsalesdata[[#This Row],[Net_sales]]</f>
        <v>0.77304444909636449</v>
      </c>
      <c r="AB427" s="4">
        <f>YEAR(excelsalesdata[[#This Row],[Order_Date]])</f>
        <v>2026</v>
      </c>
      <c r="AC427" s="4" t="str">
        <f>TEXT(excelsalesdata[[#This Row],[Order_Date]],"mmm")</f>
        <v>Jun</v>
      </c>
      <c r="AD427" s="4" t="str">
        <f>"Q"&amp;ROUNDUP(MONTH(excelsalesdata[[#This Row],[Order_Date]])/3,0)</f>
        <v>Q2</v>
      </c>
    </row>
    <row r="428" spans="1:30" x14ac:dyDescent="0.35">
      <c r="A428" t="s">
        <v>1012</v>
      </c>
      <c r="B428" s="3">
        <v>46186</v>
      </c>
      <c r="C428" t="s">
        <v>737</v>
      </c>
      <c r="D428" t="s">
        <v>922</v>
      </c>
      <c r="E428" t="str">
        <f>TRIM(excelsalesdata[[#This Row],[Customer_Name]])</f>
        <v>Arjun Kumar</v>
      </c>
      <c r="F428" t="s">
        <v>44</v>
      </c>
      <c r="G428">
        <v>47</v>
      </c>
      <c r="H428" t="s">
        <v>98</v>
      </c>
      <c r="I428" t="str">
        <f>TRIM(excelsalesdata[[#This Row],[City]])</f>
        <v>Mumbai</v>
      </c>
      <c r="J428" t="s">
        <v>25</v>
      </c>
      <c r="K428" t="s">
        <v>26</v>
      </c>
      <c r="L428" t="s">
        <v>38</v>
      </c>
      <c r="M428" t="s">
        <v>39</v>
      </c>
      <c r="N428" t="s">
        <v>39</v>
      </c>
      <c r="O428">
        <v>2</v>
      </c>
      <c r="P428">
        <v>6510</v>
      </c>
      <c r="Q428">
        <v>0</v>
      </c>
      <c r="R428">
        <v>4170</v>
      </c>
      <c r="S428" t="s">
        <v>80</v>
      </c>
      <c r="T428" t="s">
        <v>30</v>
      </c>
      <c r="U428">
        <v>6</v>
      </c>
      <c r="V428" t="s">
        <v>31</v>
      </c>
      <c r="W428">
        <f>excelsalesdata[[#This Row],[Quantity]]*excelsalesdata[[#This Row],[Unit_Price]]</f>
        <v>13020</v>
      </c>
      <c r="X428">
        <f>excelsalesdata[[#This Row],[Gross_sales]]*excelsalesdata[[#This Row],[Discount_%]]</f>
        <v>0</v>
      </c>
      <c r="Y428">
        <f>excelsalesdata[[#This Row],[Gross_sales]]-excelsalesdata[[#This Row],[Discount_amt]]</f>
        <v>13020</v>
      </c>
      <c r="Z428" s="4">
        <f>excelsalesdata[[#This Row],[Net_sales]]-excelsalesdata[[#This Row],[Cost]]</f>
        <v>8850</v>
      </c>
      <c r="AA428" s="5">
        <f>excelsalesdata[[#This Row],[Profit]]/excelsalesdata[[#This Row],[Net_sales]]</f>
        <v>0.67972350230414746</v>
      </c>
      <c r="AB428" s="4">
        <f>YEAR(excelsalesdata[[#This Row],[Order_Date]])</f>
        <v>2026</v>
      </c>
      <c r="AC428" s="4" t="str">
        <f>TEXT(excelsalesdata[[#This Row],[Order_Date]],"mmm")</f>
        <v>Jun</v>
      </c>
      <c r="AD428" s="4" t="str">
        <f>"Q"&amp;ROUNDUP(MONTH(excelsalesdata[[#This Row],[Order_Date]])/3,0)</f>
        <v>Q2</v>
      </c>
    </row>
    <row r="429" spans="1:30" x14ac:dyDescent="0.35">
      <c r="A429" t="s">
        <v>1014</v>
      </c>
      <c r="B429" s="3">
        <v>46187</v>
      </c>
      <c r="C429" t="s">
        <v>193</v>
      </c>
      <c r="D429" t="s">
        <v>1016</v>
      </c>
      <c r="E429" t="str">
        <f>TRIM(excelsalesdata[[#This Row],[Customer_Name]])</f>
        <v>Meera Reddy</v>
      </c>
      <c r="F429" t="s">
        <v>44</v>
      </c>
      <c r="G429">
        <v>35</v>
      </c>
      <c r="H429" t="s">
        <v>109</v>
      </c>
      <c r="I429" t="str">
        <f>TRIM(excelsalesdata[[#This Row],[City]])</f>
        <v>Mysuru</v>
      </c>
      <c r="J429" t="s">
        <v>53</v>
      </c>
      <c r="K429" t="s">
        <v>47</v>
      </c>
      <c r="L429" t="s">
        <v>54</v>
      </c>
      <c r="M429" t="s">
        <v>157</v>
      </c>
      <c r="N429" t="s">
        <v>157</v>
      </c>
      <c r="O429">
        <v>2</v>
      </c>
      <c r="P429">
        <v>56560</v>
      </c>
      <c r="Q429">
        <v>0.15</v>
      </c>
      <c r="R429">
        <v>42540</v>
      </c>
      <c r="S429" t="s">
        <v>29</v>
      </c>
      <c r="T429" t="s">
        <v>30</v>
      </c>
      <c r="U429">
        <v>3</v>
      </c>
      <c r="V429" t="s">
        <v>40</v>
      </c>
      <c r="W429">
        <f>excelsalesdata[[#This Row],[Quantity]]*excelsalesdata[[#This Row],[Unit_Price]]</f>
        <v>113120</v>
      </c>
      <c r="X429">
        <f>excelsalesdata[[#This Row],[Gross_sales]]*excelsalesdata[[#This Row],[Discount_%]]</f>
        <v>16968</v>
      </c>
      <c r="Y429">
        <f>excelsalesdata[[#This Row],[Gross_sales]]-excelsalesdata[[#This Row],[Discount_amt]]</f>
        <v>96152</v>
      </c>
      <c r="Z429" s="4">
        <f>excelsalesdata[[#This Row],[Net_sales]]-excelsalesdata[[#This Row],[Cost]]</f>
        <v>53612</v>
      </c>
      <c r="AA429" s="5">
        <f>excelsalesdata[[#This Row],[Profit]]/excelsalesdata[[#This Row],[Net_sales]]</f>
        <v>0.55757550544970469</v>
      </c>
      <c r="AB429" s="4">
        <f>YEAR(excelsalesdata[[#This Row],[Order_Date]])</f>
        <v>2026</v>
      </c>
      <c r="AC429" s="4" t="str">
        <f>TEXT(excelsalesdata[[#This Row],[Order_Date]],"mmm")</f>
        <v>Jun</v>
      </c>
      <c r="AD429" s="4" t="str">
        <f>"Q"&amp;ROUNDUP(MONTH(excelsalesdata[[#This Row],[Order_Date]])/3,0)</f>
        <v>Q2</v>
      </c>
    </row>
    <row r="430" spans="1:30" x14ac:dyDescent="0.35">
      <c r="A430" t="s">
        <v>1015</v>
      </c>
      <c r="B430" s="3">
        <v>46188</v>
      </c>
      <c r="C430" t="s">
        <v>337</v>
      </c>
      <c r="D430" t="s">
        <v>333</v>
      </c>
      <c r="E430" t="str">
        <f>TRIM(excelsalesdata[[#This Row],[Customer_Name]])</f>
        <v>Ishita Singh</v>
      </c>
      <c r="F430" t="s">
        <v>23</v>
      </c>
      <c r="G430">
        <v>31</v>
      </c>
      <c r="H430" t="s">
        <v>52</v>
      </c>
      <c r="I430" t="str">
        <f>TRIM(excelsalesdata[[#This Row],[City]])</f>
        <v>Bengaluru</v>
      </c>
      <c r="J430" t="s">
        <v>53</v>
      </c>
      <c r="K430" t="s">
        <v>47</v>
      </c>
      <c r="L430" t="s">
        <v>54</v>
      </c>
      <c r="M430" t="s">
        <v>55</v>
      </c>
      <c r="N430" t="s">
        <v>55</v>
      </c>
      <c r="O430">
        <v>1</v>
      </c>
      <c r="P430">
        <v>6960</v>
      </c>
      <c r="Q430">
        <v>0.15</v>
      </c>
      <c r="R430">
        <v>4380</v>
      </c>
      <c r="S430" t="s">
        <v>29</v>
      </c>
      <c r="T430" t="s">
        <v>74</v>
      </c>
      <c r="U430">
        <v>3</v>
      </c>
      <c r="V430" t="s">
        <v>40</v>
      </c>
      <c r="W430">
        <f>excelsalesdata[[#This Row],[Quantity]]*excelsalesdata[[#This Row],[Unit_Price]]</f>
        <v>6960</v>
      </c>
      <c r="X430">
        <f>excelsalesdata[[#This Row],[Gross_sales]]*excelsalesdata[[#This Row],[Discount_%]]</f>
        <v>1044</v>
      </c>
      <c r="Y430">
        <f>excelsalesdata[[#This Row],[Gross_sales]]-excelsalesdata[[#This Row],[Discount_amt]]</f>
        <v>5916</v>
      </c>
      <c r="Z430" s="4">
        <f>excelsalesdata[[#This Row],[Net_sales]]-excelsalesdata[[#This Row],[Cost]]</f>
        <v>1536</v>
      </c>
      <c r="AA430" s="5">
        <f>excelsalesdata[[#This Row],[Profit]]/excelsalesdata[[#This Row],[Net_sales]]</f>
        <v>0.25963488843813387</v>
      </c>
      <c r="AB430" s="4">
        <f>YEAR(excelsalesdata[[#This Row],[Order_Date]])</f>
        <v>2026</v>
      </c>
      <c r="AC430" s="4" t="str">
        <f>TEXT(excelsalesdata[[#This Row],[Order_Date]],"mmm")</f>
        <v>Jun</v>
      </c>
      <c r="AD430" s="4" t="str">
        <f>"Q"&amp;ROUNDUP(MONTH(excelsalesdata[[#This Row],[Order_Date]])/3,0)</f>
        <v>Q2</v>
      </c>
    </row>
    <row r="431" spans="1:30" x14ac:dyDescent="0.35">
      <c r="A431" t="s">
        <v>1017</v>
      </c>
      <c r="B431" s="3">
        <v>46189</v>
      </c>
      <c r="C431" t="s">
        <v>454</v>
      </c>
      <c r="D431" t="s">
        <v>776</v>
      </c>
      <c r="E431" t="str">
        <f>TRIM(excelsalesdata[[#This Row],[Customer_Name]])</f>
        <v>Ananya Shah</v>
      </c>
      <c r="F431" t="s">
        <v>23</v>
      </c>
      <c r="G431">
        <v>21</v>
      </c>
      <c r="H431" t="s">
        <v>60</v>
      </c>
      <c r="I431" t="str">
        <f>TRIM(excelsalesdata[[#This Row],[City]])</f>
        <v>Chandigarh</v>
      </c>
      <c r="J431" t="s">
        <v>60</v>
      </c>
      <c r="K431" t="s">
        <v>61</v>
      </c>
      <c r="L431" t="s">
        <v>27</v>
      </c>
      <c r="M431" t="s">
        <v>295</v>
      </c>
      <c r="N431" t="s">
        <v>295</v>
      </c>
      <c r="O431">
        <v>1</v>
      </c>
      <c r="P431">
        <v>4380</v>
      </c>
      <c r="Q431">
        <v>0.25</v>
      </c>
      <c r="R431">
        <v>2710</v>
      </c>
      <c r="S431" t="s">
        <v>29</v>
      </c>
      <c r="T431" t="s">
        <v>74</v>
      </c>
      <c r="U431">
        <v>5</v>
      </c>
      <c r="V431" t="s">
        <v>40</v>
      </c>
      <c r="W431">
        <f>excelsalesdata[[#This Row],[Quantity]]*excelsalesdata[[#This Row],[Unit_Price]]</f>
        <v>4380</v>
      </c>
      <c r="X431">
        <f>excelsalesdata[[#This Row],[Gross_sales]]*excelsalesdata[[#This Row],[Discount_%]]</f>
        <v>1095</v>
      </c>
      <c r="Y431">
        <f>excelsalesdata[[#This Row],[Gross_sales]]-excelsalesdata[[#This Row],[Discount_amt]]</f>
        <v>3285</v>
      </c>
      <c r="Z431" s="4">
        <f>excelsalesdata[[#This Row],[Net_sales]]-excelsalesdata[[#This Row],[Cost]]</f>
        <v>575</v>
      </c>
      <c r="AA431" s="5">
        <f>excelsalesdata[[#This Row],[Profit]]/excelsalesdata[[#This Row],[Net_sales]]</f>
        <v>0.17503805175038051</v>
      </c>
      <c r="AB431" s="4">
        <f>YEAR(excelsalesdata[[#This Row],[Order_Date]])</f>
        <v>2026</v>
      </c>
      <c r="AC431" s="4" t="str">
        <f>TEXT(excelsalesdata[[#This Row],[Order_Date]],"mmm")</f>
        <v>Jun</v>
      </c>
      <c r="AD431" s="4" t="str">
        <f>"Q"&amp;ROUNDUP(MONTH(excelsalesdata[[#This Row],[Order_Date]])/3,0)</f>
        <v>Q2</v>
      </c>
    </row>
    <row r="432" spans="1:30" x14ac:dyDescent="0.35">
      <c r="A432" t="s">
        <v>1018</v>
      </c>
      <c r="B432" s="3">
        <v>46190</v>
      </c>
      <c r="C432" t="s">
        <v>1019</v>
      </c>
      <c r="D432" t="s">
        <v>731</v>
      </c>
      <c r="E432" t="str">
        <f>TRIM(excelsalesdata[[#This Row],[Customer_Name]])</f>
        <v>Diya Bhat</v>
      </c>
      <c r="F432" t="s">
        <v>23</v>
      </c>
      <c r="G432">
        <v>31</v>
      </c>
      <c r="H432" t="s">
        <v>133</v>
      </c>
      <c r="I432" t="str">
        <f>TRIM(excelsalesdata[[#This Row],[City]])</f>
        <v>Jaipur</v>
      </c>
      <c r="J432" t="s">
        <v>134</v>
      </c>
      <c r="K432" t="s">
        <v>61</v>
      </c>
      <c r="L432" t="s">
        <v>54</v>
      </c>
      <c r="M432" t="s">
        <v>157</v>
      </c>
      <c r="N432" t="s">
        <v>157</v>
      </c>
      <c r="O432">
        <v>1</v>
      </c>
      <c r="P432">
        <v>53900</v>
      </c>
      <c r="Q432">
        <v>0.15</v>
      </c>
      <c r="R432">
        <v>40510</v>
      </c>
      <c r="S432" t="s">
        <v>151</v>
      </c>
      <c r="T432" t="s">
        <v>30</v>
      </c>
      <c r="U432">
        <v>4</v>
      </c>
      <c r="V432" t="s">
        <v>40</v>
      </c>
      <c r="W432">
        <f>excelsalesdata[[#This Row],[Quantity]]*excelsalesdata[[#This Row],[Unit_Price]]</f>
        <v>53900</v>
      </c>
      <c r="X432">
        <f>excelsalesdata[[#This Row],[Gross_sales]]*excelsalesdata[[#This Row],[Discount_%]]</f>
        <v>8085</v>
      </c>
      <c r="Y432">
        <f>excelsalesdata[[#This Row],[Gross_sales]]-excelsalesdata[[#This Row],[Discount_amt]]</f>
        <v>45815</v>
      </c>
      <c r="Z432" s="4">
        <f>excelsalesdata[[#This Row],[Net_sales]]-excelsalesdata[[#This Row],[Cost]]</f>
        <v>5305</v>
      </c>
      <c r="AA432" s="5">
        <f>excelsalesdata[[#This Row],[Profit]]/excelsalesdata[[#This Row],[Net_sales]]</f>
        <v>0.11579177125395612</v>
      </c>
      <c r="AB432" s="4">
        <f>YEAR(excelsalesdata[[#This Row],[Order_Date]])</f>
        <v>2026</v>
      </c>
      <c r="AC432" s="4" t="str">
        <f>TEXT(excelsalesdata[[#This Row],[Order_Date]],"mmm")</f>
        <v>Jun</v>
      </c>
      <c r="AD432" s="4" t="str">
        <f>"Q"&amp;ROUNDUP(MONTH(excelsalesdata[[#This Row],[Order_Date]])/3,0)</f>
        <v>Q2</v>
      </c>
    </row>
    <row r="433" spans="1:30" x14ac:dyDescent="0.35">
      <c r="A433" t="s">
        <v>1020</v>
      </c>
      <c r="B433" s="3">
        <v>46191</v>
      </c>
      <c r="C433" t="s">
        <v>707</v>
      </c>
      <c r="D433" t="s">
        <v>234</v>
      </c>
      <c r="E433" t="str">
        <f>TRIM(excelsalesdata[[#This Row],[Customer_Name]])</f>
        <v>Rohan Gupta</v>
      </c>
      <c r="F433" t="s">
        <v>44</v>
      </c>
      <c r="G433">
        <v>59</v>
      </c>
      <c r="H433" t="s">
        <v>109</v>
      </c>
      <c r="I433" t="str">
        <f>TRIM(excelsalesdata[[#This Row],[City]])</f>
        <v>Mysuru</v>
      </c>
      <c r="J433" t="s">
        <v>53</v>
      </c>
      <c r="K433" t="s">
        <v>47</v>
      </c>
      <c r="L433" t="s">
        <v>85</v>
      </c>
      <c r="M433" t="s">
        <v>172</v>
      </c>
      <c r="N433" t="s">
        <v>172</v>
      </c>
      <c r="O433">
        <v>3</v>
      </c>
      <c r="P433">
        <v>4860</v>
      </c>
      <c r="Q433">
        <v>0.05</v>
      </c>
      <c r="R433">
        <v>2730</v>
      </c>
      <c r="S433" t="s">
        <v>105</v>
      </c>
      <c r="T433" t="s">
        <v>99</v>
      </c>
      <c r="U433">
        <v>6</v>
      </c>
      <c r="V433" t="s">
        <v>40</v>
      </c>
      <c r="W433">
        <f>excelsalesdata[[#This Row],[Quantity]]*excelsalesdata[[#This Row],[Unit_Price]]</f>
        <v>14580</v>
      </c>
      <c r="X433">
        <f>excelsalesdata[[#This Row],[Gross_sales]]*excelsalesdata[[#This Row],[Discount_%]]</f>
        <v>729</v>
      </c>
      <c r="Y433">
        <f>excelsalesdata[[#This Row],[Gross_sales]]-excelsalesdata[[#This Row],[Discount_amt]]</f>
        <v>13851</v>
      </c>
      <c r="Z433" s="4">
        <f>excelsalesdata[[#This Row],[Net_sales]]-excelsalesdata[[#This Row],[Cost]]</f>
        <v>11121</v>
      </c>
      <c r="AA433" s="5">
        <f>excelsalesdata[[#This Row],[Profit]]/excelsalesdata[[#This Row],[Net_sales]]</f>
        <v>0.80290231752220054</v>
      </c>
      <c r="AB433" s="4">
        <f>YEAR(excelsalesdata[[#This Row],[Order_Date]])</f>
        <v>2026</v>
      </c>
      <c r="AC433" s="4" t="str">
        <f>TEXT(excelsalesdata[[#This Row],[Order_Date]],"mmm")</f>
        <v>Jun</v>
      </c>
      <c r="AD433" s="4" t="str">
        <f>"Q"&amp;ROUNDUP(MONTH(excelsalesdata[[#This Row],[Order_Date]])/3,0)</f>
        <v>Q2</v>
      </c>
    </row>
    <row r="434" spans="1:30" x14ac:dyDescent="0.35">
      <c r="A434" t="s">
        <v>1021</v>
      </c>
      <c r="B434" s="3">
        <v>46192</v>
      </c>
      <c r="C434" t="s">
        <v>832</v>
      </c>
      <c r="D434" t="s">
        <v>972</v>
      </c>
      <c r="E434" t="str">
        <f>TRIM(excelsalesdata[[#This Row],[Customer_Name]])</f>
        <v>Ananya Reddy</v>
      </c>
      <c r="F434" t="s">
        <v>23</v>
      </c>
      <c r="G434">
        <v>26</v>
      </c>
      <c r="H434" t="s">
        <v>168</v>
      </c>
      <c r="I434" t="str">
        <f>TRIM(excelsalesdata[[#This Row],[City]])</f>
        <v>Delhi</v>
      </c>
      <c r="J434" t="s">
        <v>168</v>
      </c>
      <c r="K434" t="s">
        <v>61</v>
      </c>
      <c r="L434" t="s">
        <v>54</v>
      </c>
      <c r="M434" t="s">
        <v>66</v>
      </c>
      <c r="N434" t="s">
        <v>66</v>
      </c>
      <c r="O434">
        <v>1</v>
      </c>
      <c r="P434">
        <v>2410</v>
      </c>
      <c r="Q434">
        <v>0.2</v>
      </c>
      <c r="R434">
        <v>1480</v>
      </c>
      <c r="S434" t="s">
        <v>29</v>
      </c>
      <c r="T434" t="s">
        <v>30</v>
      </c>
      <c r="U434">
        <v>8</v>
      </c>
      <c r="V434" t="s">
        <v>40</v>
      </c>
      <c r="W434">
        <f>excelsalesdata[[#This Row],[Quantity]]*excelsalesdata[[#This Row],[Unit_Price]]</f>
        <v>2410</v>
      </c>
      <c r="X434">
        <f>excelsalesdata[[#This Row],[Gross_sales]]*excelsalesdata[[#This Row],[Discount_%]]</f>
        <v>482</v>
      </c>
      <c r="Y434">
        <f>excelsalesdata[[#This Row],[Gross_sales]]-excelsalesdata[[#This Row],[Discount_amt]]</f>
        <v>1928</v>
      </c>
      <c r="Z434" s="4">
        <f>excelsalesdata[[#This Row],[Net_sales]]-excelsalesdata[[#This Row],[Cost]]</f>
        <v>448</v>
      </c>
      <c r="AA434" s="5">
        <f>excelsalesdata[[#This Row],[Profit]]/excelsalesdata[[#This Row],[Net_sales]]</f>
        <v>0.23236514522821577</v>
      </c>
      <c r="AB434" s="4">
        <f>YEAR(excelsalesdata[[#This Row],[Order_Date]])</f>
        <v>2026</v>
      </c>
      <c r="AC434" s="4" t="str">
        <f>TEXT(excelsalesdata[[#This Row],[Order_Date]],"mmm")</f>
        <v>Jun</v>
      </c>
      <c r="AD434" s="4" t="str">
        <f>"Q"&amp;ROUNDUP(MONTH(excelsalesdata[[#This Row],[Order_Date]])/3,0)</f>
        <v>Q2</v>
      </c>
    </row>
    <row r="435" spans="1:30" x14ac:dyDescent="0.35">
      <c r="A435" t="s">
        <v>1022</v>
      </c>
      <c r="B435" s="3">
        <v>46193</v>
      </c>
      <c r="C435" t="s">
        <v>1023</v>
      </c>
      <c r="D435" t="s">
        <v>610</v>
      </c>
      <c r="E435" t="str">
        <f>TRIM(excelsalesdata[[#This Row],[Customer_Name]])</f>
        <v>Priya Das</v>
      </c>
      <c r="F435" t="s">
        <v>44</v>
      </c>
      <c r="G435">
        <v>52</v>
      </c>
      <c r="H435" t="s">
        <v>24</v>
      </c>
      <c r="I435" t="str">
        <f>TRIM(excelsalesdata[[#This Row],[City]])</f>
        <v>Pune</v>
      </c>
      <c r="J435" t="s">
        <v>25</v>
      </c>
      <c r="K435" t="s">
        <v>26</v>
      </c>
      <c r="L435" t="s">
        <v>54</v>
      </c>
      <c r="M435" t="s">
        <v>157</v>
      </c>
      <c r="N435" t="s">
        <v>157</v>
      </c>
      <c r="O435">
        <v>1</v>
      </c>
      <c r="P435">
        <v>51100</v>
      </c>
      <c r="Q435">
        <v>0</v>
      </c>
      <c r="R435">
        <v>42340</v>
      </c>
      <c r="S435" t="s">
        <v>67</v>
      </c>
      <c r="T435" t="s">
        <v>30</v>
      </c>
      <c r="U435">
        <v>6</v>
      </c>
      <c r="V435" t="s">
        <v>40</v>
      </c>
      <c r="W435">
        <f>excelsalesdata[[#This Row],[Quantity]]*excelsalesdata[[#This Row],[Unit_Price]]</f>
        <v>51100</v>
      </c>
      <c r="X435">
        <f>excelsalesdata[[#This Row],[Gross_sales]]*excelsalesdata[[#This Row],[Discount_%]]</f>
        <v>0</v>
      </c>
      <c r="Y435">
        <f>excelsalesdata[[#This Row],[Gross_sales]]-excelsalesdata[[#This Row],[Discount_amt]]</f>
        <v>51100</v>
      </c>
      <c r="Z435" s="4">
        <f>excelsalesdata[[#This Row],[Net_sales]]-excelsalesdata[[#This Row],[Cost]]</f>
        <v>8760</v>
      </c>
      <c r="AA435" s="5">
        <f>excelsalesdata[[#This Row],[Profit]]/excelsalesdata[[#This Row],[Net_sales]]</f>
        <v>0.17142857142857143</v>
      </c>
      <c r="AB435" s="4">
        <f>YEAR(excelsalesdata[[#This Row],[Order_Date]])</f>
        <v>2026</v>
      </c>
      <c r="AC435" s="4" t="str">
        <f>TEXT(excelsalesdata[[#This Row],[Order_Date]],"mmm")</f>
        <v>Jun</v>
      </c>
      <c r="AD435" s="4" t="str">
        <f>"Q"&amp;ROUNDUP(MONTH(excelsalesdata[[#This Row],[Order_Date]])/3,0)</f>
        <v>Q2</v>
      </c>
    </row>
    <row r="436" spans="1:30" x14ac:dyDescent="0.35">
      <c r="A436" t="s">
        <v>1024</v>
      </c>
      <c r="B436" s="3">
        <v>46194</v>
      </c>
      <c r="C436" t="s">
        <v>805</v>
      </c>
      <c r="D436" t="s">
        <v>610</v>
      </c>
      <c r="E436" t="str">
        <f>TRIM(excelsalesdata[[#This Row],[Customer_Name]])</f>
        <v>Priya Das</v>
      </c>
      <c r="F436" t="s">
        <v>23</v>
      </c>
      <c r="G436">
        <v>60</v>
      </c>
      <c r="H436" t="s">
        <v>78</v>
      </c>
      <c r="I436" t="str">
        <f>TRIM(excelsalesdata[[#This Row],[City]])</f>
        <v>Guwahati</v>
      </c>
      <c r="J436" t="s">
        <v>79</v>
      </c>
      <c r="K436" t="s">
        <v>37</v>
      </c>
      <c r="L436" t="s">
        <v>38</v>
      </c>
      <c r="M436" t="s">
        <v>255</v>
      </c>
      <c r="N436" t="s">
        <v>255</v>
      </c>
      <c r="O436">
        <v>2</v>
      </c>
      <c r="P436">
        <v>4230</v>
      </c>
      <c r="Q436">
        <v>0.1</v>
      </c>
      <c r="R436">
        <v>2840</v>
      </c>
      <c r="S436" t="s">
        <v>29</v>
      </c>
      <c r="T436" t="s">
        <v>30</v>
      </c>
      <c r="U436">
        <v>6</v>
      </c>
      <c r="V436" t="s">
        <v>40</v>
      </c>
      <c r="W436">
        <f>excelsalesdata[[#This Row],[Quantity]]*excelsalesdata[[#This Row],[Unit_Price]]</f>
        <v>8460</v>
      </c>
      <c r="X436">
        <f>excelsalesdata[[#This Row],[Gross_sales]]*excelsalesdata[[#This Row],[Discount_%]]</f>
        <v>846</v>
      </c>
      <c r="Y436">
        <f>excelsalesdata[[#This Row],[Gross_sales]]-excelsalesdata[[#This Row],[Discount_amt]]</f>
        <v>7614</v>
      </c>
      <c r="Z436" s="4">
        <f>excelsalesdata[[#This Row],[Net_sales]]-excelsalesdata[[#This Row],[Cost]]</f>
        <v>4774</v>
      </c>
      <c r="AA436" s="5">
        <f>excelsalesdata[[#This Row],[Profit]]/excelsalesdata[[#This Row],[Net_sales]]</f>
        <v>0.62700288941423699</v>
      </c>
      <c r="AB436" s="4">
        <f>YEAR(excelsalesdata[[#This Row],[Order_Date]])</f>
        <v>2026</v>
      </c>
      <c r="AC436" s="4" t="str">
        <f>TEXT(excelsalesdata[[#This Row],[Order_Date]],"mmm")</f>
        <v>Jun</v>
      </c>
      <c r="AD436" s="4" t="str">
        <f>"Q"&amp;ROUNDUP(MONTH(excelsalesdata[[#This Row],[Order_Date]])/3,0)</f>
        <v>Q2</v>
      </c>
    </row>
    <row r="437" spans="1:30" x14ac:dyDescent="0.35">
      <c r="A437" t="s">
        <v>1025</v>
      </c>
      <c r="B437" s="3">
        <v>46195</v>
      </c>
      <c r="C437" t="s">
        <v>835</v>
      </c>
      <c r="D437" t="s">
        <v>344</v>
      </c>
      <c r="E437" t="str">
        <f>TRIM(excelsalesdata[[#This Row],[Customer_Name]])</f>
        <v>Meera Verma</v>
      </c>
      <c r="F437" t="s">
        <v>23</v>
      </c>
      <c r="G437">
        <v>29</v>
      </c>
      <c r="H437" t="s">
        <v>52</v>
      </c>
      <c r="I437" t="str">
        <f>TRIM(excelsalesdata[[#This Row],[City]])</f>
        <v>Bengaluru</v>
      </c>
      <c r="J437" t="s">
        <v>53</v>
      </c>
      <c r="K437" t="s">
        <v>47</v>
      </c>
      <c r="L437" t="s">
        <v>93</v>
      </c>
      <c r="M437" t="s">
        <v>94</v>
      </c>
      <c r="N437" t="s">
        <v>94</v>
      </c>
      <c r="O437">
        <v>2</v>
      </c>
      <c r="P437">
        <v>490</v>
      </c>
      <c r="Q437">
        <v>0</v>
      </c>
      <c r="R437">
        <v>220</v>
      </c>
      <c r="S437" t="s">
        <v>29</v>
      </c>
      <c r="T437" t="s">
        <v>74</v>
      </c>
      <c r="U437">
        <v>2</v>
      </c>
      <c r="V437" t="s">
        <v>40</v>
      </c>
      <c r="W437">
        <f>excelsalesdata[[#This Row],[Quantity]]*excelsalesdata[[#This Row],[Unit_Price]]</f>
        <v>980</v>
      </c>
      <c r="X437">
        <f>excelsalesdata[[#This Row],[Gross_sales]]*excelsalesdata[[#This Row],[Discount_%]]</f>
        <v>0</v>
      </c>
      <c r="Y437">
        <f>excelsalesdata[[#This Row],[Gross_sales]]-excelsalesdata[[#This Row],[Discount_amt]]</f>
        <v>980</v>
      </c>
      <c r="Z437" s="4">
        <f>excelsalesdata[[#This Row],[Net_sales]]-excelsalesdata[[#This Row],[Cost]]</f>
        <v>760</v>
      </c>
      <c r="AA437" s="5">
        <f>excelsalesdata[[#This Row],[Profit]]/excelsalesdata[[#This Row],[Net_sales]]</f>
        <v>0.77551020408163263</v>
      </c>
      <c r="AB437" s="4">
        <f>YEAR(excelsalesdata[[#This Row],[Order_Date]])</f>
        <v>2026</v>
      </c>
      <c r="AC437" s="4" t="str">
        <f>TEXT(excelsalesdata[[#This Row],[Order_Date]],"mmm")</f>
        <v>Jun</v>
      </c>
      <c r="AD437" s="4" t="str">
        <f>"Q"&amp;ROUNDUP(MONTH(excelsalesdata[[#This Row],[Order_Date]])/3,0)</f>
        <v>Q2</v>
      </c>
    </row>
    <row r="438" spans="1:30" x14ac:dyDescent="0.35">
      <c r="A438" t="s">
        <v>1026</v>
      </c>
      <c r="B438" s="3">
        <v>46196</v>
      </c>
      <c r="C438" t="s">
        <v>864</v>
      </c>
      <c r="D438" t="s">
        <v>1029</v>
      </c>
      <c r="E438" t="str">
        <f>TRIM(excelsalesdata[[#This Row],[Customer_Name]])</f>
        <v>Kavya Reddy</v>
      </c>
      <c r="F438" t="s">
        <v>44</v>
      </c>
      <c r="G438">
        <v>25</v>
      </c>
      <c r="H438" t="s">
        <v>109</v>
      </c>
      <c r="I438" t="str">
        <f>TRIM(excelsalesdata[[#This Row],[City]])</f>
        <v>Mysuru</v>
      </c>
      <c r="J438" t="s">
        <v>53</v>
      </c>
      <c r="K438" t="s">
        <v>47</v>
      </c>
      <c r="L438" t="s">
        <v>54</v>
      </c>
      <c r="M438" t="s">
        <v>129</v>
      </c>
      <c r="N438" t="s">
        <v>129</v>
      </c>
      <c r="O438">
        <v>1</v>
      </c>
      <c r="P438">
        <v>18630</v>
      </c>
      <c r="Q438">
        <v>0.15</v>
      </c>
      <c r="R438">
        <v>12300</v>
      </c>
      <c r="S438" t="s">
        <v>29</v>
      </c>
      <c r="T438" t="s">
        <v>30</v>
      </c>
      <c r="U438">
        <v>7</v>
      </c>
      <c r="V438" t="s">
        <v>31</v>
      </c>
      <c r="W438">
        <f>excelsalesdata[[#This Row],[Quantity]]*excelsalesdata[[#This Row],[Unit_Price]]</f>
        <v>18630</v>
      </c>
      <c r="X438">
        <f>excelsalesdata[[#This Row],[Gross_sales]]*excelsalesdata[[#This Row],[Discount_%]]</f>
        <v>2794.5</v>
      </c>
      <c r="Y438">
        <f>excelsalesdata[[#This Row],[Gross_sales]]-excelsalesdata[[#This Row],[Discount_amt]]</f>
        <v>15835.5</v>
      </c>
      <c r="Z438" s="4">
        <f>excelsalesdata[[#This Row],[Net_sales]]-excelsalesdata[[#This Row],[Cost]]</f>
        <v>3535.5</v>
      </c>
      <c r="AA438" s="5">
        <f>excelsalesdata[[#This Row],[Profit]]/excelsalesdata[[#This Row],[Net_sales]]</f>
        <v>0.22326418490101355</v>
      </c>
      <c r="AB438" s="4">
        <f>YEAR(excelsalesdata[[#This Row],[Order_Date]])</f>
        <v>2026</v>
      </c>
      <c r="AC438" s="4" t="str">
        <f>TEXT(excelsalesdata[[#This Row],[Order_Date]],"mmm")</f>
        <v>Jun</v>
      </c>
      <c r="AD438" s="4" t="str">
        <f>"Q"&amp;ROUNDUP(MONTH(excelsalesdata[[#This Row],[Order_Date]])/3,0)</f>
        <v>Q2</v>
      </c>
    </row>
    <row r="439" spans="1:30" x14ac:dyDescent="0.35">
      <c r="A439" t="s">
        <v>1027</v>
      </c>
      <c r="B439" s="3">
        <v>46197</v>
      </c>
      <c r="C439" t="s">
        <v>1028</v>
      </c>
      <c r="D439" t="s">
        <v>250</v>
      </c>
      <c r="E439" t="str">
        <f>TRIM(excelsalesdata[[#This Row],[Customer_Name]])</f>
        <v>Rohan Singh</v>
      </c>
      <c r="F439" t="s">
        <v>44</v>
      </c>
      <c r="G439">
        <v>59</v>
      </c>
      <c r="H439" t="s">
        <v>35</v>
      </c>
      <c r="I439" t="str">
        <f>TRIM(excelsalesdata[[#This Row],[City]])</f>
        <v>Kolkata</v>
      </c>
      <c r="J439" t="s">
        <v>36</v>
      </c>
      <c r="K439" t="s">
        <v>37</v>
      </c>
      <c r="L439" t="s">
        <v>38</v>
      </c>
      <c r="M439" t="s">
        <v>39</v>
      </c>
      <c r="N439" t="s">
        <v>39</v>
      </c>
      <c r="O439">
        <v>1</v>
      </c>
      <c r="P439">
        <v>6890</v>
      </c>
      <c r="Q439">
        <v>0.05</v>
      </c>
      <c r="R439">
        <v>4400</v>
      </c>
      <c r="S439" t="s">
        <v>80</v>
      </c>
      <c r="T439" t="s">
        <v>30</v>
      </c>
      <c r="U439">
        <v>3</v>
      </c>
      <c r="V439" t="s">
        <v>40</v>
      </c>
      <c r="W439">
        <f>excelsalesdata[[#This Row],[Quantity]]*excelsalesdata[[#This Row],[Unit_Price]]</f>
        <v>6890</v>
      </c>
      <c r="X439">
        <f>excelsalesdata[[#This Row],[Gross_sales]]*excelsalesdata[[#This Row],[Discount_%]]</f>
        <v>344.5</v>
      </c>
      <c r="Y439">
        <f>excelsalesdata[[#This Row],[Gross_sales]]-excelsalesdata[[#This Row],[Discount_amt]]</f>
        <v>6545.5</v>
      </c>
      <c r="Z439" s="4">
        <f>excelsalesdata[[#This Row],[Net_sales]]-excelsalesdata[[#This Row],[Cost]]</f>
        <v>2145.5</v>
      </c>
      <c r="AA439" s="5">
        <f>excelsalesdata[[#This Row],[Profit]]/excelsalesdata[[#This Row],[Net_sales]]</f>
        <v>0.32778244595523642</v>
      </c>
      <c r="AB439" s="4">
        <f>YEAR(excelsalesdata[[#This Row],[Order_Date]])</f>
        <v>2026</v>
      </c>
      <c r="AC439" s="4" t="str">
        <f>TEXT(excelsalesdata[[#This Row],[Order_Date]],"mmm")</f>
        <v>Jun</v>
      </c>
      <c r="AD439" s="4" t="str">
        <f>"Q"&amp;ROUNDUP(MONTH(excelsalesdata[[#This Row],[Order_Date]])/3,0)</f>
        <v>Q2</v>
      </c>
    </row>
    <row r="440" spans="1:30" x14ac:dyDescent="0.35">
      <c r="A440" t="s">
        <v>1030</v>
      </c>
      <c r="B440" s="3">
        <v>46198</v>
      </c>
      <c r="C440" t="s">
        <v>200</v>
      </c>
      <c r="D440" t="s">
        <v>1032</v>
      </c>
      <c r="E440" t="str">
        <f>TRIM(excelsalesdata[[#This Row],[Customer_Name]])</f>
        <v>Aarav Gupta</v>
      </c>
      <c r="F440" t="s">
        <v>23</v>
      </c>
      <c r="G440">
        <v>22</v>
      </c>
      <c r="H440" t="s">
        <v>98</v>
      </c>
      <c r="I440" t="str">
        <f>TRIM(excelsalesdata[[#This Row],[City]])</f>
        <v>Mumbai</v>
      </c>
      <c r="J440" t="s">
        <v>25</v>
      </c>
      <c r="K440" t="s">
        <v>26</v>
      </c>
      <c r="L440" t="s">
        <v>93</v>
      </c>
      <c r="M440" t="s">
        <v>375</v>
      </c>
      <c r="N440" t="s">
        <v>375</v>
      </c>
      <c r="O440">
        <v>2</v>
      </c>
      <c r="P440">
        <v>2180</v>
      </c>
      <c r="Q440">
        <v>0.1</v>
      </c>
      <c r="R440">
        <v>1160</v>
      </c>
      <c r="S440" t="s">
        <v>105</v>
      </c>
      <c r="T440" t="s">
        <v>30</v>
      </c>
      <c r="U440">
        <v>10</v>
      </c>
      <c r="V440" t="s">
        <v>40</v>
      </c>
      <c r="W440">
        <f>excelsalesdata[[#This Row],[Quantity]]*excelsalesdata[[#This Row],[Unit_Price]]</f>
        <v>4360</v>
      </c>
      <c r="X440">
        <f>excelsalesdata[[#This Row],[Gross_sales]]*excelsalesdata[[#This Row],[Discount_%]]</f>
        <v>436</v>
      </c>
      <c r="Y440">
        <f>excelsalesdata[[#This Row],[Gross_sales]]-excelsalesdata[[#This Row],[Discount_amt]]</f>
        <v>3924</v>
      </c>
      <c r="Z440" s="4">
        <f>excelsalesdata[[#This Row],[Net_sales]]-excelsalesdata[[#This Row],[Cost]]</f>
        <v>2764</v>
      </c>
      <c r="AA440" s="5">
        <f>excelsalesdata[[#This Row],[Profit]]/excelsalesdata[[#This Row],[Net_sales]]</f>
        <v>0.70438328236493375</v>
      </c>
      <c r="AB440" s="4">
        <f>YEAR(excelsalesdata[[#This Row],[Order_Date]])</f>
        <v>2026</v>
      </c>
      <c r="AC440" s="4" t="str">
        <f>TEXT(excelsalesdata[[#This Row],[Order_Date]],"mmm")</f>
        <v>Jun</v>
      </c>
      <c r="AD440" s="4" t="str">
        <f>"Q"&amp;ROUNDUP(MONTH(excelsalesdata[[#This Row],[Order_Date]])/3,0)</f>
        <v>Q2</v>
      </c>
    </row>
    <row r="441" spans="1:30" x14ac:dyDescent="0.35">
      <c r="A441" t="s">
        <v>1031</v>
      </c>
      <c r="B441" s="3">
        <v>46199</v>
      </c>
      <c r="C441" t="s">
        <v>797</v>
      </c>
      <c r="D441" t="s">
        <v>305</v>
      </c>
      <c r="E441" t="str">
        <f>TRIM(excelsalesdata[[#This Row],[Customer_Name]])</f>
        <v>Priya Reddy</v>
      </c>
      <c r="F441" t="s">
        <v>23</v>
      </c>
      <c r="G441">
        <v>55</v>
      </c>
      <c r="H441" t="s">
        <v>168</v>
      </c>
      <c r="I441" t="str">
        <f>TRIM(excelsalesdata[[#This Row],[City]])</f>
        <v>Delhi</v>
      </c>
      <c r="J441" t="s">
        <v>168</v>
      </c>
      <c r="K441" t="s">
        <v>61</v>
      </c>
      <c r="L441" t="s">
        <v>93</v>
      </c>
      <c r="M441" t="s">
        <v>94</v>
      </c>
      <c r="N441" t="s">
        <v>94</v>
      </c>
      <c r="O441">
        <v>2</v>
      </c>
      <c r="P441">
        <v>510</v>
      </c>
      <c r="Q441">
        <v>0</v>
      </c>
      <c r="R441">
        <v>220</v>
      </c>
      <c r="S441" t="s">
        <v>29</v>
      </c>
      <c r="T441" t="s">
        <v>74</v>
      </c>
      <c r="U441">
        <v>3</v>
      </c>
      <c r="V441" t="s">
        <v>31</v>
      </c>
      <c r="W441">
        <f>excelsalesdata[[#This Row],[Quantity]]*excelsalesdata[[#This Row],[Unit_Price]]</f>
        <v>1020</v>
      </c>
      <c r="X441">
        <f>excelsalesdata[[#This Row],[Gross_sales]]*excelsalesdata[[#This Row],[Discount_%]]</f>
        <v>0</v>
      </c>
      <c r="Y441">
        <f>excelsalesdata[[#This Row],[Gross_sales]]-excelsalesdata[[#This Row],[Discount_amt]]</f>
        <v>1020</v>
      </c>
      <c r="Z441" s="4">
        <f>excelsalesdata[[#This Row],[Net_sales]]-excelsalesdata[[#This Row],[Cost]]</f>
        <v>800</v>
      </c>
      <c r="AA441" s="5">
        <f>excelsalesdata[[#This Row],[Profit]]/excelsalesdata[[#This Row],[Net_sales]]</f>
        <v>0.78431372549019607</v>
      </c>
      <c r="AB441" s="4">
        <f>YEAR(excelsalesdata[[#This Row],[Order_Date]])</f>
        <v>2026</v>
      </c>
      <c r="AC441" s="4" t="str">
        <f>TEXT(excelsalesdata[[#This Row],[Order_Date]],"mmm")</f>
        <v>Jun</v>
      </c>
      <c r="AD441" s="4" t="str">
        <f>"Q"&amp;ROUNDUP(MONTH(excelsalesdata[[#This Row],[Order_Date]])/3,0)</f>
        <v>Q2</v>
      </c>
    </row>
    <row r="442" spans="1:30" x14ac:dyDescent="0.35">
      <c r="A442" t="s">
        <v>1033</v>
      </c>
      <c r="B442" s="3">
        <v>46200</v>
      </c>
      <c r="C442" t="s">
        <v>188</v>
      </c>
      <c r="D442" t="s">
        <v>553</v>
      </c>
      <c r="E442" t="str">
        <f>TRIM(excelsalesdata[[#This Row],[Customer_Name]])</f>
        <v>Vivaan Reddy</v>
      </c>
      <c r="F442" t="s">
        <v>23</v>
      </c>
      <c r="G442">
        <v>40</v>
      </c>
      <c r="H442" t="s">
        <v>24</v>
      </c>
      <c r="I442" t="str">
        <f>TRIM(excelsalesdata[[#This Row],[City]])</f>
        <v>Pune</v>
      </c>
      <c r="J442" t="s">
        <v>25</v>
      </c>
      <c r="K442" t="s">
        <v>26</v>
      </c>
      <c r="L442" t="s">
        <v>54</v>
      </c>
      <c r="M442" t="s">
        <v>129</v>
      </c>
      <c r="N442" t="s">
        <v>129</v>
      </c>
      <c r="O442">
        <v>2</v>
      </c>
      <c r="P442">
        <v>17850</v>
      </c>
      <c r="Q442">
        <v>0.15</v>
      </c>
      <c r="R442">
        <v>12150</v>
      </c>
      <c r="S442" t="s">
        <v>29</v>
      </c>
      <c r="T442" t="s">
        <v>30</v>
      </c>
      <c r="U442">
        <v>7</v>
      </c>
      <c r="V442" t="s">
        <v>31</v>
      </c>
      <c r="W442">
        <f>excelsalesdata[[#This Row],[Quantity]]*excelsalesdata[[#This Row],[Unit_Price]]</f>
        <v>35700</v>
      </c>
      <c r="X442">
        <f>excelsalesdata[[#This Row],[Gross_sales]]*excelsalesdata[[#This Row],[Discount_%]]</f>
        <v>5355</v>
      </c>
      <c r="Y442">
        <f>excelsalesdata[[#This Row],[Gross_sales]]-excelsalesdata[[#This Row],[Discount_amt]]</f>
        <v>30345</v>
      </c>
      <c r="Z442" s="4">
        <f>excelsalesdata[[#This Row],[Net_sales]]-excelsalesdata[[#This Row],[Cost]]</f>
        <v>18195</v>
      </c>
      <c r="AA442" s="5">
        <f>excelsalesdata[[#This Row],[Profit]]/excelsalesdata[[#This Row],[Net_sales]]</f>
        <v>0.59960454770143357</v>
      </c>
      <c r="AB442" s="4">
        <f>YEAR(excelsalesdata[[#This Row],[Order_Date]])</f>
        <v>2026</v>
      </c>
      <c r="AC442" s="4" t="str">
        <f>TEXT(excelsalesdata[[#This Row],[Order_Date]],"mmm")</f>
        <v>Jun</v>
      </c>
      <c r="AD442" s="4" t="str">
        <f>"Q"&amp;ROUNDUP(MONTH(excelsalesdata[[#This Row],[Order_Date]])/3,0)</f>
        <v>Q2</v>
      </c>
    </row>
    <row r="443" spans="1:30" x14ac:dyDescent="0.35">
      <c r="A443" t="s">
        <v>1034</v>
      </c>
      <c r="B443" s="3">
        <v>46201</v>
      </c>
      <c r="C443" t="s">
        <v>177</v>
      </c>
      <c r="D443" t="s">
        <v>164</v>
      </c>
      <c r="E443" t="str">
        <f>TRIM(excelsalesdata[[#This Row],[Customer_Name]])</f>
        <v>Priya Naidu</v>
      </c>
      <c r="F443" t="s">
        <v>44</v>
      </c>
      <c r="G443">
        <v>59</v>
      </c>
      <c r="H443" t="s">
        <v>190</v>
      </c>
      <c r="I443" t="str">
        <f>TRIM(excelsalesdata[[#This Row],[City]])</f>
        <v>Ahmedabad</v>
      </c>
      <c r="J443" t="s">
        <v>191</v>
      </c>
      <c r="K443" t="s">
        <v>26</v>
      </c>
      <c r="L443" t="s">
        <v>103</v>
      </c>
      <c r="M443" t="s">
        <v>238</v>
      </c>
      <c r="N443" t="s">
        <v>238</v>
      </c>
      <c r="O443">
        <v>2</v>
      </c>
      <c r="P443">
        <v>4150</v>
      </c>
      <c r="Q443">
        <v>0.05</v>
      </c>
      <c r="R443">
        <v>2820</v>
      </c>
      <c r="S443" t="s">
        <v>56</v>
      </c>
      <c r="T443" t="s">
        <v>30</v>
      </c>
      <c r="U443">
        <v>3</v>
      </c>
      <c r="V443" t="s">
        <v>40</v>
      </c>
      <c r="W443">
        <f>excelsalesdata[[#This Row],[Quantity]]*excelsalesdata[[#This Row],[Unit_Price]]</f>
        <v>8300</v>
      </c>
      <c r="X443">
        <f>excelsalesdata[[#This Row],[Gross_sales]]*excelsalesdata[[#This Row],[Discount_%]]</f>
        <v>415</v>
      </c>
      <c r="Y443">
        <f>excelsalesdata[[#This Row],[Gross_sales]]-excelsalesdata[[#This Row],[Discount_amt]]</f>
        <v>7885</v>
      </c>
      <c r="Z443" s="4">
        <f>excelsalesdata[[#This Row],[Net_sales]]-excelsalesdata[[#This Row],[Cost]]</f>
        <v>5065</v>
      </c>
      <c r="AA443" s="5">
        <f>excelsalesdata[[#This Row],[Profit]]/excelsalesdata[[#This Row],[Net_sales]]</f>
        <v>0.64235890932149653</v>
      </c>
      <c r="AB443" s="4">
        <f>YEAR(excelsalesdata[[#This Row],[Order_Date]])</f>
        <v>2026</v>
      </c>
      <c r="AC443" s="4" t="str">
        <f>TEXT(excelsalesdata[[#This Row],[Order_Date]],"mmm")</f>
        <v>Jun</v>
      </c>
      <c r="AD443" s="4" t="str">
        <f>"Q"&amp;ROUNDUP(MONTH(excelsalesdata[[#This Row],[Order_Date]])/3,0)</f>
        <v>Q2</v>
      </c>
    </row>
    <row r="444" spans="1:30" x14ac:dyDescent="0.35">
      <c r="A444" t="s">
        <v>1035</v>
      </c>
      <c r="B444" s="3">
        <v>46202</v>
      </c>
      <c r="C444" t="s">
        <v>1036</v>
      </c>
      <c r="D444" t="s">
        <v>1038</v>
      </c>
      <c r="E444" t="str">
        <f>TRIM(excelsalesdata[[#This Row],[Customer_Name]])</f>
        <v>Ananya Joshi</v>
      </c>
      <c r="F444" t="s">
        <v>44</v>
      </c>
      <c r="G444">
        <v>29</v>
      </c>
      <c r="H444" t="s">
        <v>35</v>
      </c>
      <c r="I444" t="str">
        <f>TRIM(excelsalesdata[[#This Row],[City]])</f>
        <v>Kolkata</v>
      </c>
      <c r="J444" t="s">
        <v>36</v>
      </c>
      <c r="K444" t="s">
        <v>37</v>
      </c>
      <c r="L444" t="s">
        <v>27</v>
      </c>
      <c r="M444" t="s">
        <v>123</v>
      </c>
      <c r="N444" t="s">
        <v>123</v>
      </c>
      <c r="O444">
        <v>1</v>
      </c>
      <c r="P444">
        <v>3020</v>
      </c>
      <c r="Q444">
        <v>0.1</v>
      </c>
      <c r="R444">
        <v>1640</v>
      </c>
      <c r="S444" t="s">
        <v>105</v>
      </c>
      <c r="T444" t="s">
        <v>30</v>
      </c>
      <c r="U444">
        <v>2</v>
      </c>
      <c r="V444" t="s">
        <v>40</v>
      </c>
      <c r="W444">
        <f>excelsalesdata[[#This Row],[Quantity]]*excelsalesdata[[#This Row],[Unit_Price]]</f>
        <v>3020</v>
      </c>
      <c r="X444">
        <f>excelsalesdata[[#This Row],[Gross_sales]]*excelsalesdata[[#This Row],[Discount_%]]</f>
        <v>302</v>
      </c>
      <c r="Y444">
        <f>excelsalesdata[[#This Row],[Gross_sales]]-excelsalesdata[[#This Row],[Discount_amt]]</f>
        <v>2718</v>
      </c>
      <c r="Z444" s="4">
        <f>excelsalesdata[[#This Row],[Net_sales]]-excelsalesdata[[#This Row],[Cost]]</f>
        <v>1078</v>
      </c>
      <c r="AA444" s="5">
        <f>excelsalesdata[[#This Row],[Profit]]/excelsalesdata[[#This Row],[Net_sales]]</f>
        <v>0.39661515820456217</v>
      </c>
      <c r="AB444" s="4">
        <f>YEAR(excelsalesdata[[#This Row],[Order_Date]])</f>
        <v>2026</v>
      </c>
      <c r="AC444" s="4" t="str">
        <f>TEXT(excelsalesdata[[#This Row],[Order_Date]],"mmm")</f>
        <v>Jun</v>
      </c>
      <c r="AD444" s="4" t="str">
        <f>"Q"&amp;ROUNDUP(MONTH(excelsalesdata[[#This Row],[Order_Date]])/3,0)</f>
        <v>Q2</v>
      </c>
    </row>
    <row r="445" spans="1:30" x14ac:dyDescent="0.35">
      <c r="A445" t="s">
        <v>1037</v>
      </c>
      <c r="B445" s="3">
        <v>46203</v>
      </c>
      <c r="C445" t="s">
        <v>913</v>
      </c>
      <c r="D445" t="s">
        <v>308</v>
      </c>
      <c r="E445" t="str">
        <f>TRIM(excelsalesdata[[#This Row],[Customer_Name]])</f>
        <v>Vivaan Nair</v>
      </c>
      <c r="F445" t="s">
        <v>44</v>
      </c>
      <c r="G445">
        <v>49</v>
      </c>
      <c r="H445" t="s">
        <v>114</v>
      </c>
      <c r="I445" t="str">
        <f>TRIM(excelsalesdata[[#This Row],[City]])</f>
        <v>Hyderabad</v>
      </c>
      <c r="J445" t="s">
        <v>115</v>
      </c>
      <c r="K445" t="s">
        <v>47</v>
      </c>
      <c r="L445" t="s">
        <v>38</v>
      </c>
      <c r="M445" t="s">
        <v>119</v>
      </c>
      <c r="N445" t="s">
        <v>119</v>
      </c>
      <c r="O445">
        <v>2</v>
      </c>
      <c r="P445">
        <v>8940</v>
      </c>
      <c r="Q445">
        <v>0</v>
      </c>
      <c r="R445">
        <v>5410</v>
      </c>
      <c r="S445" t="s">
        <v>151</v>
      </c>
      <c r="T445" t="s">
        <v>30</v>
      </c>
      <c r="U445">
        <v>1</v>
      </c>
      <c r="V445" t="s">
        <v>40</v>
      </c>
      <c r="W445">
        <f>excelsalesdata[[#This Row],[Quantity]]*excelsalesdata[[#This Row],[Unit_Price]]</f>
        <v>17880</v>
      </c>
      <c r="X445">
        <f>excelsalesdata[[#This Row],[Gross_sales]]*excelsalesdata[[#This Row],[Discount_%]]</f>
        <v>0</v>
      </c>
      <c r="Y445">
        <f>excelsalesdata[[#This Row],[Gross_sales]]-excelsalesdata[[#This Row],[Discount_amt]]</f>
        <v>17880</v>
      </c>
      <c r="Z445" s="4">
        <f>excelsalesdata[[#This Row],[Net_sales]]-excelsalesdata[[#This Row],[Cost]]</f>
        <v>12470</v>
      </c>
      <c r="AA445" s="5">
        <f>excelsalesdata[[#This Row],[Profit]]/excelsalesdata[[#This Row],[Net_sales]]</f>
        <v>0.69742729306487694</v>
      </c>
      <c r="AB445" s="4">
        <f>YEAR(excelsalesdata[[#This Row],[Order_Date]])</f>
        <v>2026</v>
      </c>
      <c r="AC445" s="4" t="str">
        <f>TEXT(excelsalesdata[[#This Row],[Order_Date]],"mmm")</f>
        <v>Jun</v>
      </c>
      <c r="AD445" s="4" t="str">
        <f>"Q"&amp;ROUNDUP(MONTH(excelsalesdata[[#This Row],[Order_Date]])/3,0)</f>
        <v>Q2</v>
      </c>
    </row>
    <row r="446" spans="1:30" x14ac:dyDescent="0.35">
      <c r="A446" t="s">
        <v>1039</v>
      </c>
      <c r="B446" s="3">
        <v>46204</v>
      </c>
      <c r="C446" t="s">
        <v>1040</v>
      </c>
      <c r="D446" t="s">
        <v>70</v>
      </c>
      <c r="E446" t="str">
        <f>TRIM(excelsalesdata[[#This Row],[Customer_Name]])</f>
        <v>Priya Patel</v>
      </c>
      <c r="F446" t="s">
        <v>23</v>
      </c>
      <c r="G446">
        <v>38</v>
      </c>
      <c r="H446" t="s">
        <v>133</v>
      </c>
      <c r="I446" t="str">
        <f>TRIM(excelsalesdata[[#This Row],[City]])</f>
        <v>Jaipur</v>
      </c>
      <c r="J446" t="s">
        <v>134</v>
      </c>
      <c r="K446" t="s">
        <v>61</v>
      </c>
      <c r="L446" t="s">
        <v>54</v>
      </c>
      <c r="M446" t="s">
        <v>66</v>
      </c>
      <c r="N446" t="s">
        <v>66</v>
      </c>
      <c r="O446">
        <v>4</v>
      </c>
      <c r="P446">
        <v>2460</v>
      </c>
      <c r="Q446">
        <v>0.15</v>
      </c>
      <c r="R446">
        <v>1500</v>
      </c>
      <c r="S446" t="s">
        <v>67</v>
      </c>
      <c r="T446" t="s">
        <v>81</v>
      </c>
      <c r="U446">
        <v>0</v>
      </c>
      <c r="V446" t="s">
        <v>31</v>
      </c>
      <c r="W446">
        <f>excelsalesdata[[#This Row],[Quantity]]*excelsalesdata[[#This Row],[Unit_Price]]</f>
        <v>9840</v>
      </c>
      <c r="X446">
        <f>excelsalesdata[[#This Row],[Gross_sales]]*excelsalesdata[[#This Row],[Discount_%]]</f>
        <v>1476</v>
      </c>
      <c r="Y446">
        <f>excelsalesdata[[#This Row],[Gross_sales]]-excelsalesdata[[#This Row],[Discount_amt]]</f>
        <v>8364</v>
      </c>
      <c r="Z446" s="4">
        <f>excelsalesdata[[#This Row],[Net_sales]]-excelsalesdata[[#This Row],[Cost]]</f>
        <v>6864</v>
      </c>
      <c r="AA446" s="5">
        <f>excelsalesdata[[#This Row],[Profit]]/excelsalesdata[[#This Row],[Net_sales]]</f>
        <v>0.82065997130559543</v>
      </c>
      <c r="AB446" s="4">
        <f>YEAR(excelsalesdata[[#This Row],[Order_Date]])</f>
        <v>2026</v>
      </c>
      <c r="AC446" s="4" t="str">
        <f>TEXT(excelsalesdata[[#This Row],[Order_Date]],"mmm")</f>
        <v>Jul</v>
      </c>
      <c r="AD446" s="4" t="str">
        <f>"Q"&amp;ROUNDUP(MONTH(excelsalesdata[[#This Row],[Order_Date]])/3,0)</f>
        <v>Q3</v>
      </c>
    </row>
    <row r="447" spans="1:30" x14ac:dyDescent="0.35">
      <c r="A447" t="s">
        <v>1041</v>
      </c>
      <c r="B447" s="3">
        <v>46205</v>
      </c>
      <c r="C447" t="s">
        <v>381</v>
      </c>
      <c r="D447" t="s">
        <v>164</v>
      </c>
      <c r="E447" t="str">
        <f>TRIM(excelsalesdata[[#This Row],[Customer_Name]])</f>
        <v>Priya Naidu</v>
      </c>
      <c r="F447" t="s">
        <v>44</v>
      </c>
      <c r="G447">
        <v>39</v>
      </c>
      <c r="H447" t="s">
        <v>24</v>
      </c>
      <c r="I447" t="str">
        <f>TRIM(excelsalesdata[[#This Row],[City]])</f>
        <v>Pune</v>
      </c>
      <c r="J447" t="s">
        <v>25</v>
      </c>
      <c r="K447" t="s">
        <v>26</v>
      </c>
      <c r="L447" t="s">
        <v>103</v>
      </c>
      <c r="M447" t="s">
        <v>238</v>
      </c>
      <c r="N447" t="s">
        <v>238</v>
      </c>
      <c r="O447">
        <v>4</v>
      </c>
      <c r="P447">
        <v>3990</v>
      </c>
      <c r="Q447">
        <v>0.1</v>
      </c>
      <c r="R447">
        <v>2670</v>
      </c>
      <c r="S447" t="s">
        <v>56</v>
      </c>
      <c r="T447" t="s">
        <v>30</v>
      </c>
      <c r="U447">
        <v>3</v>
      </c>
      <c r="V447" t="s">
        <v>40</v>
      </c>
      <c r="W447">
        <f>excelsalesdata[[#This Row],[Quantity]]*excelsalesdata[[#This Row],[Unit_Price]]</f>
        <v>15960</v>
      </c>
      <c r="X447">
        <f>excelsalesdata[[#This Row],[Gross_sales]]*excelsalesdata[[#This Row],[Discount_%]]</f>
        <v>1596</v>
      </c>
      <c r="Y447">
        <f>excelsalesdata[[#This Row],[Gross_sales]]-excelsalesdata[[#This Row],[Discount_amt]]</f>
        <v>14364</v>
      </c>
      <c r="Z447" s="4">
        <f>excelsalesdata[[#This Row],[Net_sales]]-excelsalesdata[[#This Row],[Cost]]</f>
        <v>11694</v>
      </c>
      <c r="AA447" s="5">
        <f>excelsalesdata[[#This Row],[Profit]]/excelsalesdata[[#This Row],[Net_sales]]</f>
        <v>0.81411862990810357</v>
      </c>
      <c r="AB447" s="4">
        <f>YEAR(excelsalesdata[[#This Row],[Order_Date]])</f>
        <v>2026</v>
      </c>
      <c r="AC447" s="4" t="str">
        <f>TEXT(excelsalesdata[[#This Row],[Order_Date]],"mmm")</f>
        <v>Jul</v>
      </c>
      <c r="AD447" s="4" t="str">
        <f>"Q"&amp;ROUNDUP(MONTH(excelsalesdata[[#This Row],[Order_Date]])/3,0)</f>
        <v>Q3</v>
      </c>
    </row>
    <row r="448" spans="1:30" x14ac:dyDescent="0.35">
      <c r="A448" t="s">
        <v>1042</v>
      </c>
      <c r="B448" s="3">
        <v>46206</v>
      </c>
      <c r="C448" t="s">
        <v>200</v>
      </c>
      <c r="D448" t="s">
        <v>1044</v>
      </c>
      <c r="E448" t="str">
        <f>TRIM(excelsalesdata[[#This Row],[Customer_Name]])</f>
        <v>Ananya Bhat</v>
      </c>
      <c r="F448" t="s">
        <v>44</v>
      </c>
      <c r="G448">
        <v>19</v>
      </c>
      <c r="H448" t="s">
        <v>190</v>
      </c>
      <c r="I448" t="str">
        <f>TRIM(excelsalesdata[[#This Row],[City]])</f>
        <v>Ahmedabad</v>
      </c>
      <c r="J448" t="s">
        <v>191</v>
      </c>
      <c r="K448" t="s">
        <v>26</v>
      </c>
      <c r="L448" t="s">
        <v>27</v>
      </c>
      <c r="M448" t="s">
        <v>28</v>
      </c>
      <c r="N448" t="s">
        <v>28</v>
      </c>
      <c r="O448">
        <v>1</v>
      </c>
      <c r="P448">
        <v>3560</v>
      </c>
      <c r="Q448">
        <v>0.05</v>
      </c>
      <c r="R448">
        <v>2200</v>
      </c>
      <c r="S448" t="s">
        <v>67</v>
      </c>
      <c r="T448" t="s">
        <v>30</v>
      </c>
      <c r="U448">
        <v>5</v>
      </c>
      <c r="V448" t="s">
        <v>40</v>
      </c>
      <c r="W448">
        <f>excelsalesdata[[#This Row],[Quantity]]*excelsalesdata[[#This Row],[Unit_Price]]</f>
        <v>3560</v>
      </c>
      <c r="X448">
        <f>excelsalesdata[[#This Row],[Gross_sales]]*excelsalesdata[[#This Row],[Discount_%]]</f>
        <v>178</v>
      </c>
      <c r="Y448">
        <f>excelsalesdata[[#This Row],[Gross_sales]]-excelsalesdata[[#This Row],[Discount_amt]]</f>
        <v>3382</v>
      </c>
      <c r="Z448" s="4">
        <f>excelsalesdata[[#This Row],[Net_sales]]-excelsalesdata[[#This Row],[Cost]]</f>
        <v>1182</v>
      </c>
      <c r="AA448" s="5">
        <f>excelsalesdata[[#This Row],[Profit]]/excelsalesdata[[#This Row],[Net_sales]]</f>
        <v>0.34949733885274986</v>
      </c>
      <c r="AB448" s="4">
        <f>YEAR(excelsalesdata[[#This Row],[Order_Date]])</f>
        <v>2026</v>
      </c>
      <c r="AC448" s="4" t="str">
        <f>TEXT(excelsalesdata[[#This Row],[Order_Date]],"mmm")</f>
        <v>Jul</v>
      </c>
      <c r="AD448" s="4" t="str">
        <f>"Q"&amp;ROUNDUP(MONTH(excelsalesdata[[#This Row],[Order_Date]])/3,0)</f>
        <v>Q3</v>
      </c>
    </row>
    <row r="449" spans="1:30" x14ac:dyDescent="0.35">
      <c r="A449" t="s">
        <v>1043</v>
      </c>
      <c r="B449" s="3">
        <v>46207</v>
      </c>
      <c r="C449" t="s">
        <v>797</v>
      </c>
      <c r="D449" t="s">
        <v>395</v>
      </c>
      <c r="E449" t="str">
        <f>TRIM(excelsalesdata[[#This Row],[Customer_Name]])</f>
        <v>Meera Gupta</v>
      </c>
      <c r="F449" t="s">
        <v>44</v>
      </c>
      <c r="G449">
        <v>58</v>
      </c>
      <c r="H449" t="s">
        <v>133</v>
      </c>
      <c r="I449" t="str">
        <f>TRIM(excelsalesdata[[#This Row],[City]])</f>
        <v>Jaipur</v>
      </c>
      <c r="J449" t="s">
        <v>134</v>
      </c>
      <c r="K449" t="s">
        <v>61</v>
      </c>
      <c r="L449" t="s">
        <v>103</v>
      </c>
      <c r="M449" t="s">
        <v>238</v>
      </c>
      <c r="N449" t="s">
        <v>238</v>
      </c>
      <c r="O449">
        <v>1</v>
      </c>
      <c r="P449">
        <v>4450</v>
      </c>
      <c r="Q449">
        <v>0.15</v>
      </c>
      <c r="R449">
        <v>2610</v>
      </c>
      <c r="S449" t="s">
        <v>56</v>
      </c>
      <c r="T449" t="s">
        <v>30</v>
      </c>
      <c r="U449">
        <v>1</v>
      </c>
      <c r="V449" t="s">
        <v>31</v>
      </c>
      <c r="W449">
        <f>excelsalesdata[[#This Row],[Quantity]]*excelsalesdata[[#This Row],[Unit_Price]]</f>
        <v>4450</v>
      </c>
      <c r="X449">
        <f>excelsalesdata[[#This Row],[Gross_sales]]*excelsalesdata[[#This Row],[Discount_%]]</f>
        <v>667.5</v>
      </c>
      <c r="Y449">
        <f>excelsalesdata[[#This Row],[Gross_sales]]-excelsalesdata[[#This Row],[Discount_amt]]</f>
        <v>3782.5</v>
      </c>
      <c r="Z449" s="4">
        <f>excelsalesdata[[#This Row],[Net_sales]]-excelsalesdata[[#This Row],[Cost]]</f>
        <v>1172.5</v>
      </c>
      <c r="AA449" s="5">
        <f>excelsalesdata[[#This Row],[Profit]]/excelsalesdata[[#This Row],[Net_sales]]</f>
        <v>0.30998017184401849</v>
      </c>
      <c r="AB449" s="4">
        <f>YEAR(excelsalesdata[[#This Row],[Order_Date]])</f>
        <v>2026</v>
      </c>
      <c r="AC449" s="4" t="str">
        <f>TEXT(excelsalesdata[[#This Row],[Order_Date]],"mmm")</f>
        <v>Jul</v>
      </c>
      <c r="AD449" s="4" t="str">
        <f>"Q"&amp;ROUNDUP(MONTH(excelsalesdata[[#This Row],[Order_Date]])/3,0)</f>
        <v>Q3</v>
      </c>
    </row>
    <row r="450" spans="1:30" x14ac:dyDescent="0.35">
      <c r="A450" t="s">
        <v>1045</v>
      </c>
      <c r="B450" s="3">
        <v>46208</v>
      </c>
      <c r="C450" t="s">
        <v>1046</v>
      </c>
      <c r="D450" t="s">
        <v>544</v>
      </c>
      <c r="E450" t="str">
        <f>TRIM(excelsalesdata[[#This Row],[Customer_Name]])</f>
        <v>Kavya Iyer</v>
      </c>
      <c r="F450" t="s">
        <v>23</v>
      </c>
      <c r="G450">
        <v>37</v>
      </c>
      <c r="H450" t="s">
        <v>78</v>
      </c>
      <c r="I450" t="str">
        <f>TRIM(excelsalesdata[[#This Row],[City]])</f>
        <v>Guwahati</v>
      </c>
      <c r="J450" t="s">
        <v>79</v>
      </c>
      <c r="K450" t="s">
        <v>37</v>
      </c>
      <c r="L450" t="s">
        <v>54</v>
      </c>
      <c r="M450" t="s">
        <v>129</v>
      </c>
      <c r="N450" t="s">
        <v>129</v>
      </c>
      <c r="O450">
        <v>1</v>
      </c>
      <c r="P450">
        <v>18140</v>
      </c>
      <c r="Q450">
        <v>0.1</v>
      </c>
      <c r="R450">
        <v>11990</v>
      </c>
      <c r="S450" t="s">
        <v>80</v>
      </c>
      <c r="T450" t="s">
        <v>74</v>
      </c>
      <c r="U450">
        <v>6</v>
      </c>
      <c r="V450" t="s">
        <v>40</v>
      </c>
      <c r="W450">
        <f>excelsalesdata[[#This Row],[Quantity]]*excelsalesdata[[#This Row],[Unit_Price]]</f>
        <v>18140</v>
      </c>
      <c r="X450">
        <f>excelsalesdata[[#This Row],[Gross_sales]]*excelsalesdata[[#This Row],[Discount_%]]</f>
        <v>1814</v>
      </c>
      <c r="Y450">
        <f>excelsalesdata[[#This Row],[Gross_sales]]-excelsalesdata[[#This Row],[Discount_amt]]</f>
        <v>16326</v>
      </c>
      <c r="Z450" s="4">
        <f>excelsalesdata[[#This Row],[Net_sales]]-excelsalesdata[[#This Row],[Cost]]</f>
        <v>4336</v>
      </c>
      <c r="AA450" s="5">
        <f>excelsalesdata[[#This Row],[Profit]]/excelsalesdata[[#This Row],[Net_sales]]</f>
        <v>0.26558863163052798</v>
      </c>
      <c r="AB450" s="4">
        <f>YEAR(excelsalesdata[[#This Row],[Order_Date]])</f>
        <v>2026</v>
      </c>
      <c r="AC450" s="4" t="str">
        <f>TEXT(excelsalesdata[[#This Row],[Order_Date]],"mmm")</f>
        <v>Jul</v>
      </c>
      <c r="AD450" s="4" t="str">
        <f>"Q"&amp;ROUNDUP(MONTH(excelsalesdata[[#This Row],[Order_Date]])/3,0)</f>
        <v>Q3</v>
      </c>
    </row>
    <row r="451" spans="1:30" x14ac:dyDescent="0.35">
      <c r="A451" t="s">
        <v>1047</v>
      </c>
      <c r="B451" s="3">
        <v>46209</v>
      </c>
      <c r="C451" t="s">
        <v>1048</v>
      </c>
      <c r="D451" t="s">
        <v>786</v>
      </c>
      <c r="E451" t="str">
        <f>TRIM(excelsalesdata[[#This Row],[Customer_Name]])</f>
        <v>Aarav Patel</v>
      </c>
      <c r="F451" t="s">
        <v>44</v>
      </c>
      <c r="G451">
        <v>26</v>
      </c>
      <c r="H451" t="s">
        <v>190</v>
      </c>
      <c r="I451" t="str">
        <f>TRIM(excelsalesdata[[#This Row],[City]])</f>
        <v>Ahmedabad</v>
      </c>
      <c r="J451" t="s">
        <v>191</v>
      </c>
      <c r="K451" t="s">
        <v>26</v>
      </c>
      <c r="L451" t="s">
        <v>93</v>
      </c>
      <c r="M451" t="s">
        <v>718</v>
      </c>
      <c r="N451" t="s">
        <v>718</v>
      </c>
      <c r="O451">
        <v>2</v>
      </c>
      <c r="P451">
        <v>1760</v>
      </c>
      <c r="Q451">
        <v>0.15</v>
      </c>
      <c r="R451">
        <v>880</v>
      </c>
      <c r="S451" t="s">
        <v>105</v>
      </c>
      <c r="T451" t="s">
        <v>30</v>
      </c>
      <c r="U451">
        <v>5</v>
      </c>
      <c r="V451" t="s">
        <v>31</v>
      </c>
      <c r="W451">
        <f>excelsalesdata[[#This Row],[Quantity]]*excelsalesdata[[#This Row],[Unit_Price]]</f>
        <v>3520</v>
      </c>
      <c r="X451">
        <f>excelsalesdata[[#This Row],[Gross_sales]]*excelsalesdata[[#This Row],[Discount_%]]</f>
        <v>528</v>
      </c>
      <c r="Y451">
        <f>excelsalesdata[[#This Row],[Gross_sales]]-excelsalesdata[[#This Row],[Discount_amt]]</f>
        <v>2992</v>
      </c>
      <c r="Z451" s="4">
        <f>excelsalesdata[[#This Row],[Net_sales]]-excelsalesdata[[#This Row],[Cost]]</f>
        <v>2112</v>
      </c>
      <c r="AA451" s="5">
        <f>excelsalesdata[[#This Row],[Profit]]/excelsalesdata[[#This Row],[Net_sales]]</f>
        <v>0.70588235294117652</v>
      </c>
      <c r="AB451" s="4">
        <f>YEAR(excelsalesdata[[#This Row],[Order_Date]])</f>
        <v>2026</v>
      </c>
      <c r="AC451" s="4" t="str">
        <f>TEXT(excelsalesdata[[#This Row],[Order_Date]],"mmm")</f>
        <v>Jul</v>
      </c>
      <c r="AD451" s="4" t="str">
        <f>"Q"&amp;ROUNDUP(MONTH(excelsalesdata[[#This Row],[Order_Date]])/3,0)</f>
        <v>Q3</v>
      </c>
    </row>
    <row r="452" spans="1:30" x14ac:dyDescent="0.35">
      <c r="A452" t="s">
        <v>1049</v>
      </c>
      <c r="B452" s="3">
        <v>46210</v>
      </c>
      <c r="C452" t="s">
        <v>431</v>
      </c>
      <c r="D452" t="s">
        <v>1051</v>
      </c>
      <c r="E452" t="str">
        <f>TRIM(excelsalesdata[[#This Row],[Customer_Name]])</f>
        <v>Aarav Das</v>
      </c>
      <c r="F452" t="s">
        <v>23</v>
      </c>
      <c r="G452">
        <v>43</v>
      </c>
      <c r="H452" t="s">
        <v>45</v>
      </c>
      <c r="I452" t="str">
        <f>TRIM(excelsalesdata[[#This Row],[City]])</f>
        <v>Kochi</v>
      </c>
      <c r="J452" t="s">
        <v>46</v>
      </c>
      <c r="K452" t="s">
        <v>47</v>
      </c>
      <c r="L452" t="s">
        <v>54</v>
      </c>
      <c r="M452" t="s">
        <v>66</v>
      </c>
      <c r="N452" t="s">
        <v>66</v>
      </c>
      <c r="O452">
        <v>1</v>
      </c>
      <c r="P452">
        <v>2580</v>
      </c>
      <c r="Q452">
        <v>0.15</v>
      </c>
      <c r="R452">
        <v>1440</v>
      </c>
      <c r="S452" t="s">
        <v>80</v>
      </c>
      <c r="T452" t="s">
        <v>30</v>
      </c>
      <c r="U452">
        <v>7</v>
      </c>
      <c r="V452" t="s">
        <v>31</v>
      </c>
      <c r="W452">
        <f>excelsalesdata[[#This Row],[Quantity]]*excelsalesdata[[#This Row],[Unit_Price]]</f>
        <v>2580</v>
      </c>
      <c r="X452">
        <f>excelsalesdata[[#This Row],[Gross_sales]]*excelsalesdata[[#This Row],[Discount_%]]</f>
        <v>387</v>
      </c>
      <c r="Y452">
        <f>excelsalesdata[[#This Row],[Gross_sales]]-excelsalesdata[[#This Row],[Discount_amt]]</f>
        <v>2193</v>
      </c>
      <c r="Z452" s="4">
        <f>excelsalesdata[[#This Row],[Net_sales]]-excelsalesdata[[#This Row],[Cost]]</f>
        <v>753</v>
      </c>
      <c r="AA452" s="5">
        <f>excelsalesdata[[#This Row],[Profit]]/excelsalesdata[[#This Row],[Net_sales]]</f>
        <v>0.34336525307797539</v>
      </c>
      <c r="AB452" s="4">
        <f>YEAR(excelsalesdata[[#This Row],[Order_Date]])</f>
        <v>2026</v>
      </c>
      <c r="AC452" s="4" t="str">
        <f>TEXT(excelsalesdata[[#This Row],[Order_Date]],"mmm")</f>
        <v>Jul</v>
      </c>
      <c r="AD452" s="4" t="str">
        <f>"Q"&amp;ROUNDUP(MONTH(excelsalesdata[[#This Row],[Order_Date]])/3,0)</f>
        <v>Q3</v>
      </c>
    </row>
    <row r="453" spans="1:30" x14ac:dyDescent="0.35">
      <c r="A453" t="s">
        <v>1050</v>
      </c>
      <c r="B453" s="3">
        <v>46211</v>
      </c>
      <c r="C453" t="s">
        <v>864</v>
      </c>
      <c r="D453" t="s">
        <v>1054</v>
      </c>
      <c r="E453" t="str">
        <f>TRIM(excelsalesdata[[#This Row],[Customer_Name]])</f>
        <v>Rahul Reddy</v>
      </c>
      <c r="F453" t="s">
        <v>23</v>
      </c>
      <c r="G453">
        <v>37</v>
      </c>
      <c r="H453" t="s">
        <v>71</v>
      </c>
      <c r="I453" t="str">
        <f>TRIM(excelsalesdata[[#This Row],[City]])</f>
        <v>Bhubaneswar</v>
      </c>
      <c r="J453" t="s">
        <v>72</v>
      </c>
      <c r="K453" t="s">
        <v>37</v>
      </c>
      <c r="L453" t="s">
        <v>103</v>
      </c>
      <c r="M453" t="s">
        <v>347</v>
      </c>
      <c r="N453" t="s">
        <v>347</v>
      </c>
      <c r="O453">
        <v>3</v>
      </c>
      <c r="P453">
        <v>11690</v>
      </c>
      <c r="Q453">
        <v>0</v>
      </c>
      <c r="R453">
        <v>8240</v>
      </c>
      <c r="S453" t="s">
        <v>105</v>
      </c>
      <c r="T453" t="s">
        <v>81</v>
      </c>
      <c r="U453">
        <v>0</v>
      </c>
      <c r="V453" t="s">
        <v>31</v>
      </c>
      <c r="W453">
        <f>excelsalesdata[[#This Row],[Quantity]]*excelsalesdata[[#This Row],[Unit_Price]]</f>
        <v>35070</v>
      </c>
      <c r="X453">
        <f>excelsalesdata[[#This Row],[Gross_sales]]*excelsalesdata[[#This Row],[Discount_%]]</f>
        <v>0</v>
      </c>
      <c r="Y453">
        <f>excelsalesdata[[#This Row],[Gross_sales]]-excelsalesdata[[#This Row],[Discount_amt]]</f>
        <v>35070</v>
      </c>
      <c r="Z453" s="4">
        <f>excelsalesdata[[#This Row],[Net_sales]]-excelsalesdata[[#This Row],[Cost]]</f>
        <v>26830</v>
      </c>
      <c r="AA453" s="5">
        <f>excelsalesdata[[#This Row],[Profit]]/excelsalesdata[[#This Row],[Net_sales]]</f>
        <v>0.76504134587966921</v>
      </c>
      <c r="AB453" s="4">
        <f>YEAR(excelsalesdata[[#This Row],[Order_Date]])</f>
        <v>2026</v>
      </c>
      <c r="AC453" s="4" t="str">
        <f>TEXT(excelsalesdata[[#This Row],[Order_Date]],"mmm")</f>
        <v>Jul</v>
      </c>
      <c r="AD453" s="4" t="str">
        <f>"Q"&amp;ROUNDUP(MONTH(excelsalesdata[[#This Row],[Order_Date]])/3,0)</f>
        <v>Q3</v>
      </c>
    </row>
    <row r="454" spans="1:30" x14ac:dyDescent="0.35">
      <c r="A454" t="s">
        <v>1052</v>
      </c>
      <c r="B454" s="3">
        <v>46212</v>
      </c>
      <c r="C454" t="s">
        <v>1053</v>
      </c>
      <c r="D454" t="s">
        <v>731</v>
      </c>
      <c r="E454" t="str">
        <f>TRIM(excelsalesdata[[#This Row],[Customer_Name]])</f>
        <v>Diya Bhat</v>
      </c>
      <c r="F454" t="s">
        <v>23</v>
      </c>
      <c r="G454">
        <v>51</v>
      </c>
      <c r="H454" t="s">
        <v>155</v>
      </c>
      <c r="I454" t="str">
        <f>TRIM(excelsalesdata[[#This Row],[City]])</f>
        <v>Chennai</v>
      </c>
      <c r="J454" t="s">
        <v>156</v>
      </c>
      <c r="K454" t="s">
        <v>47</v>
      </c>
      <c r="L454" t="s">
        <v>27</v>
      </c>
      <c r="M454" t="s">
        <v>48</v>
      </c>
      <c r="N454" t="s">
        <v>48</v>
      </c>
      <c r="O454">
        <v>1</v>
      </c>
      <c r="P454">
        <v>960</v>
      </c>
      <c r="Q454">
        <v>0.05</v>
      </c>
      <c r="R454">
        <v>440</v>
      </c>
      <c r="S454" t="s">
        <v>80</v>
      </c>
      <c r="T454" t="s">
        <v>30</v>
      </c>
      <c r="U454">
        <v>1</v>
      </c>
      <c r="V454" t="s">
        <v>40</v>
      </c>
      <c r="W454">
        <f>excelsalesdata[[#This Row],[Quantity]]*excelsalesdata[[#This Row],[Unit_Price]]</f>
        <v>960</v>
      </c>
      <c r="X454">
        <f>excelsalesdata[[#This Row],[Gross_sales]]*excelsalesdata[[#This Row],[Discount_%]]</f>
        <v>48</v>
      </c>
      <c r="Y454">
        <f>excelsalesdata[[#This Row],[Gross_sales]]-excelsalesdata[[#This Row],[Discount_amt]]</f>
        <v>912</v>
      </c>
      <c r="Z454" s="4">
        <f>excelsalesdata[[#This Row],[Net_sales]]-excelsalesdata[[#This Row],[Cost]]</f>
        <v>472</v>
      </c>
      <c r="AA454" s="5">
        <f>excelsalesdata[[#This Row],[Profit]]/excelsalesdata[[#This Row],[Net_sales]]</f>
        <v>0.51754385964912286</v>
      </c>
      <c r="AB454" s="4">
        <f>YEAR(excelsalesdata[[#This Row],[Order_Date]])</f>
        <v>2026</v>
      </c>
      <c r="AC454" s="4" t="str">
        <f>TEXT(excelsalesdata[[#This Row],[Order_Date]],"mmm")</f>
        <v>Jul</v>
      </c>
      <c r="AD454" s="4" t="str">
        <f>"Q"&amp;ROUNDUP(MONTH(excelsalesdata[[#This Row],[Order_Date]])/3,0)</f>
        <v>Q3</v>
      </c>
    </row>
    <row r="455" spans="1:30" x14ac:dyDescent="0.35">
      <c r="A455" t="s">
        <v>1055</v>
      </c>
      <c r="B455" s="3">
        <v>46213</v>
      </c>
      <c r="C455" t="s">
        <v>117</v>
      </c>
      <c r="D455" t="s">
        <v>1054</v>
      </c>
      <c r="E455" t="str">
        <f>TRIM(excelsalesdata[[#This Row],[Customer_Name]])</f>
        <v>Rahul Reddy</v>
      </c>
      <c r="F455" t="s">
        <v>23</v>
      </c>
      <c r="G455">
        <v>29</v>
      </c>
      <c r="H455" t="s">
        <v>114</v>
      </c>
      <c r="I455" t="str">
        <f>TRIM(excelsalesdata[[#This Row],[City]])</f>
        <v>Hyderabad</v>
      </c>
      <c r="J455" t="s">
        <v>115</v>
      </c>
      <c r="K455" t="s">
        <v>47</v>
      </c>
      <c r="L455" t="s">
        <v>27</v>
      </c>
      <c r="M455" t="s">
        <v>48</v>
      </c>
      <c r="N455" t="s">
        <v>48</v>
      </c>
      <c r="O455">
        <v>1</v>
      </c>
      <c r="P455">
        <v>870</v>
      </c>
      <c r="Q455">
        <v>0.05</v>
      </c>
      <c r="R455">
        <v>450</v>
      </c>
      <c r="S455" t="s">
        <v>29</v>
      </c>
      <c r="T455" t="s">
        <v>30</v>
      </c>
      <c r="U455">
        <v>1</v>
      </c>
      <c r="V455" t="s">
        <v>40</v>
      </c>
      <c r="W455">
        <f>excelsalesdata[[#This Row],[Quantity]]*excelsalesdata[[#This Row],[Unit_Price]]</f>
        <v>870</v>
      </c>
      <c r="X455">
        <f>excelsalesdata[[#This Row],[Gross_sales]]*excelsalesdata[[#This Row],[Discount_%]]</f>
        <v>43.5</v>
      </c>
      <c r="Y455">
        <f>excelsalesdata[[#This Row],[Gross_sales]]-excelsalesdata[[#This Row],[Discount_amt]]</f>
        <v>826.5</v>
      </c>
      <c r="Z455" s="4">
        <f>excelsalesdata[[#This Row],[Net_sales]]-excelsalesdata[[#This Row],[Cost]]</f>
        <v>376.5</v>
      </c>
      <c r="AA455" s="5">
        <f>excelsalesdata[[#This Row],[Profit]]/excelsalesdata[[#This Row],[Net_sales]]</f>
        <v>0.45553539019963701</v>
      </c>
      <c r="AB455" s="4">
        <f>YEAR(excelsalesdata[[#This Row],[Order_Date]])</f>
        <v>2026</v>
      </c>
      <c r="AC455" s="4" t="str">
        <f>TEXT(excelsalesdata[[#This Row],[Order_Date]],"mmm")</f>
        <v>Jul</v>
      </c>
      <c r="AD455" s="4" t="str">
        <f>"Q"&amp;ROUNDUP(MONTH(excelsalesdata[[#This Row],[Order_Date]])/3,0)</f>
        <v>Q3</v>
      </c>
    </row>
    <row r="456" spans="1:30" x14ac:dyDescent="0.35">
      <c r="A456" t="s">
        <v>1056</v>
      </c>
      <c r="B456" s="3">
        <v>46214</v>
      </c>
      <c r="C456" t="s">
        <v>881</v>
      </c>
      <c r="D456" t="s">
        <v>335</v>
      </c>
      <c r="E456" t="str">
        <f>TRIM(excelsalesdata[[#This Row],[Customer_Name]])</f>
        <v>Vikram Joshi</v>
      </c>
      <c r="F456" t="s">
        <v>44</v>
      </c>
      <c r="G456">
        <v>56</v>
      </c>
      <c r="H456" t="s">
        <v>52</v>
      </c>
      <c r="I456" t="str">
        <f>TRIM(excelsalesdata[[#This Row],[City]])</f>
        <v>Bengaluru</v>
      </c>
      <c r="J456" t="s">
        <v>53</v>
      </c>
      <c r="K456" t="s">
        <v>47</v>
      </c>
      <c r="L456" t="s">
        <v>93</v>
      </c>
      <c r="M456" t="s">
        <v>135</v>
      </c>
      <c r="N456" t="s">
        <v>135</v>
      </c>
      <c r="O456">
        <v>1</v>
      </c>
      <c r="P456">
        <v>1870</v>
      </c>
      <c r="Q456">
        <v>0</v>
      </c>
      <c r="R456">
        <v>1040</v>
      </c>
      <c r="S456" t="s">
        <v>29</v>
      </c>
      <c r="T456" t="s">
        <v>74</v>
      </c>
      <c r="U456">
        <v>3</v>
      </c>
      <c r="V456" t="s">
        <v>31</v>
      </c>
      <c r="W456">
        <f>excelsalesdata[[#This Row],[Quantity]]*excelsalesdata[[#This Row],[Unit_Price]]</f>
        <v>1870</v>
      </c>
      <c r="X456">
        <f>excelsalesdata[[#This Row],[Gross_sales]]*excelsalesdata[[#This Row],[Discount_%]]</f>
        <v>0</v>
      </c>
      <c r="Y456">
        <f>excelsalesdata[[#This Row],[Gross_sales]]-excelsalesdata[[#This Row],[Discount_amt]]</f>
        <v>1870</v>
      </c>
      <c r="Z456" s="4">
        <f>excelsalesdata[[#This Row],[Net_sales]]-excelsalesdata[[#This Row],[Cost]]</f>
        <v>830</v>
      </c>
      <c r="AA456" s="5">
        <f>excelsalesdata[[#This Row],[Profit]]/excelsalesdata[[#This Row],[Net_sales]]</f>
        <v>0.44385026737967914</v>
      </c>
      <c r="AB456" s="4">
        <f>YEAR(excelsalesdata[[#This Row],[Order_Date]])</f>
        <v>2026</v>
      </c>
      <c r="AC456" s="4" t="str">
        <f>TEXT(excelsalesdata[[#This Row],[Order_Date]],"mmm")</f>
        <v>Jul</v>
      </c>
      <c r="AD456" s="4" t="str">
        <f>"Q"&amp;ROUNDUP(MONTH(excelsalesdata[[#This Row],[Order_Date]])/3,0)</f>
        <v>Q3</v>
      </c>
    </row>
    <row r="457" spans="1:30" x14ac:dyDescent="0.35">
      <c r="A457" t="s">
        <v>1057</v>
      </c>
      <c r="B457" s="3">
        <v>46215</v>
      </c>
      <c r="C457" t="s">
        <v>1058</v>
      </c>
      <c r="D457" t="s">
        <v>532</v>
      </c>
      <c r="E457" t="str">
        <f>TRIM(excelsalesdata[[#This Row],[Customer_Name]])</f>
        <v>Ananya Mehta</v>
      </c>
      <c r="F457" t="s">
        <v>23</v>
      </c>
      <c r="G457">
        <v>59</v>
      </c>
      <c r="H457" t="s">
        <v>52</v>
      </c>
      <c r="I457" t="str">
        <f>TRIM(excelsalesdata[[#This Row],[City]])</f>
        <v>Bengaluru</v>
      </c>
      <c r="J457" t="s">
        <v>53</v>
      </c>
      <c r="K457" t="s">
        <v>47</v>
      </c>
      <c r="L457" t="s">
        <v>27</v>
      </c>
      <c r="M457" t="s">
        <v>295</v>
      </c>
      <c r="N457" t="s">
        <v>295</v>
      </c>
      <c r="O457">
        <v>1</v>
      </c>
      <c r="P457">
        <v>4000</v>
      </c>
      <c r="Q457">
        <v>0.25</v>
      </c>
      <c r="R457">
        <v>2720</v>
      </c>
      <c r="S457" t="s">
        <v>80</v>
      </c>
      <c r="T457" t="s">
        <v>81</v>
      </c>
      <c r="U457">
        <v>0</v>
      </c>
      <c r="V457" t="s">
        <v>40</v>
      </c>
      <c r="W457">
        <f>excelsalesdata[[#This Row],[Quantity]]*excelsalesdata[[#This Row],[Unit_Price]]</f>
        <v>4000</v>
      </c>
      <c r="X457">
        <f>excelsalesdata[[#This Row],[Gross_sales]]*excelsalesdata[[#This Row],[Discount_%]]</f>
        <v>1000</v>
      </c>
      <c r="Y457">
        <f>excelsalesdata[[#This Row],[Gross_sales]]-excelsalesdata[[#This Row],[Discount_amt]]</f>
        <v>3000</v>
      </c>
      <c r="Z457" s="4">
        <f>excelsalesdata[[#This Row],[Net_sales]]-excelsalesdata[[#This Row],[Cost]]</f>
        <v>280</v>
      </c>
      <c r="AA457" s="5">
        <f>excelsalesdata[[#This Row],[Profit]]/excelsalesdata[[#This Row],[Net_sales]]</f>
        <v>9.3333333333333338E-2</v>
      </c>
      <c r="AB457" s="4">
        <f>YEAR(excelsalesdata[[#This Row],[Order_Date]])</f>
        <v>2026</v>
      </c>
      <c r="AC457" s="4" t="str">
        <f>TEXT(excelsalesdata[[#This Row],[Order_Date]],"mmm")</f>
        <v>Jul</v>
      </c>
      <c r="AD457" s="4" t="str">
        <f>"Q"&amp;ROUNDUP(MONTH(excelsalesdata[[#This Row],[Order_Date]])/3,0)</f>
        <v>Q3</v>
      </c>
    </row>
    <row r="458" spans="1:30" x14ac:dyDescent="0.35">
      <c r="A458" t="s">
        <v>1059</v>
      </c>
      <c r="B458" s="3">
        <v>46216</v>
      </c>
      <c r="C458" t="s">
        <v>577</v>
      </c>
      <c r="D458" t="s">
        <v>214</v>
      </c>
      <c r="E458" t="str">
        <f>TRIM(excelsalesdata[[#This Row],[Customer_Name]])</f>
        <v>Meera Naidu</v>
      </c>
      <c r="F458" t="s">
        <v>44</v>
      </c>
      <c r="G458">
        <v>25</v>
      </c>
      <c r="H458" t="s">
        <v>155</v>
      </c>
      <c r="I458" t="str">
        <f>TRIM(excelsalesdata[[#This Row],[City]])</f>
        <v>Chennai</v>
      </c>
      <c r="J458" t="s">
        <v>156</v>
      </c>
      <c r="K458" t="s">
        <v>47</v>
      </c>
      <c r="L458" t="s">
        <v>93</v>
      </c>
      <c r="M458" t="s">
        <v>94</v>
      </c>
      <c r="N458" t="s">
        <v>94</v>
      </c>
      <c r="O458">
        <v>1</v>
      </c>
      <c r="P458">
        <v>470</v>
      </c>
      <c r="Q458">
        <v>0.1</v>
      </c>
      <c r="R458">
        <v>240</v>
      </c>
      <c r="S458" t="s">
        <v>67</v>
      </c>
      <c r="T458" t="s">
        <v>30</v>
      </c>
      <c r="U458">
        <v>5</v>
      </c>
      <c r="V458" t="s">
        <v>40</v>
      </c>
      <c r="W458">
        <f>excelsalesdata[[#This Row],[Quantity]]*excelsalesdata[[#This Row],[Unit_Price]]</f>
        <v>470</v>
      </c>
      <c r="X458">
        <f>excelsalesdata[[#This Row],[Gross_sales]]*excelsalesdata[[#This Row],[Discount_%]]</f>
        <v>47</v>
      </c>
      <c r="Y458">
        <f>excelsalesdata[[#This Row],[Gross_sales]]-excelsalesdata[[#This Row],[Discount_amt]]</f>
        <v>423</v>
      </c>
      <c r="Z458" s="4">
        <f>excelsalesdata[[#This Row],[Net_sales]]-excelsalesdata[[#This Row],[Cost]]</f>
        <v>183</v>
      </c>
      <c r="AA458" s="5">
        <f>excelsalesdata[[#This Row],[Profit]]/excelsalesdata[[#This Row],[Net_sales]]</f>
        <v>0.43262411347517732</v>
      </c>
      <c r="AB458" s="4">
        <f>YEAR(excelsalesdata[[#This Row],[Order_Date]])</f>
        <v>2026</v>
      </c>
      <c r="AC458" s="4" t="str">
        <f>TEXT(excelsalesdata[[#This Row],[Order_Date]],"mmm")</f>
        <v>Jul</v>
      </c>
      <c r="AD458" s="4" t="str">
        <f>"Q"&amp;ROUNDUP(MONTH(excelsalesdata[[#This Row],[Order_Date]])/3,0)</f>
        <v>Q3</v>
      </c>
    </row>
    <row r="459" spans="1:30" x14ac:dyDescent="0.35">
      <c r="A459" t="s">
        <v>1060</v>
      </c>
      <c r="B459" s="3">
        <v>46217</v>
      </c>
      <c r="C459" t="s">
        <v>146</v>
      </c>
      <c r="D459" t="s">
        <v>325</v>
      </c>
      <c r="E459" t="str">
        <f>TRIM(excelsalesdata[[#This Row],[Customer_Name]])</f>
        <v>Ishita Iyer</v>
      </c>
      <c r="F459" t="s">
        <v>23</v>
      </c>
      <c r="G459">
        <v>54</v>
      </c>
      <c r="H459" t="s">
        <v>78</v>
      </c>
      <c r="I459" t="str">
        <f>TRIM(excelsalesdata[[#This Row],[City]])</f>
        <v>Guwahati</v>
      </c>
      <c r="J459" t="s">
        <v>79</v>
      </c>
      <c r="K459" t="s">
        <v>37</v>
      </c>
      <c r="L459" t="s">
        <v>103</v>
      </c>
      <c r="M459" t="s">
        <v>178</v>
      </c>
      <c r="N459" t="s">
        <v>178</v>
      </c>
      <c r="O459">
        <v>1</v>
      </c>
      <c r="P459">
        <v>1660</v>
      </c>
      <c r="Q459">
        <v>0</v>
      </c>
      <c r="R459">
        <v>940</v>
      </c>
      <c r="S459" t="s">
        <v>67</v>
      </c>
      <c r="T459" t="s">
        <v>30</v>
      </c>
      <c r="U459">
        <v>5</v>
      </c>
      <c r="V459" t="s">
        <v>31</v>
      </c>
      <c r="W459">
        <f>excelsalesdata[[#This Row],[Quantity]]*excelsalesdata[[#This Row],[Unit_Price]]</f>
        <v>1660</v>
      </c>
      <c r="X459">
        <f>excelsalesdata[[#This Row],[Gross_sales]]*excelsalesdata[[#This Row],[Discount_%]]</f>
        <v>0</v>
      </c>
      <c r="Y459">
        <f>excelsalesdata[[#This Row],[Gross_sales]]-excelsalesdata[[#This Row],[Discount_amt]]</f>
        <v>1660</v>
      </c>
      <c r="Z459" s="4">
        <f>excelsalesdata[[#This Row],[Net_sales]]-excelsalesdata[[#This Row],[Cost]]</f>
        <v>720</v>
      </c>
      <c r="AA459" s="5">
        <f>excelsalesdata[[#This Row],[Profit]]/excelsalesdata[[#This Row],[Net_sales]]</f>
        <v>0.43373493975903615</v>
      </c>
      <c r="AB459" s="4">
        <f>YEAR(excelsalesdata[[#This Row],[Order_Date]])</f>
        <v>2026</v>
      </c>
      <c r="AC459" s="4" t="str">
        <f>TEXT(excelsalesdata[[#This Row],[Order_Date]],"mmm")</f>
        <v>Jul</v>
      </c>
      <c r="AD459" s="4" t="str">
        <f>"Q"&amp;ROUNDUP(MONTH(excelsalesdata[[#This Row],[Order_Date]])/3,0)</f>
        <v>Q3</v>
      </c>
    </row>
    <row r="460" spans="1:30" x14ac:dyDescent="0.35">
      <c r="A460" t="s">
        <v>1061</v>
      </c>
      <c r="B460" s="3">
        <v>46218</v>
      </c>
      <c r="C460" t="s">
        <v>579</v>
      </c>
      <c r="D460" t="s">
        <v>546</v>
      </c>
      <c r="E460" t="str">
        <f>TRIM(excelsalesdata[[#This Row],[Customer_Name]])</f>
        <v>Karan Nair</v>
      </c>
      <c r="F460" t="s">
        <v>23</v>
      </c>
      <c r="G460">
        <v>54</v>
      </c>
      <c r="H460" t="s">
        <v>109</v>
      </c>
      <c r="I460" t="str">
        <f>TRIM(excelsalesdata[[#This Row],[City]])</f>
        <v>Mysuru</v>
      </c>
      <c r="J460" t="s">
        <v>53</v>
      </c>
      <c r="K460" t="s">
        <v>47</v>
      </c>
      <c r="L460" t="s">
        <v>54</v>
      </c>
      <c r="M460" t="s">
        <v>157</v>
      </c>
      <c r="N460" t="s">
        <v>157</v>
      </c>
      <c r="O460">
        <v>1</v>
      </c>
      <c r="P460">
        <v>54150</v>
      </c>
      <c r="Q460">
        <v>0.3</v>
      </c>
      <c r="R460">
        <v>40630</v>
      </c>
      <c r="S460" t="s">
        <v>105</v>
      </c>
      <c r="T460" t="s">
        <v>30</v>
      </c>
      <c r="U460">
        <v>5</v>
      </c>
      <c r="V460" t="s">
        <v>40</v>
      </c>
      <c r="W460">
        <f>excelsalesdata[[#This Row],[Quantity]]*excelsalesdata[[#This Row],[Unit_Price]]</f>
        <v>54150</v>
      </c>
      <c r="X460">
        <f>excelsalesdata[[#This Row],[Gross_sales]]*excelsalesdata[[#This Row],[Discount_%]]</f>
        <v>16245</v>
      </c>
      <c r="Y460">
        <f>excelsalesdata[[#This Row],[Gross_sales]]-excelsalesdata[[#This Row],[Discount_amt]]</f>
        <v>37905</v>
      </c>
      <c r="Z460" s="4">
        <f>excelsalesdata[[#This Row],[Net_sales]]-excelsalesdata[[#This Row],[Cost]]</f>
        <v>-2725</v>
      </c>
      <c r="AA460" s="5">
        <f>excelsalesdata[[#This Row],[Profit]]/excelsalesdata[[#This Row],[Net_sales]]</f>
        <v>-7.1890251945653613E-2</v>
      </c>
      <c r="AB460" s="4">
        <f>YEAR(excelsalesdata[[#This Row],[Order_Date]])</f>
        <v>2026</v>
      </c>
      <c r="AC460" s="4" t="str">
        <f>TEXT(excelsalesdata[[#This Row],[Order_Date]],"mmm")</f>
        <v>Jul</v>
      </c>
      <c r="AD460" s="4" t="str">
        <f>"Q"&amp;ROUNDUP(MONTH(excelsalesdata[[#This Row],[Order_Date]])/3,0)</f>
        <v>Q3</v>
      </c>
    </row>
    <row r="461" spans="1:30" x14ac:dyDescent="0.35">
      <c r="A461" t="s">
        <v>1062</v>
      </c>
      <c r="B461" s="3">
        <v>46219</v>
      </c>
      <c r="C461" t="s">
        <v>1063</v>
      </c>
      <c r="D461" t="s">
        <v>250</v>
      </c>
      <c r="E461" t="str">
        <f>TRIM(excelsalesdata[[#This Row],[Customer_Name]])</f>
        <v>Rohan Singh</v>
      </c>
      <c r="F461" t="s">
        <v>23</v>
      </c>
      <c r="G461">
        <v>60</v>
      </c>
      <c r="H461" t="s">
        <v>78</v>
      </c>
      <c r="I461" t="str">
        <f>TRIM(excelsalesdata[[#This Row],[City]])</f>
        <v>Guwahati</v>
      </c>
      <c r="J461" t="s">
        <v>79</v>
      </c>
      <c r="K461" t="s">
        <v>37</v>
      </c>
      <c r="L461" t="s">
        <v>54</v>
      </c>
      <c r="M461" t="s">
        <v>62</v>
      </c>
      <c r="N461" t="s">
        <v>62</v>
      </c>
      <c r="O461">
        <v>1</v>
      </c>
      <c r="P461">
        <v>21300</v>
      </c>
      <c r="Q461">
        <v>0.05</v>
      </c>
      <c r="R461">
        <v>15300</v>
      </c>
      <c r="S461" t="s">
        <v>29</v>
      </c>
      <c r="T461" t="s">
        <v>30</v>
      </c>
      <c r="U461">
        <v>3</v>
      </c>
      <c r="V461" t="s">
        <v>40</v>
      </c>
      <c r="W461">
        <f>excelsalesdata[[#This Row],[Quantity]]*excelsalesdata[[#This Row],[Unit_Price]]</f>
        <v>21300</v>
      </c>
      <c r="X461">
        <f>excelsalesdata[[#This Row],[Gross_sales]]*excelsalesdata[[#This Row],[Discount_%]]</f>
        <v>1065</v>
      </c>
      <c r="Y461">
        <f>excelsalesdata[[#This Row],[Gross_sales]]-excelsalesdata[[#This Row],[Discount_amt]]</f>
        <v>20235</v>
      </c>
      <c r="Z461" s="4">
        <f>excelsalesdata[[#This Row],[Net_sales]]-excelsalesdata[[#This Row],[Cost]]</f>
        <v>4935</v>
      </c>
      <c r="AA461" s="5">
        <f>excelsalesdata[[#This Row],[Profit]]/excelsalesdata[[#This Row],[Net_sales]]</f>
        <v>0.24388435878428466</v>
      </c>
      <c r="AB461" s="4">
        <f>YEAR(excelsalesdata[[#This Row],[Order_Date]])</f>
        <v>2026</v>
      </c>
      <c r="AC461" s="4" t="str">
        <f>TEXT(excelsalesdata[[#This Row],[Order_Date]],"mmm")</f>
        <v>Jul</v>
      </c>
      <c r="AD461" s="4" t="str">
        <f>"Q"&amp;ROUNDUP(MONTH(excelsalesdata[[#This Row],[Order_Date]])/3,0)</f>
        <v>Q3</v>
      </c>
    </row>
    <row r="462" spans="1:30" x14ac:dyDescent="0.35">
      <c r="A462" t="s">
        <v>1064</v>
      </c>
      <c r="B462" s="3">
        <v>46220</v>
      </c>
      <c r="C462" t="s">
        <v>1065</v>
      </c>
      <c r="D462" t="s">
        <v>276</v>
      </c>
      <c r="E462" t="str">
        <f>TRIM(excelsalesdata[[#This Row],[Customer_Name]])</f>
        <v>Aarav Bhat</v>
      </c>
      <c r="F462" t="s">
        <v>44</v>
      </c>
      <c r="G462">
        <v>50</v>
      </c>
      <c r="H462" t="s">
        <v>190</v>
      </c>
      <c r="I462" t="str">
        <f>TRIM(excelsalesdata[[#This Row],[City]])</f>
        <v>Ahmedabad</v>
      </c>
      <c r="J462" t="s">
        <v>191</v>
      </c>
      <c r="K462" t="s">
        <v>26</v>
      </c>
      <c r="L462" t="s">
        <v>27</v>
      </c>
      <c r="M462" t="s">
        <v>195</v>
      </c>
      <c r="N462" t="s">
        <v>195</v>
      </c>
      <c r="O462">
        <v>3</v>
      </c>
      <c r="P462">
        <v>2200</v>
      </c>
      <c r="Q462">
        <v>0.1</v>
      </c>
      <c r="R462">
        <v>1210</v>
      </c>
      <c r="S462" t="s">
        <v>29</v>
      </c>
      <c r="T462" t="s">
        <v>30</v>
      </c>
      <c r="U462">
        <v>3</v>
      </c>
      <c r="V462" t="s">
        <v>31</v>
      </c>
      <c r="W462">
        <f>excelsalesdata[[#This Row],[Quantity]]*excelsalesdata[[#This Row],[Unit_Price]]</f>
        <v>6600</v>
      </c>
      <c r="X462">
        <f>excelsalesdata[[#This Row],[Gross_sales]]*excelsalesdata[[#This Row],[Discount_%]]</f>
        <v>660</v>
      </c>
      <c r="Y462">
        <f>excelsalesdata[[#This Row],[Gross_sales]]-excelsalesdata[[#This Row],[Discount_amt]]</f>
        <v>5940</v>
      </c>
      <c r="Z462" s="4">
        <f>excelsalesdata[[#This Row],[Net_sales]]-excelsalesdata[[#This Row],[Cost]]</f>
        <v>4730</v>
      </c>
      <c r="AA462" s="5">
        <f>excelsalesdata[[#This Row],[Profit]]/excelsalesdata[[#This Row],[Net_sales]]</f>
        <v>0.79629629629629628</v>
      </c>
      <c r="AB462" s="4">
        <f>YEAR(excelsalesdata[[#This Row],[Order_Date]])</f>
        <v>2026</v>
      </c>
      <c r="AC462" s="4" t="str">
        <f>TEXT(excelsalesdata[[#This Row],[Order_Date]],"mmm")</f>
        <v>Jul</v>
      </c>
      <c r="AD462" s="4" t="str">
        <f>"Q"&amp;ROUNDUP(MONTH(excelsalesdata[[#This Row],[Order_Date]])/3,0)</f>
        <v>Q3</v>
      </c>
    </row>
    <row r="463" spans="1:30" x14ac:dyDescent="0.35">
      <c r="A463" t="s">
        <v>1066</v>
      </c>
      <c r="B463" s="3">
        <v>46221</v>
      </c>
      <c r="C463" t="s">
        <v>614</v>
      </c>
      <c r="D463" t="s">
        <v>583</v>
      </c>
      <c r="E463" t="str">
        <f>TRIM(excelsalesdata[[#This Row],[Customer_Name]])</f>
        <v>Ishita Gupta</v>
      </c>
      <c r="F463" t="s">
        <v>44</v>
      </c>
      <c r="G463">
        <v>45</v>
      </c>
      <c r="H463" t="s">
        <v>71</v>
      </c>
      <c r="I463" t="str">
        <f>TRIM(excelsalesdata[[#This Row],[City]])</f>
        <v>Bhubaneswar</v>
      </c>
      <c r="J463" t="s">
        <v>72</v>
      </c>
      <c r="K463" t="s">
        <v>37</v>
      </c>
      <c r="L463" t="s">
        <v>54</v>
      </c>
      <c r="M463" t="s">
        <v>129</v>
      </c>
      <c r="N463" t="s">
        <v>129</v>
      </c>
      <c r="O463">
        <v>1</v>
      </c>
      <c r="P463">
        <v>17600</v>
      </c>
      <c r="Q463">
        <v>0</v>
      </c>
      <c r="R463">
        <v>12200</v>
      </c>
      <c r="S463" t="s">
        <v>29</v>
      </c>
      <c r="T463" t="s">
        <v>30</v>
      </c>
      <c r="U463">
        <v>2</v>
      </c>
      <c r="V463" t="s">
        <v>31</v>
      </c>
      <c r="W463">
        <f>excelsalesdata[[#This Row],[Quantity]]*excelsalesdata[[#This Row],[Unit_Price]]</f>
        <v>17600</v>
      </c>
      <c r="X463">
        <f>excelsalesdata[[#This Row],[Gross_sales]]*excelsalesdata[[#This Row],[Discount_%]]</f>
        <v>0</v>
      </c>
      <c r="Y463">
        <f>excelsalesdata[[#This Row],[Gross_sales]]-excelsalesdata[[#This Row],[Discount_amt]]</f>
        <v>17600</v>
      </c>
      <c r="Z463" s="4">
        <f>excelsalesdata[[#This Row],[Net_sales]]-excelsalesdata[[#This Row],[Cost]]</f>
        <v>5400</v>
      </c>
      <c r="AA463" s="5">
        <f>excelsalesdata[[#This Row],[Profit]]/excelsalesdata[[#This Row],[Net_sales]]</f>
        <v>0.30681818181818182</v>
      </c>
      <c r="AB463" s="4">
        <f>YEAR(excelsalesdata[[#This Row],[Order_Date]])</f>
        <v>2026</v>
      </c>
      <c r="AC463" s="4" t="str">
        <f>TEXT(excelsalesdata[[#This Row],[Order_Date]],"mmm")</f>
        <v>Jul</v>
      </c>
      <c r="AD463" s="4" t="str">
        <f>"Q"&amp;ROUNDUP(MONTH(excelsalesdata[[#This Row],[Order_Date]])/3,0)</f>
        <v>Q3</v>
      </c>
    </row>
    <row r="464" spans="1:30" x14ac:dyDescent="0.35">
      <c r="A464" t="s">
        <v>1067</v>
      </c>
      <c r="B464" s="3">
        <v>46222</v>
      </c>
      <c r="C464" t="s">
        <v>1068</v>
      </c>
      <c r="D464" t="s">
        <v>1070</v>
      </c>
      <c r="E464" t="str">
        <f>TRIM(excelsalesdata[[#This Row],[Customer_Name]])</f>
        <v>Ishita Patel</v>
      </c>
      <c r="F464" t="s">
        <v>44</v>
      </c>
      <c r="G464">
        <v>18</v>
      </c>
      <c r="H464" t="s">
        <v>109</v>
      </c>
      <c r="I464" t="str">
        <f>TRIM(excelsalesdata[[#This Row],[City]])</f>
        <v>Mysuru</v>
      </c>
      <c r="J464" t="s">
        <v>53</v>
      </c>
      <c r="K464" t="s">
        <v>47</v>
      </c>
      <c r="L464" t="s">
        <v>103</v>
      </c>
      <c r="M464" t="s">
        <v>238</v>
      </c>
      <c r="N464" t="s">
        <v>238</v>
      </c>
      <c r="O464">
        <v>4</v>
      </c>
      <c r="P464">
        <v>4270</v>
      </c>
      <c r="Q464">
        <v>0</v>
      </c>
      <c r="R464">
        <v>2810</v>
      </c>
      <c r="S464" t="s">
        <v>80</v>
      </c>
      <c r="T464" t="s">
        <v>30</v>
      </c>
      <c r="U464">
        <v>5</v>
      </c>
      <c r="V464" t="s">
        <v>31</v>
      </c>
      <c r="W464">
        <f>excelsalesdata[[#This Row],[Quantity]]*excelsalesdata[[#This Row],[Unit_Price]]</f>
        <v>17080</v>
      </c>
      <c r="X464">
        <f>excelsalesdata[[#This Row],[Gross_sales]]*excelsalesdata[[#This Row],[Discount_%]]</f>
        <v>0</v>
      </c>
      <c r="Y464">
        <f>excelsalesdata[[#This Row],[Gross_sales]]-excelsalesdata[[#This Row],[Discount_amt]]</f>
        <v>17080</v>
      </c>
      <c r="Z464" s="4">
        <f>excelsalesdata[[#This Row],[Net_sales]]-excelsalesdata[[#This Row],[Cost]]</f>
        <v>14270</v>
      </c>
      <c r="AA464" s="5">
        <f>excelsalesdata[[#This Row],[Profit]]/excelsalesdata[[#This Row],[Net_sales]]</f>
        <v>0.83548009367681497</v>
      </c>
      <c r="AB464" s="4">
        <f>YEAR(excelsalesdata[[#This Row],[Order_Date]])</f>
        <v>2026</v>
      </c>
      <c r="AC464" s="4" t="str">
        <f>TEXT(excelsalesdata[[#This Row],[Order_Date]],"mmm")</f>
        <v>Jul</v>
      </c>
      <c r="AD464" s="4" t="str">
        <f>"Q"&amp;ROUNDUP(MONTH(excelsalesdata[[#This Row],[Order_Date]])/3,0)</f>
        <v>Q3</v>
      </c>
    </row>
    <row r="465" spans="1:30" x14ac:dyDescent="0.35">
      <c r="A465" t="s">
        <v>1069</v>
      </c>
      <c r="B465" s="3">
        <v>46223</v>
      </c>
      <c r="C465" t="s">
        <v>174</v>
      </c>
      <c r="D465" t="s">
        <v>219</v>
      </c>
      <c r="E465" t="str">
        <f>TRIM(excelsalesdata[[#This Row],[Customer_Name]])</f>
        <v>Rohan Patel</v>
      </c>
      <c r="F465" t="s">
        <v>44</v>
      </c>
      <c r="G465">
        <v>45</v>
      </c>
      <c r="H465" t="s">
        <v>190</v>
      </c>
      <c r="I465" t="str">
        <f>TRIM(excelsalesdata[[#This Row],[City]])</f>
        <v>Ahmedabad</v>
      </c>
      <c r="J465" t="s">
        <v>191</v>
      </c>
      <c r="K465" t="s">
        <v>26</v>
      </c>
      <c r="L465" t="s">
        <v>93</v>
      </c>
      <c r="M465" t="s">
        <v>135</v>
      </c>
      <c r="N465" t="s">
        <v>135</v>
      </c>
      <c r="O465">
        <v>2</v>
      </c>
      <c r="P465">
        <v>1730</v>
      </c>
      <c r="Q465">
        <v>0.25</v>
      </c>
      <c r="R465">
        <v>960</v>
      </c>
      <c r="S465" t="s">
        <v>29</v>
      </c>
      <c r="T465" t="s">
        <v>30</v>
      </c>
      <c r="U465">
        <v>4</v>
      </c>
      <c r="V465" t="s">
        <v>40</v>
      </c>
      <c r="W465">
        <f>excelsalesdata[[#This Row],[Quantity]]*excelsalesdata[[#This Row],[Unit_Price]]</f>
        <v>3460</v>
      </c>
      <c r="X465">
        <f>excelsalesdata[[#This Row],[Gross_sales]]*excelsalesdata[[#This Row],[Discount_%]]</f>
        <v>865</v>
      </c>
      <c r="Y465">
        <f>excelsalesdata[[#This Row],[Gross_sales]]-excelsalesdata[[#This Row],[Discount_amt]]</f>
        <v>2595</v>
      </c>
      <c r="Z465" s="4">
        <f>excelsalesdata[[#This Row],[Net_sales]]-excelsalesdata[[#This Row],[Cost]]</f>
        <v>1635</v>
      </c>
      <c r="AA465" s="5">
        <f>excelsalesdata[[#This Row],[Profit]]/excelsalesdata[[#This Row],[Net_sales]]</f>
        <v>0.63005780346820806</v>
      </c>
      <c r="AB465" s="4">
        <f>YEAR(excelsalesdata[[#This Row],[Order_Date]])</f>
        <v>2026</v>
      </c>
      <c r="AC465" s="4" t="str">
        <f>TEXT(excelsalesdata[[#This Row],[Order_Date]],"mmm")</f>
        <v>Jul</v>
      </c>
      <c r="AD465" s="4" t="str">
        <f>"Q"&amp;ROUNDUP(MONTH(excelsalesdata[[#This Row],[Order_Date]])/3,0)</f>
        <v>Q3</v>
      </c>
    </row>
    <row r="466" spans="1:30" x14ac:dyDescent="0.35">
      <c r="A466" t="s">
        <v>1071</v>
      </c>
      <c r="B466" s="3">
        <v>46224</v>
      </c>
      <c r="C466" t="s">
        <v>852</v>
      </c>
      <c r="D466" t="s">
        <v>164</v>
      </c>
      <c r="E466" t="str">
        <f>TRIM(excelsalesdata[[#This Row],[Customer_Name]])</f>
        <v>Priya Naidu</v>
      </c>
      <c r="F466" t="s">
        <v>44</v>
      </c>
      <c r="G466">
        <v>57</v>
      </c>
      <c r="H466" t="s">
        <v>60</v>
      </c>
      <c r="I466" t="str">
        <f>TRIM(excelsalesdata[[#This Row],[City]])</f>
        <v>Chandigarh</v>
      </c>
      <c r="J466" t="s">
        <v>60</v>
      </c>
      <c r="K466" t="s">
        <v>61</v>
      </c>
      <c r="L466" t="s">
        <v>103</v>
      </c>
      <c r="M466" t="s">
        <v>104</v>
      </c>
      <c r="N466" t="s">
        <v>104</v>
      </c>
      <c r="O466">
        <v>1</v>
      </c>
      <c r="P466">
        <v>8060</v>
      </c>
      <c r="Q466">
        <v>0.25</v>
      </c>
      <c r="R466">
        <v>5360</v>
      </c>
      <c r="S466" t="s">
        <v>80</v>
      </c>
      <c r="T466" t="s">
        <v>30</v>
      </c>
      <c r="U466">
        <v>3</v>
      </c>
      <c r="V466" t="s">
        <v>31</v>
      </c>
      <c r="W466">
        <f>excelsalesdata[[#This Row],[Quantity]]*excelsalesdata[[#This Row],[Unit_Price]]</f>
        <v>8060</v>
      </c>
      <c r="X466">
        <f>excelsalesdata[[#This Row],[Gross_sales]]*excelsalesdata[[#This Row],[Discount_%]]</f>
        <v>2015</v>
      </c>
      <c r="Y466">
        <f>excelsalesdata[[#This Row],[Gross_sales]]-excelsalesdata[[#This Row],[Discount_amt]]</f>
        <v>6045</v>
      </c>
      <c r="Z466" s="4">
        <f>excelsalesdata[[#This Row],[Net_sales]]-excelsalesdata[[#This Row],[Cost]]</f>
        <v>685</v>
      </c>
      <c r="AA466" s="5">
        <f>excelsalesdata[[#This Row],[Profit]]/excelsalesdata[[#This Row],[Net_sales]]</f>
        <v>0.11331679073614558</v>
      </c>
      <c r="AB466" s="4">
        <f>YEAR(excelsalesdata[[#This Row],[Order_Date]])</f>
        <v>2026</v>
      </c>
      <c r="AC466" s="4" t="str">
        <f>TEXT(excelsalesdata[[#This Row],[Order_Date]],"mmm")</f>
        <v>Jul</v>
      </c>
      <c r="AD466" s="4" t="str">
        <f>"Q"&amp;ROUNDUP(MONTH(excelsalesdata[[#This Row],[Order_Date]])/3,0)</f>
        <v>Q3</v>
      </c>
    </row>
    <row r="467" spans="1:30" x14ac:dyDescent="0.35">
      <c r="A467" t="s">
        <v>1072</v>
      </c>
      <c r="B467" s="3">
        <v>46225</v>
      </c>
      <c r="C467" t="s">
        <v>1073</v>
      </c>
      <c r="D467" t="s">
        <v>1044</v>
      </c>
      <c r="E467" t="str">
        <f>TRIM(excelsalesdata[[#This Row],[Customer_Name]])</f>
        <v>Ananya Bhat</v>
      </c>
      <c r="F467" t="s">
        <v>44</v>
      </c>
      <c r="G467">
        <v>37</v>
      </c>
      <c r="H467" t="s">
        <v>114</v>
      </c>
      <c r="I467" t="str">
        <f>TRIM(excelsalesdata[[#This Row],[City]])</f>
        <v>Hyderabad</v>
      </c>
      <c r="J467" t="s">
        <v>115</v>
      </c>
      <c r="K467" t="s">
        <v>47</v>
      </c>
      <c r="L467" t="s">
        <v>93</v>
      </c>
      <c r="M467" t="s">
        <v>94</v>
      </c>
      <c r="N467" t="s">
        <v>94</v>
      </c>
      <c r="O467">
        <v>1</v>
      </c>
      <c r="P467">
        <v>490</v>
      </c>
      <c r="Q467">
        <v>0.15</v>
      </c>
      <c r="R467">
        <v>220</v>
      </c>
      <c r="S467" t="s">
        <v>29</v>
      </c>
      <c r="T467" t="s">
        <v>30</v>
      </c>
      <c r="U467">
        <v>3</v>
      </c>
      <c r="V467" t="s">
        <v>31</v>
      </c>
      <c r="W467">
        <f>excelsalesdata[[#This Row],[Quantity]]*excelsalesdata[[#This Row],[Unit_Price]]</f>
        <v>490</v>
      </c>
      <c r="X467">
        <f>excelsalesdata[[#This Row],[Gross_sales]]*excelsalesdata[[#This Row],[Discount_%]]</f>
        <v>73.5</v>
      </c>
      <c r="Y467">
        <f>excelsalesdata[[#This Row],[Gross_sales]]-excelsalesdata[[#This Row],[Discount_amt]]</f>
        <v>416.5</v>
      </c>
      <c r="Z467" s="4">
        <f>excelsalesdata[[#This Row],[Net_sales]]-excelsalesdata[[#This Row],[Cost]]</f>
        <v>196.5</v>
      </c>
      <c r="AA467" s="5">
        <f>excelsalesdata[[#This Row],[Profit]]/excelsalesdata[[#This Row],[Net_sales]]</f>
        <v>0.4717887154861945</v>
      </c>
      <c r="AB467" s="4">
        <f>YEAR(excelsalesdata[[#This Row],[Order_Date]])</f>
        <v>2026</v>
      </c>
      <c r="AC467" s="4" t="str">
        <f>TEXT(excelsalesdata[[#This Row],[Order_Date]],"mmm")</f>
        <v>Jul</v>
      </c>
      <c r="AD467" s="4" t="str">
        <f>"Q"&amp;ROUNDUP(MONTH(excelsalesdata[[#This Row],[Order_Date]])/3,0)</f>
        <v>Q3</v>
      </c>
    </row>
    <row r="468" spans="1:30" x14ac:dyDescent="0.35">
      <c r="A468" t="s">
        <v>1074</v>
      </c>
      <c r="B468" s="3">
        <v>46226</v>
      </c>
      <c r="C468" t="s">
        <v>526</v>
      </c>
      <c r="D468" t="s">
        <v>436</v>
      </c>
      <c r="E468" t="str">
        <f>TRIM(excelsalesdata[[#This Row],[Customer_Name]])</f>
        <v>Meera Shah</v>
      </c>
      <c r="F468" t="s">
        <v>44</v>
      </c>
      <c r="G468">
        <v>42</v>
      </c>
      <c r="H468" t="s">
        <v>155</v>
      </c>
      <c r="I468" t="str">
        <f>TRIM(excelsalesdata[[#This Row],[City]])</f>
        <v>Chennai</v>
      </c>
      <c r="J468" t="s">
        <v>156</v>
      </c>
      <c r="K468" t="s">
        <v>47</v>
      </c>
      <c r="L468" t="s">
        <v>54</v>
      </c>
      <c r="M468" t="s">
        <v>129</v>
      </c>
      <c r="N468" t="s">
        <v>129</v>
      </c>
      <c r="O468">
        <v>2</v>
      </c>
      <c r="P468">
        <v>17060</v>
      </c>
      <c r="Q468">
        <v>0.05</v>
      </c>
      <c r="R468">
        <v>11900</v>
      </c>
      <c r="S468" t="s">
        <v>80</v>
      </c>
      <c r="T468" t="s">
        <v>30</v>
      </c>
      <c r="U468">
        <v>4</v>
      </c>
      <c r="V468" t="s">
        <v>40</v>
      </c>
      <c r="W468">
        <f>excelsalesdata[[#This Row],[Quantity]]*excelsalesdata[[#This Row],[Unit_Price]]</f>
        <v>34120</v>
      </c>
      <c r="X468">
        <f>excelsalesdata[[#This Row],[Gross_sales]]*excelsalesdata[[#This Row],[Discount_%]]</f>
        <v>1706</v>
      </c>
      <c r="Y468">
        <f>excelsalesdata[[#This Row],[Gross_sales]]-excelsalesdata[[#This Row],[Discount_amt]]</f>
        <v>32414</v>
      </c>
      <c r="Z468" s="4">
        <f>excelsalesdata[[#This Row],[Net_sales]]-excelsalesdata[[#This Row],[Cost]]</f>
        <v>20514</v>
      </c>
      <c r="AA468" s="5">
        <f>excelsalesdata[[#This Row],[Profit]]/excelsalesdata[[#This Row],[Net_sales]]</f>
        <v>0.63287468377861422</v>
      </c>
      <c r="AB468" s="4">
        <f>YEAR(excelsalesdata[[#This Row],[Order_Date]])</f>
        <v>2026</v>
      </c>
      <c r="AC468" s="4" t="str">
        <f>TEXT(excelsalesdata[[#This Row],[Order_Date]],"mmm")</f>
        <v>Jul</v>
      </c>
      <c r="AD468" s="4" t="str">
        <f>"Q"&amp;ROUNDUP(MONTH(excelsalesdata[[#This Row],[Order_Date]])/3,0)</f>
        <v>Q3</v>
      </c>
    </row>
    <row r="469" spans="1:30" x14ac:dyDescent="0.35">
      <c r="A469" t="s">
        <v>1075</v>
      </c>
      <c r="B469" s="3">
        <v>46227</v>
      </c>
      <c r="C469" t="s">
        <v>878</v>
      </c>
      <c r="D469" t="s">
        <v>308</v>
      </c>
      <c r="E469" t="str">
        <f>TRIM(excelsalesdata[[#This Row],[Customer_Name]])</f>
        <v>Vivaan Nair</v>
      </c>
      <c r="F469" t="s">
        <v>44</v>
      </c>
      <c r="G469">
        <v>27</v>
      </c>
      <c r="H469" t="s">
        <v>114</v>
      </c>
      <c r="I469" t="str">
        <f>TRIM(excelsalesdata[[#This Row],[City]])</f>
        <v>Hyderabad</v>
      </c>
      <c r="J469" t="s">
        <v>115</v>
      </c>
      <c r="K469" t="s">
        <v>47</v>
      </c>
      <c r="L469" t="s">
        <v>103</v>
      </c>
      <c r="M469" t="s">
        <v>178</v>
      </c>
      <c r="N469" t="s">
        <v>178</v>
      </c>
      <c r="O469">
        <v>1</v>
      </c>
      <c r="P469">
        <v>1790</v>
      </c>
      <c r="Q469">
        <v>0.2</v>
      </c>
      <c r="R469">
        <v>910</v>
      </c>
      <c r="S469" t="s">
        <v>67</v>
      </c>
      <c r="T469" t="s">
        <v>30</v>
      </c>
      <c r="U469">
        <v>6</v>
      </c>
      <c r="V469" t="s">
        <v>40</v>
      </c>
      <c r="W469">
        <f>excelsalesdata[[#This Row],[Quantity]]*excelsalesdata[[#This Row],[Unit_Price]]</f>
        <v>1790</v>
      </c>
      <c r="X469">
        <f>excelsalesdata[[#This Row],[Gross_sales]]*excelsalesdata[[#This Row],[Discount_%]]</f>
        <v>358</v>
      </c>
      <c r="Y469">
        <f>excelsalesdata[[#This Row],[Gross_sales]]-excelsalesdata[[#This Row],[Discount_amt]]</f>
        <v>1432</v>
      </c>
      <c r="Z469" s="4">
        <f>excelsalesdata[[#This Row],[Net_sales]]-excelsalesdata[[#This Row],[Cost]]</f>
        <v>522</v>
      </c>
      <c r="AA469" s="5">
        <f>excelsalesdata[[#This Row],[Profit]]/excelsalesdata[[#This Row],[Net_sales]]</f>
        <v>0.36452513966480449</v>
      </c>
      <c r="AB469" s="4">
        <f>YEAR(excelsalesdata[[#This Row],[Order_Date]])</f>
        <v>2026</v>
      </c>
      <c r="AC469" s="4" t="str">
        <f>TEXT(excelsalesdata[[#This Row],[Order_Date]],"mmm")</f>
        <v>Jul</v>
      </c>
      <c r="AD469" s="4" t="str">
        <f>"Q"&amp;ROUNDUP(MONTH(excelsalesdata[[#This Row],[Order_Date]])/3,0)</f>
        <v>Q3</v>
      </c>
    </row>
    <row r="470" spans="1:30" x14ac:dyDescent="0.35">
      <c r="A470" t="s">
        <v>1076</v>
      </c>
      <c r="B470" s="3">
        <v>46228</v>
      </c>
      <c r="C470" t="s">
        <v>153</v>
      </c>
      <c r="D470" t="s">
        <v>399</v>
      </c>
      <c r="E470" t="str">
        <f>TRIM(excelsalesdata[[#This Row],[Customer_Name]])</f>
        <v>Ishita Kumar</v>
      </c>
      <c r="F470" t="s">
        <v>23</v>
      </c>
      <c r="G470">
        <v>46</v>
      </c>
      <c r="H470" t="s">
        <v>52</v>
      </c>
      <c r="I470" t="str">
        <f>TRIM(excelsalesdata[[#This Row],[City]])</f>
        <v>Bengaluru</v>
      </c>
      <c r="J470" t="s">
        <v>53</v>
      </c>
      <c r="K470" t="s">
        <v>47</v>
      </c>
      <c r="L470" t="s">
        <v>103</v>
      </c>
      <c r="M470" t="s">
        <v>104</v>
      </c>
      <c r="N470" t="s">
        <v>104</v>
      </c>
      <c r="O470">
        <v>2</v>
      </c>
      <c r="P470">
        <v>8170</v>
      </c>
      <c r="Q470">
        <v>0.1</v>
      </c>
      <c r="R470">
        <v>5790</v>
      </c>
      <c r="S470" t="s">
        <v>29</v>
      </c>
      <c r="T470" t="s">
        <v>74</v>
      </c>
      <c r="U470">
        <v>4</v>
      </c>
      <c r="V470" t="s">
        <v>40</v>
      </c>
      <c r="W470">
        <f>excelsalesdata[[#This Row],[Quantity]]*excelsalesdata[[#This Row],[Unit_Price]]</f>
        <v>16340</v>
      </c>
      <c r="X470">
        <f>excelsalesdata[[#This Row],[Gross_sales]]*excelsalesdata[[#This Row],[Discount_%]]</f>
        <v>1634</v>
      </c>
      <c r="Y470">
        <f>excelsalesdata[[#This Row],[Gross_sales]]-excelsalesdata[[#This Row],[Discount_amt]]</f>
        <v>14706</v>
      </c>
      <c r="Z470" s="4">
        <f>excelsalesdata[[#This Row],[Net_sales]]-excelsalesdata[[#This Row],[Cost]]</f>
        <v>8916</v>
      </c>
      <c r="AA470" s="5">
        <f>excelsalesdata[[#This Row],[Profit]]/excelsalesdata[[#This Row],[Net_sales]]</f>
        <v>0.60628314973480213</v>
      </c>
      <c r="AB470" s="4">
        <f>YEAR(excelsalesdata[[#This Row],[Order_Date]])</f>
        <v>2026</v>
      </c>
      <c r="AC470" s="4" t="str">
        <f>TEXT(excelsalesdata[[#This Row],[Order_Date]],"mmm")</f>
        <v>Jul</v>
      </c>
      <c r="AD470" s="4" t="str">
        <f>"Q"&amp;ROUNDUP(MONTH(excelsalesdata[[#This Row],[Order_Date]])/3,0)</f>
        <v>Q3</v>
      </c>
    </row>
    <row r="471" spans="1:30" x14ac:dyDescent="0.35">
      <c r="A471" t="s">
        <v>1077</v>
      </c>
      <c r="B471" s="3">
        <v>46229</v>
      </c>
      <c r="C471" t="s">
        <v>1078</v>
      </c>
      <c r="D471" t="s">
        <v>77</v>
      </c>
      <c r="E471" t="str">
        <f>TRIM(excelsalesdata[[#This Row],[Customer_Name]])</f>
        <v>Kavya Rao</v>
      </c>
      <c r="F471" t="s">
        <v>44</v>
      </c>
      <c r="G471">
        <v>57</v>
      </c>
      <c r="H471" t="s">
        <v>45</v>
      </c>
      <c r="I471" t="str">
        <f>TRIM(excelsalesdata[[#This Row],[City]])</f>
        <v>Kochi</v>
      </c>
      <c r="J471" t="s">
        <v>46</v>
      </c>
      <c r="K471" t="s">
        <v>47</v>
      </c>
      <c r="L471" t="s">
        <v>54</v>
      </c>
      <c r="M471" t="s">
        <v>129</v>
      </c>
      <c r="N471" t="s">
        <v>129</v>
      </c>
      <c r="O471">
        <v>1</v>
      </c>
      <c r="P471">
        <v>17430</v>
      </c>
      <c r="Q471">
        <v>0.15</v>
      </c>
      <c r="R471">
        <v>13080</v>
      </c>
      <c r="S471" t="s">
        <v>151</v>
      </c>
      <c r="T471" t="s">
        <v>99</v>
      </c>
      <c r="U471">
        <v>4</v>
      </c>
      <c r="V471" t="s">
        <v>40</v>
      </c>
      <c r="W471">
        <f>excelsalesdata[[#This Row],[Quantity]]*excelsalesdata[[#This Row],[Unit_Price]]</f>
        <v>17430</v>
      </c>
      <c r="X471">
        <f>excelsalesdata[[#This Row],[Gross_sales]]*excelsalesdata[[#This Row],[Discount_%]]</f>
        <v>2614.5</v>
      </c>
      <c r="Y471">
        <f>excelsalesdata[[#This Row],[Gross_sales]]-excelsalesdata[[#This Row],[Discount_amt]]</f>
        <v>14815.5</v>
      </c>
      <c r="Z471" s="4">
        <f>excelsalesdata[[#This Row],[Net_sales]]-excelsalesdata[[#This Row],[Cost]]</f>
        <v>1735.5</v>
      </c>
      <c r="AA471" s="5">
        <f>excelsalesdata[[#This Row],[Profit]]/excelsalesdata[[#This Row],[Net_sales]]</f>
        <v>0.11714083223650906</v>
      </c>
      <c r="AB471" s="4">
        <f>YEAR(excelsalesdata[[#This Row],[Order_Date]])</f>
        <v>2026</v>
      </c>
      <c r="AC471" s="4" t="str">
        <f>TEXT(excelsalesdata[[#This Row],[Order_Date]],"mmm")</f>
        <v>Jul</v>
      </c>
      <c r="AD471" s="4" t="str">
        <f>"Q"&amp;ROUNDUP(MONTH(excelsalesdata[[#This Row],[Order_Date]])/3,0)</f>
        <v>Q3</v>
      </c>
    </row>
    <row r="472" spans="1:30" x14ac:dyDescent="0.35">
      <c r="A472" t="s">
        <v>1079</v>
      </c>
      <c r="B472" s="3">
        <v>46230</v>
      </c>
      <c r="C472" t="s">
        <v>1080</v>
      </c>
      <c r="D472" t="s">
        <v>436</v>
      </c>
      <c r="E472" t="str">
        <f>TRIM(excelsalesdata[[#This Row],[Customer_Name]])</f>
        <v>Meera Shah</v>
      </c>
      <c r="F472" t="s">
        <v>23</v>
      </c>
      <c r="G472">
        <v>51</v>
      </c>
      <c r="H472" t="s">
        <v>71</v>
      </c>
      <c r="I472" t="str">
        <f>TRIM(excelsalesdata[[#This Row],[City]])</f>
        <v>Bhubaneswar</v>
      </c>
      <c r="J472" t="s">
        <v>72</v>
      </c>
      <c r="K472" t="s">
        <v>37</v>
      </c>
      <c r="L472" t="s">
        <v>54</v>
      </c>
      <c r="M472" t="s">
        <v>66</v>
      </c>
      <c r="N472" t="s">
        <v>66</v>
      </c>
      <c r="O472">
        <v>2</v>
      </c>
      <c r="P472">
        <v>2370</v>
      </c>
      <c r="Q472">
        <v>0.1</v>
      </c>
      <c r="R472">
        <v>1500</v>
      </c>
      <c r="S472" t="s">
        <v>29</v>
      </c>
      <c r="T472" t="s">
        <v>30</v>
      </c>
      <c r="U472">
        <v>4</v>
      </c>
      <c r="V472" t="s">
        <v>40</v>
      </c>
      <c r="W472">
        <f>excelsalesdata[[#This Row],[Quantity]]*excelsalesdata[[#This Row],[Unit_Price]]</f>
        <v>4740</v>
      </c>
      <c r="X472">
        <f>excelsalesdata[[#This Row],[Gross_sales]]*excelsalesdata[[#This Row],[Discount_%]]</f>
        <v>474</v>
      </c>
      <c r="Y472">
        <f>excelsalesdata[[#This Row],[Gross_sales]]-excelsalesdata[[#This Row],[Discount_amt]]</f>
        <v>4266</v>
      </c>
      <c r="Z472" s="4">
        <f>excelsalesdata[[#This Row],[Net_sales]]-excelsalesdata[[#This Row],[Cost]]</f>
        <v>2766</v>
      </c>
      <c r="AA472" s="5">
        <f>excelsalesdata[[#This Row],[Profit]]/excelsalesdata[[#This Row],[Net_sales]]</f>
        <v>0.64838255977496484</v>
      </c>
      <c r="AB472" s="4">
        <f>YEAR(excelsalesdata[[#This Row],[Order_Date]])</f>
        <v>2026</v>
      </c>
      <c r="AC472" s="4" t="str">
        <f>TEXT(excelsalesdata[[#This Row],[Order_Date]],"mmm")</f>
        <v>Jul</v>
      </c>
      <c r="AD472" s="4" t="str">
        <f>"Q"&amp;ROUNDUP(MONTH(excelsalesdata[[#This Row],[Order_Date]])/3,0)</f>
        <v>Q3</v>
      </c>
    </row>
    <row r="473" spans="1:30" x14ac:dyDescent="0.35">
      <c r="A473" t="s">
        <v>1081</v>
      </c>
      <c r="B473" s="3">
        <v>46231</v>
      </c>
      <c r="C473" t="s">
        <v>624</v>
      </c>
      <c r="D473" t="s">
        <v>436</v>
      </c>
      <c r="E473" t="str">
        <f>TRIM(excelsalesdata[[#This Row],[Customer_Name]])</f>
        <v>Meera Shah</v>
      </c>
      <c r="F473" t="s">
        <v>23</v>
      </c>
      <c r="G473">
        <v>33</v>
      </c>
      <c r="H473" t="s">
        <v>35</v>
      </c>
      <c r="I473" t="str">
        <f>TRIM(excelsalesdata[[#This Row],[City]])</f>
        <v>Kolkata</v>
      </c>
      <c r="J473" t="s">
        <v>36</v>
      </c>
      <c r="K473" t="s">
        <v>37</v>
      </c>
      <c r="L473" t="s">
        <v>54</v>
      </c>
      <c r="M473" t="s">
        <v>55</v>
      </c>
      <c r="N473" t="s">
        <v>55</v>
      </c>
      <c r="O473">
        <v>1</v>
      </c>
      <c r="P473">
        <v>7070</v>
      </c>
      <c r="Q473">
        <v>0.05</v>
      </c>
      <c r="R473">
        <v>4310</v>
      </c>
      <c r="S473" t="s">
        <v>105</v>
      </c>
      <c r="T473" t="s">
        <v>30</v>
      </c>
      <c r="U473">
        <v>3</v>
      </c>
      <c r="V473" t="s">
        <v>40</v>
      </c>
      <c r="W473">
        <f>excelsalesdata[[#This Row],[Quantity]]*excelsalesdata[[#This Row],[Unit_Price]]</f>
        <v>7070</v>
      </c>
      <c r="X473">
        <f>excelsalesdata[[#This Row],[Gross_sales]]*excelsalesdata[[#This Row],[Discount_%]]</f>
        <v>353.5</v>
      </c>
      <c r="Y473">
        <f>excelsalesdata[[#This Row],[Gross_sales]]-excelsalesdata[[#This Row],[Discount_amt]]</f>
        <v>6716.5</v>
      </c>
      <c r="Z473" s="4">
        <f>excelsalesdata[[#This Row],[Net_sales]]-excelsalesdata[[#This Row],[Cost]]</f>
        <v>2406.5</v>
      </c>
      <c r="AA473" s="5">
        <f>excelsalesdata[[#This Row],[Profit]]/excelsalesdata[[#This Row],[Net_sales]]</f>
        <v>0.35829673192883199</v>
      </c>
      <c r="AB473" s="4">
        <f>YEAR(excelsalesdata[[#This Row],[Order_Date]])</f>
        <v>2026</v>
      </c>
      <c r="AC473" s="4" t="str">
        <f>TEXT(excelsalesdata[[#This Row],[Order_Date]],"mmm")</f>
        <v>Jul</v>
      </c>
      <c r="AD473" s="4" t="str">
        <f>"Q"&amp;ROUNDUP(MONTH(excelsalesdata[[#This Row],[Order_Date]])/3,0)</f>
        <v>Q3</v>
      </c>
    </row>
    <row r="474" spans="1:30" x14ac:dyDescent="0.35">
      <c r="A474" t="s">
        <v>1082</v>
      </c>
      <c r="B474" s="3">
        <v>46232</v>
      </c>
      <c r="C474" t="s">
        <v>911</v>
      </c>
      <c r="D474" t="s">
        <v>844</v>
      </c>
      <c r="E474" t="str">
        <f>TRIM(excelsalesdata[[#This Row],[Customer_Name]])</f>
        <v>Vikram Gupta</v>
      </c>
      <c r="F474" t="s">
        <v>44</v>
      </c>
      <c r="G474">
        <v>26</v>
      </c>
      <c r="H474" t="s">
        <v>52</v>
      </c>
      <c r="I474" t="str">
        <f>TRIM(excelsalesdata[[#This Row],[City]])</f>
        <v>Bengaluru</v>
      </c>
      <c r="J474" t="s">
        <v>53</v>
      </c>
      <c r="K474" t="s">
        <v>47</v>
      </c>
      <c r="L474" t="s">
        <v>38</v>
      </c>
      <c r="M474" t="s">
        <v>73</v>
      </c>
      <c r="N474" t="s">
        <v>73</v>
      </c>
      <c r="O474">
        <v>2</v>
      </c>
      <c r="P474">
        <v>4640</v>
      </c>
      <c r="Q474">
        <v>0</v>
      </c>
      <c r="R474">
        <v>3270</v>
      </c>
      <c r="S474" t="s">
        <v>80</v>
      </c>
      <c r="T474" t="s">
        <v>30</v>
      </c>
      <c r="U474">
        <v>2</v>
      </c>
      <c r="V474" t="s">
        <v>31</v>
      </c>
      <c r="W474">
        <f>excelsalesdata[[#This Row],[Quantity]]*excelsalesdata[[#This Row],[Unit_Price]]</f>
        <v>9280</v>
      </c>
      <c r="X474">
        <f>excelsalesdata[[#This Row],[Gross_sales]]*excelsalesdata[[#This Row],[Discount_%]]</f>
        <v>0</v>
      </c>
      <c r="Y474">
        <f>excelsalesdata[[#This Row],[Gross_sales]]-excelsalesdata[[#This Row],[Discount_amt]]</f>
        <v>9280</v>
      </c>
      <c r="Z474" s="4">
        <f>excelsalesdata[[#This Row],[Net_sales]]-excelsalesdata[[#This Row],[Cost]]</f>
        <v>6010</v>
      </c>
      <c r="AA474" s="5">
        <f>excelsalesdata[[#This Row],[Profit]]/excelsalesdata[[#This Row],[Net_sales]]</f>
        <v>0.64762931034482762</v>
      </c>
      <c r="AB474" s="4">
        <f>YEAR(excelsalesdata[[#This Row],[Order_Date]])</f>
        <v>2026</v>
      </c>
      <c r="AC474" s="4" t="str">
        <f>TEXT(excelsalesdata[[#This Row],[Order_Date]],"mmm")</f>
        <v>Jul</v>
      </c>
      <c r="AD474" s="4" t="str">
        <f>"Q"&amp;ROUNDUP(MONTH(excelsalesdata[[#This Row],[Order_Date]])/3,0)</f>
        <v>Q3</v>
      </c>
    </row>
    <row r="475" spans="1:30" x14ac:dyDescent="0.35">
      <c r="A475" t="s">
        <v>1083</v>
      </c>
      <c r="B475" s="3">
        <v>46233</v>
      </c>
      <c r="C475" t="s">
        <v>96</v>
      </c>
      <c r="D475" t="s">
        <v>113</v>
      </c>
      <c r="E475" t="str">
        <f>TRIM(excelsalesdata[[#This Row],[Customer_Name]])</f>
        <v>Nisha Joshi</v>
      </c>
      <c r="F475" t="s">
        <v>44</v>
      </c>
      <c r="G475">
        <v>47</v>
      </c>
      <c r="H475" t="s">
        <v>60</v>
      </c>
      <c r="I475" t="str">
        <f>TRIM(excelsalesdata[[#This Row],[City]])</f>
        <v>Chandigarh</v>
      </c>
      <c r="J475" t="s">
        <v>60</v>
      </c>
      <c r="K475" t="s">
        <v>61</v>
      </c>
      <c r="L475" t="s">
        <v>54</v>
      </c>
      <c r="M475" t="s">
        <v>62</v>
      </c>
      <c r="N475" t="s">
        <v>62</v>
      </c>
      <c r="O475">
        <v>2</v>
      </c>
      <c r="P475">
        <v>22480</v>
      </c>
      <c r="Q475">
        <v>0.2</v>
      </c>
      <c r="R475">
        <v>16000</v>
      </c>
      <c r="S475" t="s">
        <v>67</v>
      </c>
      <c r="T475" t="s">
        <v>30</v>
      </c>
      <c r="U475">
        <v>4</v>
      </c>
      <c r="V475" t="s">
        <v>31</v>
      </c>
      <c r="W475">
        <f>excelsalesdata[[#This Row],[Quantity]]*excelsalesdata[[#This Row],[Unit_Price]]</f>
        <v>44960</v>
      </c>
      <c r="X475">
        <f>excelsalesdata[[#This Row],[Gross_sales]]*excelsalesdata[[#This Row],[Discount_%]]</f>
        <v>8992</v>
      </c>
      <c r="Y475">
        <f>excelsalesdata[[#This Row],[Gross_sales]]-excelsalesdata[[#This Row],[Discount_amt]]</f>
        <v>35968</v>
      </c>
      <c r="Z475" s="4">
        <f>excelsalesdata[[#This Row],[Net_sales]]-excelsalesdata[[#This Row],[Cost]]</f>
        <v>19968</v>
      </c>
      <c r="AA475" s="5">
        <f>excelsalesdata[[#This Row],[Profit]]/excelsalesdata[[#This Row],[Net_sales]]</f>
        <v>0.55516014234875444</v>
      </c>
      <c r="AB475" s="4">
        <f>YEAR(excelsalesdata[[#This Row],[Order_Date]])</f>
        <v>2026</v>
      </c>
      <c r="AC475" s="4" t="str">
        <f>TEXT(excelsalesdata[[#This Row],[Order_Date]],"mmm")</f>
        <v>Jul</v>
      </c>
      <c r="AD475" s="4" t="str">
        <f>"Q"&amp;ROUNDUP(MONTH(excelsalesdata[[#This Row],[Order_Date]])/3,0)</f>
        <v>Q3</v>
      </c>
    </row>
    <row r="476" spans="1:30" x14ac:dyDescent="0.35">
      <c r="A476" t="s">
        <v>1084</v>
      </c>
      <c r="B476" s="3">
        <v>46234</v>
      </c>
      <c r="C476" t="s">
        <v>843</v>
      </c>
      <c r="D476" t="s">
        <v>1087</v>
      </c>
      <c r="E476" t="str">
        <f>TRIM(excelsalesdata[[#This Row],[Customer_Name]])</f>
        <v>Vivaan Verma</v>
      </c>
      <c r="F476" t="s">
        <v>44</v>
      </c>
      <c r="G476">
        <v>24</v>
      </c>
      <c r="H476" t="s">
        <v>185</v>
      </c>
      <c r="I476" t="str">
        <f>TRIM(excelsalesdata[[#This Row],[City]])</f>
        <v>Lucknow</v>
      </c>
      <c r="J476" t="s">
        <v>186</v>
      </c>
      <c r="K476" t="s">
        <v>61</v>
      </c>
      <c r="L476" t="s">
        <v>27</v>
      </c>
      <c r="M476" t="s">
        <v>48</v>
      </c>
      <c r="N476" t="s">
        <v>48</v>
      </c>
      <c r="O476">
        <v>2</v>
      </c>
      <c r="P476">
        <v>890</v>
      </c>
      <c r="Q476">
        <v>0.25</v>
      </c>
      <c r="R476">
        <v>470</v>
      </c>
      <c r="S476" t="s">
        <v>80</v>
      </c>
      <c r="T476" t="s">
        <v>30</v>
      </c>
      <c r="U476">
        <v>6</v>
      </c>
      <c r="V476" t="s">
        <v>40</v>
      </c>
      <c r="W476">
        <f>excelsalesdata[[#This Row],[Quantity]]*excelsalesdata[[#This Row],[Unit_Price]]</f>
        <v>1780</v>
      </c>
      <c r="X476">
        <f>excelsalesdata[[#This Row],[Gross_sales]]*excelsalesdata[[#This Row],[Discount_%]]</f>
        <v>445</v>
      </c>
      <c r="Y476">
        <f>excelsalesdata[[#This Row],[Gross_sales]]-excelsalesdata[[#This Row],[Discount_amt]]</f>
        <v>1335</v>
      </c>
      <c r="Z476" s="4">
        <f>excelsalesdata[[#This Row],[Net_sales]]-excelsalesdata[[#This Row],[Cost]]</f>
        <v>865</v>
      </c>
      <c r="AA476" s="5">
        <f>excelsalesdata[[#This Row],[Profit]]/excelsalesdata[[#This Row],[Net_sales]]</f>
        <v>0.64794007490636707</v>
      </c>
      <c r="AB476" s="4">
        <f>YEAR(excelsalesdata[[#This Row],[Order_Date]])</f>
        <v>2026</v>
      </c>
      <c r="AC476" s="4" t="str">
        <f>TEXT(excelsalesdata[[#This Row],[Order_Date]],"mmm")</f>
        <v>Jul</v>
      </c>
      <c r="AD476" s="4" t="str">
        <f>"Q"&amp;ROUNDUP(MONTH(excelsalesdata[[#This Row],[Order_Date]])/3,0)</f>
        <v>Q3</v>
      </c>
    </row>
    <row r="477" spans="1:30" x14ac:dyDescent="0.35">
      <c r="A477" t="s">
        <v>1085</v>
      </c>
      <c r="B477" s="3">
        <v>46235</v>
      </c>
      <c r="C477" t="s">
        <v>1086</v>
      </c>
      <c r="D477" t="s">
        <v>713</v>
      </c>
      <c r="E477" t="str">
        <f>TRIM(excelsalesdata[[#This Row],[Customer_Name]])</f>
        <v>Meera Singh</v>
      </c>
      <c r="F477" t="s">
        <v>23</v>
      </c>
      <c r="G477">
        <v>45</v>
      </c>
      <c r="H477" t="s">
        <v>60</v>
      </c>
      <c r="I477" t="str">
        <f>TRIM(excelsalesdata[[#This Row],[City]])</f>
        <v>Chandigarh</v>
      </c>
      <c r="J477" t="s">
        <v>60</v>
      </c>
      <c r="K477" t="s">
        <v>61</v>
      </c>
      <c r="L477" t="s">
        <v>38</v>
      </c>
      <c r="M477" t="s">
        <v>39</v>
      </c>
      <c r="N477" t="s">
        <v>39</v>
      </c>
      <c r="O477">
        <v>3</v>
      </c>
      <c r="P477">
        <v>6670</v>
      </c>
      <c r="Q477">
        <v>0.05</v>
      </c>
      <c r="R477">
        <v>4380</v>
      </c>
      <c r="S477" t="s">
        <v>67</v>
      </c>
      <c r="T477" t="s">
        <v>30</v>
      </c>
      <c r="U477">
        <v>1</v>
      </c>
      <c r="V477" t="s">
        <v>40</v>
      </c>
      <c r="W477">
        <f>excelsalesdata[[#This Row],[Quantity]]*excelsalesdata[[#This Row],[Unit_Price]]</f>
        <v>20010</v>
      </c>
      <c r="X477">
        <f>excelsalesdata[[#This Row],[Gross_sales]]*excelsalesdata[[#This Row],[Discount_%]]</f>
        <v>1000.5</v>
      </c>
      <c r="Y477">
        <f>excelsalesdata[[#This Row],[Gross_sales]]-excelsalesdata[[#This Row],[Discount_amt]]</f>
        <v>19009.5</v>
      </c>
      <c r="Z477" s="4">
        <f>excelsalesdata[[#This Row],[Net_sales]]-excelsalesdata[[#This Row],[Cost]]</f>
        <v>14629.5</v>
      </c>
      <c r="AA477" s="5">
        <f>excelsalesdata[[#This Row],[Profit]]/excelsalesdata[[#This Row],[Net_sales]]</f>
        <v>0.76958888976564355</v>
      </c>
      <c r="AB477" s="4">
        <f>YEAR(excelsalesdata[[#This Row],[Order_Date]])</f>
        <v>2026</v>
      </c>
      <c r="AC477" s="4" t="str">
        <f>TEXT(excelsalesdata[[#This Row],[Order_Date]],"mmm")</f>
        <v>Aug</v>
      </c>
      <c r="AD477" s="4" t="str">
        <f>"Q"&amp;ROUNDUP(MONTH(excelsalesdata[[#This Row],[Order_Date]])/3,0)</f>
        <v>Q3</v>
      </c>
    </row>
    <row r="478" spans="1:30" x14ac:dyDescent="0.35">
      <c r="A478" t="s">
        <v>1088</v>
      </c>
      <c r="B478" s="3">
        <v>46236</v>
      </c>
      <c r="C478" t="s">
        <v>1089</v>
      </c>
      <c r="D478" t="s">
        <v>1092</v>
      </c>
      <c r="E478" t="str">
        <f>TRIM(excelsalesdata[[#This Row],[Customer_Name]])</f>
        <v>Rahul Shah</v>
      </c>
      <c r="F478" t="s">
        <v>23</v>
      </c>
      <c r="G478">
        <v>60</v>
      </c>
      <c r="H478" t="s">
        <v>98</v>
      </c>
      <c r="I478" t="str">
        <f>TRIM(excelsalesdata[[#This Row],[City]])</f>
        <v>Mumbai</v>
      </c>
      <c r="J478" t="s">
        <v>25</v>
      </c>
      <c r="K478" t="s">
        <v>26</v>
      </c>
      <c r="L478" t="s">
        <v>27</v>
      </c>
      <c r="M478" t="s">
        <v>295</v>
      </c>
      <c r="N478" t="s">
        <v>295</v>
      </c>
      <c r="O478">
        <v>2</v>
      </c>
      <c r="P478">
        <v>4300</v>
      </c>
      <c r="Q478">
        <v>0.2</v>
      </c>
      <c r="R478">
        <v>2660</v>
      </c>
      <c r="S478" t="s">
        <v>80</v>
      </c>
      <c r="T478" t="s">
        <v>99</v>
      </c>
      <c r="U478">
        <v>3</v>
      </c>
      <c r="V478" t="s">
        <v>40</v>
      </c>
      <c r="W478">
        <f>excelsalesdata[[#This Row],[Quantity]]*excelsalesdata[[#This Row],[Unit_Price]]</f>
        <v>8600</v>
      </c>
      <c r="X478">
        <f>excelsalesdata[[#This Row],[Gross_sales]]*excelsalesdata[[#This Row],[Discount_%]]</f>
        <v>1720</v>
      </c>
      <c r="Y478">
        <f>excelsalesdata[[#This Row],[Gross_sales]]-excelsalesdata[[#This Row],[Discount_amt]]</f>
        <v>6880</v>
      </c>
      <c r="Z478" s="4">
        <f>excelsalesdata[[#This Row],[Net_sales]]-excelsalesdata[[#This Row],[Cost]]</f>
        <v>4220</v>
      </c>
      <c r="AA478" s="5">
        <f>excelsalesdata[[#This Row],[Profit]]/excelsalesdata[[#This Row],[Net_sales]]</f>
        <v>0.61337209302325579</v>
      </c>
      <c r="AB478" s="4">
        <f>YEAR(excelsalesdata[[#This Row],[Order_Date]])</f>
        <v>2026</v>
      </c>
      <c r="AC478" s="4" t="str">
        <f>TEXT(excelsalesdata[[#This Row],[Order_Date]],"mmm")</f>
        <v>Aug</v>
      </c>
      <c r="AD478" s="4" t="str">
        <f>"Q"&amp;ROUNDUP(MONTH(excelsalesdata[[#This Row],[Order_Date]])/3,0)</f>
        <v>Q3</v>
      </c>
    </row>
    <row r="479" spans="1:30" x14ac:dyDescent="0.35">
      <c r="A479" t="s">
        <v>1090</v>
      </c>
      <c r="B479" s="3">
        <v>46237</v>
      </c>
      <c r="C479" t="s">
        <v>1091</v>
      </c>
      <c r="D479" t="s">
        <v>237</v>
      </c>
      <c r="E479" t="str">
        <f>TRIM(excelsalesdata[[#This Row],[Customer_Name]])</f>
        <v>Vivaan Kumar</v>
      </c>
      <c r="F479" t="s">
        <v>23</v>
      </c>
      <c r="G479">
        <v>44</v>
      </c>
      <c r="H479" t="s">
        <v>52</v>
      </c>
      <c r="I479" t="str">
        <f>TRIM(excelsalesdata[[#This Row],[City]])</f>
        <v>Bengaluru</v>
      </c>
      <c r="J479" t="s">
        <v>53</v>
      </c>
      <c r="K479" t="s">
        <v>47</v>
      </c>
      <c r="L479" t="s">
        <v>93</v>
      </c>
      <c r="M479" t="s">
        <v>718</v>
      </c>
      <c r="N479" t="s">
        <v>718</v>
      </c>
      <c r="O479">
        <v>2</v>
      </c>
      <c r="P479">
        <v>1820</v>
      </c>
      <c r="Q479">
        <v>0.2</v>
      </c>
      <c r="R479">
        <v>890</v>
      </c>
      <c r="S479" t="s">
        <v>67</v>
      </c>
      <c r="T479" t="s">
        <v>30</v>
      </c>
      <c r="U479">
        <v>4</v>
      </c>
      <c r="V479" t="s">
        <v>31</v>
      </c>
      <c r="W479">
        <f>excelsalesdata[[#This Row],[Quantity]]*excelsalesdata[[#This Row],[Unit_Price]]</f>
        <v>3640</v>
      </c>
      <c r="X479">
        <f>excelsalesdata[[#This Row],[Gross_sales]]*excelsalesdata[[#This Row],[Discount_%]]</f>
        <v>728</v>
      </c>
      <c r="Y479">
        <f>excelsalesdata[[#This Row],[Gross_sales]]-excelsalesdata[[#This Row],[Discount_amt]]</f>
        <v>2912</v>
      </c>
      <c r="Z479" s="4">
        <f>excelsalesdata[[#This Row],[Net_sales]]-excelsalesdata[[#This Row],[Cost]]</f>
        <v>2022</v>
      </c>
      <c r="AA479" s="5">
        <f>excelsalesdata[[#This Row],[Profit]]/excelsalesdata[[#This Row],[Net_sales]]</f>
        <v>0.69436813186813184</v>
      </c>
      <c r="AB479" s="4">
        <f>YEAR(excelsalesdata[[#This Row],[Order_Date]])</f>
        <v>2026</v>
      </c>
      <c r="AC479" s="4" t="str">
        <f>TEXT(excelsalesdata[[#This Row],[Order_Date]],"mmm")</f>
        <v>Aug</v>
      </c>
      <c r="AD479" s="4" t="str">
        <f>"Q"&amp;ROUNDUP(MONTH(excelsalesdata[[#This Row],[Order_Date]])/3,0)</f>
        <v>Q3</v>
      </c>
    </row>
    <row r="480" spans="1:30" x14ac:dyDescent="0.35">
      <c r="A480" t="s">
        <v>1093</v>
      </c>
      <c r="B480" s="3">
        <v>46238</v>
      </c>
      <c r="C480" t="s">
        <v>1094</v>
      </c>
      <c r="D480" t="s">
        <v>925</v>
      </c>
      <c r="E480" t="str">
        <f>TRIM(excelsalesdata[[#This Row],[Customer_Name]])</f>
        <v>Ananya Rao</v>
      </c>
      <c r="F480" t="s">
        <v>23</v>
      </c>
      <c r="G480">
        <v>33</v>
      </c>
      <c r="H480" t="s">
        <v>114</v>
      </c>
      <c r="I480" t="str">
        <f>TRIM(excelsalesdata[[#This Row],[City]])</f>
        <v>Hyderabad</v>
      </c>
      <c r="J480" t="s">
        <v>115</v>
      </c>
      <c r="K480" t="s">
        <v>47</v>
      </c>
      <c r="L480" t="s">
        <v>27</v>
      </c>
      <c r="M480" t="s">
        <v>123</v>
      </c>
      <c r="N480" t="s">
        <v>123</v>
      </c>
      <c r="O480">
        <v>1</v>
      </c>
      <c r="P480">
        <v>2910</v>
      </c>
      <c r="Q480">
        <v>0.05</v>
      </c>
      <c r="R480">
        <v>1550</v>
      </c>
      <c r="S480" t="s">
        <v>29</v>
      </c>
      <c r="T480" t="s">
        <v>30</v>
      </c>
      <c r="U480">
        <v>3</v>
      </c>
      <c r="V480" t="s">
        <v>31</v>
      </c>
      <c r="W480">
        <f>excelsalesdata[[#This Row],[Quantity]]*excelsalesdata[[#This Row],[Unit_Price]]</f>
        <v>2910</v>
      </c>
      <c r="X480">
        <f>excelsalesdata[[#This Row],[Gross_sales]]*excelsalesdata[[#This Row],[Discount_%]]</f>
        <v>145.5</v>
      </c>
      <c r="Y480">
        <f>excelsalesdata[[#This Row],[Gross_sales]]-excelsalesdata[[#This Row],[Discount_amt]]</f>
        <v>2764.5</v>
      </c>
      <c r="Z480" s="4">
        <f>excelsalesdata[[#This Row],[Net_sales]]-excelsalesdata[[#This Row],[Cost]]</f>
        <v>1214.5</v>
      </c>
      <c r="AA480" s="5">
        <f>excelsalesdata[[#This Row],[Profit]]/excelsalesdata[[#This Row],[Net_sales]]</f>
        <v>0.43931994935793089</v>
      </c>
      <c r="AB480" s="4">
        <f>YEAR(excelsalesdata[[#This Row],[Order_Date]])</f>
        <v>2026</v>
      </c>
      <c r="AC480" s="4" t="str">
        <f>TEXT(excelsalesdata[[#This Row],[Order_Date]],"mmm")</f>
        <v>Aug</v>
      </c>
      <c r="AD480" s="4" t="str">
        <f>"Q"&amp;ROUNDUP(MONTH(excelsalesdata[[#This Row],[Order_Date]])/3,0)</f>
        <v>Q3</v>
      </c>
    </row>
    <row r="481" spans="1:30" x14ac:dyDescent="0.35">
      <c r="A481" t="s">
        <v>1095</v>
      </c>
      <c r="B481" s="3">
        <v>46239</v>
      </c>
      <c r="C481" t="s">
        <v>734</v>
      </c>
      <c r="D481" t="s">
        <v>879</v>
      </c>
      <c r="E481" t="str">
        <f>TRIM(excelsalesdata[[#This Row],[Customer_Name]])</f>
        <v>Ishita Das</v>
      </c>
      <c r="F481" t="s">
        <v>23</v>
      </c>
      <c r="G481">
        <v>49</v>
      </c>
      <c r="H481" t="s">
        <v>98</v>
      </c>
      <c r="I481" t="str">
        <f>TRIM(excelsalesdata[[#This Row],[City]])</f>
        <v>Mumbai</v>
      </c>
      <c r="J481" t="s">
        <v>25</v>
      </c>
      <c r="K481" t="s">
        <v>26</v>
      </c>
      <c r="L481" t="s">
        <v>85</v>
      </c>
      <c r="M481" t="s">
        <v>202</v>
      </c>
      <c r="N481" t="s">
        <v>202</v>
      </c>
      <c r="O481">
        <v>1</v>
      </c>
      <c r="P481">
        <v>880</v>
      </c>
      <c r="Q481">
        <v>0.1</v>
      </c>
      <c r="R481">
        <v>380</v>
      </c>
      <c r="S481" t="s">
        <v>151</v>
      </c>
      <c r="T481" t="s">
        <v>30</v>
      </c>
      <c r="U481">
        <v>5</v>
      </c>
      <c r="V481" t="s">
        <v>40</v>
      </c>
      <c r="W481">
        <f>excelsalesdata[[#This Row],[Quantity]]*excelsalesdata[[#This Row],[Unit_Price]]</f>
        <v>880</v>
      </c>
      <c r="X481">
        <f>excelsalesdata[[#This Row],[Gross_sales]]*excelsalesdata[[#This Row],[Discount_%]]</f>
        <v>88</v>
      </c>
      <c r="Y481">
        <f>excelsalesdata[[#This Row],[Gross_sales]]-excelsalesdata[[#This Row],[Discount_amt]]</f>
        <v>792</v>
      </c>
      <c r="Z481" s="4">
        <f>excelsalesdata[[#This Row],[Net_sales]]-excelsalesdata[[#This Row],[Cost]]</f>
        <v>412</v>
      </c>
      <c r="AA481" s="5">
        <f>excelsalesdata[[#This Row],[Profit]]/excelsalesdata[[#This Row],[Net_sales]]</f>
        <v>0.52020202020202022</v>
      </c>
      <c r="AB481" s="4">
        <f>YEAR(excelsalesdata[[#This Row],[Order_Date]])</f>
        <v>2026</v>
      </c>
      <c r="AC481" s="4" t="str">
        <f>TEXT(excelsalesdata[[#This Row],[Order_Date]],"mmm")</f>
        <v>Aug</v>
      </c>
      <c r="AD481" s="4" t="str">
        <f>"Q"&amp;ROUNDUP(MONTH(excelsalesdata[[#This Row],[Order_Date]])/3,0)</f>
        <v>Q3</v>
      </c>
    </row>
    <row r="482" spans="1:30" x14ac:dyDescent="0.35">
      <c r="A482" t="s">
        <v>1096</v>
      </c>
      <c r="B482" s="3">
        <v>46240</v>
      </c>
      <c r="C482" t="s">
        <v>183</v>
      </c>
      <c r="D482" t="s">
        <v>219</v>
      </c>
      <c r="E482" t="str">
        <f>TRIM(excelsalesdata[[#This Row],[Customer_Name]])</f>
        <v>Rohan Patel</v>
      </c>
      <c r="F482" t="s">
        <v>23</v>
      </c>
      <c r="G482">
        <v>29</v>
      </c>
      <c r="H482" t="s">
        <v>45</v>
      </c>
      <c r="I482" t="str">
        <f>TRIM(excelsalesdata[[#This Row],[City]])</f>
        <v>Kochi</v>
      </c>
      <c r="J482" t="s">
        <v>46</v>
      </c>
      <c r="K482" t="s">
        <v>47</v>
      </c>
      <c r="L482" t="s">
        <v>103</v>
      </c>
      <c r="M482" t="s">
        <v>178</v>
      </c>
      <c r="N482" t="s">
        <v>178</v>
      </c>
      <c r="O482">
        <v>2</v>
      </c>
      <c r="P482">
        <v>1770</v>
      </c>
      <c r="Q482">
        <v>0.25</v>
      </c>
      <c r="R482">
        <v>990</v>
      </c>
      <c r="S482" t="s">
        <v>105</v>
      </c>
      <c r="T482" t="s">
        <v>30</v>
      </c>
      <c r="U482">
        <v>2</v>
      </c>
      <c r="V482" t="s">
        <v>31</v>
      </c>
      <c r="W482">
        <f>excelsalesdata[[#This Row],[Quantity]]*excelsalesdata[[#This Row],[Unit_Price]]</f>
        <v>3540</v>
      </c>
      <c r="X482">
        <f>excelsalesdata[[#This Row],[Gross_sales]]*excelsalesdata[[#This Row],[Discount_%]]</f>
        <v>885</v>
      </c>
      <c r="Y482">
        <f>excelsalesdata[[#This Row],[Gross_sales]]-excelsalesdata[[#This Row],[Discount_amt]]</f>
        <v>2655</v>
      </c>
      <c r="Z482" s="4">
        <f>excelsalesdata[[#This Row],[Net_sales]]-excelsalesdata[[#This Row],[Cost]]</f>
        <v>1665</v>
      </c>
      <c r="AA482" s="5">
        <f>excelsalesdata[[#This Row],[Profit]]/excelsalesdata[[#This Row],[Net_sales]]</f>
        <v>0.6271186440677966</v>
      </c>
      <c r="AB482" s="4">
        <f>YEAR(excelsalesdata[[#This Row],[Order_Date]])</f>
        <v>2026</v>
      </c>
      <c r="AC482" s="4" t="str">
        <f>TEXT(excelsalesdata[[#This Row],[Order_Date]],"mmm")</f>
        <v>Aug</v>
      </c>
      <c r="AD482" s="4" t="str">
        <f>"Q"&amp;ROUNDUP(MONTH(excelsalesdata[[#This Row],[Order_Date]])/3,0)</f>
        <v>Q3</v>
      </c>
    </row>
    <row r="483" spans="1:30" x14ac:dyDescent="0.35">
      <c r="A483" t="s">
        <v>1097</v>
      </c>
      <c r="B483" s="3">
        <v>46241</v>
      </c>
      <c r="C483" t="s">
        <v>410</v>
      </c>
      <c r="D483" t="s">
        <v>1013</v>
      </c>
      <c r="E483" t="str">
        <f>TRIM(excelsalesdata[[#This Row],[Customer_Name]])</f>
        <v>Aarav Mehta</v>
      </c>
      <c r="F483" t="s">
        <v>23</v>
      </c>
      <c r="G483">
        <v>57</v>
      </c>
      <c r="H483" t="s">
        <v>52</v>
      </c>
      <c r="I483" t="str">
        <f>TRIM(excelsalesdata[[#This Row],[City]])</f>
        <v>Bengaluru</v>
      </c>
      <c r="J483" t="s">
        <v>53</v>
      </c>
      <c r="K483" t="s">
        <v>47</v>
      </c>
      <c r="L483" t="s">
        <v>54</v>
      </c>
      <c r="M483" t="s">
        <v>55</v>
      </c>
      <c r="N483" t="s">
        <v>55</v>
      </c>
      <c r="O483">
        <v>3</v>
      </c>
      <c r="P483">
        <v>7560</v>
      </c>
      <c r="Q483">
        <v>0.1</v>
      </c>
      <c r="R483">
        <v>4420</v>
      </c>
      <c r="S483" t="s">
        <v>67</v>
      </c>
      <c r="T483" t="s">
        <v>30</v>
      </c>
      <c r="U483">
        <v>4</v>
      </c>
      <c r="V483" t="s">
        <v>40</v>
      </c>
      <c r="W483">
        <f>excelsalesdata[[#This Row],[Quantity]]*excelsalesdata[[#This Row],[Unit_Price]]</f>
        <v>22680</v>
      </c>
      <c r="X483">
        <f>excelsalesdata[[#This Row],[Gross_sales]]*excelsalesdata[[#This Row],[Discount_%]]</f>
        <v>2268</v>
      </c>
      <c r="Y483">
        <f>excelsalesdata[[#This Row],[Gross_sales]]-excelsalesdata[[#This Row],[Discount_amt]]</f>
        <v>20412</v>
      </c>
      <c r="Z483" s="4">
        <f>excelsalesdata[[#This Row],[Net_sales]]-excelsalesdata[[#This Row],[Cost]]</f>
        <v>15992</v>
      </c>
      <c r="AA483" s="5">
        <f>excelsalesdata[[#This Row],[Profit]]/excelsalesdata[[#This Row],[Net_sales]]</f>
        <v>0.78346070938663537</v>
      </c>
      <c r="AB483" s="4">
        <f>YEAR(excelsalesdata[[#This Row],[Order_Date]])</f>
        <v>2026</v>
      </c>
      <c r="AC483" s="4" t="str">
        <f>TEXT(excelsalesdata[[#This Row],[Order_Date]],"mmm")</f>
        <v>Aug</v>
      </c>
      <c r="AD483" s="4" t="str">
        <f>"Q"&amp;ROUNDUP(MONTH(excelsalesdata[[#This Row],[Order_Date]])/3,0)</f>
        <v>Q3</v>
      </c>
    </row>
    <row r="484" spans="1:30" x14ac:dyDescent="0.35">
      <c r="A484" t="s">
        <v>1098</v>
      </c>
      <c r="B484" s="3">
        <v>46242</v>
      </c>
      <c r="C484" t="s">
        <v>284</v>
      </c>
      <c r="D484" t="s">
        <v>469</v>
      </c>
      <c r="E484" t="str">
        <f>TRIM(excelsalesdata[[#This Row],[Customer_Name]])</f>
        <v>Rahul Joshi</v>
      </c>
      <c r="F484" t="s">
        <v>23</v>
      </c>
      <c r="G484">
        <v>47</v>
      </c>
      <c r="H484" t="s">
        <v>52</v>
      </c>
      <c r="I484" t="str">
        <f>TRIM(excelsalesdata[[#This Row],[City]])</f>
        <v>Bengaluru</v>
      </c>
      <c r="J484" t="s">
        <v>53</v>
      </c>
      <c r="K484" t="s">
        <v>47</v>
      </c>
      <c r="L484" t="s">
        <v>85</v>
      </c>
      <c r="M484" t="s">
        <v>202</v>
      </c>
      <c r="N484" t="s">
        <v>202</v>
      </c>
      <c r="O484">
        <v>3</v>
      </c>
      <c r="P484">
        <v>840</v>
      </c>
      <c r="Q484">
        <v>0.1</v>
      </c>
      <c r="R484">
        <v>380</v>
      </c>
      <c r="S484" t="s">
        <v>67</v>
      </c>
      <c r="T484" t="s">
        <v>30</v>
      </c>
      <c r="U484">
        <v>4</v>
      </c>
      <c r="V484" t="s">
        <v>31</v>
      </c>
      <c r="W484">
        <f>excelsalesdata[[#This Row],[Quantity]]*excelsalesdata[[#This Row],[Unit_Price]]</f>
        <v>2520</v>
      </c>
      <c r="X484">
        <f>excelsalesdata[[#This Row],[Gross_sales]]*excelsalesdata[[#This Row],[Discount_%]]</f>
        <v>252</v>
      </c>
      <c r="Y484">
        <f>excelsalesdata[[#This Row],[Gross_sales]]-excelsalesdata[[#This Row],[Discount_amt]]</f>
        <v>2268</v>
      </c>
      <c r="Z484" s="4">
        <f>excelsalesdata[[#This Row],[Net_sales]]-excelsalesdata[[#This Row],[Cost]]</f>
        <v>1888</v>
      </c>
      <c r="AA484" s="5">
        <f>excelsalesdata[[#This Row],[Profit]]/excelsalesdata[[#This Row],[Net_sales]]</f>
        <v>0.83245149911816574</v>
      </c>
      <c r="AB484" s="4">
        <f>YEAR(excelsalesdata[[#This Row],[Order_Date]])</f>
        <v>2026</v>
      </c>
      <c r="AC484" s="4" t="str">
        <f>TEXT(excelsalesdata[[#This Row],[Order_Date]],"mmm")</f>
        <v>Aug</v>
      </c>
      <c r="AD484" s="4" t="str">
        <f>"Q"&amp;ROUNDUP(MONTH(excelsalesdata[[#This Row],[Order_Date]])/3,0)</f>
        <v>Q3</v>
      </c>
    </row>
    <row r="485" spans="1:30" x14ac:dyDescent="0.35">
      <c r="A485" t="s">
        <v>1099</v>
      </c>
      <c r="B485" s="3">
        <v>46243</v>
      </c>
      <c r="C485" t="s">
        <v>1100</v>
      </c>
      <c r="D485" t="s">
        <v>1013</v>
      </c>
      <c r="E485" t="str">
        <f>TRIM(excelsalesdata[[#This Row],[Customer_Name]])</f>
        <v>Aarav Mehta</v>
      </c>
      <c r="F485" t="s">
        <v>23</v>
      </c>
      <c r="G485">
        <v>51</v>
      </c>
      <c r="H485" t="s">
        <v>155</v>
      </c>
      <c r="I485" t="str">
        <f>TRIM(excelsalesdata[[#This Row],[City]])</f>
        <v>Chennai</v>
      </c>
      <c r="J485" t="s">
        <v>156</v>
      </c>
      <c r="K485" t="s">
        <v>47</v>
      </c>
      <c r="L485" t="s">
        <v>27</v>
      </c>
      <c r="M485" t="s">
        <v>295</v>
      </c>
      <c r="N485" t="s">
        <v>295</v>
      </c>
      <c r="O485">
        <v>1</v>
      </c>
      <c r="P485">
        <v>4260</v>
      </c>
      <c r="Q485">
        <v>0.1</v>
      </c>
      <c r="R485">
        <v>2630</v>
      </c>
      <c r="S485" t="s">
        <v>29</v>
      </c>
      <c r="T485" t="s">
        <v>30</v>
      </c>
      <c r="U485">
        <v>3</v>
      </c>
      <c r="V485" t="s">
        <v>31</v>
      </c>
      <c r="W485">
        <f>excelsalesdata[[#This Row],[Quantity]]*excelsalesdata[[#This Row],[Unit_Price]]</f>
        <v>4260</v>
      </c>
      <c r="X485">
        <f>excelsalesdata[[#This Row],[Gross_sales]]*excelsalesdata[[#This Row],[Discount_%]]</f>
        <v>426</v>
      </c>
      <c r="Y485">
        <f>excelsalesdata[[#This Row],[Gross_sales]]-excelsalesdata[[#This Row],[Discount_amt]]</f>
        <v>3834</v>
      </c>
      <c r="Z485" s="4">
        <f>excelsalesdata[[#This Row],[Net_sales]]-excelsalesdata[[#This Row],[Cost]]</f>
        <v>1204</v>
      </c>
      <c r="AA485" s="5">
        <f>excelsalesdata[[#This Row],[Profit]]/excelsalesdata[[#This Row],[Net_sales]]</f>
        <v>0.31403234220135628</v>
      </c>
      <c r="AB485" s="4">
        <f>YEAR(excelsalesdata[[#This Row],[Order_Date]])</f>
        <v>2026</v>
      </c>
      <c r="AC485" s="4" t="str">
        <f>TEXT(excelsalesdata[[#This Row],[Order_Date]],"mmm")</f>
        <v>Aug</v>
      </c>
      <c r="AD485" s="4" t="str">
        <f>"Q"&amp;ROUNDUP(MONTH(excelsalesdata[[#This Row],[Order_Date]])/3,0)</f>
        <v>Q3</v>
      </c>
    </row>
    <row r="486" spans="1:30" x14ac:dyDescent="0.35">
      <c r="A486" t="s">
        <v>1101</v>
      </c>
      <c r="B486" s="3">
        <v>46244</v>
      </c>
      <c r="C486" t="s">
        <v>917</v>
      </c>
      <c r="D486" t="s">
        <v>403</v>
      </c>
      <c r="E486" t="str">
        <f>TRIM(excelsalesdata[[#This Row],[Customer_Name]])</f>
        <v>Diya Iyer</v>
      </c>
      <c r="F486" t="s">
        <v>44</v>
      </c>
      <c r="G486">
        <v>24</v>
      </c>
      <c r="H486" t="s">
        <v>71</v>
      </c>
      <c r="I486" t="str">
        <f>TRIM(excelsalesdata[[#This Row],[City]])</f>
        <v>Bhubaneswar</v>
      </c>
      <c r="J486" t="s">
        <v>72</v>
      </c>
      <c r="K486" t="s">
        <v>37</v>
      </c>
      <c r="L486" t="s">
        <v>54</v>
      </c>
      <c r="M486" t="s">
        <v>129</v>
      </c>
      <c r="N486" t="s">
        <v>129</v>
      </c>
      <c r="O486">
        <v>4</v>
      </c>
      <c r="P486">
        <v>16940</v>
      </c>
      <c r="Q486">
        <v>0.1</v>
      </c>
      <c r="R486">
        <v>11910</v>
      </c>
      <c r="S486" t="s">
        <v>29</v>
      </c>
      <c r="T486" t="s">
        <v>30</v>
      </c>
      <c r="U486">
        <v>2</v>
      </c>
      <c r="V486" t="s">
        <v>40</v>
      </c>
      <c r="W486">
        <f>excelsalesdata[[#This Row],[Quantity]]*excelsalesdata[[#This Row],[Unit_Price]]</f>
        <v>67760</v>
      </c>
      <c r="X486">
        <f>excelsalesdata[[#This Row],[Gross_sales]]*excelsalesdata[[#This Row],[Discount_%]]</f>
        <v>6776</v>
      </c>
      <c r="Y486">
        <f>excelsalesdata[[#This Row],[Gross_sales]]-excelsalesdata[[#This Row],[Discount_amt]]</f>
        <v>60984</v>
      </c>
      <c r="Z486" s="4">
        <f>excelsalesdata[[#This Row],[Net_sales]]-excelsalesdata[[#This Row],[Cost]]</f>
        <v>49074</v>
      </c>
      <c r="AA486" s="5">
        <f>excelsalesdata[[#This Row],[Profit]]/excelsalesdata[[#This Row],[Net_sales]]</f>
        <v>0.80470287288469111</v>
      </c>
      <c r="AB486" s="4">
        <f>YEAR(excelsalesdata[[#This Row],[Order_Date]])</f>
        <v>2026</v>
      </c>
      <c r="AC486" s="4" t="str">
        <f>TEXT(excelsalesdata[[#This Row],[Order_Date]],"mmm")</f>
        <v>Aug</v>
      </c>
      <c r="AD486" s="4" t="str">
        <f>"Q"&amp;ROUNDUP(MONTH(excelsalesdata[[#This Row],[Order_Date]])/3,0)</f>
        <v>Q3</v>
      </c>
    </row>
    <row r="487" spans="1:30" x14ac:dyDescent="0.35">
      <c r="A487" t="s">
        <v>1102</v>
      </c>
      <c r="B487" s="3">
        <v>46245</v>
      </c>
      <c r="C487" t="s">
        <v>1103</v>
      </c>
      <c r="D487" t="s">
        <v>22</v>
      </c>
      <c r="E487" t="str">
        <f>TRIM(excelsalesdata[[#This Row],[Customer_Name]])</f>
        <v>Sneha Naidu</v>
      </c>
      <c r="F487" t="s">
        <v>44</v>
      </c>
      <c r="G487">
        <v>29</v>
      </c>
      <c r="H487" t="s">
        <v>114</v>
      </c>
      <c r="I487" t="str">
        <f>TRIM(excelsalesdata[[#This Row],[City]])</f>
        <v>Hyderabad</v>
      </c>
      <c r="J487" t="s">
        <v>115</v>
      </c>
      <c r="K487" t="s">
        <v>47</v>
      </c>
      <c r="L487" t="s">
        <v>103</v>
      </c>
      <c r="M487" t="s">
        <v>104</v>
      </c>
      <c r="N487" t="s">
        <v>104</v>
      </c>
      <c r="O487">
        <v>2</v>
      </c>
      <c r="P487">
        <v>8200</v>
      </c>
      <c r="Q487">
        <v>0.05</v>
      </c>
      <c r="R487">
        <v>5840</v>
      </c>
      <c r="S487" t="s">
        <v>29</v>
      </c>
      <c r="T487" t="s">
        <v>74</v>
      </c>
      <c r="U487">
        <v>1</v>
      </c>
      <c r="V487" t="s">
        <v>31</v>
      </c>
      <c r="W487">
        <f>excelsalesdata[[#This Row],[Quantity]]*excelsalesdata[[#This Row],[Unit_Price]]</f>
        <v>16400</v>
      </c>
      <c r="X487">
        <f>excelsalesdata[[#This Row],[Gross_sales]]*excelsalesdata[[#This Row],[Discount_%]]</f>
        <v>820</v>
      </c>
      <c r="Y487">
        <f>excelsalesdata[[#This Row],[Gross_sales]]-excelsalesdata[[#This Row],[Discount_amt]]</f>
        <v>15580</v>
      </c>
      <c r="Z487" s="4">
        <f>excelsalesdata[[#This Row],[Net_sales]]-excelsalesdata[[#This Row],[Cost]]</f>
        <v>9740</v>
      </c>
      <c r="AA487" s="5">
        <f>excelsalesdata[[#This Row],[Profit]]/excelsalesdata[[#This Row],[Net_sales]]</f>
        <v>0.62516046213093712</v>
      </c>
      <c r="AB487" s="4">
        <f>YEAR(excelsalesdata[[#This Row],[Order_Date]])</f>
        <v>2026</v>
      </c>
      <c r="AC487" s="4" t="str">
        <f>TEXT(excelsalesdata[[#This Row],[Order_Date]],"mmm")</f>
        <v>Aug</v>
      </c>
      <c r="AD487" s="4" t="str">
        <f>"Q"&amp;ROUNDUP(MONTH(excelsalesdata[[#This Row],[Order_Date]])/3,0)</f>
        <v>Q3</v>
      </c>
    </row>
    <row r="488" spans="1:30" x14ac:dyDescent="0.35">
      <c r="A488" t="s">
        <v>1104</v>
      </c>
      <c r="B488" s="3">
        <v>46246</v>
      </c>
      <c r="C488" t="s">
        <v>1105</v>
      </c>
      <c r="D488" t="s">
        <v>128</v>
      </c>
      <c r="E488" t="str">
        <f>TRIM(excelsalesdata[[#This Row],[Customer_Name]])</f>
        <v>Sneha Singh</v>
      </c>
      <c r="F488" t="s">
        <v>23</v>
      </c>
      <c r="G488">
        <v>32</v>
      </c>
      <c r="H488" t="s">
        <v>133</v>
      </c>
      <c r="I488" t="str">
        <f>TRIM(excelsalesdata[[#This Row],[City]])</f>
        <v>Jaipur</v>
      </c>
      <c r="J488" t="s">
        <v>134</v>
      </c>
      <c r="K488" t="s">
        <v>61</v>
      </c>
      <c r="L488" t="s">
        <v>54</v>
      </c>
      <c r="M488" t="s">
        <v>55</v>
      </c>
      <c r="N488" t="s">
        <v>55</v>
      </c>
      <c r="O488">
        <v>1</v>
      </c>
      <c r="P488">
        <v>7330</v>
      </c>
      <c r="Q488">
        <v>0.05</v>
      </c>
      <c r="R488">
        <v>4300</v>
      </c>
      <c r="S488" t="s">
        <v>56</v>
      </c>
      <c r="T488" t="s">
        <v>30</v>
      </c>
      <c r="U488">
        <v>5</v>
      </c>
      <c r="V488" t="s">
        <v>40</v>
      </c>
      <c r="W488">
        <f>excelsalesdata[[#This Row],[Quantity]]*excelsalesdata[[#This Row],[Unit_Price]]</f>
        <v>7330</v>
      </c>
      <c r="X488">
        <f>excelsalesdata[[#This Row],[Gross_sales]]*excelsalesdata[[#This Row],[Discount_%]]</f>
        <v>366.5</v>
      </c>
      <c r="Y488">
        <f>excelsalesdata[[#This Row],[Gross_sales]]-excelsalesdata[[#This Row],[Discount_amt]]</f>
        <v>6963.5</v>
      </c>
      <c r="Z488" s="4">
        <f>excelsalesdata[[#This Row],[Net_sales]]-excelsalesdata[[#This Row],[Cost]]</f>
        <v>2663.5</v>
      </c>
      <c r="AA488" s="5">
        <f>excelsalesdata[[#This Row],[Profit]]/excelsalesdata[[#This Row],[Net_sales]]</f>
        <v>0.38249443526962018</v>
      </c>
      <c r="AB488" s="4">
        <f>YEAR(excelsalesdata[[#This Row],[Order_Date]])</f>
        <v>2026</v>
      </c>
      <c r="AC488" s="4" t="str">
        <f>TEXT(excelsalesdata[[#This Row],[Order_Date]],"mmm")</f>
        <v>Aug</v>
      </c>
      <c r="AD488" s="4" t="str">
        <f>"Q"&amp;ROUNDUP(MONTH(excelsalesdata[[#This Row],[Order_Date]])/3,0)</f>
        <v>Q3</v>
      </c>
    </row>
    <row r="489" spans="1:30" x14ac:dyDescent="0.35">
      <c r="A489" t="s">
        <v>1106</v>
      </c>
      <c r="B489" s="3">
        <v>46247</v>
      </c>
      <c r="C489" t="s">
        <v>585</v>
      </c>
      <c r="D489" t="s">
        <v>1108</v>
      </c>
      <c r="E489" t="str">
        <f>TRIM(excelsalesdata[[#This Row],[Customer_Name]])</f>
        <v>Rohan Verma</v>
      </c>
      <c r="F489" t="s">
        <v>23</v>
      </c>
      <c r="G489">
        <v>28</v>
      </c>
      <c r="H489" t="s">
        <v>190</v>
      </c>
      <c r="I489" t="str">
        <f>TRIM(excelsalesdata[[#This Row],[City]])</f>
        <v>Ahmedabad</v>
      </c>
      <c r="J489" t="s">
        <v>191</v>
      </c>
      <c r="K489" t="s">
        <v>26</v>
      </c>
      <c r="L489" t="s">
        <v>38</v>
      </c>
      <c r="M489" t="s">
        <v>119</v>
      </c>
      <c r="N489" t="s">
        <v>119</v>
      </c>
      <c r="O489">
        <v>1</v>
      </c>
      <c r="P489">
        <v>8160</v>
      </c>
      <c r="Q489">
        <v>0.15</v>
      </c>
      <c r="R489">
        <v>5820</v>
      </c>
      <c r="S489" t="s">
        <v>80</v>
      </c>
      <c r="T489" t="s">
        <v>30</v>
      </c>
      <c r="U489">
        <v>2</v>
      </c>
      <c r="V489" t="s">
        <v>31</v>
      </c>
      <c r="W489">
        <f>excelsalesdata[[#This Row],[Quantity]]*excelsalesdata[[#This Row],[Unit_Price]]</f>
        <v>8160</v>
      </c>
      <c r="X489">
        <f>excelsalesdata[[#This Row],[Gross_sales]]*excelsalesdata[[#This Row],[Discount_%]]</f>
        <v>1224</v>
      </c>
      <c r="Y489">
        <f>excelsalesdata[[#This Row],[Gross_sales]]-excelsalesdata[[#This Row],[Discount_amt]]</f>
        <v>6936</v>
      </c>
      <c r="Z489" s="4">
        <f>excelsalesdata[[#This Row],[Net_sales]]-excelsalesdata[[#This Row],[Cost]]</f>
        <v>1116</v>
      </c>
      <c r="AA489" s="5">
        <f>excelsalesdata[[#This Row],[Profit]]/excelsalesdata[[#This Row],[Net_sales]]</f>
        <v>0.16089965397923875</v>
      </c>
      <c r="AB489" s="4">
        <f>YEAR(excelsalesdata[[#This Row],[Order_Date]])</f>
        <v>2026</v>
      </c>
      <c r="AC489" s="4" t="str">
        <f>TEXT(excelsalesdata[[#This Row],[Order_Date]],"mmm")</f>
        <v>Aug</v>
      </c>
      <c r="AD489" s="4" t="str">
        <f>"Q"&amp;ROUNDUP(MONTH(excelsalesdata[[#This Row],[Order_Date]])/3,0)</f>
        <v>Q3</v>
      </c>
    </row>
    <row r="490" spans="1:30" x14ac:dyDescent="0.35">
      <c r="A490" t="s">
        <v>1107</v>
      </c>
      <c r="B490" s="3">
        <v>46248</v>
      </c>
      <c r="C490" t="s">
        <v>911</v>
      </c>
      <c r="D490" t="s">
        <v>175</v>
      </c>
      <c r="E490" t="str">
        <f>TRIM(excelsalesdata[[#This Row],[Customer_Name]])</f>
        <v>Kavya Naidu</v>
      </c>
      <c r="F490" t="s">
        <v>44</v>
      </c>
      <c r="G490">
        <v>24</v>
      </c>
      <c r="H490" t="s">
        <v>133</v>
      </c>
      <c r="I490" t="str">
        <f>TRIM(excelsalesdata[[#This Row],[City]])</f>
        <v>Jaipur</v>
      </c>
      <c r="J490" t="s">
        <v>134</v>
      </c>
      <c r="K490" t="s">
        <v>61</v>
      </c>
      <c r="L490" t="s">
        <v>54</v>
      </c>
      <c r="M490" t="s">
        <v>129</v>
      </c>
      <c r="N490" t="s">
        <v>129</v>
      </c>
      <c r="O490">
        <v>2</v>
      </c>
      <c r="P490">
        <v>16980</v>
      </c>
      <c r="Q490">
        <v>0.1</v>
      </c>
      <c r="R490">
        <v>12290</v>
      </c>
      <c r="S490" t="s">
        <v>80</v>
      </c>
      <c r="T490" t="s">
        <v>30</v>
      </c>
      <c r="U490">
        <v>1</v>
      </c>
      <c r="V490" t="s">
        <v>31</v>
      </c>
      <c r="W490">
        <f>excelsalesdata[[#This Row],[Quantity]]*excelsalesdata[[#This Row],[Unit_Price]]</f>
        <v>33960</v>
      </c>
      <c r="X490">
        <f>excelsalesdata[[#This Row],[Gross_sales]]*excelsalesdata[[#This Row],[Discount_%]]</f>
        <v>3396</v>
      </c>
      <c r="Y490">
        <f>excelsalesdata[[#This Row],[Gross_sales]]-excelsalesdata[[#This Row],[Discount_amt]]</f>
        <v>30564</v>
      </c>
      <c r="Z490" s="4">
        <f>excelsalesdata[[#This Row],[Net_sales]]-excelsalesdata[[#This Row],[Cost]]</f>
        <v>18274</v>
      </c>
      <c r="AA490" s="5">
        <f>excelsalesdata[[#This Row],[Profit]]/excelsalesdata[[#This Row],[Net_sales]]</f>
        <v>0.59789294594948306</v>
      </c>
      <c r="AB490" s="4">
        <f>YEAR(excelsalesdata[[#This Row],[Order_Date]])</f>
        <v>2026</v>
      </c>
      <c r="AC490" s="4" t="str">
        <f>TEXT(excelsalesdata[[#This Row],[Order_Date]],"mmm")</f>
        <v>Aug</v>
      </c>
      <c r="AD490" s="4" t="str">
        <f>"Q"&amp;ROUNDUP(MONTH(excelsalesdata[[#This Row],[Order_Date]])/3,0)</f>
        <v>Q3</v>
      </c>
    </row>
    <row r="491" spans="1:30" x14ac:dyDescent="0.35">
      <c r="A491" t="s">
        <v>1109</v>
      </c>
      <c r="B491" s="3">
        <v>46249</v>
      </c>
      <c r="C491" t="s">
        <v>398</v>
      </c>
      <c r="D491" t="s">
        <v>546</v>
      </c>
      <c r="E491" t="str">
        <f>TRIM(excelsalesdata[[#This Row],[Customer_Name]])</f>
        <v>Karan Nair</v>
      </c>
      <c r="F491" t="s">
        <v>44</v>
      </c>
      <c r="G491">
        <v>46</v>
      </c>
      <c r="H491" t="s">
        <v>155</v>
      </c>
      <c r="I491" t="str">
        <f>TRIM(excelsalesdata[[#This Row],[City]])</f>
        <v>Chennai</v>
      </c>
      <c r="J491" t="s">
        <v>156</v>
      </c>
      <c r="K491" t="s">
        <v>47</v>
      </c>
      <c r="L491" t="s">
        <v>85</v>
      </c>
      <c r="M491" t="s">
        <v>86</v>
      </c>
      <c r="N491" t="s">
        <v>86</v>
      </c>
      <c r="O491">
        <v>2</v>
      </c>
      <c r="P491">
        <v>2540</v>
      </c>
      <c r="Q491">
        <v>0.1</v>
      </c>
      <c r="R491">
        <v>1530</v>
      </c>
      <c r="S491" t="s">
        <v>29</v>
      </c>
      <c r="T491" t="s">
        <v>30</v>
      </c>
      <c r="U491">
        <v>2</v>
      </c>
      <c r="V491" t="s">
        <v>31</v>
      </c>
      <c r="W491">
        <f>excelsalesdata[[#This Row],[Quantity]]*excelsalesdata[[#This Row],[Unit_Price]]</f>
        <v>5080</v>
      </c>
      <c r="X491">
        <f>excelsalesdata[[#This Row],[Gross_sales]]*excelsalesdata[[#This Row],[Discount_%]]</f>
        <v>508</v>
      </c>
      <c r="Y491">
        <f>excelsalesdata[[#This Row],[Gross_sales]]-excelsalesdata[[#This Row],[Discount_amt]]</f>
        <v>4572</v>
      </c>
      <c r="Z491" s="4">
        <f>excelsalesdata[[#This Row],[Net_sales]]-excelsalesdata[[#This Row],[Cost]]</f>
        <v>3042</v>
      </c>
      <c r="AA491" s="5">
        <f>excelsalesdata[[#This Row],[Profit]]/excelsalesdata[[#This Row],[Net_sales]]</f>
        <v>0.66535433070866146</v>
      </c>
      <c r="AB491" s="4">
        <f>YEAR(excelsalesdata[[#This Row],[Order_Date]])</f>
        <v>2026</v>
      </c>
      <c r="AC491" s="4" t="str">
        <f>TEXT(excelsalesdata[[#This Row],[Order_Date]],"mmm")</f>
        <v>Aug</v>
      </c>
      <c r="AD491" s="4" t="str">
        <f>"Q"&amp;ROUNDUP(MONTH(excelsalesdata[[#This Row],[Order_Date]])/3,0)</f>
        <v>Q3</v>
      </c>
    </row>
    <row r="492" spans="1:30" x14ac:dyDescent="0.35">
      <c r="A492" t="s">
        <v>1110</v>
      </c>
      <c r="B492" s="3">
        <v>46250</v>
      </c>
      <c r="C492" t="s">
        <v>512</v>
      </c>
      <c r="D492" t="s">
        <v>622</v>
      </c>
      <c r="E492" t="str">
        <f>TRIM(excelsalesdata[[#This Row],[Customer_Name]])</f>
        <v>Vivaan Naidu</v>
      </c>
      <c r="F492" t="s">
        <v>23</v>
      </c>
      <c r="G492">
        <v>56</v>
      </c>
      <c r="H492" t="s">
        <v>155</v>
      </c>
      <c r="I492" t="str">
        <f>TRIM(excelsalesdata[[#This Row],[City]])</f>
        <v>Chennai</v>
      </c>
      <c r="J492" t="s">
        <v>156</v>
      </c>
      <c r="K492" t="s">
        <v>47</v>
      </c>
      <c r="L492" t="s">
        <v>27</v>
      </c>
      <c r="M492" t="s">
        <v>295</v>
      </c>
      <c r="N492" t="s">
        <v>295</v>
      </c>
      <c r="O492">
        <v>2</v>
      </c>
      <c r="P492">
        <v>4520</v>
      </c>
      <c r="Q492">
        <v>0.2</v>
      </c>
      <c r="R492">
        <v>2490</v>
      </c>
      <c r="S492" t="s">
        <v>80</v>
      </c>
      <c r="T492" t="s">
        <v>81</v>
      </c>
      <c r="U492">
        <v>0</v>
      </c>
      <c r="V492" t="s">
        <v>31</v>
      </c>
      <c r="W492">
        <f>excelsalesdata[[#This Row],[Quantity]]*excelsalesdata[[#This Row],[Unit_Price]]</f>
        <v>9040</v>
      </c>
      <c r="X492">
        <f>excelsalesdata[[#This Row],[Gross_sales]]*excelsalesdata[[#This Row],[Discount_%]]</f>
        <v>1808</v>
      </c>
      <c r="Y492">
        <f>excelsalesdata[[#This Row],[Gross_sales]]-excelsalesdata[[#This Row],[Discount_amt]]</f>
        <v>7232</v>
      </c>
      <c r="Z492" s="4">
        <f>excelsalesdata[[#This Row],[Net_sales]]-excelsalesdata[[#This Row],[Cost]]</f>
        <v>4742</v>
      </c>
      <c r="AA492" s="5">
        <f>excelsalesdata[[#This Row],[Profit]]/excelsalesdata[[#This Row],[Net_sales]]</f>
        <v>0.65569690265486724</v>
      </c>
      <c r="AB492" s="4">
        <f>YEAR(excelsalesdata[[#This Row],[Order_Date]])</f>
        <v>2026</v>
      </c>
      <c r="AC492" s="4" t="str">
        <f>TEXT(excelsalesdata[[#This Row],[Order_Date]],"mmm")</f>
        <v>Aug</v>
      </c>
      <c r="AD492" s="4" t="str">
        <f>"Q"&amp;ROUNDUP(MONTH(excelsalesdata[[#This Row],[Order_Date]])/3,0)</f>
        <v>Q3</v>
      </c>
    </row>
    <row r="493" spans="1:30" x14ac:dyDescent="0.35">
      <c r="A493" t="s">
        <v>1111</v>
      </c>
      <c r="B493" s="3">
        <v>46251</v>
      </c>
      <c r="C493" t="s">
        <v>1112</v>
      </c>
      <c r="D493" t="s">
        <v>1029</v>
      </c>
      <c r="E493" t="str">
        <f>TRIM(excelsalesdata[[#This Row],[Customer_Name]])</f>
        <v>Kavya Reddy</v>
      </c>
      <c r="F493" t="s">
        <v>23</v>
      </c>
      <c r="G493">
        <v>27</v>
      </c>
      <c r="H493" t="s">
        <v>109</v>
      </c>
      <c r="I493" t="str">
        <f>TRIM(excelsalesdata[[#This Row],[City]])</f>
        <v>Mysuru</v>
      </c>
      <c r="J493" t="s">
        <v>53</v>
      </c>
      <c r="K493" t="s">
        <v>47</v>
      </c>
      <c r="L493" t="s">
        <v>38</v>
      </c>
      <c r="M493" t="s">
        <v>39</v>
      </c>
      <c r="N493" t="s">
        <v>39</v>
      </c>
      <c r="O493">
        <v>2</v>
      </c>
      <c r="P493">
        <v>6030</v>
      </c>
      <c r="Q493">
        <v>0.05</v>
      </c>
      <c r="R493">
        <v>4320</v>
      </c>
      <c r="S493" t="s">
        <v>80</v>
      </c>
      <c r="T493" t="s">
        <v>30</v>
      </c>
      <c r="U493">
        <v>3</v>
      </c>
      <c r="V493" t="s">
        <v>31</v>
      </c>
      <c r="W493">
        <f>excelsalesdata[[#This Row],[Quantity]]*excelsalesdata[[#This Row],[Unit_Price]]</f>
        <v>12060</v>
      </c>
      <c r="X493">
        <f>excelsalesdata[[#This Row],[Gross_sales]]*excelsalesdata[[#This Row],[Discount_%]]</f>
        <v>603</v>
      </c>
      <c r="Y493">
        <f>excelsalesdata[[#This Row],[Gross_sales]]-excelsalesdata[[#This Row],[Discount_amt]]</f>
        <v>11457</v>
      </c>
      <c r="Z493" s="4">
        <f>excelsalesdata[[#This Row],[Net_sales]]-excelsalesdata[[#This Row],[Cost]]</f>
        <v>7137</v>
      </c>
      <c r="AA493" s="5">
        <f>excelsalesdata[[#This Row],[Profit]]/excelsalesdata[[#This Row],[Net_sales]]</f>
        <v>0.62293794186959939</v>
      </c>
      <c r="AB493" s="4">
        <f>YEAR(excelsalesdata[[#This Row],[Order_Date]])</f>
        <v>2026</v>
      </c>
      <c r="AC493" s="4" t="str">
        <f>TEXT(excelsalesdata[[#This Row],[Order_Date]],"mmm")</f>
        <v>Aug</v>
      </c>
      <c r="AD493" s="4" t="str">
        <f>"Q"&amp;ROUNDUP(MONTH(excelsalesdata[[#This Row],[Order_Date]])/3,0)</f>
        <v>Q3</v>
      </c>
    </row>
    <row r="494" spans="1:30" x14ac:dyDescent="0.35">
      <c r="A494" t="s">
        <v>1113</v>
      </c>
      <c r="B494" s="3">
        <v>46252</v>
      </c>
      <c r="C494" t="s">
        <v>529</v>
      </c>
      <c r="D494" t="s">
        <v>445</v>
      </c>
      <c r="E494" t="str">
        <f>TRIM(excelsalesdata[[#This Row],[Customer_Name]])</f>
        <v>Priya Gupta</v>
      </c>
      <c r="F494" t="s">
        <v>44</v>
      </c>
      <c r="G494">
        <v>31</v>
      </c>
      <c r="H494" t="s">
        <v>60</v>
      </c>
      <c r="I494" t="str">
        <f>TRIM(excelsalesdata[[#This Row],[City]])</f>
        <v>Chandigarh</v>
      </c>
      <c r="J494" t="s">
        <v>60</v>
      </c>
      <c r="K494" t="s">
        <v>61</v>
      </c>
      <c r="L494" t="s">
        <v>54</v>
      </c>
      <c r="M494" t="s">
        <v>62</v>
      </c>
      <c r="N494" t="s">
        <v>62</v>
      </c>
      <c r="O494">
        <v>4</v>
      </c>
      <c r="P494">
        <v>21810</v>
      </c>
      <c r="Q494">
        <v>0.1</v>
      </c>
      <c r="R494">
        <v>16190</v>
      </c>
      <c r="S494" t="s">
        <v>29</v>
      </c>
      <c r="T494" t="s">
        <v>30</v>
      </c>
      <c r="U494">
        <v>3</v>
      </c>
      <c r="V494" t="s">
        <v>31</v>
      </c>
      <c r="W494">
        <f>excelsalesdata[[#This Row],[Quantity]]*excelsalesdata[[#This Row],[Unit_Price]]</f>
        <v>87240</v>
      </c>
      <c r="X494">
        <f>excelsalesdata[[#This Row],[Gross_sales]]*excelsalesdata[[#This Row],[Discount_%]]</f>
        <v>8724</v>
      </c>
      <c r="Y494">
        <f>excelsalesdata[[#This Row],[Gross_sales]]-excelsalesdata[[#This Row],[Discount_amt]]</f>
        <v>78516</v>
      </c>
      <c r="Z494" s="4">
        <f>excelsalesdata[[#This Row],[Net_sales]]-excelsalesdata[[#This Row],[Cost]]</f>
        <v>62326</v>
      </c>
      <c r="AA494" s="5">
        <f>excelsalesdata[[#This Row],[Profit]]/excelsalesdata[[#This Row],[Net_sales]]</f>
        <v>0.79379998981099398</v>
      </c>
      <c r="AB494" s="4">
        <f>YEAR(excelsalesdata[[#This Row],[Order_Date]])</f>
        <v>2026</v>
      </c>
      <c r="AC494" s="4" t="str">
        <f>TEXT(excelsalesdata[[#This Row],[Order_Date]],"mmm")</f>
        <v>Aug</v>
      </c>
      <c r="AD494" s="4" t="str">
        <f>"Q"&amp;ROUNDUP(MONTH(excelsalesdata[[#This Row],[Order_Date]])/3,0)</f>
        <v>Q3</v>
      </c>
    </row>
    <row r="495" spans="1:30" x14ac:dyDescent="0.35">
      <c r="A495" t="s">
        <v>1114</v>
      </c>
      <c r="B495" s="3">
        <v>46253</v>
      </c>
      <c r="C495" t="s">
        <v>561</v>
      </c>
      <c r="D495" t="s">
        <v>593</v>
      </c>
      <c r="E495" t="str">
        <f>TRIM(excelsalesdata[[#This Row],[Customer_Name]])</f>
        <v>Nisha Gupta</v>
      </c>
      <c r="F495" t="s">
        <v>23</v>
      </c>
      <c r="G495">
        <v>29</v>
      </c>
      <c r="H495" t="s">
        <v>185</v>
      </c>
      <c r="I495" t="str">
        <f>TRIM(excelsalesdata[[#This Row],[City]])</f>
        <v>Lucknow</v>
      </c>
      <c r="J495" t="s">
        <v>186</v>
      </c>
      <c r="K495" t="s">
        <v>61</v>
      </c>
      <c r="L495" t="s">
        <v>54</v>
      </c>
      <c r="M495" t="s">
        <v>66</v>
      </c>
      <c r="N495" t="s">
        <v>66</v>
      </c>
      <c r="O495">
        <v>3</v>
      </c>
      <c r="P495">
        <v>2400</v>
      </c>
      <c r="Q495">
        <v>0</v>
      </c>
      <c r="R495">
        <v>1440</v>
      </c>
      <c r="S495" t="s">
        <v>151</v>
      </c>
      <c r="T495" t="s">
        <v>30</v>
      </c>
      <c r="U495">
        <v>3</v>
      </c>
      <c r="V495" t="s">
        <v>31</v>
      </c>
      <c r="W495">
        <f>excelsalesdata[[#This Row],[Quantity]]*excelsalesdata[[#This Row],[Unit_Price]]</f>
        <v>7200</v>
      </c>
      <c r="X495">
        <f>excelsalesdata[[#This Row],[Gross_sales]]*excelsalesdata[[#This Row],[Discount_%]]</f>
        <v>0</v>
      </c>
      <c r="Y495">
        <f>excelsalesdata[[#This Row],[Gross_sales]]-excelsalesdata[[#This Row],[Discount_amt]]</f>
        <v>7200</v>
      </c>
      <c r="Z495" s="4">
        <f>excelsalesdata[[#This Row],[Net_sales]]-excelsalesdata[[#This Row],[Cost]]</f>
        <v>5760</v>
      </c>
      <c r="AA495" s="5">
        <f>excelsalesdata[[#This Row],[Profit]]/excelsalesdata[[#This Row],[Net_sales]]</f>
        <v>0.8</v>
      </c>
      <c r="AB495" s="4">
        <f>YEAR(excelsalesdata[[#This Row],[Order_Date]])</f>
        <v>2026</v>
      </c>
      <c r="AC495" s="4" t="str">
        <f>TEXT(excelsalesdata[[#This Row],[Order_Date]],"mmm")</f>
        <v>Aug</v>
      </c>
      <c r="AD495" s="4" t="str">
        <f>"Q"&amp;ROUNDUP(MONTH(excelsalesdata[[#This Row],[Order_Date]])/3,0)</f>
        <v>Q3</v>
      </c>
    </row>
    <row r="496" spans="1:30" x14ac:dyDescent="0.35">
      <c r="A496" t="s">
        <v>1115</v>
      </c>
      <c r="B496" s="3">
        <v>46254</v>
      </c>
      <c r="C496" t="s">
        <v>730</v>
      </c>
      <c r="D496" t="s">
        <v>270</v>
      </c>
      <c r="E496" t="str">
        <f>TRIM(excelsalesdata[[#This Row],[Customer_Name]])</f>
        <v>Ananya Das</v>
      </c>
      <c r="F496" t="s">
        <v>44</v>
      </c>
      <c r="G496">
        <v>52</v>
      </c>
      <c r="H496" t="s">
        <v>168</v>
      </c>
      <c r="I496" t="str">
        <f>TRIM(excelsalesdata[[#This Row],[City]])</f>
        <v>Delhi</v>
      </c>
      <c r="J496" t="s">
        <v>168</v>
      </c>
      <c r="K496" t="s">
        <v>61</v>
      </c>
      <c r="L496" t="s">
        <v>103</v>
      </c>
      <c r="M496" t="s">
        <v>104</v>
      </c>
      <c r="N496" t="s">
        <v>104</v>
      </c>
      <c r="O496">
        <v>1</v>
      </c>
      <c r="P496">
        <v>7920</v>
      </c>
      <c r="Q496">
        <v>0.05</v>
      </c>
      <c r="R496">
        <v>5740</v>
      </c>
      <c r="S496" t="s">
        <v>80</v>
      </c>
      <c r="T496" t="s">
        <v>30</v>
      </c>
      <c r="U496">
        <v>4</v>
      </c>
      <c r="V496" t="s">
        <v>40</v>
      </c>
      <c r="W496">
        <f>excelsalesdata[[#This Row],[Quantity]]*excelsalesdata[[#This Row],[Unit_Price]]</f>
        <v>7920</v>
      </c>
      <c r="X496">
        <f>excelsalesdata[[#This Row],[Gross_sales]]*excelsalesdata[[#This Row],[Discount_%]]</f>
        <v>396</v>
      </c>
      <c r="Y496">
        <f>excelsalesdata[[#This Row],[Gross_sales]]-excelsalesdata[[#This Row],[Discount_amt]]</f>
        <v>7524</v>
      </c>
      <c r="Z496" s="4">
        <f>excelsalesdata[[#This Row],[Net_sales]]-excelsalesdata[[#This Row],[Cost]]</f>
        <v>1784</v>
      </c>
      <c r="AA496" s="5">
        <f>excelsalesdata[[#This Row],[Profit]]/excelsalesdata[[#This Row],[Net_sales]]</f>
        <v>0.23710792131844763</v>
      </c>
      <c r="AB496" s="4">
        <f>YEAR(excelsalesdata[[#This Row],[Order_Date]])</f>
        <v>2026</v>
      </c>
      <c r="AC496" s="4" t="str">
        <f>TEXT(excelsalesdata[[#This Row],[Order_Date]],"mmm")</f>
        <v>Aug</v>
      </c>
      <c r="AD496" s="4" t="str">
        <f>"Q"&amp;ROUNDUP(MONTH(excelsalesdata[[#This Row],[Order_Date]])/3,0)</f>
        <v>Q3</v>
      </c>
    </row>
    <row r="497" spans="1:30" x14ac:dyDescent="0.35">
      <c r="A497" t="s">
        <v>1116</v>
      </c>
      <c r="B497" s="3">
        <v>46255</v>
      </c>
      <c r="C497" t="s">
        <v>1019</v>
      </c>
      <c r="D497" t="s">
        <v>610</v>
      </c>
      <c r="E497" t="str">
        <f>TRIM(excelsalesdata[[#This Row],[Customer_Name]])</f>
        <v>Priya Das</v>
      </c>
      <c r="F497" t="s">
        <v>44</v>
      </c>
      <c r="G497">
        <v>26</v>
      </c>
      <c r="H497" t="s">
        <v>78</v>
      </c>
      <c r="I497" t="str">
        <f>TRIM(excelsalesdata[[#This Row],[City]])</f>
        <v>Guwahati</v>
      </c>
      <c r="J497" t="s">
        <v>79</v>
      </c>
      <c r="K497" t="s">
        <v>37</v>
      </c>
      <c r="L497" t="s">
        <v>27</v>
      </c>
      <c r="M497" t="s">
        <v>195</v>
      </c>
      <c r="N497" t="s">
        <v>195</v>
      </c>
      <c r="O497">
        <v>1</v>
      </c>
      <c r="P497">
        <v>2260</v>
      </c>
      <c r="Q497">
        <v>0.05</v>
      </c>
      <c r="R497">
        <v>1210</v>
      </c>
      <c r="S497" t="s">
        <v>105</v>
      </c>
      <c r="T497" t="s">
        <v>30</v>
      </c>
      <c r="U497">
        <v>3</v>
      </c>
      <c r="V497" t="s">
        <v>40</v>
      </c>
      <c r="W497">
        <f>excelsalesdata[[#This Row],[Quantity]]*excelsalesdata[[#This Row],[Unit_Price]]</f>
        <v>2260</v>
      </c>
      <c r="X497">
        <f>excelsalesdata[[#This Row],[Gross_sales]]*excelsalesdata[[#This Row],[Discount_%]]</f>
        <v>113</v>
      </c>
      <c r="Y497">
        <f>excelsalesdata[[#This Row],[Gross_sales]]-excelsalesdata[[#This Row],[Discount_amt]]</f>
        <v>2147</v>
      </c>
      <c r="Z497" s="4">
        <f>excelsalesdata[[#This Row],[Net_sales]]-excelsalesdata[[#This Row],[Cost]]</f>
        <v>937</v>
      </c>
      <c r="AA497" s="5">
        <f>excelsalesdata[[#This Row],[Profit]]/excelsalesdata[[#This Row],[Net_sales]]</f>
        <v>0.43642291569632047</v>
      </c>
      <c r="AB497" s="4">
        <f>YEAR(excelsalesdata[[#This Row],[Order_Date]])</f>
        <v>2026</v>
      </c>
      <c r="AC497" s="4" t="str">
        <f>TEXT(excelsalesdata[[#This Row],[Order_Date]],"mmm")</f>
        <v>Aug</v>
      </c>
      <c r="AD497" s="4" t="str">
        <f>"Q"&amp;ROUNDUP(MONTH(excelsalesdata[[#This Row],[Order_Date]])/3,0)</f>
        <v>Q3</v>
      </c>
    </row>
    <row r="498" spans="1:30" x14ac:dyDescent="0.35">
      <c r="A498" t="s">
        <v>1117</v>
      </c>
      <c r="B498" s="3">
        <v>46256</v>
      </c>
      <c r="C498" t="s">
        <v>361</v>
      </c>
      <c r="D498" t="s">
        <v>108</v>
      </c>
      <c r="E498" t="str">
        <f>TRIM(excelsalesdata[[#This Row],[Customer_Name]])</f>
        <v>Vikram Sharma</v>
      </c>
      <c r="F498" t="s">
        <v>44</v>
      </c>
      <c r="G498">
        <v>24</v>
      </c>
      <c r="H498" t="s">
        <v>78</v>
      </c>
      <c r="I498" t="str">
        <f>TRIM(excelsalesdata[[#This Row],[City]])</f>
        <v>Guwahati</v>
      </c>
      <c r="J498" t="s">
        <v>79</v>
      </c>
      <c r="K498" t="s">
        <v>37</v>
      </c>
      <c r="L498" t="s">
        <v>103</v>
      </c>
      <c r="M498" t="s">
        <v>104</v>
      </c>
      <c r="N498" t="s">
        <v>104</v>
      </c>
      <c r="O498">
        <v>1</v>
      </c>
      <c r="P498">
        <v>8400</v>
      </c>
      <c r="Q498">
        <v>0.1</v>
      </c>
      <c r="R498">
        <v>5610</v>
      </c>
      <c r="S498" t="s">
        <v>29</v>
      </c>
      <c r="T498" t="s">
        <v>30</v>
      </c>
      <c r="U498">
        <v>5</v>
      </c>
      <c r="V498" t="s">
        <v>40</v>
      </c>
      <c r="W498">
        <f>excelsalesdata[[#This Row],[Quantity]]*excelsalesdata[[#This Row],[Unit_Price]]</f>
        <v>8400</v>
      </c>
      <c r="X498">
        <f>excelsalesdata[[#This Row],[Gross_sales]]*excelsalesdata[[#This Row],[Discount_%]]</f>
        <v>840</v>
      </c>
      <c r="Y498">
        <f>excelsalesdata[[#This Row],[Gross_sales]]-excelsalesdata[[#This Row],[Discount_amt]]</f>
        <v>7560</v>
      </c>
      <c r="Z498" s="4">
        <f>excelsalesdata[[#This Row],[Net_sales]]-excelsalesdata[[#This Row],[Cost]]</f>
        <v>1950</v>
      </c>
      <c r="AA498" s="5">
        <f>excelsalesdata[[#This Row],[Profit]]/excelsalesdata[[#This Row],[Net_sales]]</f>
        <v>0.25793650793650796</v>
      </c>
      <c r="AB498" s="4">
        <f>YEAR(excelsalesdata[[#This Row],[Order_Date]])</f>
        <v>2026</v>
      </c>
      <c r="AC498" s="4" t="str">
        <f>TEXT(excelsalesdata[[#This Row],[Order_Date]],"mmm")</f>
        <v>Aug</v>
      </c>
      <c r="AD498" s="4" t="str">
        <f>"Q"&amp;ROUNDUP(MONTH(excelsalesdata[[#This Row],[Order_Date]])/3,0)</f>
        <v>Q3</v>
      </c>
    </row>
    <row r="499" spans="1:30" x14ac:dyDescent="0.35">
      <c r="A499" t="s">
        <v>1118</v>
      </c>
      <c r="B499" s="3">
        <v>46257</v>
      </c>
      <c r="C499" t="s">
        <v>1119</v>
      </c>
      <c r="D499" t="s">
        <v>658</v>
      </c>
      <c r="E499" t="str">
        <f>TRIM(excelsalesdata[[#This Row],[Customer_Name]])</f>
        <v>Vikram Mehta</v>
      </c>
      <c r="F499" t="s">
        <v>23</v>
      </c>
      <c r="G499">
        <v>38</v>
      </c>
      <c r="H499" t="s">
        <v>155</v>
      </c>
      <c r="I499" t="str">
        <f>TRIM(excelsalesdata[[#This Row],[City]])</f>
        <v>Chennai</v>
      </c>
      <c r="J499" t="s">
        <v>156</v>
      </c>
      <c r="K499" t="s">
        <v>47</v>
      </c>
      <c r="L499" t="s">
        <v>103</v>
      </c>
      <c r="M499" t="s">
        <v>347</v>
      </c>
      <c r="N499" t="s">
        <v>347</v>
      </c>
      <c r="O499">
        <v>3</v>
      </c>
      <c r="P499">
        <v>11680</v>
      </c>
      <c r="Q499">
        <v>0.15</v>
      </c>
      <c r="R499">
        <v>7910</v>
      </c>
      <c r="S499" t="s">
        <v>29</v>
      </c>
      <c r="T499" t="s">
        <v>30</v>
      </c>
      <c r="U499">
        <v>5</v>
      </c>
      <c r="V499" t="s">
        <v>40</v>
      </c>
      <c r="W499">
        <f>excelsalesdata[[#This Row],[Quantity]]*excelsalesdata[[#This Row],[Unit_Price]]</f>
        <v>35040</v>
      </c>
      <c r="X499">
        <f>excelsalesdata[[#This Row],[Gross_sales]]*excelsalesdata[[#This Row],[Discount_%]]</f>
        <v>5256</v>
      </c>
      <c r="Y499">
        <f>excelsalesdata[[#This Row],[Gross_sales]]-excelsalesdata[[#This Row],[Discount_amt]]</f>
        <v>29784</v>
      </c>
      <c r="Z499" s="4">
        <f>excelsalesdata[[#This Row],[Net_sales]]-excelsalesdata[[#This Row],[Cost]]</f>
        <v>21874</v>
      </c>
      <c r="AA499" s="5">
        <f>excelsalesdata[[#This Row],[Profit]]/excelsalesdata[[#This Row],[Net_sales]]</f>
        <v>0.73442116572656457</v>
      </c>
      <c r="AB499" s="4">
        <f>YEAR(excelsalesdata[[#This Row],[Order_Date]])</f>
        <v>2026</v>
      </c>
      <c r="AC499" s="4" t="str">
        <f>TEXT(excelsalesdata[[#This Row],[Order_Date]],"mmm")</f>
        <v>Aug</v>
      </c>
      <c r="AD499" s="4" t="str">
        <f>"Q"&amp;ROUNDUP(MONTH(excelsalesdata[[#This Row],[Order_Date]])/3,0)</f>
        <v>Q3</v>
      </c>
    </row>
    <row r="500" spans="1:30" x14ac:dyDescent="0.35">
      <c r="A500" t="s">
        <v>1120</v>
      </c>
      <c r="B500" s="3">
        <v>46258</v>
      </c>
      <c r="C500" t="s">
        <v>1121</v>
      </c>
      <c r="D500" t="s">
        <v>708</v>
      </c>
      <c r="E500" t="str">
        <f>TRIM(excelsalesdata[[#This Row],[Customer_Name]])</f>
        <v>Diya Mehta</v>
      </c>
      <c r="F500" t="s">
        <v>44</v>
      </c>
      <c r="G500">
        <v>30</v>
      </c>
      <c r="H500" t="s">
        <v>190</v>
      </c>
      <c r="I500" t="str">
        <f>TRIM(excelsalesdata[[#This Row],[City]])</f>
        <v>Ahmedabad</v>
      </c>
      <c r="J500" t="s">
        <v>191</v>
      </c>
      <c r="K500" t="s">
        <v>26</v>
      </c>
      <c r="L500" t="s">
        <v>27</v>
      </c>
      <c r="M500" t="s">
        <v>48</v>
      </c>
      <c r="N500" t="s">
        <v>48</v>
      </c>
      <c r="O500">
        <v>1</v>
      </c>
      <c r="P500">
        <v>870</v>
      </c>
      <c r="Q500">
        <v>0.2</v>
      </c>
      <c r="R500">
        <v>460</v>
      </c>
      <c r="S500" t="s">
        <v>29</v>
      </c>
      <c r="T500" t="s">
        <v>30</v>
      </c>
      <c r="U500">
        <v>4</v>
      </c>
      <c r="V500" t="s">
        <v>40</v>
      </c>
      <c r="W500">
        <f>excelsalesdata[[#This Row],[Quantity]]*excelsalesdata[[#This Row],[Unit_Price]]</f>
        <v>870</v>
      </c>
      <c r="X500">
        <f>excelsalesdata[[#This Row],[Gross_sales]]*excelsalesdata[[#This Row],[Discount_%]]</f>
        <v>174</v>
      </c>
      <c r="Y500">
        <f>excelsalesdata[[#This Row],[Gross_sales]]-excelsalesdata[[#This Row],[Discount_amt]]</f>
        <v>696</v>
      </c>
      <c r="Z500" s="4">
        <f>excelsalesdata[[#This Row],[Net_sales]]-excelsalesdata[[#This Row],[Cost]]</f>
        <v>236</v>
      </c>
      <c r="AA500" s="5">
        <f>excelsalesdata[[#This Row],[Profit]]/excelsalesdata[[#This Row],[Net_sales]]</f>
        <v>0.33908045977011492</v>
      </c>
      <c r="AB500" s="4">
        <f>YEAR(excelsalesdata[[#This Row],[Order_Date]])</f>
        <v>2026</v>
      </c>
      <c r="AC500" s="4" t="str">
        <f>TEXT(excelsalesdata[[#This Row],[Order_Date]],"mmm")</f>
        <v>Aug</v>
      </c>
      <c r="AD500" s="4" t="str">
        <f>"Q"&amp;ROUNDUP(MONTH(excelsalesdata[[#This Row],[Order_Date]])/3,0)</f>
        <v>Q3</v>
      </c>
    </row>
    <row r="501" spans="1:30" x14ac:dyDescent="0.35">
      <c r="A501" t="s">
        <v>1122</v>
      </c>
      <c r="B501" s="3">
        <v>46259</v>
      </c>
      <c r="C501" t="s">
        <v>1123</v>
      </c>
      <c r="D501" t="s">
        <v>224</v>
      </c>
      <c r="E501" t="str">
        <f>TRIM(excelsalesdata[[#This Row],[Customer_Name]])</f>
        <v>Vivaan Sharma</v>
      </c>
      <c r="F501" t="s">
        <v>23</v>
      </c>
      <c r="G501">
        <v>20</v>
      </c>
      <c r="H501" t="s">
        <v>155</v>
      </c>
      <c r="I501" t="str">
        <f>TRIM(excelsalesdata[[#This Row],[City]])</f>
        <v>Chennai</v>
      </c>
      <c r="J501" t="s">
        <v>156</v>
      </c>
      <c r="K501" t="s">
        <v>47</v>
      </c>
      <c r="L501" t="s">
        <v>103</v>
      </c>
      <c r="M501" t="s">
        <v>312</v>
      </c>
      <c r="N501" t="s">
        <v>312</v>
      </c>
      <c r="O501">
        <v>1</v>
      </c>
      <c r="P501">
        <v>6680</v>
      </c>
      <c r="Q501">
        <v>0.2</v>
      </c>
      <c r="R501">
        <v>4230</v>
      </c>
      <c r="S501" t="s">
        <v>151</v>
      </c>
      <c r="T501" t="s">
        <v>30</v>
      </c>
      <c r="U501">
        <v>3</v>
      </c>
      <c r="V501" t="s">
        <v>40</v>
      </c>
      <c r="W501">
        <f>excelsalesdata[[#This Row],[Quantity]]*excelsalesdata[[#This Row],[Unit_Price]]</f>
        <v>6680</v>
      </c>
      <c r="X501">
        <f>excelsalesdata[[#This Row],[Gross_sales]]*excelsalesdata[[#This Row],[Discount_%]]</f>
        <v>1336</v>
      </c>
      <c r="Y501">
        <f>excelsalesdata[[#This Row],[Gross_sales]]-excelsalesdata[[#This Row],[Discount_amt]]</f>
        <v>5344</v>
      </c>
      <c r="Z501" s="4">
        <f>excelsalesdata[[#This Row],[Net_sales]]-excelsalesdata[[#This Row],[Cost]]</f>
        <v>1114</v>
      </c>
      <c r="AA501" s="5">
        <f>excelsalesdata[[#This Row],[Profit]]/excelsalesdata[[#This Row],[Net_sales]]</f>
        <v>0.20845808383233533</v>
      </c>
      <c r="AB501" s="4">
        <f>YEAR(excelsalesdata[[#This Row],[Order_Date]])</f>
        <v>2026</v>
      </c>
      <c r="AC501" s="4" t="str">
        <f>TEXT(excelsalesdata[[#This Row],[Order_Date]],"mmm")</f>
        <v>Aug</v>
      </c>
      <c r="AD501" s="4" t="str">
        <f>"Q"&amp;ROUNDUP(MONTH(excelsalesdata[[#This Row],[Order_Date]])/3,0)</f>
        <v>Q3</v>
      </c>
    </row>
    <row r="502" spans="1:30" x14ac:dyDescent="0.35">
      <c r="A502" t="s">
        <v>1124</v>
      </c>
      <c r="B502" s="3">
        <v>46260</v>
      </c>
      <c r="C502" t="s">
        <v>805</v>
      </c>
      <c r="D502" t="s">
        <v>420</v>
      </c>
      <c r="E502" t="str">
        <f>TRIM(excelsalesdata[[#This Row],[Customer_Name]])</f>
        <v>Vivaan Mehta</v>
      </c>
      <c r="F502" t="s">
        <v>23</v>
      </c>
      <c r="G502">
        <v>56</v>
      </c>
      <c r="H502" t="s">
        <v>24</v>
      </c>
      <c r="I502" t="str">
        <f>TRIM(excelsalesdata[[#This Row],[City]])</f>
        <v>Pune</v>
      </c>
      <c r="J502" t="s">
        <v>25</v>
      </c>
      <c r="K502" t="s">
        <v>26</v>
      </c>
      <c r="L502" t="s">
        <v>38</v>
      </c>
      <c r="M502" t="s">
        <v>39</v>
      </c>
      <c r="N502" t="s">
        <v>39</v>
      </c>
      <c r="O502">
        <v>1</v>
      </c>
      <c r="P502">
        <v>6870</v>
      </c>
      <c r="Q502">
        <v>0.2</v>
      </c>
      <c r="R502">
        <v>4100</v>
      </c>
      <c r="S502" t="s">
        <v>29</v>
      </c>
      <c r="T502" t="s">
        <v>30</v>
      </c>
      <c r="U502">
        <v>3</v>
      </c>
      <c r="V502" t="s">
        <v>40</v>
      </c>
      <c r="W502">
        <f>excelsalesdata[[#This Row],[Quantity]]*excelsalesdata[[#This Row],[Unit_Price]]</f>
        <v>6870</v>
      </c>
      <c r="X502">
        <f>excelsalesdata[[#This Row],[Gross_sales]]*excelsalesdata[[#This Row],[Discount_%]]</f>
        <v>1374</v>
      </c>
      <c r="Y502">
        <f>excelsalesdata[[#This Row],[Gross_sales]]-excelsalesdata[[#This Row],[Discount_amt]]</f>
        <v>5496</v>
      </c>
      <c r="Z502" s="4">
        <f>excelsalesdata[[#This Row],[Net_sales]]-excelsalesdata[[#This Row],[Cost]]</f>
        <v>1396</v>
      </c>
      <c r="AA502" s="5">
        <f>excelsalesdata[[#This Row],[Profit]]/excelsalesdata[[#This Row],[Net_sales]]</f>
        <v>0.25400291120815138</v>
      </c>
      <c r="AB502" s="4">
        <f>YEAR(excelsalesdata[[#This Row],[Order_Date]])</f>
        <v>2026</v>
      </c>
      <c r="AC502" s="4" t="str">
        <f>TEXT(excelsalesdata[[#This Row],[Order_Date]],"mmm")</f>
        <v>Aug</v>
      </c>
      <c r="AD502" s="4" t="str">
        <f>"Q"&amp;ROUNDUP(MONTH(excelsalesdata[[#This Row],[Order_Date]])/3,0)</f>
        <v>Q3</v>
      </c>
    </row>
    <row r="503" spans="1:30" x14ac:dyDescent="0.35">
      <c r="A503" t="s">
        <v>1125</v>
      </c>
      <c r="B503" s="3">
        <v>46261</v>
      </c>
      <c r="C503" t="s">
        <v>846</v>
      </c>
      <c r="D503" t="s">
        <v>258</v>
      </c>
      <c r="E503" t="str">
        <f>TRIM(excelsalesdata[[#This Row],[Customer_Name]])</f>
        <v>Sneha Sharma</v>
      </c>
      <c r="F503" t="s">
        <v>44</v>
      </c>
      <c r="G503">
        <v>56</v>
      </c>
      <c r="H503" t="s">
        <v>133</v>
      </c>
      <c r="I503" t="str">
        <f>TRIM(excelsalesdata[[#This Row],[City]])</f>
        <v>Jaipur</v>
      </c>
      <c r="J503" t="s">
        <v>134</v>
      </c>
      <c r="K503" t="s">
        <v>61</v>
      </c>
      <c r="L503" t="s">
        <v>54</v>
      </c>
      <c r="M503" t="s">
        <v>62</v>
      </c>
      <c r="N503" t="s">
        <v>62</v>
      </c>
      <c r="O503">
        <v>2</v>
      </c>
      <c r="P503">
        <v>23360</v>
      </c>
      <c r="Q503">
        <v>0.2</v>
      </c>
      <c r="R503">
        <v>15880</v>
      </c>
      <c r="S503" t="s">
        <v>29</v>
      </c>
      <c r="T503" t="s">
        <v>30</v>
      </c>
      <c r="U503">
        <v>5</v>
      </c>
      <c r="V503" t="s">
        <v>40</v>
      </c>
      <c r="W503">
        <f>excelsalesdata[[#This Row],[Quantity]]*excelsalesdata[[#This Row],[Unit_Price]]</f>
        <v>46720</v>
      </c>
      <c r="X503">
        <f>excelsalesdata[[#This Row],[Gross_sales]]*excelsalesdata[[#This Row],[Discount_%]]</f>
        <v>9344</v>
      </c>
      <c r="Y503">
        <f>excelsalesdata[[#This Row],[Gross_sales]]-excelsalesdata[[#This Row],[Discount_amt]]</f>
        <v>37376</v>
      </c>
      <c r="Z503" s="4">
        <f>excelsalesdata[[#This Row],[Net_sales]]-excelsalesdata[[#This Row],[Cost]]</f>
        <v>21496</v>
      </c>
      <c r="AA503" s="5">
        <f>excelsalesdata[[#This Row],[Profit]]/excelsalesdata[[#This Row],[Net_sales]]</f>
        <v>0.57512842465753422</v>
      </c>
      <c r="AB503" s="4">
        <f>YEAR(excelsalesdata[[#This Row],[Order_Date]])</f>
        <v>2026</v>
      </c>
      <c r="AC503" s="4" t="str">
        <f>TEXT(excelsalesdata[[#This Row],[Order_Date]],"mmm")</f>
        <v>Aug</v>
      </c>
      <c r="AD503" s="4" t="str">
        <f>"Q"&amp;ROUNDUP(MONTH(excelsalesdata[[#This Row],[Order_Date]])/3,0)</f>
        <v>Q3</v>
      </c>
    </row>
    <row r="504" spans="1:30" x14ac:dyDescent="0.35">
      <c r="A504" t="s">
        <v>1126</v>
      </c>
      <c r="B504" s="3">
        <v>46262</v>
      </c>
      <c r="C504" t="s">
        <v>1127</v>
      </c>
      <c r="D504" t="s">
        <v>355</v>
      </c>
      <c r="E504" t="str">
        <f>TRIM(excelsalesdata[[#This Row],[Customer_Name]])</f>
        <v>Diya Reddy</v>
      </c>
      <c r="F504" t="s">
        <v>23</v>
      </c>
      <c r="G504">
        <v>37</v>
      </c>
      <c r="H504" t="s">
        <v>60</v>
      </c>
      <c r="I504" t="str">
        <f>TRIM(excelsalesdata[[#This Row],[City]])</f>
        <v>Chandigarh</v>
      </c>
      <c r="J504" t="s">
        <v>60</v>
      </c>
      <c r="K504" t="s">
        <v>61</v>
      </c>
      <c r="L504" t="s">
        <v>54</v>
      </c>
      <c r="M504" t="s">
        <v>129</v>
      </c>
      <c r="N504" t="s">
        <v>129</v>
      </c>
      <c r="O504">
        <v>1</v>
      </c>
      <c r="P504">
        <v>17010</v>
      </c>
      <c r="Q504">
        <v>0.15</v>
      </c>
      <c r="R504">
        <v>12760</v>
      </c>
      <c r="S504" t="s">
        <v>29</v>
      </c>
      <c r="T504" t="s">
        <v>74</v>
      </c>
      <c r="U504">
        <v>3</v>
      </c>
      <c r="V504" t="s">
        <v>31</v>
      </c>
      <c r="W504">
        <f>excelsalesdata[[#This Row],[Quantity]]*excelsalesdata[[#This Row],[Unit_Price]]</f>
        <v>17010</v>
      </c>
      <c r="X504">
        <f>excelsalesdata[[#This Row],[Gross_sales]]*excelsalesdata[[#This Row],[Discount_%]]</f>
        <v>2551.5</v>
      </c>
      <c r="Y504">
        <f>excelsalesdata[[#This Row],[Gross_sales]]-excelsalesdata[[#This Row],[Discount_amt]]</f>
        <v>14458.5</v>
      </c>
      <c r="Z504" s="4">
        <f>excelsalesdata[[#This Row],[Net_sales]]-excelsalesdata[[#This Row],[Cost]]</f>
        <v>1698.5</v>
      </c>
      <c r="AA504" s="5">
        <f>excelsalesdata[[#This Row],[Profit]]/excelsalesdata[[#This Row],[Net_sales]]</f>
        <v>0.11747415015388872</v>
      </c>
      <c r="AB504" s="4">
        <f>YEAR(excelsalesdata[[#This Row],[Order_Date]])</f>
        <v>2026</v>
      </c>
      <c r="AC504" s="4" t="str">
        <f>TEXT(excelsalesdata[[#This Row],[Order_Date]],"mmm")</f>
        <v>Aug</v>
      </c>
      <c r="AD504" s="4" t="str">
        <f>"Q"&amp;ROUNDUP(MONTH(excelsalesdata[[#This Row],[Order_Date]])/3,0)</f>
        <v>Q3</v>
      </c>
    </row>
    <row r="505" spans="1:30" x14ac:dyDescent="0.35">
      <c r="A505" t="s">
        <v>1128</v>
      </c>
      <c r="B505" s="3">
        <v>46263</v>
      </c>
      <c r="C505" t="s">
        <v>1129</v>
      </c>
      <c r="D505" t="s">
        <v>144</v>
      </c>
      <c r="E505" t="str">
        <f>TRIM(excelsalesdata[[#This Row],[Customer_Name]])</f>
        <v>Karan Iyer</v>
      </c>
      <c r="F505" t="s">
        <v>23</v>
      </c>
      <c r="G505">
        <v>52</v>
      </c>
      <c r="H505" t="s">
        <v>133</v>
      </c>
      <c r="I505" t="str">
        <f>TRIM(excelsalesdata[[#This Row],[City]])</f>
        <v>Jaipur</v>
      </c>
      <c r="J505" t="s">
        <v>134</v>
      </c>
      <c r="K505" t="s">
        <v>61</v>
      </c>
      <c r="L505" t="s">
        <v>103</v>
      </c>
      <c r="M505" t="s">
        <v>312</v>
      </c>
      <c r="N505" t="s">
        <v>312</v>
      </c>
      <c r="O505">
        <v>5</v>
      </c>
      <c r="P505">
        <v>6690</v>
      </c>
      <c r="Q505">
        <v>0</v>
      </c>
      <c r="R505">
        <v>4410</v>
      </c>
      <c r="S505" t="s">
        <v>80</v>
      </c>
      <c r="T505" t="s">
        <v>30</v>
      </c>
      <c r="U505">
        <v>4</v>
      </c>
      <c r="V505" t="s">
        <v>40</v>
      </c>
      <c r="W505">
        <f>excelsalesdata[[#This Row],[Quantity]]*excelsalesdata[[#This Row],[Unit_Price]]</f>
        <v>33450</v>
      </c>
      <c r="X505">
        <f>excelsalesdata[[#This Row],[Gross_sales]]*excelsalesdata[[#This Row],[Discount_%]]</f>
        <v>0</v>
      </c>
      <c r="Y505">
        <f>excelsalesdata[[#This Row],[Gross_sales]]-excelsalesdata[[#This Row],[Discount_amt]]</f>
        <v>33450</v>
      </c>
      <c r="Z505" s="4">
        <f>excelsalesdata[[#This Row],[Net_sales]]-excelsalesdata[[#This Row],[Cost]]</f>
        <v>29040</v>
      </c>
      <c r="AA505" s="5">
        <f>excelsalesdata[[#This Row],[Profit]]/excelsalesdata[[#This Row],[Net_sales]]</f>
        <v>0.86816143497757847</v>
      </c>
      <c r="AB505" s="4">
        <f>YEAR(excelsalesdata[[#This Row],[Order_Date]])</f>
        <v>2026</v>
      </c>
      <c r="AC505" s="4" t="str">
        <f>TEXT(excelsalesdata[[#This Row],[Order_Date]],"mmm")</f>
        <v>Aug</v>
      </c>
      <c r="AD505" s="4" t="str">
        <f>"Q"&amp;ROUNDUP(MONTH(excelsalesdata[[#This Row],[Order_Date]])/3,0)</f>
        <v>Q3</v>
      </c>
    </row>
    <row r="506" spans="1:30" x14ac:dyDescent="0.35">
      <c r="A506" t="s">
        <v>1130</v>
      </c>
      <c r="B506" s="3">
        <v>46264</v>
      </c>
      <c r="C506" t="s">
        <v>1131</v>
      </c>
      <c r="D506" t="s">
        <v>423</v>
      </c>
      <c r="E506" t="str">
        <f>TRIM(excelsalesdata[[#This Row],[Customer_Name]])</f>
        <v>Kavya Kumar</v>
      </c>
      <c r="F506" t="s">
        <v>44</v>
      </c>
      <c r="G506">
        <v>42</v>
      </c>
      <c r="H506" t="s">
        <v>185</v>
      </c>
      <c r="I506" t="str">
        <f>TRIM(excelsalesdata[[#This Row],[City]])</f>
        <v>Lucknow</v>
      </c>
      <c r="J506" t="s">
        <v>186</v>
      </c>
      <c r="K506" t="s">
        <v>61</v>
      </c>
      <c r="L506" t="s">
        <v>103</v>
      </c>
      <c r="M506" t="s">
        <v>312</v>
      </c>
      <c r="N506" t="s">
        <v>312</v>
      </c>
      <c r="O506">
        <v>5</v>
      </c>
      <c r="P506">
        <v>6280</v>
      </c>
      <c r="Q506">
        <v>0.05</v>
      </c>
      <c r="R506">
        <v>4060</v>
      </c>
      <c r="S506" t="s">
        <v>29</v>
      </c>
      <c r="T506" t="s">
        <v>30</v>
      </c>
      <c r="U506">
        <v>5</v>
      </c>
      <c r="V506" t="s">
        <v>40</v>
      </c>
      <c r="W506">
        <f>excelsalesdata[[#This Row],[Quantity]]*excelsalesdata[[#This Row],[Unit_Price]]</f>
        <v>31400</v>
      </c>
      <c r="X506">
        <f>excelsalesdata[[#This Row],[Gross_sales]]*excelsalesdata[[#This Row],[Discount_%]]</f>
        <v>1570</v>
      </c>
      <c r="Y506">
        <f>excelsalesdata[[#This Row],[Gross_sales]]-excelsalesdata[[#This Row],[Discount_amt]]</f>
        <v>29830</v>
      </c>
      <c r="Z506" s="4">
        <f>excelsalesdata[[#This Row],[Net_sales]]-excelsalesdata[[#This Row],[Cost]]</f>
        <v>25770</v>
      </c>
      <c r="AA506" s="5">
        <f>excelsalesdata[[#This Row],[Profit]]/excelsalesdata[[#This Row],[Net_sales]]</f>
        <v>0.86389540730807912</v>
      </c>
      <c r="AB506" s="4">
        <f>YEAR(excelsalesdata[[#This Row],[Order_Date]])</f>
        <v>2026</v>
      </c>
      <c r="AC506" s="4" t="str">
        <f>TEXT(excelsalesdata[[#This Row],[Order_Date]],"mmm")</f>
        <v>Aug</v>
      </c>
      <c r="AD506" s="4" t="str">
        <f>"Q"&amp;ROUNDUP(MONTH(excelsalesdata[[#This Row],[Order_Date]])/3,0)</f>
        <v>Q3</v>
      </c>
    </row>
    <row r="507" spans="1:30" x14ac:dyDescent="0.35">
      <c r="A507" t="s">
        <v>1132</v>
      </c>
      <c r="B507" s="3">
        <v>46265</v>
      </c>
      <c r="C507" t="s">
        <v>761</v>
      </c>
      <c r="D507" t="s">
        <v>806</v>
      </c>
      <c r="E507" t="str">
        <f>TRIM(excelsalesdata[[#This Row],[Customer_Name]])</f>
        <v>Karan Patel</v>
      </c>
      <c r="F507" t="s">
        <v>44</v>
      </c>
      <c r="G507">
        <v>32</v>
      </c>
      <c r="H507" t="s">
        <v>190</v>
      </c>
      <c r="I507" t="str">
        <f>TRIM(excelsalesdata[[#This Row],[City]])</f>
        <v>Ahmedabad</v>
      </c>
      <c r="J507" t="s">
        <v>191</v>
      </c>
      <c r="K507" t="s">
        <v>26</v>
      </c>
      <c r="L507" t="s">
        <v>38</v>
      </c>
      <c r="M507" t="s">
        <v>255</v>
      </c>
      <c r="N507" t="s">
        <v>255</v>
      </c>
      <c r="O507">
        <v>3</v>
      </c>
      <c r="P507">
        <v>4600</v>
      </c>
      <c r="Q507">
        <v>0.05</v>
      </c>
      <c r="R507">
        <v>2880</v>
      </c>
      <c r="S507" t="s">
        <v>29</v>
      </c>
      <c r="T507" t="s">
        <v>30</v>
      </c>
      <c r="U507">
        <v>3</v>
      </c>
      <c r="V507" t="s">
        <v>31</v>
      </c>
      <c r="W507">
        <f>excelsalesdata[[#This Row],[Quantity]]*excelsalesdata[[#This Row],[Unit_Price]]</f>
        <v>13800</v>
      </c>
      <c r="X507">
        <f>excelsalesdata[[#This Row],[Gross_sales]]*excelsalesdata[[#This Row],[Discount_%]]</f>
        <v>690</v>
      </c>
      <c r="Y507">
        <f>excelsalesdata[[#This Row],[Gross_sales]]-excelsalesdata[[#This Row],[Discount_amt]]</f>
        <v>13110</v>
      </c>
      <c r="Z507" s="4">
        <f>excelsalesdata[[#This Row],[Net_sales]]-excelsalesdata[[#This Row],[Cost]]</f>
        <v>10230</v>
      </c>
      <c r="AA507" s="5">
        <f>excelsalesdata[[#This Row],[Profit]]/excelsalesdata[[#This Row],[Net_sales]]</f>
        <v>0.78032036613272315</v>
      </c>
      <c r="AB507" s="4">
        <f>YEAR(excelsalesdata[[#This Row],[Order_Date]])</f>
        <v>2026</v>
      </c>
      <c r="AC507" s="4" t="str">
        <f>TEXT(excelsalesdata[[#This Row],[Order_Date]],"mmm")</f>
        <v>Aug</v>
      </c>
      <c r="AD507" s="4" t="str">
        <f>"Q"&amp;ROUNDUP(MONTH(excelsalesdata[[#This Row],[Order_Date]])/3,0)</f>
        <v>Q3</v>
      </c>
    </row>
    <row r="508" spans="1:30" x14ac:dyDescent="0.35">
      <c r="A508" t="s">
        <v>1133</v>
      </c>
      <c r="B508" s="3">
        <v>46266</v>
      </c>
      <c r="C508" t="s">
        <v>805</v>
      </c>
      <c r="D508" t="s">
        <v>208</v>
      </c>
      <c r="E508" t="str">
        <f>TRIM(excelsalesdata[[#This Row],[Customer_Name]])</f>
        <v>Aarav Singh</v>
      </c>
      <c r="F508" t="s">
        <v>44</v>
      </c>
      <c r="G508">
        <v>38</v>
      </c>
      <c r="H508" t="s">
        <v>52</v>
      </c>
      <c r="I508" t="str">
        <f>TRIM(excelsalesdata[[#This Row],[City]])</f>
        <v>Bengaluru</v>
      </c>
      <c r="J508" t="s">
        <v>53</v>
      </c>
      <c r="K508" t="s">
        <v>47</v>
      </c>
      <c r="L508" t="s">
        <v>27</v>
      </c>
      <c r="M508" t="s">
        <v>295</v>
      </c>
      <c r="N508" t="s">
        <v>295</v>
      </c>
      <c r="O508">
        <v>2</v>
      </c>
      <c r="P508">
        <v>4450</v>
      </c>
      <c r="Q508">
        <v>0.25</v>
      </c>
      <c r="R508">
        <v>2680</v>
      </c>
      <c r="S508" t="s">
        <v>67</v>
      </c>
      <c r="T508" t="s">
        <v>30</v>
      </c>
      <c r="U508">
        <v>5</v>
      </c>
      <c r="V508" t="s">
        <v>40</v>
      </c>
      <c r="W508">
        <f>excelsalesdata[[#This Row],[Quantity]]*excelsalesdata[[#This Row],[Unit_Price]]</f>
        <v>8900</v>
      </c>
      <c r="X508">
        <f>excelsalesdata[[#This Row],[Gross_sales]]*excelsalesdata[[#This Row],[Discount_%]]</f>
        <v>2225</v>
      </c>
      <c r="Y508">
        <f>excelsalesdata[[#This Row],[Gross_sales]]-excelsalesdata[[#This Row],[Discount_amt]]</f>
        <v>6675</v>
      </c>
      <c r="Z508" s="4">
        <f>excelsalesdata[[#This Row],[Net_sales]]-excelsalesdata[[#This Row],[Cost]]</f>
        <v>3995</v>
      </c>
      <c r="AA508" s="5">
        <f>excelsalesdata[[#This Row],[Profit]]/excelsalesdata[[#This Row],[Net_sales]]</f>
        <v>0.59850187265917598</v>
      </c>
      <c r="AB508" s="4">
        <f>YEAR(excelsalesdata[[#This Row],[Order_Date]])</f>
        <v>2026</v>
      </c>
      <c r="AC508" s="4" t="str">
        <f>TEXT(excelsalesdata[[#This Row],[Order_Date]],"mmm")</f>
        <v>Sep</v>
      </c>
      <c r="AD508" s="4" t="str">
        <f>"Q"&amp;ROUNDUP(MONTH(excelsalesdata[[#This Row],[Order_Date]])/3,0)</f>
        <v>Q3</v>
      </c>
    </row>
    <row r="509" spans="1:30" x14ac:dyDescent="0.35">
      <c r="A509" t="s">
        <v>1134</v>
      </c>
      <c r="B509" s="3">
        <v>46267</v>
      </c>
      <c r="C509" t="s">
        <v>737</v>
      </c>
      <c r="D509" t="s">
        <v>270</v>
      </c>
      <c r="E509" t="str">
        <f>TRIM(excelsalesdata[[#This Row],[Customer_Name]])</f>
        <v>Ananya Das</v>
      </c>
      <c r="F509" t="s">
        <v>44</v>
      </c>
      <c r="G509">
        <v>45</v>
      </c>
      <c r="H509" t="s">
        <v>78</v>
      </c>
      <c r="I509" t="str">
        <f>TRIM(excelsalesdata[[#This Row],[City]])</f>
        <v>Guwahati</v>
      </c>
      <c r="J509" t="s">
        <v>79</v>
      </c>
      <c r="K509" t="s">
        <v>37</v>
      </c>
      <c r="L509" t="s">
        <v>85</v>
      </c>
      <c r="M509" t="s">
        <v>86</v>
      </c>
      <c r="N509" t="s">
        <v>86</v>
      </c>
      <c r="O509">
        <v>1</v>
      </c>
      <c r="P509">
        <v>2510</v>
      </c>
      <c r="Q509">
        <v>0</v>
      </c>
      <c r="R509">
        <v>1440</v>
      </c>
      <c r="S509" t="s">
        <v>29</v>
      </c>
      <c r="T509" t="s">
        <v>30</v>
      </c>
      <c r="U509">
        <v>3</v>
      </c>
      <c r="V509" t="s">
        <v>31</v>
      </c>
      <c r="W509">
        <f>excelsalesdata[[#This Row],[Quantity]]*excelsalesdata[[#This Row],[Unit_Price]]</f>
        <v>2510</v>
      </c>
      <c r="X509">
        <f>excelsalesdata[[#This Row],[Gross_sales]]*excelsalesdata[[#This Row],[Discount_%]]</f>
        <v>0</v>
      </c>
      <c r="Y509">
        <f>excelsalesdata[[#This Row],[Gross_sales]]-excelsalesdata[[#This Row],[Discount_amt]]</f>
        <v>2510</v>
      </c>
      <c r="Z509" s="4">
        <f>excelsalesdata[[#This Row],[Net_sales]]-excelsalesdata[[#This Row],[Cost]]</f>
        <v>1070</v>
      </c>
      <c r="AA509" s="5">
        <f>excelsalesdata[[#This Row],[Profit]]/excelsalesdata[[#This Row],[Net_sales]]</f>
        <v>0.42629482071713148</v>
      </c>
      <c r="AB509" s="4">
        <f>YEAR(excelsalesdata[[#This Row],[Order_Date]])</f>
        <v>2026</v>
      </c>
      <c r="AC509" s="4" t="str">
        <f>TEXT(excelsalesdata[[#This Row],[Order_Date]],"mmm")</f>
        <v>Sep</v>
      </c>
      <c r="AD509" s="4" t="str">
        <f>"Q"&amp;ROUNDUP(MONTH(excelsalesdata[[#This Row],[Order_Date]])/3,0)</f>
        <v>Q3</v>
      </c>
    </row>
    <row r="510" spans="1:30" x14ac:dyDescent="0.35">
      <c r="A510" t="s">
        <v>1135</v>
      </c>
      <c r="B510" s="3">
        <v>46268</v>
      </c>
      <c r="C510" t="s">
        <v>1001</v>
      </c>
      <c r="D510" t="s">
        <v>302</v>
      </c>
      <c r="E510" t="str">
        <f>TRIM(excelsalesdata[[#This Row],[Customer_Name]])</f>
        <v>Diya Patel</v>
      </c>
      <c r="F510" t="s">
        <v>23</v>
      </c>
      <c r="G510">
        <v>30</v>
      </c>
      <c r="H510" t="s">
        <v>185</v>
      </c>
      <c r="I510" t="str">
        <f>TRIM(excelsalesdata[[#This Row],[City]])</f>
        <v>Lucknow</v>
      </c>
      <c r="J510" t="s">
        <v>186</v>
      </c>
      <c r="K510" t="s">
        <v>61</v>
      </c>
      <c r="L510" t="s">
        <v>54</v>
      </c>
      <c r="M510" t="s">
        <v>129</v>
      </c>
      <c r="N510" t="s">
        <v>129</v>
      </c>
      <c r="O510">
        <v>2</v>
      </c>
      <c r="P510">
        <v>18890</v>
      </c>
      <c r="Q510">
        <v>0.1</v>
      </c>
      <c r="R510">
        <v>11940</v>
      </c>
      <c r="S510" t="s">
        <v>80</v>
      </c>
      <c r="T510" t="s">
        <v>81</v>
      </c>
      <c r="U510">
        <v>0</v>
      </c>
      <c r="V510" t="s">
        <v>31</v>
      </c>
      <c r="W510">
        <f>excelsalesdata[[#This Row],[Quantity]]*excelsalesdata[[#This Row],[Unit_Price]]</f>
        <v>37780</v>
      </c>
      <c r="X510">
        <f>excelsalesdata[[#This Row],[Gross_sales]]*excelsalesdata[[#This Row],[Discount_%]]</f>
        <v>3778</v>
      </c>
      <c r="Y510">
        <f>excelsalesdata[[#This Row],[Gross_sales]]-excelsalesdata[[#This Row],[Discount_amt]]</f>
        <v>34002</v>
      </c>
      <c r="Z510" s="4">
        <f>excelsalesdata[[#This Row],[Net_sales]]-excelsalesdata[[#This Row],[Cost]]</f>
        <v>22062</v>
      </c>
      <c r="AA510" s="5">
        <f>excelsalesdata[[#This Row],[Profit]]/excelsalesdata[[#This Row],[Net_sales]]</f>
        <v>0.6488441856361391</v>
      </c>
      <c r="AB510" s="4">
        <f>YEAR(excelsalesdata[[#This Row],[Order_Date]])</f>
        <v>2026</v>
      </c>
      <c r="AC510" s="4" t="str">
        <f>TEXT(excelsalesdata[[#This Row],[Order_Date]],"mmm")</f>
        <v>Sep</v>
      </c>
      <c r="AD510" s="4" t="str">
        <f>"Q"&amp;ROUNDUP(MONTH(excelsalesdata[[#This Row],[Order_Date]])/3,0)</f>
        <v>Q3</v>
      </c>
    </row>
    <row r="511" spans="1:30" x14ac:dyDescent="0.35">
      <c r="A511" t="s">
        <v>1136</v>
      </c>
      <c r="B511" s="3">
        <v>46269</v>
      </c>
      <c r="C511" t="s">
        <v>1137</v>
      </c>
      <c r="D511" t="s">
        <v>642</v>
      </c>
      <c r="E511" t="str">
        <f>TRIM(excelsalesdata[[#This Row],[Customer_Name]])</f>
        <v>Kavya Singh</v>
      </c>
      <c r="F511" t="s">
        <v>23</v>
      </c>
      <c r="G511">
        <v>47</v>
      </c>
      <c r="H511" t="s">
        <v>98</v>
      </c>
      <c r="I511" t="str">
        <f>TRIM(excelsalesdata[[#This Row],[City]])</f>
        <v>Mumbai</v>
      </c>
      <c r="J511" t="s">
        <v>25</v>
      </c>
      <c r="K511" t="s">
        <v>26</v>
      </c>
      <c r="L511" t="s">
        <v>54</v>
      </c>
      <c r="M511" t="s">
        <v>157</v>
      </c>
      <c r="N511" t="s">
        <v>157</v>
      </c>
      <c r="O511">
        <v>1</v>
      </c>
      <c r="P511">
        <v>55150</v>
      </c>
      <c r="Q511">
        <v>0</v>
      </c>
      <c r="R511">
        <v>43940</v>
      </c>
      <c r="S511" t="s">
        <v>29</v>
      </c>
      <c r="T511" t="s">
        <v>74</v>
      </c>
      <c r="U511">
        <v>3</v>
      </c>
      <c r="V511" t="s">
        <v>31</v>
      </c>
      <c r="W511">
        <f>excelsalesdata[[#This Row],[Quantity]]*excelsalesdata[[#This Row],[Unit_Price]]</f>
        <v>55150</v>
      </c>
      <c r="X511">
        <f>excelsalesdata[[#This Row],[Gross_sales]]*excelsalesdata[[#This Row],[Discount_%]]</f>
        <v>0</v>
      </c>
      <c r="Y511">
        <f>excelsalesdata[[#This Row],[Gross_sales]]-excelsalesdata[[#This Row],[Discount_amt]]</f>
        <v>55150</v>
      </c>
      <c r="Z511" s="4">
        <f>excelsalesdata[[#This Row],[Net_sales]]-excelsalesdata[[#This Row],[Cost]]</f>
        <v>11210</v>
      </c>
      <c r="AA511" s="5">
        <f>excelsalesdata[[#This Row],[Profit]]/excelsalesdata[[#This Row],[Net_sales]]</f>
        <v>0.20326382592928377</v>
      </c>
      <c r="AB511" s="4">
        <f>YEAR(excelsalesdata[[#This Row],[Order_Date]])</f>
        <v>2026</v>
      </c>
      <c r="AC511" s="4" t="str">
        <f>TEXT(excelsalesdata[[#This Row],[Order_Date]],"mmm")</f>
        <v>Sep</v>
      </c>
      <c r="AD511" s="4" t="str">
        <f>"Q"&amp;ROUNDUP(MONTH(excelsalesdata[[#This Row],[Order_Date]])/3,0)</f>
        <v>Q3</v>
      </c>
    </row>
    <row r="512" spans="1:30" x14ac:dyDescent="0.35">
      <c r="A512" t="s">
        <v>1138</v>
      </c>
      <c r="B512" s="3">
        <v>46270</v>
      </c>
      <c r="C512" t="s">
        <v>1139</v>
      </c>
      <c r="D512" t="s">
        <v>84</v>
      </c>
      <c r="E512" t="str">
        <f>TRIM(excelsalesdata[[#This Row],[Customer_Name]])</f>
        <v>Arjun Verma</v>
      </c>
      <c r="F512" t="s">
        <v>44</v>
      </c>
      <c r="G512">
        <v>55</v>
      </c>
      <c r="H512" t="s">
        <v>185</v>
      </c>
      <c r="I512" t="str">
        <f>TRIM(excelsalesdata[[#This Row],[City]])</f>
        <v>Lucknow</v>
      </c>
      <c r="J512" t="s">
        <v>186</v>
      </c>
      <c r="K512" t="s">
        <v>61</v>
      </c>
      <c r="L512" t="s">
        <v>93</v>
      </c>
      <c r="M512" t="s">
        <v>94</v>
      </c>
      <c r="N512" t="s">
        <v>94</v>
      </c>
      <c r="O512">
        <v>4</v>
      </c>
      <c r="P512">
        <v>530</v>
      </c>
      <c r="Q512">
        <v>0.05</v>
      </c>
      <c r="R512">
        <v>220</v>
      </c>
      <c r="S512" t="s">
        <v>29</v>
      </c>
      <c r="T512" t="s">
        <v>81</v>
      </c>
      <c r="U512">
        <v>0</v>
      </c>
      <c r="V512" t="s">
        <v>31</v>
      </c>
      <c r="W512">
        <f>excelsalesdata[[#This Row],[Quantity]]*excelsalesdata[[#This Row],[Unit_Price]]</f>
        <v>2120</v>
      </c>
      <c r="X512">
        <f>excelsalesdata[[#This Row],[Gross_sales]]*excelsalesdata[[#This Row],[Discount_%]]</f>
        <v>106</v>
      </c>
      <c r="Y512">
        <f>excelsalesdata[[#This Row],[Gross_sales]]-excelsalesdata[[#This Row],[Discount_amt]]</f>
        <v>2014</v>
      </c>
      <c r="Z512" s="4">
        <f>excelsalesdata[[#This Row],[Net_sales]]-excelsalesdata[[#This Row],[Cost]]</f>
        <v>1794</v>
      </c>
      <c r="AA512" s="5">
        <f>excelsalesdata[[#This Row],[Profit]]/excelsalesdata[[#This Row],[Net_sales]]</f>
        <v>0.89076464746772588</v>
      </c>
      <c r="AB512" s="4">
        <f>YEAR(excelsalesdata[[#This Row],[Order_Date]])</f>
        <v>2026</v>
      </c>
      <c r="AC512" s="4" t="str">
        <f>TEXT(excelsalesdata[[#This Row],[Order_Date]],"mmm")</f>
        <v>Sep</v>
      </c>
      <c r="AD512" s="4" t="str">
        <f>"Q"&amp;ROUNDUP(MONTH(excelsalesdata[[#This Row],[Order_Date]])/3,0)</f>
        <v>Q3</v>
      </c>
    </row>
    <row r="513" spans="1:30" x14ac:dyDescent="0.35">
      <c r="A513" t="s">
        <v>1140</v>
      </c>
      <c r="B513" s="3">
        <v>46271</v>
      </c>
      <c r="C513" t="s">
        <v>1141</v>
      </c>
      <c r="D513" t="s">
        <v>972</v>
      </c>
      <c r="E513" t="str">
        <f>TRIM(excelsalesdata[[#This Row],[Customer_Name]])</f>
        <v>Ananya Reddy</v>
      </c>
      <c r="F513" t="s">
        <v>23</v>
      </c>
      <c r="G513">
        <v>31</v>
      </c>
      <c r="H513" t="s">
        <v>155</v>
      </c>
      <c r="I513" t="str">
        <f>TRIM(excelsalesdata[[#This Row],[City]])</f>
        <v>Chennai</v>
      </c>
      <c r="J513" t="s">
        <v>156</v>
      </c>
      <c r="K513" t="s">
        <v>47</v>
      </c>
      <c r="L513" t="s">
        <v>54</v>
      </c>
      <c r="M513" t="s">
        <v>129</v>
      </c>
      <c r="N513" t="s">
        <v>129</v>
      </c>
      <c r="O513">
        <v>2</v>
      </c>
      <c r="P513">
        <v>18300</v>
      </c>
      <c r="Q513">
        <v>0</v>
      </c>
      <c r="R513">
        <v>12510</v>
      </c>
      <c r="S513" t="s">
        <v>151</v>
      </c>
      <c r="T513" t="s">
        <v>99</v>
      </c>
      <c r="U513">
        <v>4</v>
      </c>
      <c r="V513" t="s">
        <v>40</v>
      </c>
      <c r="W513">
        <f>excelsalesdata[[#This Row],[Quantity]]*excelsalesdata[[#This Row],[Unit_Price]]</f>
        <v>36600</v>
      </c>
      <c r="X513">
        <f>excelsalesdata[[#This Row],[Gross_sales]]*excelsalesdata[[#This Row],[Discount_%]]</f>
        <v>0</v>
      </c>
      <c r="Y513">
        <f>excelsalesdata[[#This Row],[Gross_sales]]-excelsalesdata[[#This Row],[Discount_amt]]</f>
        <v>36600</v>
      </c>
      <c r="Z513" s="4">
        <f>excelsalesdata[[#This Row],[Net_sales]]-excelsalesdata[[#This Row],[Cost]]</f>
        <v>24090</v>
      </c>
      <c r="AA513" s="5">
        <f>excelsalesdata[[#This Row],[Profit]]/excelsalesdata[[#This Row],[Net_sales]]</f>
        <v>0.65819672131147544</v>
      </c>
      <c r="AB513" s="4">
        <f>YEAR(excelsalesdata[[#This Row],[Order_Date]])</f>
        <v>2026</v>
      </c>
      <c r="AC513" s="4" t="str">
        <f>TEXT(excelsalesdata[[#This Row],[Order_Date]],"mmm")</f>
        <v>Sep</v>
      </c>
      <c r="AD513" s="4" t="str">
        <f>"Q"&amp;ROUNDUP(MONTH(excelsalesdata[[#This Row],[Order_Date]])/3,0)</f>
        <v>Q3</v>
      </c>
    </row>
    <row r="514" spans="1:30" x14ac:dyDescent="0.35">
      <c r="A514" t="s">
        <v>1142</v>
      </c>
      <c r="B514" s="3">
        <v>46272</v>
      </c>
      <c r="C514" t="s">
        <v>616</v>
      </c>
      <c r="D514" t="s">
        <v>954</v>
      </c>
      <c r="E514" t="str">
        <f>TRIM(excelsalesdata[[#This Row],[Customer_Name]])</f>
        <v>Ishita Nair</v>
      </c>
      <c r="F514" t="s">
        <v>23</v>
      </c>
      <c r="G514">
        <v>59</v>
      </c>
      <c r="H514" t="s">
        <v>133</v>
      </c>
      <c r="I514" t="str">
        <f>TRIM(excelsalesdata[[#This Row],[City]])</f>
        <v>Jaipur</v>
      </c>
      <c r="J514" t="s">
        <v>134</v>
      </c>
      <c r="K514" t="s">
        <v>61</v>
      </c>
      <c r="L514" t="s">
        <v>54</v>
      </c>
      <c r="M514" t="s">
        <v>62</v>
      </c>
      <c r="N514" t="s">
        <v>62</v>
      </c>
      <c r="O514">
        <v>1</v>
      </c>
      <c r="P514">
        <v>21320</v>
      </c>
      <c r="Q514">
        <v>0</v>
      </c>
      <c r="R514">
        <v>15130</v>
      </c>
      <c r="S514" t="s">
        <v>80</v>
      </c>
      <c r="T514" t="s">
        <v>30</v>
      </c>
      <c r="U514">
        <v>3</v>
      </c>
      <c r="V514" t="s">
        <v>40</v>
      </c>
      <c r="W514">
        <f>excelsalesdata[[#This Row],[Quantity]]*excelsalesdata[[#This Row],[Unit_Price]]</f>
        <v>21320</v>
      </c>
      <c r="X514">
        <f>excelsalesdata[[#This Row],[Gross_sales]]*excelsalesdata[[#This Row],[Discount_%]]</f>
        <v>0</v>
      </c>
      <c r="Y514">
        <f>excelsalesdata[[#This Row],[Gross_sales]]-excelsalesdata[[#This Row],[Discount_amt]]</f>
        <v>21320</v>
      </c>
      <c r="Z514" s="4">
        <f>excelsalesdata[[#This Row],[Net_sales]]-excelsalesdata[[#This Row],[Cost]]</f>
        <v>6190</v>
      </c>
      <c r="AA514" s="5">
        <f>excelsalesdata[[#This Row],[Profit]]/excelsalesdata[[#This Row],[Net_sales]]</f>
        <v>0.29033771106941841</v>
      </c>
      <c r="AB514" s="4">
        <f>YEAR(excelsalesdata[[#This Row],[Order_Date]])</f>
        <v>2026</v>
      </c>
      <c r="AC514" s="4" t="str">
        <f>TEXT(excelsalesdata[[#This Row],[Order_Date]],"mmm")</f>
        <v>Sep</v>
      </c>
      <c r="AD514" s="4" t="str">
        <f>"Q"&amp;ROUNDUP(MONTH(excelsalesdata[[#This Row],[Order_Date]])/3,0)</f>
        <v>Q3</v>
      </c>
    </row>
    <row r="515" spans="1:30" x14ac:dyDescent="0.35">
      <c r="A515" t="s">
        <v>1143</v>
      </c>
      <c r="B515" s="3">
        <v>46273</v>
      </c>
      <c r="C515" t="s">
        <v>1144</v>
      </c>
      <c r="D515" t="s">
        <v>276</v>
      </c>
      <c r="E515" t="str">
        <f>TRIM(excelsalesdata[[#This Row],[Customer_Name]])</f>
        <v>Aarav Bhat</v>
      </c>
      <c r="F515" t="s">
        <v>44</v>
      </c>
      <c r="G515">
        <v>55</v>
      </c>
      <c r="H515" t="s">
        <v>98</v>
      </c>
      <c r="I515" t="str">
        <f>TRIM(excelsalesdata[[#This Row],[City]])</f>
        <v>Mumbai</v>
      </c>
      <c r="J515" t="s">
        <v>25</v>
      </c>
      <c r="K515" t="s">
        <v>26</v>
      </c>
      <c r="L515" t="s">
        <v>103</v>
      </c>
      <c r="M515" t="s">
        <v>104</v>
      </c>
      <c r="N515" t="s">
        <v>104</v>
      </c>
      <c r="O515">
        <v>1</v>
      </c>
      <c r="P515">
        <v>7830</v>
      </c>
      <c r="Q515">
        <v>0</v>
      </c>
      <c r="R515">
        <v>5620</v>
      </c>
      <c r="S515" t="s">
        <v>67</v>
      </c>
      <c r="T515" t="s">
        <v>30</v>
      </c>
      <c r="U515">
        <v>7</v>
      </c>
      <c r="V515" t="s">
        <v>31</v>
      </c>
      <c r="W515">
        <f>excelsalesdata[[#This Row],[Quantity]]*excelsalesdata[[#This Row],[Unit_Price]]</f>
        <v>7830</v>
      </c>
      <c r="X515">
        <f>excelsalesdata[[#This Row],[Gross_sales]]*excelsalesdata[[#This Row],[Discount_%]]</f>
        <v>0</v>
      </c>
      <c r="Y515">
        <f>excelsalesdata[[#This Row],[Gross_sales]]-excelsalesdata[[#This Row],[Discount_amt]]</f>
        <v>7830</v>
      </c>
      <c r="Z515" s="4">
        <f>excelsalesdata[[#This Row],[Net_sales]]-excelsalesdata[[#This Row],[Cost]]</f>
        <v>2210</v>
      </c>
      <c r="AA515" s="5">
        <f>excelsalesdata[[#This Row],[Profit]]/excelsalesdata[[#This Row],[Net_sales]]</f>
        <v>0.28224776500638571</v>
      </c>
      <c r="AB515" s="4">
        <f>YEAR(excelsalesdata[[#This Row],[Order_Date]])</f>
        <v>2026</v>
      </c>
      <c r="AC515" s="4" t="str">
        <f>TEXT(excelsalesdata[[#This Row],[Order_Date]],"mmm")</f>
        <v>Sep</v>
      </c>
      <c r="AD515" s="4" t="str">
        <f>"Q"&amp;ROUNDUP(MONTH(excelsalesdata[[#This Row],[Order_Date]])/3,0)</f>
        <v>Q3</v>
      </c>
    </row>
    <row r="516" spans="1:30" x14ac:dyDescent="0.35">
      <c r="A516" t="s">
        <v>1145</v>
      </c>
      <c r="B516" s="3">
        <v>46274</v>
      </c>
      <c r="C516" t="s">
        <v>1146</v>
      </c>
      <c r="D516" t="s">
        <v>344</v>
      </c>
      <c r="E516" t="str">
        <f>TRIM(excelsalesdata[[#This Row],[Customer_Name]])</f>
        <v>Meera Verma</v>
      </c>
      <c r="F516" t="s">
        <v>44</v>
      </c>
      <c r="G516">
        <v>28</v>
      </c>
      <c r="H516" t="s">
        <v>35</v>
      </c>
      <c r="I516" t="str">
        <f>TRIM(excelsalesdata[[#This Row],[City]])</f>
        <v>Kolkata</v>
      </c>
      <c r="J516" t="s">
        <v>36</v>
      </c>
      <c r="K516" t="s">
        <v>37</v>
      </c>
      <c r="L516" t="s">
        <v>27</v>
      </c>
      <c r="M516" t="s">
        <v>123</v>
      </c>
      <c r="N516" t="s">
        <v>123</v>
      </c>
      <c r="O516">
        <v>4</v>
      </c>
      <c r="P516">
        <v>2750</v>
      </c>
      <c r="Q516">
        <v>0.1</v>
      </c>
      <c r="R516">
        <v>1660</v>
      </c>
      <c r="S516" t="s">
        <v>151</v>
      </c>
      <c r="T516" t="s">
        <v>30</v>
      </c>
      <c r="U516">
        <v>3</v>
      </c>
      <c r="V516" t="s">
        <v>40</v>
      </c>
      <c r="W516">
        <f>excelsalesdata[[#This Row],[Quantity]]*excelsalesdata[[#This Row],[Unit_Price]]</f>
        <v>11000</v>
      </c>
      <c r="X516">
        <f>excelsalesdata[[#This Row],[Gross_sales]]*excelsalesdata[[#This Row],[Discount_%]]</f>
        <v>1100</v>
      </c>
      <c r="Y516">
        <f>excelsalesdata[[#This Row],[Gross_sales]]-excelsalesdata[[#This Row],[Discount_amt]]</f>
        <v>9900</v>
      </c>
      <c r="Z516" s="4">
        <f>excelsalesdata[[#This Row],[Net_sales]]-excelsalesdata[[#This Row],[Cost]]</f>
        <v>8240</v>
      </c>
      <c r="AA516" s="5">
        <f>excelsalesdata[[#This Row],[Profit]]/excelsalesdata[[#This Row],[Net_sales]]</f>
        <v>0.83232323232323235</v>
      </c>
      <c r="AB516" s="4">
        <f>YEAR(excelsalesdata[[#This Row],[Order_Date]])</f>
        <v>2026</v>
      </c>
      <c r="AC516" s="4" t="str">
        <f>TEXT(excelsalesdata[[#This Row],[Order_Date]],"mmm")</f>
        <v>Sep</v>
      </c>
      <c r="AD516" s="4" t="str">
        <f>"Q"&amp;ROUNDUP(MONTH(excelsalesdata[[#This Row],[Order_Date]])/3,0)</f>
        <v>Q3</v>
      </c>
    </row>
    <row r="517" spans="1:30" x14ac:dyDescent="0.35">
      <c r="A517" t="s">
        <v>1147</v>
      </c>
      <c r="B517" s="3">
        <v>46275</v>
      </c>
      <c r="C517" t="s">
        <v>1148</v>
      </c>
      <c r="D517" t="s">
        <v>490</v>
      </c>
      <c r="E517" t="str">
        <f>TRIM(excelsalesdata[[#This Row],[Customer_Name]])</f>
        <v>Aditya Singh</v>
      </c>
      <c r="F517" t="s">
        <v>44</v>
      </c>
      <c r="G517">
        <v>45</v>
      </c>
      <c r="H517" t="s">
        <v>190</v>
      </c>
      <c r="I517" t="str">
        <f>TRIM(excelsalesdata[[#This Row],[City]])</f>
        <v>Ahmedabad</v>
      </c>
      <c r="J517" t="s">
        <v>191</v>
      </c>
      <c r="K517" t="s">
        <v>26</v>
      </c>
      <c r="L517" t="s">
        <v>93</v>
      </c>
      <c r="M517" t="s">
        <v>94</v>
      </c>
      <c r="N517" t="s">
        <v>94</v>
      </c>
      <c r="O517">
        <v>3</v>
      </c>
      <c r="P517">
        <v>490</v>
      </c>
      <c r="Q517">
        <v>0.05</v>
      </c>
      <c r="R517">
        <v>240</v>
      </c>
      <c r="S517" t="s">
        <v>80</v>
      </c>
      <c r="T517" t="s">
        <v>81</v>
      </c>
      <c r="U517">
        <v>0</v>
      </c>
      <c r="V517" t="s">
        <v>40</v>
      </c>
      <c r="W517">
        <f>excelsalesdata[[#This Row],[Quantity]]*excelsalesdata[[#This Row],[Unit_Price]]</f>
        <v>1470</v>
      </c>
      <c r="X517">
        <f>excelsalesdata[[#This Row],[Gross_sales]]*excelsalesdata[[#This Row],[Discount_%]]</f>
        <v>73.5</v>
      </c>
      <c r="Y517">
        <f>excelsalesdata[[#This Row],[Gross_sales]]-excelsalesdata[[#This Row],[Discount_amt]]</f>
        <v>1396.5</v>
      </c>
      <c r="Z517" s="4">
        <f>excelsalesdata[[#This Row],[Net_sales]]-excelsalesdata[[#This Row],[Cost]]</f>
        <v>1156.5</v>
      </c>
      <c r="AA517" s="5">
        <f>excelsalesdata[[#This Row],[Profit]]/excelsalesdata[[#This Row],[Net_sales]]</f>
        <v>0.8281417830290011</v>
      </c>
      <c r="AB517" s="4">
        <f>YEAR(excelsalesdata[[#This Row],[Order_Date]])</f>
        <v>2026</v>
      </c>
      <c r="AC517" s="4" t="str">
        <f>TEXT(excelsalesdata[[#This Row],[Order_Date]],"mmm")</f>
        <v>Sep</v>
      </c>
      <c r="AD517" s="4" t="str">
        <f>"Q"&amp;ROUNDUP(MONTH(excelsalesdata[[#This Row],[Order_Date]])/3,0)</f>
        <v>Q3</v>
      </c>
    </row>
    <row r="518" spans="1:30" x14ac:dyDescent="0.35">
      <c r="A518" t="s">
        <v>1149</v>
      </c>
      <c r="B518" s="3">
        <v>46276</v>
      </c>
      <c r="C518" t="s">
        <v>728</v>
      </c>
      <c r="D518" t="s">
        <v>534</v>
      </c>
      <c r="E518" t="str">
        <f>TRIM(excelsalesdata[[#This Row],[Customer_Name]])</f>
        <v>Ananya Kumar</v>
      </c>
      <c r="F518" t="s">
        <v>44</v>
      </c>
      <c r="G518">
        <v>28</v>
      </c>
      <c r="H518" t="s">
        <v>155</v>
      </c>
      <c r="I518" t="str">
        <f>TRIM(excelsalesdata[[#This Row],[City]])</f>
        <v>Chennai</v>
      </c>
      <c r="J518" t="s">
        <v>156</v>
      </c>
      <c r="K518" t="s">
        <v>47</v>
      </c>
      <c r="L518" t="s">
        <v>38</v>
      </c>
      <c r="M518" t="s">
        <v>73</v>
      </c>
      <c r="N518" t="s">
        <v>73</v>
      </c>
      <c r="O518">
        <v>2</v>
      </c>
      <c r="P518">
        <v>4680</v>
      </c>
      <c r="Q518">
        <v>0.2</v>
      </c>
      <c r="R518">
        <v>3320</v>
      </c>
      <c r="S518" t="s">
        <v>29</v>
      </c>
      <c r="T518" t="s">
        <v>74</v>
      </c>
      <c r="U518">
        <v>6</v>
      </c>
      <c r="V518" t="s">
        <v>40</v>
      </c>
      <c r="W518">
        <f>excelsalesdata[[#This Row],[Quantity]]*excelsalesdata[[#This Row],[Unit_Price]]</f>
        <v>9360</v>
      </c>
      <c r="X518">
        <f>excelsalesdata[[#This Row],[Gross_sales]]*excelsalesdata[[#This Row],[Discount_%]]</f>
        <v>1872</v>
      </c>
      <c r="Y518">
        <f>excelsalesdata[[#This Row],[Gross_sales]]-excelsalesdata[[#This Row],[Discount_amt]]</f>
        <v>7488</v>
      </c>
      <c r="Z518" s="4">
        <f>excelsalesdata[[#This Row],[Net_sales]]-excelsalesdata[[#This Row],[Cost]]</f>
        <v>4168</v>
      </c>
      <c r="AA518" s="5">
        <f>excelsalesdata[[#This Row],[Profit]]/excelsalesdata[[#This Row],[Net_sales]]</f>
        <v>0.55662393162393164</v>
      </c>
      <c r="AB518" s="4">
        <f>YEAR(excelsalesdata[[#This Row],[Order_Date]])</f>
        <v>2026</v>
      </c>
      <c r="AC518" s="4" t="str">
        <f>TEXT(excelsalesdata[[#This Row],[Order_Date]],"mmm")</f>
        <v>Sep</v>
      </c>
      <c r="AD518" s="4" t="str">
        <f>"Q"&amp;ROUNDUP(MONTH(excelsalesdata[[#This Row],[Order_Date]])/3,0)</f>
        <v>Q3</v>
      </c>
    </row>
    <row r="519" spans="1:30" x14ac:dyDescent="0.35">
      <c r="A519" t="s">
        <v>1150</v>
      </c>
      <c r="B519" s="3">
        <v>46277</v>
      </c>
      <c r="C519" t="s">
        <v>1151</v>
      </c>
      <c r="D519" t="s">
        <v>980</v>
      </c>
      <c r="E519" t="str">
        <f>TRIM(excelsalesdata[[#This Row],[Customer_Name]])</f>
        <v>Sneha Das</v>
      </c>
      <c r="F519" t="s">
        <v>23</v>
      </c>
      <c r="G519">
        <v>30</v>
      </c>
      <c r="H519" t="s">
        <v>168</v>
      </c>
      <c r="I519" t="str">
        <f>TRIM(excelsalesdata[[#This Row],[City]])</f>
        <v>Delhi</v>
      </c>
      <c r="J519" t="s">
        <v>168</v>
      </c>
      <c r="K519" t="s">
        <v>61</v>
      </c>
      <c r="L519" t="s">
        <v>38</v>
      </c>
      <c r="M519" t="s">
        <v>255</v>
      </c>
      <c r="N519" t="s">
        <v>255</v>
      </c>
      <c r="O519">
        <v>2</v>
      </c>
      <c r="P519">
        <v>4250</v>
      </c>
      <c r="Q519">
        <v>0</v>
      </c>
      <c r="R519">
        <v>2880</v>
      </c>
      <c r="S519" t="s">
        <v>29</v>
      </c>
      <c r="T519" t="s">
        <v>30</v>
      </c>
      <c r="U519">
        <v>3</v>
      </c>
      <c r="V519" t="s">
        <v>31</v>
      </c>
      <c r="W519">
        <f>excelsalesdata[[#This Row],[Quantity]]*excelsalesdata[[#This Row],[Unit_Price]]</f>
        <v>8500</v>
      </c>
      <c r="X519">
        <f>excelsalesdata[[#This Row],[Gross_sales]]*excelsalesdata[[#This Row],[Discount_%]]</f>
        <v>0</v>
      </c>
      <c r="Y519">
        <f>excelsalesdata[[#This Row],[Gross_sales]]-excelsalesdata[[#This Row],[Discount_amt]]</f>
        <v>8500</v>
      </c>
      <c r="Z519" s="4">
        <f>excelsalesdata[[#This Row],[Net_sales]]-excelsalesdata[[#This Row],[Cost]]</f>
        <v>5620</v>
      </c>
      <c r="AA519" s="5">
        <f>excelsalesdata[[#This Row],[Profit]]/excelsalesdata[[#This Row],[Net_sales]]</f>
        <v>0.66117647058823525</v>
      </c>
      <c r="AB519" s="4">
        <f>YEAR(excelsalesdata[[#This Row],[Order_Date]])</f>
        <v>2026</v>
      </c>
      <c r="AC519" s="4" t="str">
        <f>TEXT(excelsalesdata[[#This Row],[Order_Date]],"mmm")</f>
        <v>Sep</v>
      </c>
      <c r="AD519" s="4" t="str">
        <f>"Q"&amp;ROUNDUP(MONTH(excelsalesdata[[#This Row],[Order_Date]])/3,0)</f>
        <v>Q3</v>
      </c>
    </row>
    <row r="520" spans="1:30" x14ac:dyDescent="0.35">
      <c r="A520" t="s">
        <v>1152</v>
      </c>
      <c r="B520" s="3">
        <v>46278</v>
      </c>
      <c r="C520" t="s">
        <v>1153</v>
      </c>
      <c r="D520" t="s">
        <v>184</v>
      </c>
      <c r="E520" t="str">
        <f>TRIM(excelsalesdata[[#This Row],[Customer_Name]])</f>
        <v>Aditya Verma</v>
      </c>
      <c r="F520" t="s">
        <v>23</v>
      </c>
      <c r="G520">
        <v>31</v>
      </c>
      <c r="H520" t="s">
        <v>35</v>
      </c>
      <c r="I520" t="str">
        <f>TRIM(excelsalesdata[[#This Row],[City]])</f>
        <v>Kolkata</v>
      </c>
      <c r="J520" t="s">
        <v>36</v>
      </c>
      <c r="K520" t="s">
        <v>37</v>
      </c>
      <c r="L520" t="s">
        <v>54</v>
      </c>
      <c r="M520" t="s">
        <v>129</v>
      </c>
      <c r="N520" t="s">
        <v>129</v>
      </c>
      <c r="O520">
        <v>3</v>
      </c>
      <c r="P520">
        <v>16950</v>
      </c>
      <c r="Q520">
        <v>0.05</v>
      </c>
      <c r="R520">
        <v>12980</v>
      </c>
      <c r="S520" t="s">
        <v>29</v>
      </c>
      <c r="T520" t="s">
        <v>30</v>
      </c>
      <c r="U520">
        <v>3</v>
      </c>
      <c r="V520" t="s">
        <v>31</v>
      </c>
      <c r="W520">
        <f>excelsalesdata[[#This Row],[Quantity]]*excelsalesdata[[#This Row],[Unit_Price]]</f>
        <v>50850</v>
      </c>
      <c r="X520">
        <f>excelsalesdata[[#This Row],[Gross_sales]]*excelsalesdata[[#This Row],[Discount_%]]</f>
        <v>2542.5</v>
      </c>
      <c r="Y520">
        <f>excelsalesdata[[#This Row],[Gross_sales]]-excelsalesdata[[#This Row],[Discount_amt]]</f>
        <v>48307.5</v>
      </c>
      <c r="Z520" s="4">
        <f>excelsalesdata[[#This Row],[Net_sales]]-excelsalesdata[[#This Row],[Cost]]</f>
        <v>35327.5</v>
      </c>
      <c r="AA520" s="5">
        <f>excelsalesdata[[#This Row],[Profit]]/excelsalesdata[[#This Row],[Net_sales]]</f>
        <v>0.73130466283703355</v>
      </c>
      <c r="AB520" s="4">
        <f>YEAR(excelsalesdata[[#This Row],[Order_Date]])</f>
        <v>2026</v>
      </c>
      <c r="AC520" s="4" t="str">
        <f>TEXT(excelsalesdata[[#This Row],[Order_Date]],"mmm")</f>
        <v>Sep</v>
      </c>
      <c r="AD520" s="4" t="str">
        <f>"Q"&amp;ROUNDUP(MONTH(excelsalesdata[[#This Row],[Order_Date]])/3,0)</f>
        <v>Q3</v>
      </c>
    </row>
    <row r="521" spans="1:30" x14ac:dyDescent="0.35">
      <c r="A521" t="s">
        <v>1154</v>
      </c>
      <c r="B521" s="3">
        <v>46279</v>
      </c>
      <c r="C521" t="s">
        <v>42</v>
      </c>
      <c r="D521" t="s">
        <v>1157</v>
      </c>
      <c r="E521" t="str">
        <f>TRIM(excelsalesdata[[#This Row],[Customer_Name]])</f>
        <v>Kavya Shah</v>
      </c>
      <c r="F521" t="s">
        <v>23</v>
      </c>
      <c r="G521">
        <v>33</v>
      </c>
      <c r="H521" t="s">
        <v>71</v>
      </c>
      <c r="I521" t="str">
        <f>TRIM(excelsalesdata[[#This Row],[City]])</f>
        <v>Bhubaneswar</v>
      </c>
      <c r="J521" t="s">
        <v>72</v>
      </c>
      <c r="K521" t="s">
        <v>37</v>
      </c>
      <c r="L521" t="s">
        <v>27</v>
      </c>
      <c r="M521" t="s">
        <v>123</v>
      </c>
      <c r="N521" t="s">
        <v>123</v>
      </c>
      <c r="O521">
        <v>1</v>
      </c>
      <c r="P521">
        <v>2740</v>
      </c>
      <c r="Q521">
        <v>0.1</v>
      </c>
      <c r="R521">
        <v>1570</v>
      </c>
      <c r="S521" t="s">
        <v>56</v>
      </c>
      <c r="T521" t="s">
        <v>81</v>
      </c>
      <c r="U521">
        <v>0</v>
      </c>
      <c r="V521" t="s">
        <v>40</v>
      </c>
      <c r="W521">
        <f>excelsalesdata[[#This Row],[Quantity]]*excelsalesdata[[#This Row],[Unit_Price]]</f>
        <v>2740</v>
      </c>
      <c r="X521">
        <f>excelsalesdata[[#This Row],[Gross_sales]]*excelsalesdata[[#This Row],[Discount_%]]</f>
        <v>274</v>
      </c>
      <c r="Y521">
        <f>excelsalesdata[[#This Row],[Gross_sales]]-excelsalesdata[[#This Row],[Discount_amt]]</f>
        <v>2466</v>
      </c>
      <c r="Z521" s="4">
        <f>excelsalesdata[[#This Row],[Net_sales]]-excelsalesdata[[#This Row],[Cost]]</f>
        <v>896</v>
      </c>
      <c r="AA521" s="5">
        <f>excelsalesdata[[#This Row],[Profit]]/excelsalesdata[[#This Row],[Net_sales]]</f>
        <v>0.36334144363341442</v>
      </c>
      <c r="AB521" s="4">
        <f>YEAR(excelsalesdata[[#This Row],[Order_Date]])</f>
        <v>2026</v>
      </c>
      <c r="AC521" s="4" t="str">
        <f>TEXT(excelsalesdata[[#This Row],[Order_Date]],"mmm")</f>
        <v>Sep</v>
      </c>
      <c r="AD521" s="4" t="str">
        <f>"Q"&amp;ROUNDUP(MONTH(excelsalesdata[[#This Row],[Order_Date]])/3,0)</f>
        <v>Q3</v>
      </c>
    </row>
    <row r="522" spans="1:30" x14ac:dyDescent="0.35">
      <c r="A522" t="s">
        <v>1155</v>
      </c>
      <c r="B522" s="3">
        <v>46280</v>
      </c>
      <c r="C522" t="s">
        <v>1156</v>
      </c>
      <c r="D522" t="s">
        <v>1159</v>
      </c>
      <c r="E522" t="str">
        <f>TRIM(excelsalesdata[[#This Row],[Customer_Name]])</f>
        <v>Aditya Patel</v>
      </c>
      <c r="F522" t="s">
        <v>44</v>
      </c>
      <c r="G522">
        <v>32</v>
      </c>
      <c r="H522" t="s">
        <v>24</v>
      </c>
      <c r="I522" t="str">
        <f>TRIM(excelsalesdata[[#This Row],[City]])</f>
        <v>Pune</v>
      </c>
      <c r="J522" t="s">
        <v>25</v>
      </c>
      <c r="K522" t="s">
        <v>26</v>
      </c>
      <c r="L522" t="s">
        <v>54</v>
      </c>
      <c r="M522" t="s">
        <v>157</v>
      </c>
      <c r="N522" t="s">
        <v>157</v>
      </c>
      <c r="O522">
        <v>2</v>
      </c>
      <c r="P522">
        <v>51130</v>
      </c>
      <c r="Q522">
        <v>0.1</v>
      </c>
      <c r="R522">
        <v>42200</v>
      </c>
      <c r="S522" t="s">
        <v>80</v>
      </c>
      <c r="T522" t="s">
        <v>30</v>
      </c>
      <c r="U522">
        <v>5</v>
      </c>
      <c r="V522" t="s">
        <v>40</v>
      </c>
      <c r="W522">
        <f>excelsalesdata[[#This Row],[Quantity]]*excelsalesdata[[#This Row],[Unit_Price]]</f>
        <v>102260</v>
      </c>
      <c r="X522">
        <f>excelsalesdata[[#This Row],[Gross_sales]]*excelsalesdata[[#This Row],[Discount_%]]</f>
        <v>10226</v>
      </c>
      <c r="Y522">
        <f>excelsalesdata[[#This Row],[Gross_sales]]-excelsalesdata[[#This Row],[Discount_amt]]</f>
        <v>92034</v>
      </c>
      <c r="Z522" s="4">
        <f>excelsalesdata[[#This Row],[Net_sales]]-excelsalesdata[[#This Row],[Cost]]</f>
        <v>49834</v>
      </c>
      <c r="AA522" s="5">
        <f>excelsalesdata[[#This Row],[Profit]]/excelsalesdata[[#This Row],[Net_sales]]</f>
        <v>0.54147380315970184</v>
      </c>
      <c r="AB522" s="4">
        <f>YEAR(excelsalesdata[[#This Row],[Order_Date]])</f>
        <v>2026</v>
      </c>
      <c r="AC522" s="4" t="str">
        <f>TEXT(excelsalesdata[[#This Row],[Order_Date]],"mmm")</f>
        <v>Sep</v>
      </c>
      <c r="AD522" s="4" t="str">
        <f>"Q"&amp;ROUNDUP(MONTH(excelsalesdata[[#This Row],[Order_Date]])/3,0)</f>
        <v>Q3</v>
      </c>
    </row>
    <row r="523" spans="1:30" x14ac:dyDescent="0.35">
      <c r="A523" t="s">
        <v>1158</v>
      </c>
      <c r="B523" s="3">
        <v>46281</v>
      </c>
      <c r="C523" t="s">
        <v>911</v>
      </c>
      <c r="D523" t="s">
        <v>1092</v>
      </c>
      <c r="E523" t="str">
        <f>TRIM(excelsalesdata[[#This Row],[Customer_Name]])</f>
        <v>Rahul Shah</v>
      </c>
      <c r="F523" t="s">
        <v>44</v>
      </c>
      <c r="G523">
        <v>50</v>
      </c>
      <c r="H523" t="s">
        <v>190</v>
      </c>
      <c r="I523" t="str">
        <f>TRIM(excelsalesdata[[#This Row],[City]])</f>
        <v>Ahmedabad</v>
      </c>
      <c r="J523" t="s">
        <v>191</v>
      </c>
      <c r="K523" t="s">
        <v>26</v>
      </c>
      <c r="L523" t="s">
        <v>38</v>
      </c>
      <c r="M523" t="s">
        <v>39</v>
      </c>
      <c r="N523" t="s">
        <v>39</v>
      </c>
      <c r="O523">
        <v>3</v>
      </c>
      <c r="P523">
        <v>6300</v>
      </c>
      <c r="Q523">
        <v>0.1</v>
      </c>
      <c r="R523">
        <v>4190</v>
      </c>
      <c r="S523" t="s">
        <v>29</v>
      </c>
      <c r="T523" t="s">
        <v>30</v>
      </c>
      <c r="U523">
        <v>7</v>
      </c>
      <c r="V523" t="s">
        <v>31</v>
      </c>
      <c r="W523">
        <f>excelsalesdata[[#This Row],[Quantity]]*excelsalesdata[[#This Row],[Unit_Price]]</f>
        <v>18900</v>
      </c>
      <c r="X523">
        <f>excelsalesdata[[#This Row],[Gross_sales]]*excelsalesdata[[#This Row],[Discount_%]]</f>
        <v>1890</v>
      </c>
      <c r="Y523">
        <f>excelsalesdata[[#This Row],[Gross_sales]]-excelsalesdata[[#This Row],[Discount_amt]]</f>
        <v>17010</v>
      </c>
      <c r="Z523" s="4">
        <f>excelsalesdata[[#This Row],[Net_sales]]-excelsalesdata[[#This Row],[Cost]]</f>
        <v>12820</v>
      </c>
      <c r="AA523" s="5">
        <f>excelsalesdata[[#This Row],[Profit]]/excelsalesdata[[#This Row],[Net_sales]]</f>
        <v>0.75367430922986478</v>
      </c>
      <c r="AB523" s="4">
        <f>YEAR(excelsalesdata[[#This Row],[Order_Date]])</f>
        <v>2026</v>
      </c>
      <c r="AC523" s="4" t="str">
        <f>TEXT(excelsalesdata[[#This Row],[Order_Date]],"mmm")</f>
        <v>Sep</v>
      </c>
      <c r="AD523" s="4" t="str">
        <f>"Q"&amp;ROUNDUP(MONTH(excelsalesdata[[#This Row],[Order_Date]])/3,0)</f>
        <v>Q3</v>
      </c>
    </row>
    <row r="524" spans="1:30" x14ac:dyDescent="0.35">
      <c r="A524" t="s">
        <v>1160</v>
      </c>
      <c r="B524" s="3">
        <v>46282</v>
      </c>
      <c r="C524" t="s">
        <v>1161</v>
      </c>
      <c r="D524" t="s">
        <v>713</v>
      </c>
      <c r="E524" t="str">
        <f>TRIM(excelsalesdata[[#This Row],[Customer_Name]])</f>
        <v>Meera Singh</v>
      </c>
      <c r="F524" t="s">
        <v>23</v>
      </c>
      <c r="G524">
        <v>58</v>
      </c>
      <c r="H524" t="s">
        <v>109</v>
      </c>
      <c r="I524" t="str">
        <f>TRIM(excelsalesdata[[#This Row],[City]])</f>
        <v>Mysuru</v>
      </c>
      <c r="J524" t="s">
        <v>53</v>
      </c>
      <c r="K524" t="s">
        <v>47</v>
      </c>
      <c r="L524" t="s">
        <v>85</v>
      </c>
      <c r="M524" t="s">
        <v>251</v>
      </c>
      <c r="N524" t="s">
        <v>251</v>
      </c>
      <c r="O524">
        <v>3</v>
      </c>
      <c r="P524">
        <v>3070</v>
      </c>
      <c r="Q524">
        <v>0.15</v>
      </c>
      <c r="R524">
        <v>1880</v>
      </c>
      <c r="S524" t="s">
        <v>80</v>
      </c>
      <c r="T524" t="s">
        <v>30</v>
      </c>
      <c r="U524">
        <v>3</v>
      </c>
      <c r="V524" t="s">
        <v>40</v>
      </c>
      <c r="W524">
        <f>excelsalesdata[[#This Row],[Quantity]]*excelsalesdata[[#This Row],[Unit_Price]]</f>
        <v>9210</v>
      </c>
      <c r="X524">
        <f>excelsalesdata[[#This Row],[Gross_sales]]*excelsalesdata[[#This Row],[Discount_%]]</f>
        <v>1381.5</v>
      </c>
      <c r="Y524">
        <f>excelsalesdata[[#This Row],[Gross_sales]]-excelsalesdata[[#This Row],[Discount_amt]]</f>
        <v>7828.5</v>
      </c>
      <c r="Z524" s="4">
        <f>excelsalesdata[[#This Row],[Net_sales]]-excelsalesdata[[#This Row],[Cost]]</f>
        <v>5948.5</v>
      </c>
      <c r="AA524" s="5">
        <f>excelsalesdata[[#This Row],[Profit]]/excelsalesdata[[#This Row],[Net_sales]]</f>
        <v>0.75985182346554259</v>
      </c>
      <c r="AB524" s="4">
        <f>YEAR(excelsalesdata[[#This Row],[Order_Date]])</f>
        <v>2026</v>
      </c>
      <c r="AC524" s="4" t="str">
        <f>TEXT(excelsalesdata[[#This Row],[Order_Date]],"mmm")</f>
        <v>Sep</v>
      </c>
      <c r="AD524" s="4" t="str">
        <f>"Q"&amp;ROUNDUP(MONTH(excelsalesdata[[#This Row],[Order_Date]])/3,0)</f>
        <v>Q3</v>
      </c>
    </row>
    <row r="525" spans="1:30" x14ac:dyDescent="0.35">
      <c r="A525" t="s">
        <v>1162</v>
      </c>
      <c r="B525" s="3">
        <v>46283</v>
      </c>
      <c r="C525" t="s">
        <v>1163</v>
      </c>
      <c r="D525" t="s">
        <v>241</v>
      </c>
      <c r="E525" t="str">
        <f>TRIM(excelsalesdata[[#This Row],[Customer_Name]])</f>
        <v>Rahul Kumar</v>
      </c>
      <c r="F525" t="s">
        <v>44</v>
      </c>
      <c r="G525">
        <v>47</v>
      </c>
      <c r="H525" t="s">
        <v>155</v>
      </c>
      <c r="I525" t="str">
        <f>TRIM(excelsalesdata[[#This Row],[City]])</f>
        <v>Chennai</v>
      </c>
      <c r="J525" t="s">
        <v>156</v>
      </c>
      <c r="K525" t="s">
        <v>47</v>
      </c>
      <c r="L525" t="s">
        <v>54</v>
      </c>
      <c r="M525" t="s">
        <v>129</v>
      </c>
      <c r="N525" t="s">
        <v>129</v>
      </c>
      <c r="O525">
        <v>3</v>
      </c>
      <c r="P525">
        <v>17370</v>
      </c>
      <c r="Q525">
        <v>0.05</v>
      </c>
      <c r="R525">
        <v>12510</v>
      </c>
      <c r="S525" t="s">
        <v>67</v>
      </c>
      <c r="T525" t="s">
        <v>30</v>
      </c>
      <c r="U525">
        <v>1</v>
      </c>
      <c r="V525" t="s">
        <v>31</v>
      </c>
      <c r="W525">
        <f>excelsalesdata[[#This Row],[Quantity]]*excelsalesdata[[#This Row],[Unit_Price]]</f>
        <v>52110</v>
      </c>
      <c r="X525">
        <f>excelsalesdata[[#This Row],[Gross_sales]]*excelsalesdata[[#This Row],[Discount_%]]</f>
        <v>2605.5</v>
      </c>
      <c r="Y525">
        <f>excelsalesdata[[#This Row],[Gross_sales]]-excelsalesdata[[#This Row],[Discount_amt]]</f>
        <v>49504.5</v>
      </c>
      <c r="Z525" s="4">
        <f>excelsalesdata[[#This Row],[Net_sales]]-excelsalesdata[[#This Row],[Cost]]</f>
        <v>36994.5</v>
      </c>
      <c r="AA525" s="5">
        <f>excelsalesdata[[#This Row],[Profit]]/excelsalesdata[[#This Row],[Net_sales]]</f>
        <v>0.74729570039087356</v>
      </c>
      <c r="AB525" s="4">
        <f>YEAR(excelsalesdata[[#This Row],[Order_Date]])</f>
        <v>2026</v>
      </c>
      <c r="AC525" s="4" t="str">
        <f>TEXT(excelsalesdata[[#This Row],[Order_Date]],"mmm")</f>
        <v>Sep</v>
      </c>
      <c r="AD525" s="4" t="str">
        <f>"Q"&amp;ROUNDUP(MONTH(excelsalesdata[[#This Row],[Order_Date]])/3,0)</f>
        <v>Q3</v>
      </c>
    </row>
    <row r="526" spans="1:30" x14ac:dyDescent="0.35">
      <c r="A526" t="s">
        <v>1164</v>
      </c>
      <c r="B526" s="3">
        <v>46284</v>
      </c>
      <c r="C526" t="s">
        <v>789</v>
      </c>
      <c r="D526" t="s">
        <v>485</v>
      </c>
      <c r="E526" t="str">
        <f>TRIM(excelsalesdata[[#This Row],[Customer_Name]])</f>
        <v>Ishita Mehta</v>
      </c>
      <c r="F526" t="s">
        <v>23</v>
      </c>
      <c r="G526">
        <v>26</v>
      </c>
      <c r="H526" t="s">
        <v>35</v>
      </c>
      <c r="I526" t="str">
        <f>TRIM(excelsalesdata[[#This Row],[City]])</f>
        <v>Kolkata</v>
      </c>
      <c r="J526" t="s">
        <v>36</v>
      </c>
      <c r="K526" t="s">
        <v>37</v>
      </c>
      <c r="L526" t="s">
        <v>27</v>
      </c>
      <c r="M526" t="s">
        <v>123</v>
      </c>
      <c r="N526" t="s">
        <v>123</v>
      </c>
      <c r="O526">
        <v>1</v>
      </c>
      <c r="P526">
        <v>2900</v>
      </c>
      <c r="Q526">
        <v>0.15</v>
      </c>
      <c r="R526">
        <v>1520</v>
      </c>
      <c r="S526" t="s">
        <v>29</v>
      </c>
      <c r="T526" t="s">
        <v>30</v>
      </c>
      <c r="U526">
        <v>2</v>
      </c>
      <c r="V526" t="s">
        <v>40</v>
      </c>
      <c r="W526">
        <f>excelsalesdata[[#This Row],[Quantity]]*excelsalesdata[[#This Row],[Unit_Price]]</f>
        <v>2900</v>
      </c>
      <c r="X526">
        <f>excelsalesdata[[#This Row],[Gross_sales]]*excelsalesdata[[#This Row],[Discount_%]]</f>
        <v>435</v>
      </c>
      <c r="Y526">
        <f>excelsalesdata[[#This Row],[Gross_sales]]-excelsalesdata[[#This Row],[Discount_amt]]</f>
        <v>2465</v>
      </c>
      <c r="Z526" s="4">
        <f>excelsalesdata[[#This Row],[Net_sales]]-excelsalesdata[[#This Row],[Cost]]</f>
        <v>945</v>
      </c>
      <c r="AA526" s="5">
        <f>excelsalesdata[[#This Row],[Profit]]/excelsalesdata[[#This Row],[Net_sales]]</f>
        <v>0.38336713995943206</v>
      </c>
      <c r="AB526" s="4">
        <f>YEAR(excelsalesdata[[#This Row],[Order_Date]])</f>
        <v>2026</v>
      </c>
      <c r="AC526" s="4" t="str">
        <f>TEXT(excelsalesdata[[#This Row],[Order_Date]],"mmm")</f>
        <v>Sep</v>
      </c>
      <c r="AD526" s="4" t="str">
        <f>"Q"&amp;ROUNDUP(MONTH(excelsalesdata[[#This Row],[Order_Date]])/3,0)</f>
        <v>Q3</v>
      </c>
    </row>
    <row r="527" spans="1:30" x14ac:dyDescent="0.35">
      <c r="A527" t="s">
        <v>1165</v>
      </c>
      <c r="B527" s="3">
        <v>46285</v>
      </c>
      <c r="C527" t="s">
        <v>405</v>
      </c>
      <c r="D527" t="s">
        <v>463</v>
      </c>
      <c r="E527" t="str">
        <f>TRIM(excelsalesdata[[#This Row],[Customer_Name]])</f>
        <v>Kavya Sharma</v>
      </c>
      <c r="F527" t="s">
        <v>23</v>
      </c>
      <c r="G527">
        <v>47</v>
      </c>
      <c r="H527" t="s">
        <v>60</v>
      </c>
      <c r="I527" t="str">
        <f>TRIM(excelsalesdata[[#This Row],[City]])</f>
        <v>Chandigarh</v>
      </c>
      <c r="J527" t="s">
        <v>60</v>
      </c>
      <c r="K527" t="s">
        <v>61</v>
      </c>
      <c r="L527" t="s">
        <v>54</v>
      </c>
      <c r="M527" t="s">
        <v>55</v>
      </c>
      <c r="N527" t="s">
        <v>55</v>
      </c>
      <c r="O527">
        <v>1</v>
      </c>
      <c r="P527">
        <v>7100</v>
      </c>
      <c r="Q527">
        <v>0.1</v>
      </c>
      <c r="R527">
        <v>4280</v>
      </c>
      <c r="S527" t="s">
        <v>67</v>
      </c>
      <c r="T527" t="s">
        <v>30</v>
      </c>
      <c r="U527">
        <v>4</v>
      </c>
      <c r="V527" t="s">
        <v>31</v>
      </c>
      <c r="W527">
        <f>excelsalesdata[[#This Row],[Quantity]]*excelsalesdata[[#This Row],[Unit_Price]]</f>
        <v>7100</v>
      </c>
      <c r="X527">
        <f>excelsalesdata[[#This Row],[Gross_sales]]*excelsalesdata[[#This Row],[Discount_%]]</f>
        <v>710</v>
      </c>
      <c r="Y527">
        <f>excelsalesdata[[#This Row],[Gross_sales]]-excelsalesdata[[#This Row],[Discount_amt]]</f>
        <v>6390</v>
      </c>
      <c r="Z527" s="4">
        <f>excelsalesdata[[#This Row],[Net_sales]]-excelsalesdata[[#This Row],[Cost]]</f>
        <v>2110</v>
      </c>
      <c r="AA527" s="5">
        <f>excelsalesdata[[#This Row],[Profit]]/excelsalesdata[[#This Row],[Net_sales]]</f>
        <v>0.33020344287949921</v>
      </c>
      <c r="AB527" s="4">
        <f>YEAR(excelsalesdata[[#This Row],[Order_Date]])</f>
        <v>2026</v>
      </c>
      <c r="AC527" s="4" t="str">
        <f>TEXT(excelsalesdata[[#This Row],[Order_Date]],"mmm")</f>
        <v>Sep</v>
      </c>
      <c r="AD527" s="4" t="str">
        <f>"Q"&amp;ROUNDUP(MONTH(excelsalesdata[[#This Row],[Order_Date]])/3,0)</f>
        <v>Q3</v>
      </c>
    </row>
    <row r="528" spans="1:30" x14ac:dyDescent="0.35">
      <c r="A528" t="s">
        <v>1166</v>
      </c>
      <c r="B528" s="3">
        <v>46286</v>
      </c>
      <c r="C528" t="s">
        <v>917</v>
      </c>
      <c r="D528" t="s">
        <v>495</v>
      </c>
      <c r="E528" t="str">
        <f>TRIM(excelsalesdata[[#This Row],[Customer_Name]])</f>
        <v>Meera Das</v>
      </c>
      <c r="F528" t="s">
        <v>44</v>
      </c>
      <c r="G528">
        <v>25</v>
      </c>
      <c r="H528" t="s">
        <v>45</v>
      </c>
      <c r="I528" t="str">
        <f>TRIM(excelsalesdata[[#This Row],[City]])</f>
        <v>Kochi</v>
      </c>
      <c r="J528" t="s">
        <v>46</v>
      </c>
      <c r="K528" t="s">
        <v>47</v>
      </c>
      <c r="L528" t="s">
        <v>27</v>
      </c>
      <c r="M528" t="s">
        <v>28</v>
      </c>
      <c r="N528" t="s">
        <v>28</v>
      </c>
      <c r="O528">
        <v>2</v>
      </c>
      <c r="P528">
        <v>3370</v>
      </c>
      <c r="Q528">
        <v>0.1</v>
      </c>
      <c r="R528">
        <v>2180</v>
      </c>
      <c r="S528" t="s">
        <v>80</v>
      </c>
      <c r="T528" t="s">
        <v>30</v>
      </c>
      <c r="U528">
        <v>3</v>
      </c>
      <c r="V528" t="s">
        <v>40</v>
      </c>
      <c r="W528">
        <f>excelsalesdata[[#This Row],[Quantity]]*excelsalesdata[[#This Row],[Unit_Price]]</f>
        <v>6740</v>
      </c>
      <c r="X528">
        <f>excelsalesdata[[#This Row],[Gross_sales]]*excelsalesdata[[#This Row],[Discount_%]]</f>
        <v>674</v>
      </c>
      <c r="Y528">
        <f>excelsalesdata[[#This Row],[Gross_sales]]-excelsalesdata[[#This Row],[Discount_amt]]</f>
        <v>6066</v>
      </c>
      <c r="Z528" s="4">
        <f>excelsalesdata[[#This Row],[Net_sales]]-excelsalesdata[[#This Row],[Cost]]</f>
        <v>3886</v>
      </c>
      <c r="AA528" s="5">
        <f>excelsalesdata[[#This Row],[Profit]]/excelsalesdata[[#This Row],[Net_sales]]</f>
        <v>0.64061984833498187</v>
      </c>
      <c r="AB528" s="4">
        <f>YEAR(excelsalesdata[[#This Row],[Order_Date]])</f>
        <v>2026</v>
      </c>
      <c r="AC528" s="4" t="str">
        <f>TEXT(excelsalesdata[[#This Row],[Order_Date]],"mmm")</f>
        <v>Sep</v>
      </c>
      <c r="AD528" s="4" t="str">
        <f>"Q"&amp;ROUNDUP(MONTH(excelsalesdata[[#This Row],[Order_Date]])/3,0)</f>
        <v>Q3</v>
      </c>
    </row>
    <row r="529" spans="1:30" x14ac:dyDescent="0.35">
      <c r="A529" t="s">
        <v>1167</v>
      </c>
      <c r="B529" s="3">
        <v>46287</v>
      </c>
      <c r="C529" t="s">
        <v>814</v>
      </c>
      <c r="D529" t="s">
        <v>258</v>
      </c>
      <c r="E529" t="str">
        <f>TRIM(excelsalesdata[[#This Row],[Customer_Name]])</f>
        <v>Sneha Sharma</v>
      </c>
      <c r="F529" t="s">
        <v>44</v>
      </c>
      <c r="G529">
        <v>33</v>
      </c>
      <c r="H529" t="s">
        <v>71</v>
      </c>
      <c r="I529" t="str">
        <f>TRIM(excelsalesdata[[#This Row],[City]])</f>
        <v>Bhubaneswar</v>
      </c>
      <c r="J529" t="s">
        <v>72</v>
      </c>
      <c r="K529" t="s">
        <v>37</v>
      </c>
      <c r="L529" t="s">
        <v>27</v>
      </c>
      <c r="M529" t="s">
        <v>28</v>
      </c>
      <c r="N529" t="s">
        <v>28</v>
      </c>
      <c r="O529">
        <v>1</v>
      </c>
      <c r="P529">
        <v>3360</v>
      </c>
      <c r="Q529">
        <v>0.25</v>
      </c>
      <c r="R529">
        <v>2100</v>
      </c>
      <c r="S529" t="s">
        <v>29</v>
      </c>
      <c r="T529" t="s">
        <v>30</v>
      </c>
      <c r="U529">
        <v>8</v>
      </c>
      <c r="V529" t="s">
        <v>31</v>
      </c>
      <c r="W529">
        <f>excelsalesdata[[#This Row],[Quantity]]*excelsalesdata[[#This Row],[Unit_Price]]</f>
        <v>3360</v>
      </c>
      <c r="X529">
        <f>excelsalesdata[[#This Row],[Gross_sales]]*excelsalesdata[[#This Row],[Discount_%]]</f>
        <v>840</v>
      </c>
      <c r="Y529">
        <f>excelsalesdata[[#This Row],[Gross_sales]]-excelsalesdata[[#This Row],[Discount_amt]]</f>
        <v>2520</v>
      </c>
      <c r="Z529" s="4">
        <f>excelsalesdata[[#This Row],[Net_sales]]-excelsalesdata[[#This Row],[Cost]]</f>
        <v>420</v>
      </c>
      <c r="AA529" s="5">
        <f>excelsalesdata[[#This Row],[Profit]]/excelsalesdata[[#This Row],[Net_sales]]</f>
        <v>0.16666666666666666</v>
      </c>
      <c r="AB529" s="4">
        <f>YEAR(excelsalesdata[[#This Row],[Order_Date]])</f>
        <v>2026</v>
      </c>
      <c r="AC529" s="4" t="str">
        <f>TEXT(excelsalesdata[[#This Row],[Order_Date]],"mmm")</f>
        <v>Sep</v>
      </c>
      <c r="AD529" s="4" t="str">
        <f>"Q"&amp;ROUNDUP(MONTH(excelsalesdata[[#This Row],[Order_Date]])/3,0)</f>
        <v>Q3</v>
      </c>
    </row>
    <row r="530" spans="1:30" x14ac:dyDescent="0.35">
      <c r="A530" t="s">
        <v>1168</v>
      </c>
      <c r="B530" s="3">
        <v>46288</v>
      </c>
      <c r="C530" t="s">
        <v>628</v>
      </c>
      <c r="D530" t="s">
        <v>1171</v>
      </c>
      <c r="E530" t="str">
        <f>TRIM(excelsalesdata[[#This Row],[Customer_Name]])</f>
        <v>Rahul Naidu</v>
      </c>
      <c r="F530" t="s">
        <v>44</v>
      </c>
      <c r="G530">
        <v>49</v>
      </c>
      <c r="H530" t="s">
        <v>52</v>
      </c>
      <c r="I530" t="str">
        <f>TRIM(excelsalesdata[[#This Row],[City]])</f>
        <v>Bengaluru</v>
      </c>
      <c r="J530" t="s">
        <v>53</v>
      </c>
      <c r="K530" t="s">
        <v>47</v>
      </c>
      <c r="L530" t="s">
        <v>27</v>
      </c>
      <c r="M530" t="s">
        <v>195</v>
      </c>
      <c r="N530" t="s">
        <v>195</v>
      </c>
      <c r="O530">
        <v>1</v>
      </c>
      <c r="P530">
        <v>2110</v>
      </c>
      <c r="Q530">
        <v>0.1</v>
      </c>
      <c r="R530">
        <v>1200</v>
      </c>
      <c r="S530" t="s">
        <v>29</v>
      </c>
      <c r="T530" t="s">
        <v>30</v>
      </c>
      <c r="U530">
        <v>4</v>
      </c>
      <c r="V530" t="s">
        <v>31</v>
      </c>
      <c r="W530">
        <f>excelsalesdata[[#This Row],[Quantity]]*excelsalesdata[[#This Row],[Unit_Price]]</f>
        <v>2110</v>
      </c>
      <c r="X530">
        <f>excelsalesdata[[#This Row],[Gross_sales]]*excelsalesdata[[#This Row],[Discount_%]]</f>
        <v>211</v>
      </c>
      <c r="Y530">
        <f>excelsalesdata[[#This Row],[Gross_sales]]-excelsalesdata[[#This Row],[Discount_amt]]</f>
        <v>1899</v>
      </c>
      <c r="Z530" s="4">
        <f>excelsalesdata[[#This Row],[Net_sales]]-excelsalesdata[[#This Row],[Cost]]</f>
        <v>699</v>
      </c>
      <c r="AA530" s="5">
        <f>excelsalesdata[[#This Row],[Profit]]/excelsalesdata[[#This Row],[Net_sales]]</f>
        <v>0.36808846761453395</v>
      </c>
      <c r="AB530" s="4">
        <f>YEAR(excelsalesdata[[#This Row],[Order_Date]])</f>
        <v>2026</v>
      </c>
      <c r="AC530" s="4" t="str">
        <f>TEXT(excelsalesdata[[#This Row],[Order_Date]],"mmm")</f>
        <v>Sep</v>
      </c>
      <c r="AD530" s="4" t="str">
        <f>"Q"&amp;ROUNDUP(MONTH(excelsalesdata[[#This Row],[Order_Date]])/3,0)</f>
        <v>Q3</v>
      </c>
    </row>
    <row r="531" spans="1:30" x14ac:dyDescent="0.35">
      <c r="A531" t="s">
        <v>1169</v>
      </c>
      <c r="B531" s="3">
        <v>46289</v>
      </c>
      <c r="C531" t="s">
        <v>1170</v>
      </c>
      <c r="D531" t="s">
        <v>34</v>
      </c>
      <c r="E531" t="str">
        <f>TRIM(excelsalesdata[[#This Row],[Customer_Name]])</f>
        <v>Priya Singh</v>
      </c>
      <c r="F531" t="s">
        <v>44</v>
      </c>
      <c r="G531">
        <v>44</v>
      </c>
      <c r="H531" t="s">
        <v>60</v>
      </c>
      <c r="I531" t="str">
        <f>TRIM(excelsalesdata[[#This Row],[City]])</f>
        <v>Chandigarh</v>
      </c>
      <c r="J531" t="s">
        <v>60</v>
      </c>
      <c r="K531" t="s">
        <v>61</v>
      </c>
      <c r="L531" t="s">
        <v>27</v>
      </c>
      <c r="M531" t="s">
        <v>295</v>
      </c>
      <c r="N531" t="s">
        <v>295</v>
      </c>
      <c r="O531">
        <v>2</v>
      </c>
      <c r="P531">
        <v>3890</v>
      </c>
      <c r="Q531">
        <v>0.05</v>
      </c>
      <c r="R531">
        <v>2550</v>
      </c>
      <c r="S531" t="s">
        <v>67</v>
      </c>
      <c r="T531" t="s">
        <v>30</v>
      </c>
      <c r="U531">
        <v>3</v>
      </c>
      <c r="V531" t="s">
        <v>40</v>
      </c>
      <c r="W531">
        <f>excelsalesdata[[#This Row],[Quantity]]*excelsalesdata[[#This Row],[Unit_Price]]</f>
        <v>7780</v>
      </c>
      <c r="X531">
        <f>excelsalesdata[[#This Row],[Gross_sales]]*excelsalesdata[[#This Row],[Discount_%]]</f>
        <v>389</v>
      </c>
      <c r="Y531">
        <f>excelsalesdata[[#This Row],[Gross_sales]]-excelsalesdata[[#This Row],[Discount_amt]]</f>
        <v>7391</v>
      </c>
      <c r="Z531" s="4">
        <f>excelsalesdata[[#This Row],[Net_sales]]-excelsalesdata[[#This Row],[Cost]]</f>
        <v>4841</v>
      </c>
      <c r="AA531" s="5">
        <f>excelsalesdata[[#This Row],[Profit]]/excelsalesdata[[#This Row],[Net_sales]]</f>
        <v>0.65498579353267483</v>
      </c>
      <c r="AB531" s="4">
        <f>YEAR(excelsalesdata[[#This Row],[Order_Date]])</f>
        <v>2026</v>
      </c>
      <c r="AC531" s="4" t="str">
        <f>TEXT(excelsalesdata[[#This Row],[Order_Date]],"mmm")</f>
        <v>Sep</v>
      </c>
      <c r="AD531" s="4" t="str">
        <f>"Q"&amp;ROUNDUP(MONTH(excelsalesdata[[#This Row],[Order_Date]])/3,0)</f>
        <v>Q3</v>
      </c>
    </row>
    <row r="532" spans="1:30" x14ac:dyDescent="0.35">
      <c r="A532" t="s">
        <v>1172</v>
      </c>
      <c r="B532" s="3">
        <v>46290</v>
      </c>
      <c r="C532" t="s">
        <v>609</v>
      </c>
      <c r="D532" t="s">
        <v>540</v>
      </c>
      <c r="E532" t="str">
        <f>TRIM(excelsalesdata[[#This Row],[Customer_Name]])</f>
        <v>Priya Kumar</v>
      </c>
      <c r="F532" t="s">
        <v>23</v>
      </c>
      <c r="G532">
        <v>27</v>
      </c>
      <c r="H532" t="s">
        <v>98</v>
      </c>
      <c r="I532" t="str">
        <f>TRIM(excelsalesdata[[#This Row],[City]])</f>
        <v>Mumbai</v>
      </c>
      <c r="J532" t="s">
        <v>25</v>
      </c>
      <c r="K532" t="s">
        <v>26</v>
      </c>
      <c r="L532" t="s">
        <v>54</v>
      </c>
      <c r="M532" t="s">
        <v>157</v>
      </c>
      <c r="N532" t="s">
        <v>157</v>
      </c>
      <c r="O532">
        <v>2</v>
      </c>
      <c r="P532">
        <v>55250</v>
      </c>
      <c r="Q532">
        <v>0.25</v>
      </c>
      <c r="R532">
        <v>42940</v>
      </c>
      <c r="S532" t="s">
        <v>29</v>
      </c>
      <c r="T532" t="s">
        <v>30</v>
      </c>
      <c r="U532">
        <v>4</v>
      </c>
      <c r="V532" t="s">
        <v>40</v>
      </c>
      <c r="W532">
        <f>excelsalesdata[[#This Row],[Quantity]]*excelsalesdata[[#This Row],[Unit_Price]]</f>
        <v>110500</v>
      </c>
      <c r="X532">
        <f>excelsalesdata[[#This Row],[Gross_sales]]*excelsalesdata[[#This Row],[Discount_%]]</f>
        <v>27625</v>
      </c>
      <c r="Y532">
        <f>excelsalesdata[[#This Row],[Gross_sales]]-excelsalesdata[[#This Row],[Discount_amt]]</f>
        <v>82875</v>
      </c>
      <c r="Z532" s="4">
        <f>excelsalesdata[[#This Row],[Net_sales]]-excelsalesdata[[#This Row],[Cost]]</f>
        <v>39935</v>
      </c>
      <c r="AA532" s="5">
        <f>excelsalesdata[[#This Row],[Profit]]/excelsalesdata[[#This Row],[Net_sales]]</f>
        <v>0.48187028657616893</v>
      </c>
      <c r="AB532" s="4">
        <f>YEAR(excelsalesdata[[#This Row],[Order_Date]])</f>
        <v>2026</v>
      </c>
      <c r="AC532" s="4" t="str">
        <f>TEXT(excelsalesdata[[#This Row],[Order_Date]],"mmm")</f>
        <v>Sep</v>
      </c>
      <c r="AD532" s="4" t="str">
        <f>"Q"&amp;ROUNDUP(MONTH(excelsalesdata[[#This Row],[Order_Date]])/3,0)</f>
        <v>Q3</v>
      </c>
    </row>
    <row r="533" spans="1:30" x14ac:dyDescent="0.35">
      <c r="A533" t="s">
        <v>1173</v>
      </c>
      <c r="B533" s="3">
        <v>46291</v>
      </c>
      <c r="C533" t="s">
        <v>1174</v>
      </c>
      <c r="D533" t="s">
        <v>1070</v>
      </c>
      <c r="E533" t="str">
        <f>TRIM(excelsalesdata[[#This Row],[Customer_Name]])</f>
        <v>Ishita Patel</v>
      </c>
      <c r="F533" t="s">
        <v>44</v>
      </c>
      <c r="G533">
        <v>56</v>
      </c>
      <c r="H533" t="s">
        <v>168</v>
      </c>
      <c r="I533" t="str">
        <f>TRIM(excelsalesdata[[#This Row],[City]])</f>
        <v>Delhi</v>
      </c>
      <c r="J533" t="s">
        <v>168</v>
      </c>
      <c r="K533" t="s">
        <v>61</v>
      </c>
      <c r="L533" t="s">
        <v>93</v>
      </c>
      <c r="M533" t="s">
        <v>135</v>
      </c>
      <c r="N533" t="s">
        <v>135</v>
      </c>
      <c r="O533">
        <v>1</v>
      </c>
      <c r="P533">
        <v>1810</v>
      </c>
      <c r="Q533">
        <v>0.2</v>
      </c>
      <c r="R533">
        <v>990</v>
      </c>
      <c r="S533" t="s">
        <v>80</v>
      </c>
      <c r="T533" t="s">
        <v>30</v>
      </c>
      <c r="U533">
        <v>3</v>
      </c>
      <c r="V533" t="s">
        <v>40</v>
      </c>
      <c r="W533">
        <f>excelsalesdata[[#This Row],[Quantity]]*excelsalesdata[[#This Row],[Unit_Price]]</f>
        <v>1810</v>
      </c>
      <c r="X533">
        <f>excelsalesdata[[#This Row],[Gross_sales]]*excelsalesdata[[#This Row],[Discount_%]]</f>
        <v>362</v>
      </c>
      <c r="Y533">
        <f>excelsalesdata[[#This Row],[Gross_sales]]-excelsalesdata[[#This Row],[Discount_amt]]</f>
        <v>1448</v>
      </c>
      <c r="Z533" s="4">
        <f>excelsalesdata[[#This Row],[Net_sales]]-excelsalesdata[[#This Row],[Cost]]</f>
        <v>458</v>
      </c>
      <c r="AA533" s="5">
        <f>excelsalesdata[[#This Row],[Profit]]/excelsalesdata[[#This Row],[Net_sales]]</f>
        <v>0.31629834254143646</v>
      </c>
      <c r="AB533" s="4">
        <f>YEAR(excelsalesdata[[#This Row],[Order_Date]])</f>
        <v>2026</v>
      </c>
      <c r="AC533" s="4" t="str">
        <f>TEXT(excelsalesdata[[#This Row],[Order_Date]],"mmm")</f>
        <v>Sep</v>
      </c>
      <c r="AD533" s="4" t="str">
        <f>"Q"&amp;ROUNDUP(MONTH(excelsalesdata[[#This Row],[Order_Date]])/3,0)</f>
        <v>Q3</v>
      </c>
    </row>
    <row r="534" spans="1:30" x14ac:dyDescent="0.35">
      <c r="A534" t="s">
        <v>1175</v>
      </c>
      <c r="B534" s="3">
        <v>46292</v>
      </c>
      <c r="C534" t="s">
        <v>1091</v>
      </c>
      <c r="D534" t="s">
        <v>205</v>
      </c>
      <c r="E534" t="str">
        <f>TRIM(excelsalesdata[[#This Row],[Customer_Name]])</f>
        <v>Vivaan Bhat</v>
      </c>
      <c r="F534" t="s">
        <v>44</v>
      </c>
      <c r="G534">
        <v>43</v>
      </c>
      <c r="H534" t="s">
        <v>190</v>
      </c>
      <c r="I534" t="str">
        <f>TRIM(excelsalesdata[[#This Row],[City]])</f>
        <v>Ahmedabad</v>
      </c>
      <c r="J534" t="s">
        <v>191</v>
      </c>
      <c r="K534" t="s">
        <v>26</v>
      </c>
      <c r="L534" t="s">
        <v>93</v>
      </c>
      <c r="M534" t="s">
        <v>718</v>
      </c>
      <c r="N534" t="s">
        <v>718</v>
      </c>
      <c r="O534">
        <v>4</v>
      </c>
      <c r="P534">
        <v>1710</v>
      </c>
      <c r="Q534">
        <v>0.3</v>
      </c>
      <c r="R534">
        <v>920</v>
      </c>
      <c r="S534" t="s">
        <v>151</v>
      </c>
      <c r="T534" t="s">
        <v>30</v>
      </c>
      <c r="U534">
        <v>3</v>
      </c>
      <c r="V534" t="s">
        <v>31</v>
      </c>
      <c r="W534">
        <f>excelsalesdata[[#This Row],[Quantity]]*excelsalesdata[[#This Row],[Unit_Price]]</f>
        <v>6840</v>
      </c>
      <c r="X534">
        <f>excelsalesdata[[#This Row],[Gross_sales]]*excelsalesdata[[#This Row],[Discount_%]]</f>
        <v>2052</v>
      </c>
      <c r="Y534">
        <f>excelsalesdata[[#This Row],[Gross_sales]]-excelsalesdata[[#This Row],[Discount_amt]]</f>
        <v>4788</v>
      </c>
      <c r="Z534" s="4">
        <f>excelsalesdata[[#This Row],[Net_sales]]-excelsalesdata[[#This Row],[Cost]]</f>
        <v>3868</v>
      </c>
      <c r="AA534" s="5">
        <f>excelsalesdata[[#This Row],[Profit]]/excelsalesdata[[#This Row],[Net_sales]]</f>
        <v>0.8078529657477026</v>
      </c>
      <c r="AB534" s="4">
        <f>YEAR(excelsalesdata[[#This Row],[Order_Date]])</f>
        <v>2026</v>
      </c>
      <c r="AC534" s="4" t="str">
        <f>TEXT(excelsalesdata[[#This Row],[Order_Date]],"mmm")</f>
        <v>Sep</v>
      </c>
      <c r="AD534" s="4" t="str">
        <f>"Q"&amp;ROUNDUP(MONTH(excelsalesdata[[#This Row],[Order_Date]])/3,0)</f>
        <v>Q3</v>
      </c>
    </row>
    <row r="535" spans="1:30" x14ac:dyDescent="0.35">
      <c r="A535" t="s">
        <v>1176</v>
      </c>
      <c r="B535" s="3">
        <v>46293</v>
      </c>
      <c r="C535" t="s">
        <v>226</v>
      </c>
      <c r="D535" t="s">
        <v>395</v>
      </c>
      <c r="E535" t="str">
        <f>TRIM(excelsalesdata[[#This Row],[Customer_Name]])</f>
        <v>Meera Gupta</v>
      </c>
      <c r="F535" t="s">
        <v>23</v>
      </c>
      <c r="G535">
        <v>32</v>
      </c>
      <c r="H535" t="s">
        <v>190</v>
      </c>
      <c r="I535" t="str">
        <f>TRIM(excelsalesdata[[#This Row],[City]])</f>
        <v>Ahmedabad</v>
      </c>
      <c r="J535" t="s">
        <v>191</v>
      </c>
      <c r="K535" t="s">
        <v>26</v>
      </c>
      <c r="L535" t="s">
        <v>103</v>
      </c>
      <c r="M535" t="s">
        <v>347</v>
      </c>
      <c r="N535" t="s">
        <v>347</v>
      </c>
      <c r="O535">
        <v>1</v>
      </c>
      <c r="P535">
        <v>11630</v>
      </c>
      <c r="Q535">
        <v>0.15</v>
      </c>
      <c r="R535">
        <v>7990</v>
      </c>
      <c r="S535" t="s">
        <v>29</v>
      </c>
      <c r="T535" t="s">
        <v>74</v>
      </c>
      <c r="U535">
        <v>4</v>
      </c>
      <c r="V535" t="s">
        <v>40</v>
      </c>
      <c r="W535">
        <f>excelsalesdata[[#This Row],[Quantity]]*excelsalesdata[[#This Row],[Unit_Price]]</f>
        <v>11630</v>
      </c>
      <c r="X535">
        <f>excelsalesdata[[#This Row],[Gross_sales]]*excelsalesdata[[#This Row],[Discount_%]]</f>
        <v>1744.5</v>
      </c>
      <c r="Y535">
        <f>excelsalesdata[[#This Row],[Gross_sales]]-excelsalesdata[[#This Row],[Discount_amt]]</f>
        <v>9885.5</v>
      </c>
      <c r="Z535" s="4">
        <f>excelsalesdata[[#This Row],[Net_sales]]-excelsalesdata[[#This Row],[Cost]]</f>
        <v>1895.5</v>
      </c>
      <c r="AA535" s="5">
        <f>excelsalesdata[[#This Row],[Profit]]/excelsalesdata[[#This Row],[Net_sales]]</f>
        <v>0.19174548581255374</v>
      </c>
      <c r="AB535" s="4">
        <f>YEAR(excelsalesdata[[#This Row],[Order_Date]])</f>
        <v>2026</v>
      </c>
      <c r="AC535" s="4" t="str">
        <f>TEXT(excelsalesdata[[#This Row],[Order_Date]],"mmm")</f>
        <v>Sep</v>
      </c>
      <c r="AD535" s="4" t="str">
        <f>"Q"&amp;ROUNDUP(MONTH(excelsalesdata[[#This Row],[Order_Date]])/3,0)</f>
        <v>Q3</v>
      </c>
    </row>
    <row r="536" spans="1:30" x14ac:dyDescent="0.35">
      <c r="A536" t="s">
        <v>1177</v>
      </c>
      <c r="B536" s="3">
        <v>46294</v>
      </c>
      <c r="C536" t="s">
        <v>1178</v>
      </c>
      <c r="D536" t="s">
        <v>563</v>
      </c>
      <c r="E536" t="str">
        <f>TRIM(excelsalesdata[[#This Row],[Customer_Name]])</f>
        <v>Sneha Verma</v>
      </c>
      <c r="F536" t="s">
        <v>44</v>
      </c>
      <c r="G536">
        <v>54</v>
      </c>
      <c r="H536" t="s">
        <v>155</v>
      </c>
      <c r="I536" t="str">
        <f>TRIM(excelsalesdata[[#This Row],[City]])</f>
        <v>Chennai</v>
      </c>
      <c r="J536" t="s">
        <v>156</v>
      </c>
      <c r="K536" t="s">
        <v>47</v>
      </c>
      <c r="L536" t="s">
        <v>93</v>
      </c>
      <c r="M536" t="s">
        <v>718</v>
      </c>
      <c r="N536" t="s">
        <v>718</v>
      </c>
      <c r="O536">
        <v>3</v>
      </c>
      <c r="P536">
        <v>1800</v>
      </c>
      <c r="Q536">
        <v>0.1</v>
      </c>
      <c r="R536">
        <v>910</v>
      </c>
      <c r="S536" t="s">
        <v>105</v>
      </c>
      <c r="T536" t="s">
        <v>30</v>
      </c>
      <c r="U536">
        <v>5</v>
      </c>
      <c r="V536" t="s">
        <v>31</v>
      </c>
      <c r="W536">
        <f>excelsalesdata[[#This Row],[Quantity]]*excelsalesdata[[#This Row],[Unit_Price]]</f>
        <v>5400</v>
      </c>
      <c r="X536">
        <f>excelsalesdata[[#This Row],[Gross_sales]]*excelsalesdata[[#This Row],[Discount_%]]</f>
        <v>540</v>
      </c>
      <c r="Y536">
        <f>excelsalesdata[[#This Row],[Gross_sales]]-excelsalesdata[[#This Row],[Discount_amt]]</f>
        <v>4860</v>
      </c>
      <c r="Z536" s="4">
        <f>excelsalesdata[[#This Row],[Net_sales]]-excelsalesdata[[#This Row],[Cost]]</f>
        <v>3950</v>
      </c>
      <c r="AA536" s="5">
        <f>excelsalesdata[[#This Row],[Profit]]/excelsalesdata[[#This Row],[Net_sales]]</f>
        <v>0.81275720164609055</v>
      </c>
      <c r="AB536" s="4">
        <f>YEAR(excelsalesdata[[#This Row],[Order_Date]])</f>
        <v>2026</v>
      </c>
      <c r="AC536" s="4" t="str">
        <f>TEXT(excelsalesdata[[#This Row],[Order_Date]],"mmm")</f>
        <v>Sep</v>
      </c>
      <c r="AD536" s="4" t="str">
        <f>"Q"&amp;ROUNDUP(MONTH(excelsalesdata[[#This Row],[Order_Date]])/3,0)</f>
        <v>Q3</v>
      </c>
    </row>
    <row r="537" spans="1:30" x14ac:dyDescent="0.35">
      <c r="A537" t="s">
        <v>1179</v>
      </c>
      <c r="B537" s="3">
        <v>46295</v>
      </c>
      <c r="C537" t="s">
        <v>272</v>
      </c>
      <c r="D537" t="s">
        <v>476</v>
      </c>
      <c r="E537" t="str">
        <f>TRIM(excelsalesdata[[#This Row],[Customer_Name]])</f>
        <v>Sneha Kumar</v>
      </c>
      <c r="F537" t="s">
        <v>23</v>
      </c>
      <c r="G537">
        <v>36</v>
      </c>
      <c r="H537" t="s">
        <v>45</v>
      </c>
      <c r="I537" t="str">
        <f>TRIM(excelsalesdata[[#This Row],[City]])</f>
        <v>Kochi</v>
      </c>
      <c r="J537" t="s">
        <v>46</v>
      </c>
      <c r="K537" t="s">
        <v>47</v>
      </c>
      <c r="L537" t="s">
        <v>93</v>
      </c>
      <c r="M537" t="s">
        <v>94</v>
      </c>
      <c r="N537" t="s">
        <v>94</v>
      </c>
      <c r="O537">
        <v>1</v>
      </c>
      <c r="P537">
        <v>540</v>
      </c>
      <c r="Q537">
        <v>0.15</v>
      </c>
      <c r="R537">
        <v>230</v>
      </c>
      <c r="S537" t="s">
        <v>80</v>
      </c>
      <c r="T537" t="s">
        <v>30</v>
      </c>
      <c r="U537">
        <v>8</v>
      </c>
      <c r="V537" t="s">
        <v>31</v>
      </c>
      <c r="W537">
        <f>excelsalesdata[[#This Row],[Quantity]]*excelsalesdata[[#This Row],[Unit_Price]]</f>
        <v>540</v>
      </c>
      <c r="X537">
        <f>excelsalesdata[[#This Row],[Gross_sales]]*excelsalesdata[[#This Row],[Discount_%]]</f>
        <v>81</v>
      </c>
      <c r="Y537">
        <f>excelsalesdata[[#This Row],[Gross_sales]]-excelsalesdata[[#This Row],[Discount_amt]]</f>
        <v>459</v>
      </c>
      <c r="Z537" s="4">
        <f>excelsalesdata[[#This Row],[Net_sales]]-excelsalesdata[[#This Row],[Cost]]</f>
        <v>229</v>
      </c>
      <c r="AA537" s="5">
        <f>excelsalesdata[[#This Row],[Profit]]/excelsalesdata[[#This Row],[Net_sales]]</f>
        <v>0.4989106753812636</v>
      </c>
      <c r="AB537" s="4">
        <f>YEAR(excelsalesdata[[#This Row],[Order_Date]])</f>
        <v>2026</v>
      </c>
      <c r="AC537" s="4" t="str">
        <f>TEXT(excelsalesdata[[#This Row],[Order_Date]],"mmm")</f>
        <v>Sep</v>
      </c>
      <c r="AD537" s="4" t="str">
        <f>"Q"&amp;ROUNDUP(MONTH(excelsalesdata[[#This Row],[Order_Date]])/3,0)</f>
        <v>Q3</v>
      </c>
    </row>
    <row r="538" spans="1:30" x14ac:dyDescent="0.35">
      <c r="A538" t="s">
        <v>1180</v>
      </c>
      <c r="B538" s="3">
        <v>46296</v>
      </c>
      <c r="C538" t="s">
        <v>878</v>
      </c>
      <c r="D538" t="s">
        <v>984</v>
      </c>
      <c r="E538" t="str">
        <f>TRIM(excelsalesdata[[#This Row],[Customer_Name]])</f>
        <v>Ananya Singh</v>
      </c>
      <c r="F538" t="s">
        <v>44</v>
      </c>
      <c r="G538">
        <v>48</v>
      </c>
      <c r="H538" t="s">
        <v>114</v>
      </c>
      <c r="I538" t="str">
        <f>TRIM(excelsalesdata[[#This Row],[City]])</f>
        <v>Hyderabad</v>
      </c>
      <c r="J538" t="s">
        <v>115</v>
      </c>
      <c r="K538" t="s">
        <v>47</v>
      </c>
      <c r="L538" t="s">
        <v>27</v>
      </c>
      <c r="M538" t="s">
        <v>195</v>
      </c>
      <c r="N538" t="s">
        <v>195</v>
      </c>
      <c r="O538">
        <v>1</v>
      </c>
      <c r="P538">
        <v>2110</v>
      </c>
      <c r="Q538">
        <v>0.25</v>
      </c>
      <c r="R538">
        <v>1150</v>
      </c>
      <c r="S538" t="s">
        <v>151</v>
      </c>
      <c r="T538" t="s">
        <v>30</v>
      </c>
      <c r="U538">
        <v>5</v>
      </c>
      <c r="V538" t="s">
        <v>40</v>
      </c>
      <c r="W538">
        <f>excelsalesdata[[#This Row],[Quantity]]*excelsalesdata[[#This Row],[Unit_Price]]</f>
        <v>2110</v>
      </c>
      <c r="X538">
        <f>excelsalesdata[[#This Row],[Gross_sales]]*excelsalesdata[[#This Row],[Discount_%]]</f>
        <v>527.5</v>
      </c>
      <c r="Y538">
        <f>excelsalesdata[[#This Row],[Gross_sales]]-excelsalesdata[[#This Row],[Discount_amt]]</f>
        <v>1582.5</v>
      </c>
      <c r="Z538" s="4">
        <f>excelsalesdata[[#This Row],[Net_sales]]-excelsalesdata[[#This Row],[Cost]]</f>
        <v>432.5</v>
      </c>
      <c r="AA538" s="5">
        <f>excelsalesdata[[#This Row],[Profit]]/excelsalesdata[[#This Row],[Net_sales]]</f>
        <v>0.27330173775671407</v>
      </c>
      <c r="AB538" s="4">
        <f>YEAR(excelsalesdata[[#This Row],[Order_Date]])</f>
        <v>2026</v>
      </c>
      <c r="AC538" s="4" t="str">
        <f>TEXT(excelsalesdata[[#This Row],[Order_Date]],"mmm")</f>
        <v>Oct</v>
      </c>
      <c r="AD538" s="4" t="str">
        <f>"Q"&amp;ROUNDUP(MONTH(excelsalesdata[[#This Row],[Order_Date]])/3,0)</f>
        <v>Q4</v>
      </c>
    </row>
    <row r="539" spans="1:30" x14ac:dyDescent="0.35">
      <c r="A539" t="s">
        <v>1181</v>
      </c>
      <c r="B539" s="3">
        <v>46297</v>
      </c>
      <c r="C539" t="s">
        <v>1182</v>
      </c>
      <c r="D539" t="s">
        <v>925</v>
      </c>
      <c r="E539" t="str">
        <f>TRIM(excelsalesdata[[#This Row],[Customer_Name]])</f>
        <v>Ananya Rao</v>
      </c>
      <c r="F539" t="s">
        <v>23</v>
      </c>
      <c r="G539">
        <v>25</v>
      </c>
      <c r="H539" t="s">
        <v>98</v>
      </c>
      <c r="I539" t="str">
        <f>TRIM(excelsalesdata[[#This Row],[City]])</f>
        <v>Mumbai</v>
      </c>
      <c r="J539" t="s">
        <v>25</v>
      </c>
      <c r="K539" t="s">
        <v>26</v>
      </c>
      <c r="L539" t="s">
        <v>85</v>
      </c>
      <c r="M539" t="s">
        <v>110</v>
      </c>
      <c r="N539" t="s">
        <v>110</v>
      </c>
      <c r="O539">
        <v>3</v>
      </c>
      <c r="P539">
        <v>1120</v>
      </c>
      <c r="Q539">
        <v>0.25</v>
      </c>
      <c r="R539">
        <v>590</v>
      </c>
      <c r="S539" t="s">
        <v>80</v>
      </c>
      <c r="T539" t="s">
        <v>30</v>
      </c>
      <c r="U539">
        <v>5</v>
      </c>
      <c r="V539" t="s">
        <v>40</v>
      </c>
      <c r="W539">
        <f>excelsalesdata[[#This Row],[Quantity]]*excelsalesdata[[#This Row],[Unit_Price]]</f>
        <v>3360</v>
      </c>
      <c r="X539">
        <f>excelsalesdata[[#This Row],[Gross_sales]]*excelsalesdata[[#This Row],[Discount_%]]</f>
        <v>840</v>
      </c>
      <c r="Y539">
        <f>excelsalesdata[[#This Row],[Gross_sales]]-excelsalesdata[[#This Row],[Discount_amt]]</f>
        <v>2520</v>
      </c>
      <c r="Z539" s="4">
        <f>excelsalesdata[[#This Row],[Net_sales]]-excelsalesdata[[#This Row],[Cost]]</f>
        <v>1930</v>
      </c>
      <c r="AA539" s="5">
        <f>excelsalesdata[[#This Row],[Profit]]/excelsalesdata[[#This Row],[Net_sales]]</f>
        <v>0.76587301587301593</v>
      </c>
      <c r="AB539" s="4">
        <f>YEAR(excelsalesdata[[#This Row],[Order_Date]])</f>
        <v>2026</v>
      </c>
      <c r="AC539" s="4" t="str">
        <f>TEXT(excelsalesdata[[#This Row],[Order_Date]],"mmm")</f>
        <v>Oct</v>
      </c>
      <c r="AD539" s="4" t="str">
        <f>"Q"&amp;ROUNDUP(MONTH(excelsalesdata[[#This Row],[Order_Date]])/3,0)</f>
        <v>Q4</v>
      </c>
    </row>
    <row r="540" spans="1:30" x14ac:dyDescent="0.35">
      <c r="A540" t="s">
        <v>1183</v>
      </c>
      <c r="B540" s="3">
        <v>46298</v>
      </c>
      <c r="C540" t="s">
        <v>216</v>
      </c>
      <c r="D540" t="s">
        <v>362</v>
      </c>
      <c r="E540" t="str">
        <f>TRIM(excelsalesdata[[#This Row],[Customer_Name]])</f>
        <v>Diya Gupta</v>
      </c>
      <c r="F540" t="s">
        <v>44</v>
      </c>
      <c r="G540">
        <v>57</v>
      </c>
      <c r="H540" t="s">
        <v>98</v>
      </c>
      <c r="I540" t="str">
        <f>TRIM(excelsalesdata[[#This Row],[City]])</f>
        <v>Mumbai</v>
      </c>
      <c r="J540" t="s">
        <v>25</v>
      </c>
      <c r="K540" t="s">
        <v>26</v>
      </c>
      <c r="L540" t="s">
        <v>54</v>
      </c>
      <c r="M540" t="s">
        <v>55</v>
      </c>
      <c r="N540" t="s">
        <v>55</v>
      </c>
      <c r="O540">
        <v>1</v>
      </c>
      <c r="P540">
        <v>6560</v>
      </c>
      <c r="Q540">
        <v>0</v>
      </c>
      <c r="R540">
        <v>4280</v>
      </c>
      <c r="S540" t="s">
        <v>80</v>
      </c>
      <c r="T540" t="s">
        <v>99</v>
      </c>
      <c r="U540">
        <v>3</v>
      </c>
      <c r="V540" t="s">
        <v>31</v>
      </c>
      <c r="W540">
        <f>excelsalesdata[[#This Row],[Quantity]]*excelsalesdata[[#This Row],[Unit_Price]]</f>
        <v>6560</v>
      </c>
      <c r="X540">
        <f>excelsalesdata[[#This Row],[Gross_sales]]*excelsalesdata[[#This Row],[Discount_%]]</f>
        <v>0</v>
      </c>
      <c r="Y540">
        <f>excelsalesdata[[#This Row],[Gross_sales]]-excelsalesdata[[#This Row],[Discount_amt]]</f>
        <v>6560</v>
      </c>
      <c r="Z540" s="4">
        <f>excelsalesdata[[#This Row],[Net_sales]]-excelsalesdata[[#This Row],[Cost]]</f>
        <v>2280</v>
      </c>
      <c r="AA540" s="5">
        <f>excelsalesdata[[#This Row],[Profit]]/excelsalesdata[[#This Row],[Net_sales]]</f>
        <v>0.34756097560975607</v>
      </c>
      <c r="AB540" s="4">
        <f>YEAR(excelsalesdata[[#This Row],[Order_Date]])</f>
        <v>2026</v>
      </c>
      <c r="AC540" s="4" t="str">
        <f>TEXT(excelsalesdata[[#This Row],[Order_Date]],"mmm")</f>
        <v>Oct</v>
      </c>
      <c r="AD540" s="4" t="str">
        <f>"Q"&amp;ROUNDUP(MONTH(excelsalesdata[[#This Row],[Order_Date]])/3,0)</f>
        <v>Q4</v>
      </c>
    </row>
    <row r="541" spans="1:30" x14ac:dyDescent="0.35">
      <c r="A541" t="s">
        <v>1184</v>
      </c>
      <c r="B541" s="3">
        <v>46299</v>
      </c>
      <c r="C541" t="s">
        <v>974</v>
      </c>
      <c r="D541" t="s">
        <v>482</v>
      </c>
      <c r="E541" t="str">
        <f>TRIM(excelsalesdata[[#This Row],[Customer_Name]])</f>
        <v>Aditya Gupta</v>
      </c>
      <c r="F541" t="s">
        <v>44</v>
      </c>
      <c r="G541">
        <v>46</v>
      </c>
      <c r="H541" t="s">
        <v>133</v>
      </c>
      <c r="I541" t="str">
        <f>TRIM(excelsalesdata[[#This Row],[City]])</f>
        <v>Jaipur</v>
      </c>
      <c r="J541" t="s">
        <v>134</v>
      </c>
      <c r="K541" t="s">
        <v>61</v>
      </c>
      <c r="L541" t="s">
        <v>27</v>
      </c>
      <c r="M541" t="s">
        <v>195</v>
      </c>
      <c r="N541" t="s">
        <v>195</v>
      </c>
      <c r="O541">
        <v>4</v>
      </c>
      <c r="P541">
        <v>2170</v>
      </c>
      <c r="Q541">
        <v>0</v>
      </c>
      <c r="R541">
        <v>1190</v>
      </c>
      <c r="S541" t="s">
        <v>29</v>
      </c>
      <c r="T541" t="s">
        <v>30</v>
      </c>
      <c r="U541">
        <v>3</v>
      </c>
      <c r="V541" t="s">
        <v>31</v>
      </c>
      <c r="W541">
        <f>excelsalesdata[[#This Row],[Quantity]]*excelsalesdata[[#This Row],[Unit_Price]]</f>
        <v>8680</v>
      </c>
      <c r="X541">
        <f>excelsalesdata[[#This Row],[Gross_sales]]*excelsalesdata[[#This Row],[Discount_%]]</f>
        <v>0</v>
      </c>
      <c r="Y541">
        <f>excelsalesdata[[#This Row],[Gross_sales]]-excelsalesdata[[#This Row],[Discount_amt]]</f>
        <v>8680</v>
      </c>
      <c r="Z541" s="4">
        <f>excelsalesdata[[#This Row],[Net_sales]]-excelsalesdata[[#This Row],[Cost]]</f>
        <v>7490</v>
      </c>
      <c r="AA541" s="5">
        <f>excelsalesdata[[#This Row],[Profit]]/excelsalesdata[[#This Row],[Net_sales]]</f>
        <v>0.86290322580645162</v>
      </c>
      <c r="AB541" s="4">
        <f>YEAR(excelsalesdata[[#This Row],[Order_Date]])</f>
        <v>2026</v>
      </c>
      <c r="AC541" s="4" t="str">
        <f>TEXT(excelsalesdata[[#This Row],[Order_Date]],"mmm")</f>
        <v>Oct</v>
      </c>
      <c r="AD541" s="4" t="str">
        <f>"Q"&amp;ROUNDUP(MONTH(excelsalesdata[[#This Row],[Order_Date]])/3,0)</f>
        <v>Q4</v>
      </c>
    </row>
    <row r="542" spans="1:30" x14ac:dyDescent="0.35">
      <c r="A542" t="s">
        <v>1185</v>
      </c>
      <c r="B542" s="3">
        <v>46300</v>
      </c>
      <c r="C542" t="s">
        <v>1186</v>
      </c>
      <c r="D542" t="s">
        <v>299</v>
      </c>
      <c r="E542" t="str">
        <f>TRIM(excelsalesdata[[#This Row],[Customer_Name]])</f>
        <v>Aarav Joshi</v>
      </c>
      <c r="F542" t="s">
        <v>23</v>
      </c>
      <c r="G542">
        <v>42</v>
      </c>
      <c r="H542" t="s">
        <v>78</v>
      </c>
      <c r="I542" t="str">
        <f>TRIM(excelsalesdata[[#This Row],[City]])</f>
        <v>Guwahati</v>
      </c>
      <c r="J542" t="s">
        <v>79</v>
      </c>
      <c r="K542" t="s">
        <v>37</v>
      </c>
      <c r="L542" t="s">
        <v>85</v>
      </c>
      <c r="M542" t="s">
        <v>172</v>
      </c>
      <c r="N542" t="s">
        <v>172</v>
      </c>
      <c r="O542">
        <v>2</v>
      </c>
      <c r="P542">
        <v>4340</v>
      </c>
      <c r="Q542">
        <v>0</v>
      </c>
      <c r="R542">
        <v>2850</v>
      </c>
      <c r="S542" t="s">
        <v>67</v>
      </c>
      <c r="T542" t="s">
        <v>30</v>
      </c>
      <c r="U542">
        <v>5</v>
      </c>
      <c r="V542" t="s">
        <v>40</v>
      </c>
      <c r="W542">
        <f>excelsalesdata[[#This Row],[Quantity]]*excelsalesdata[[#This Row],[Unit_Price]]</f>
        <v>8680</v>
      </c>
      <c r="X542">
        <f>excelsalesdata[[#This Row],[Gross_sales]]*excelsalesdata[[#This Row],[Discount_%]]</f>
        <v>0</v>
      </c>
      <c r="Y542">
        <f>excelsalesdata[[#This Row],[Gross_sales]]-excelsalesdata[[#This Row],[Discount_amt]]</f>
        <v>8680</v>
      </c>
      <c r="Z542" s="4">
        <f>excelsalesdata[[#This Row],[Net_sales]]-excelsalesdata[[#This Row],[Cost]]</f>
        <v>5830</v>
      </c>
      <c r="AA542" s="5">
        <f>excelsalesdata[[#This Row],[Profit]]/excelsalesdata[[#This Row],[Net_sales]]</f>
        <v>0.67165898617511521</v>
      </c>
      <c r="AB542" s="4">
        <f>YEAR(excelsalesdata[[#This Row],[Order_Date]])</f>
        <v>2026</v>
      </c>
      <c r="AC542" s="4" t="str">
        <f>TEXT(excelsalesdata[[#This Row],[Order_Date]],"mmm")</f>
        <v>Oct</v>
      </c>
      <c r="AD542" s="4" t="str">
        <f>"Q"&amp;ROUNDUP(MONTH(excelsalesdata[[#This Row],[Order_Date]])/3,0)</f>
        <v>Q4</v>
      </c>
    </row>
    <row r="543" spans="1:30" x14ac:dyDescent="0.35">
      <c r="A543" t="s">
        <v>1187</v>
      </c>
      <c r="B543" s="3">
        <v>46301</v>
      </c>
      <c r="C543" t="s">
        <v>1186</v>
      </c>
      <c r="D543" t="s">
        <v>918</v>
      </c>
      <c r="E543" t="str">
        <f>TRIM(excelsalesdata[[#This Row],[Customer_Name]])</f>
        <v>Vikram Naidu</v>
      </c>
      <c r="F543" t="s">
        <v>44</v>
      </c>
      <c r="G543">
        <v>39</v>
      </c>
      <c r="H543" t="s">
        <v>185</v>
      </c>
      <c r="I543" t="str">
        <f>TRIM(excelsalesdata[[#This Row],[City]])</f>
        <v>Lucknow</v>
      </c>
      <c r="J543" t="s">
        <v>186</v>
      </c>
      <c r="K543" t="s">
        <v>61</v>
      </c>
      <c r="L543" t="s">
        <v>38</v>
      </c>
      <c r="M543" t="s">
        <v>39</v>
      </c>
      <c r="N543" t="s">
        <v>39</v>
      </c>
      <c r="O543">
        <v>1</v>
      </c>
      <c r="P543">
        <v>6030</v>
      </c>
      <c r="Q543">
        <v>0.15</v>
      </c>
      <c r="R543">
        <v>4180</v>
      </c>
      <c r="S543" t="s">
        <v>29</v>
      </c>
      <c r="T543" t="s">
        <v>30</v>
      </c>
      <c r="U543">
        <v>4</v>
      </c>
      <c r="V543" t="s">
        <v>40</v>
      </c>
      <c r="W543">
        <f>excelsalesdata[[#This Row],[Quantity]]*excelsalesdata[[#This Row],[Unit_Price]]</f>
        <v>6030</v>
      </c>
      <c r="X543">
        <f>excelsalesdata[[#This Row],[Gross_sales]]*excelsalesdata[[#This Row],[Discount_%]]</f>
        <v>904.5</v>
      </c>
      <c r="Y543">
        <f>excelsalesdata[[#This Row],[Gross_sales]]-excelsalesdata[[#This Row],[Discount_amt]]</f>
        <v>5125.5</v>
      </c>
      <c r="Z543" s="4">
        <f>excelsalesdata[[#This Row],[Net_sales]]-excelsalesdata[[#This Row],[Cost]]</f>
        <v>945.5</v>
      </c>
      <c r="AA543" s="5">
        <f>excelsalesdata[[#This Row],[Profit]]/excelsalesdata[[#This Row],[Net_sales]]</f>
        <v>0.18446980782362696</v>
      </c>
      <c r="AB543" s="4">
        <f>YEAR(excelsalesdata[[#This Row],[Order_Date]])</f>
        <v>2026</v>
      </c>
      <c r="AC543" s="4" t="str">
        <f>TEXT(excelsalesdata[[#This Row],[Order_Date]],"mmm")</f>
        <v>Oct</v>
      </c>
      <c r="AD543" s="4" t="str">
        <f>"Q"&amp;ROUNDUP(MONTH(excelsalesdata[[#This Row],[Order_Date]])/3,0)</f>
        <v>Q4</v>
      </c>
    </row>
    <row r="544" spans="1:30" x14ac:dyDescent="0.35">
      <c r="A544" t="s">
        <v>1188</v>
      </c>
      <c r="B544" s="3">
        <v>46302</v>
      </c>
      <c r="C544" t="s">
        <v>1189</v>
      </c>
      <c r="D544" t="s">
        <v>273</v>
      </c>
      <c r="E544" t="str">
        <f>TRIM(excelsalesdata[[#This Row],[Customer_Name]])</f>
        <v>Aarav Sharma</v>
      </c>
      <c r="F544" t="s">
        <v>44</v>
      </c>
      <c r="G544">
        <v>44</v>
      </c>
      <c r="H544" t="s">
        <v>109</v>
      </c>
      <c r="I544" t="str">
        <f>TRIM(excelsalesdata[[#This Row],[City]])</f>
        <v>Mysuru</v>
      </c>
      <c r="J544" t="s">
        <v>53</v>
      </c>
      <c r="K544" t="s">
        <v>47</v>
      </c>
      <c r="L544" t="s">
        <v>27</v>
      </c>
      <c r="M544" t="s">
        <v>48</v>
      </c>
      <c r="N544" t="s">
        <v>48</v>
      </c>
      <c r="O544">
        <v>1</v>
      </c>
      <c r="P544">
        <v>970</v>
      </c>
      <c r="Q544">
        <v>0.15</v>
      </c>
      <c r="R544">
        <v>430</v>
      </c>
      <c r="S544" t="s">
        <v>80</v>
      </c>
      <c r="T544" t="s">
        <v>74</v>
      </c>
      <c r="U544">
        <v>3</v>
      </c>
      <c r="V544" t="s">
        <v>40</v>
      </c>
      <c r="W544">
        <f>excelsalesdata[[#This Row],[Quantity]]*excelsalesdata[[#This Row],[Unit_Price]]</f>
        <v>970</v>
      </c>
      <c r="X544">
        <f>excelsalesdata[[#This Row],[Gross_sales]]*excelsalesdata[[#This Row],[Discount_%]]</f>
        <v>145.5</v>
      </c>
      <c r="Y544">
        <f>excelsalesdata[[#This Row],[Gross_sales]]-excelsalesdata[[#This Row],[Discount_amt]]</f>
        <v>824.5</v>
      </c>
      <c r="Z544" s="4">
        <f>excelsalesdata[[#This Row],[Net_sales]]-excelsalesdata[[#This Row],[Cost]]</f>
        <v>394.5</v>
      </c>
      <c r="AA544" s="5">
        <f>excelsalesdata[[#This Row],[Profit]]/excelsalesdata[[#This Row],[Net_sales]]</f>
        <v>0.47847180109157067</v>
      </c>
      <c r="AB544" s="4">
        <f>YEAR(excelsalesdata[[#This Row],[Order_Date]])</f>
        <v>2026</v>
      </c>
      <c r="AC544" s="4" t="str">
        <f>TEXT(excelsalesdata[[#This Row],[Order_Date]],"mmm")</f>
        <v>Oct</v>
      </c>
      <c r="AD544" s="4" t="str">
        <f>"Q"&amp;ROUNDUP(MONTH(excelsalesdata[[#This Row],[Order_Date]])/3,0)</f>
        <v>Q4</v>
      </c>
    </row>
    <row r="545" spans="1:30" x14ac:dyDescent="0.35">
      <c r="A545" t="s">
        <v>1190</v>
      </c>
      <c r="B545" s="3">
        <v>46303</v>
      </c>
      <c r="C545" t="s">
        <v>163</v>
      </c>
      <c r="D545" t="s">
        <v>138</v>
      </c>
      <c r="E545" t="str">
        <f>TRIM(excelsalesdata[[#This Row],[Customer_Name]])</f>
        <v>Vikram Bhat</v>
      </c>
      <c r="F545" t="s">
        <v>23</v>
      </c>
      <c r="G545">
        <v>55</v>
      </c>
      <c r="H545" t="s">
        <v>133</v>
      </c>
      <c r="I545" t="str">
        <f>TRIM(excelsalesdata[[#This Row],[City]])</f>
        <v>Jaipur</v>
      </c>
      <c r="J545" t="s">
        <v>134</v>
      </c>
      <c r="K545" t="s">
        <v>61</v>
      </c>
      <c r="L545" t="s">
        <v>54</v>
      </c>
      <c r="M545" t="s">
        <v>66</v>
      </c>
      <c r="N545" t="s">
        <v>66</v>
      </c>
      <c r="O545">
        <v>3</v>
      </c>
      <c r="P545">
        <v>2510</v>
      </c>
      <c r="Q545">
        <v>0.2</v>
      </c>
      <c r="R545">
        <v>1550</v>
      </c>
      <c r="S545" t="s">
        <v>67</v>
      </c>
      <c r="T545" t="s">
        <v>81</v>
      </c>
      <c r="U545">
        <v>0</v>
      </c>
      <c r="V545" t="s">
        <v>31</v>
      </c>
      <c r="W545">
        <f>excelsalesdata[[#This Row],[Quantity]]*excelsalesdata[[#This Row],[Unit_Price]]</f>
        <v>7530</v>
      </c>
      <c r="X545">
        <f>excelsalesdata[[#This Row],[Gross_sales]]*excelsalesdata[[#This Row],[Discount_%]]</f>
        <v>1506</v>
      </c>
      <c r="Y545">
        <f>excelsalesdata[[#This Row],[Gross_sales]]-excelsalesdata[[#This Row],[Discount_amt]]</f>
        <v>6024</v>
      </c>
      <c r="Z545" s="4">
        <f>excelsalesdata[[#This Row],[Net_sales]]-excelsalesdata[[#This Row],[Cost]]</f>
        <v>4474</v>
      </c>
      <c r="AA545" s="5">
        <f>excelsalesdata[[#This Row],[Profit]]/excelsalesdata[[#This Row],[Net_sales]]</f>
        <v>0.74269588313413015</v>
      </c>
      <c r="AB545" s="4">
        <f>YEAR(excelsalesdata[[#This Row],[Order_Date]])</f>
        <v>2026</v>
      </c>
      <c r="AC545" s="4" t="str">
        <f>TEXT(excelsalesdata[[#This Row],[Order_Date]],"mmm")</f>
        <v>Oct</v>
      </c>
      <c r="AD545" s="4" t="str">
        <f>"Q"&amp;ROUNDUP(MONTH(excelsalesdata[[#This Row],[Order_Date]])/3,0)</f>
        <v>Q4</v>
      </c>
    </row>
    <row r="546" spans="1:30" x14ac:dyDescent="0.35">
      <c r="A546" t="s">
        <v>1191</v>
      </c>
      <c r="B546" s="3">
        <v>46304</v>
      </c>
      <c r="C546" t="s">
        <v>261</v>
      </c>
      <c r="D546" t="s">
        <v>273</v>
      </c>
      <c r="E546" t="str">
        <f>TRIM(excelsalesdata[[#This Row],[Customer_Name]])</f>
        <v>Aarav Sharma</v>
      </c>
      <c r="F546" t="s">
        <v>23</v>
      </c>
      <c r="G546">
        <v>18</v>
      </c>
      <c r="H546" t="s">
        <v>133</v>
      </c>
      <c r="I546" t="str">
        <f>TRIM(excelsalesdata[[#This Row],[City]])</f>
        <v>Jaipur</v>
      </c>
      <c r="J546" t="s">
        <v>134</v>
      </c>
      <c r="K546" t="s">
        <v>61</v>
      </c>
      <c r="L546" t="s">
        <v>93</v>
      </c>
      <c r="M546" t="s">
        <v>718</v>
      </c>
      <c r="N546" t="s">
        <v>718</v>
      </c>
      <c r="O546">
        <v>5</v>
      </c>
      <c r="P546">
        <v>1700</v>
      </c>
      <c r="Q546">
        <v>0.1</v>
      </c>
      <c r="R546">
        <v>890</v>
      </c>
      <c r="S546" t="s">
        <v>105</v>
      </c>
      <c r="T546" t="s">
        <v>30</v>
      </c>
      <c r="U546">
        <v>3</v>
      </c>
      <c r="V546" t="s">
        <v>40</v>
      </c>
      <c r="W546">
        <f>excelsalesdata[[#This Row],[Quantity]]*excelsalesdata[[#This Row],[Unit_Price]]</f>
        <v>8500</v>
      </c>
      <c r="X546">
        <f>excelsalesdata[[#This Row],[Gross_sales]]*excelsalesdata[[#This Row],[Discount_%]]</f>
        <v>850</v>
      </c>
      <c r="Y546">
        <f>excelsalesdata[[#This Row],[Gross_sales]]-excelsalesdata[[#This Row],[Discount_amt]]</f>
        <v>7650</v>
      </c>
      <c r="Z546" s="4">
        <f>excelsalesdata[[#This Row],[Net_sales]]-excelsalesdata[[#This Row],[Cost]]</f>
        <v>6760</v>
      </c>
      <c r="AA546" s="5">
        <f>excelsalesdata[[#This Row],[Profit]]/excelsalesdata[[#This Row],[Net_sales]]</f>
        <v>0.88366013071895422</v>
      </c>
      <c r="AB546" s="4">
        <f>YEAR(excelsalesdata[[#This Row],[Order_Date]])</f>
        <v>2026</v>
      </c>
      <c r="AC546" s="4" t="str">
        <f>TEXT(excelsalesdata[[#This Row],[Order_Date]],"mmm")</f>
        <v>Oct</v>
      </c>
      <c r="AD546" s="4" t="str">
        <f>"Q"&amp;ROUNDUP(MONTH(excelsalesdata[[#This Row],[Order_Date]])/3,0)</f>
        <v>Q4</v>
      </c>
    </row>
    <row r="547" spans="1:30" x14ac:dyDescent="0.35">
      <c r="A547" t="s">
        <v>1192</v>
      </c>
      <c r="B547" s="3">
        <v>46305</v>
      </c>
      <c r="C547" t="s">
        <v>1193</v>
      </c>
      <c r="D547" t="s">
        <v>798</v>
      </c>
      <c r="E547" t="str">
        <f>TRIM(excelsalesdata[[#This Row],[Customer_Name]])</f>
        <v>Rahul Bhat</v>
      </c>
      <c r="F547" t="s">
        <v>44</v>
      </c>
      <c r="G547">
        <v>37</v>
      </c>
      <c r="H547" t="s">
        <v>109</v>
      </c>
      <c r="I547" t="str">
        <f>TRIM(excelsalesdata[[#This Row],[City]])</f>
        <v>Mysuru</v>
      </c>
      <c r="J547" t="s">
        <v>53</v>
      </c>
      <c r="K547" t="s">
        <v>47</v>
      </c>
      <c r="L547" t="s">
        <v>103</v>
      </c>
      <c r="M547" t="s">
        <v>238</v>
      </c>
      <c r="N547" t="s">
        <v>238</v>
      </c>
      <c r="O547">
        <v>2</v>
      </c>
      <c r="P547">
        <v>4130</v>
      </c>
      <c r="Q547">
        <v>0</v>
      </c>
      <c r="R547">
        <v>2680</v>
      </c>
      <c r="S547" t="s">
        <v>151</v>
      </c>
      <c r="T547" t="s">
        <v>30</v>
      </c>
      <c r="U547">
        <v>1</v>
      </c>
      <c r="V547" t="s">
        <v>40</v>
      </c>
      <c r="W547">
        <f>excelsalesdata[[#This Row],[Quantity]]*excelsalesdata[[#This Row],[Unit_Price]]</f>
        <v>8260</v>
      </c>
      <c r="X547">
        <f>excelsalesdata[[#This Row],[Gross_sales]]*excelsalesdata[[#This Row],[Discount_%]]</f>
        <v>0</v>
      </c>
      <c r="Y547">
        <f>excelsalesdata[[#This Row],[Gross_sales]]-excelsalesdata[[#This Row],[Discount_amt]]</f>
        <v>8260</v>
      </c>
      <c r="Z547" s="4">
        <f>excelsalesdata[[#This Row],[Net_sales]]-excelsalesdata[[#This Row],[Cost]]</f>
        <v>5580</v>
      </c>
      <c r="AA547" s="5">
        <f>excelsalesdata[[#This Row],[Profit]]/excelsalesdata[[#This Row],[Net_sales]]</f>
        <v>0.67554479418886193</v>
      </c>
      <c r="AB547" s="4">
        <f>YEAR(excelsalesdata[[#This Row],[Order_Date]])</f>
        <v>2026</v>
      </c>
      <c r="AC547" s="4" t="str">
        <f>TEXT(excelsalesdata[[#This Row],[Order_Date]],"mmm")</f>
        <v>Oct</v>
      </c>
      <c r="AD547" s="4" t="str">
        <f>"Q"&amp;ROUNDUP(MONTH(excelsalesdata[[#This Row],[Order_Date]])/3,0)</f>
        <v>Q4</v>
      </c>
    </row>
    <row r="548" spans="1:30" x14ac:dyDescent="0.35">
      <c r="A548" t="s">
        <v>1194</v>
      </c>
      <c r="B548" s="3">
        <v>46306</v>
      </c>
      <c r="C548" t="s">
        <v>33</v>
      </c>
      <c r="D548" t="s">
        <v>175</v>
      </c>
      <c r="E548" t="str">
        <f>TRIM(excelsalesdata[[#This Row],[Customer_Name]])</f>
        <v>Kavya Naidu</v>
      </c>
      <c r="F548" t="s">
        <v>23</v>
      </c>
      <c r="G548">
        <v>18</v>
      </c>
      <c r="H548" t="s">
        <v>190</v>
      </c>
      <c r="I548" t="str">
        <f>TRIM(excelsalesdata[[#This Row],[City]])</f>
        <v>Ahmedabad</v>
      </c>
      <c r="J548" t="s">
        <v>191</v>
      </c>
      <c r="K548" t="s">
        <v>26</v>
      </c>
      <c r="L548" t="s">
        <v>85</v>
      </c>
      <c r="M548" t="s">
        <v>172</v>
      </c>
      <c r="N548" t="s">
        <v>172</v>
      </c>
      <c r="O548">
        <v>2</v>
      </c>
      <c r="P548">
        <v>4490</v>
      </c>
      <c r="Q548">
        <v>0.15</v>
      </c>
      <c r="R548">
        <v>2680</v>
      </c>
      <c r="S548" t="s">
        <v>29</v>
      </c>
      <c r="T548" t="s">
        <v>30</v>
      </c>
      <c r="U548">
        <v>5</v>
      </c>
      <c r="V548" t="s">
        <v>40</v>
      </c>
      <c r="W548">
        <f>excelsalesdata[[#This Row],[Quantity]]*excelsalesdata[[#This Row],[Unit_Price]]</f>
        <v>8980</v>
      </c>
      <c r="X548">
        <f>excelsalesdata[[#This Row],[Gross_sales]]*excelsalesdata[[#This Row],[Discount_%]]</f>
        <v>1347</v>
      </c>
      <c r="Y548">
        <f>excelsalesdata[[#This Row],[Gross_sales]]-excelsalesdata[[#This Row],[Discount_amt]]</f>
        <v>7633</v>
      </c>
      <c r="Z548" s="4">
        <f>excelsalesdata[[#This Row],[Net_sales]]-excelsalesdata[[#This Row],[Cost]]</f>
        <v>4953</v>
      </c>
      <c r="AA548" s="5">
        <f>excelsalesdata[[#This Row],[Profit]]/excelsalesdata[[#This Row],[Net_sales]]</f>
        <v>0.64889296475828639</v>
      </c>
      <c r="AB548" s="4">
        <f>YEAR(excelsalesdata[[#This Row],[Order_Date]])</f>
        <v>2026</v>
      </c>
      <c r="AC548" s="4" t="str">
        <f>TEXT(excelsalesdata[[#This Row],[Order_Date]],"mmm")</f>
        <v>Oct</v>
      </c>
      <c r="AD548" s="4" t="str">
        <f>"Q"&amp;ROUNDUP(MONTH(excelsalesdata[[#This Row],[Order_Date]])/3,0)</f>
        <v>Q4</v>
      </c>
    </row>
    <row r="549" spans="1:30" x14ac:dyDescent="0.35">
      <c r="A549" t="s">
        <v>1195</v>
      </c>
      <c r="B549" s="3">
        <v>46307</v>
      </c>
      <c r="C549" t="s">
        <v>612</v>
      </c>
      <c r="D549" t="s">
        <v>1197</v>
      </c>
      <c r="E549" t="str">
        <f>TRIM(excelsalesdata[[#This Row],[Customer_Name]])</f>
        <v>Rahul Rao</v>
      </c>
      <c r="F549" t="s">
        <v>44</v>
      </c>
      <c r="G549">
        <v>58</v>
      </c>
      <c r="H549" t="s">
        <v>185</v>
      </c>
      <c r="I549" t="str">
        <f>TRIM(excelsalesdata[[#This Row],[City]])</f>
        <v>Lucknow</v>
      </c>
      <c r="J549" t="s">
        <v>186</v>
      </c>
      <c r="K549" t="s">
        <v>61</v>
      </c>
      <c r="L549" t="s">
        <v>85</v>
      </c>
      <c r="M549" t="s">
        <v>86</v>
      </c>
      <c r="N549" t="s">
        <v>86</v>
      </c>
      <c r="O549">
        <v>1</v>
      </c>
      <c r="P549">
        <v>2700</v>
      </c>
      <c r="Q549">
        <v>0.15</v>
      </c>
      <c r="R549">
        <v>1560</v>
      </c>
      <c r="S549" t="s">
        <v>29</v>
      </c>
      <c r="T549" t="s">
        <v>99</v>
      </c>
      <c r="U549">
        <v>2</v>
      </c>
      <c r="V549" t="s">
        <v>40</v>
      </c>
      <c r="W549">
        <f>excelsalesdata[[#This Row],[Quantity]]*excelsalesdata[[#This Row],[Unit_Price]]</f>
        <v>2700</v>
      </c>
      <c r="X549">
        <f>excelsalesdata[[#This Row],[Gross_sales]]*excelsalesdata[[#This Row],[Discount_%]]</f>
        <v>405</v>
      </c>
      <c r="Y549">
        <f>excelsalesdata[[#This Row],[Gross_sales]]-excelsalesdata[[#This Row],[Discount_amt]]</f>
        <v>2295</v>
      </c>
      <c r="Z549" s="4">
        <f>excelsalesdata[[#This Row],[Net_sales]]-excelsalesdata[[#This Row],[Cost]]</f>
        <v>735</v>
      </c>
      <c r="AA549" s="5">
        <f>excelsalesdata[[#This Row],[Profit]]/excelsalesdata[[#This Row],[Net_sales]]</f>
        <v>0.3202614379084967</v>
      </c>
      <c r="AB549" s="4">
        <f>YEAR(excelsalesdata[[#This Row],[Order_Date]])</f>
        <v>2026</v>
      </c>
      <c r="AC549" s="4" t="str">
        <f>TEXT(excelsalesdata[[#This Row],[Order_Date]],"mmm")</f>
        <v>Oct</v>
      </c>
      <c r="AD549" s="4" t="str">
        <f>"Q"&amp;ROUNDUP(MONTH(excelsalesdata[[#This Row],[Order_Date]])/3,0)</f>
        <v>Q4</v>
      </c>
    </row>
    <row r="550" spans="1:30" x14ac:dyDescent="0.35">
      <c r="A550" t="s">
        <v>1196</v>
      </c>
      <c r="B550" s="3">
        <v>46308</v>
      </c>
      <c r="C550" t="s">
        <v>633</v>
      </c>
      <c r="D550" t="s">
        <v>328</v>
      </c>
      <c r="E550" t="str">
        <f>TRIM(excelsalesdata[[#This Row],[Customer_Name]])</f>
        <v>Aarav Verma</v>
      </c>
      <c r="F550" t="s">
        <v>44</v>
      </c>
      <c r="G550">
        <v>28</v>
      </c>
      <c r="H550" t="s">
        <v>71</v>
      </c>
      <c r="I550" t="str">
        <f>TRIM(excelsalesdata[[#This Row],[City]])</f>
        <v>Bhubaneswar</v>
      </c>
      <c r="J550" t="s">
        <v>72</v>
      </c>
      <c r="K550" t="s">
        <v>37</v>
      </c>
      <c r="L550" t="s">
        <v>54</v>
      </c>
      <c r="M550" t="s">
        <v>62</v>
      </c>
      <c r="N550" t="s">
        <v>62</v>
      </c>
      <c r="O550">
        <v>2</v>
      </c>
      <c r="P550">
        <v>23550</v>
      </c>
      <c r="Q550">
        <v>0.05</v>
      </c>
      <c r="R550">
        <v>14790</v>
      </c>
      <c r="S550" t="s">
        <v>80</v>
      </c>
      <c r="T550" t="s">
        <v>30</v>
      </c>
      <c r="U550">
        <v>2</v>
      </c>
      <c r="V550" t="s">
        <v>31</v>
      </c>
      <c r="W550">
        <f>excelsalesdata[[#This Row],[Quantity]]*excelsalesdata[[#This Row],[Unit_Price]]</f>
        <v>47100</v>
      </c>
      <c r="X550">
        <f>excelsalesdata[[#This Row],[Gross_sales]]*excelsalesdata[[#This Row],[Discount_%]]</f>
        <v>2355</v>
      </c>
      <c r="Y550">
        <f>excelsalesdata[[#This Row],[Gross_sales]]-excelsalesdata[[#This Row],[Discount_amt]]</f>
        <v>44745</v>
      </c>
      <c r="Z550" s="4">
        <f>excelsalesdata[[#This Row],[Net_sales]]-excelsalesdata[[#This Row],[Cost]]</f>
        <v>29955</v>
      </c>
      <c r="AA550" s="5">
        <f>excelsalesdata[[#This Row],[Profit]]/excelsalesdata[[#This Row],[Net_sales]]</f>
        <v>0.66946027489104931</v>
      </c>
      <c r="AB550" s="4">
        <f>YEAR(excelsalesdata[[#This Row],[Order_Date]])</f>
        <v>2026</v>
      </c>
      <c r="AC550" s="4" t="str">
        <f>TEXT(excelsalesdata[[#This Row],[Order_Date]],"mmm")</f>
        <v>Oct</v>
      </c>
      <c r="AD550" s="4" t="str">
        <f>"Q"&amp;ROUNDUP(MONTH(excelsalesdata[[#This Row],[Order_Date]])/3,0)</f>
        <v>Q4</v>
      </c>
    </row>
    <row r="551" spans="1:30" x14ac:dyDescent="0.35">
      <c r="A551" t="s">
        <v>1198</v>
      </c>
      <c r="B551" s="3">
        <v>46309</v>
      </c>
      <c r="C551" t="s">
        <v>885</v>
      </c>
      <c r="D551" t="s">
        <v>1200</v>
      </c>
      <c r="E551" t="str">
        <f>TRIM(excelsalesdata[[#This Row],[Customer_Name]])</f>
        <v>Priya Iyer</v>
      </c>
      <c r="F551" t="s">
        <v>23</v>
      </c>
      <c r="G551">
        <v>45</v>
      </c>
      <c r="H551" t="s">
        <v>52</v>
      </c>
      <c r="I551" t="str">
        <f>TRIM(excelsalesdata[[#This Row],[City]])</f>
        <v>Bengaluru</v>
      </c>
      <c r="J551" t="s">
        <v>53</v>
      </c>
      <c r="K551" t="s">
        <v>47</v>
      </c>
      <c r="L551" t="s">
        <v>93</v>
      </c>
      <c r="M551" t="s">
        <v>94</v>
      </c>
      <c r="N551" t="s">
        <v>94</v>
      </c>
      <c r="O551">
        <v>3</v>
      </c>
      <c r="P551">
        <v>500</v>
      </c>
      <c r="Q551">
        <v>0.1</v>
      </c>
      <c r="R551">
        <v>230</v>
      </c>
      <c r="S551" t="s">
        <v>105</v>
      </c>
      <c r="T551" t="s">
        <v>30</v>
      </c>
      <c r="U551">
        <v>6</v>
      </c>
      <c r="V551" t="s">
        <v>40</v>
      </c>
      <c r="W551">
        <f>excelsalesdata[[#This Row],[Quantity]]*excelsalesdata[[#This Row],[Unit_Price]]</f>
        <v>1500</v>
      </c>
      <c r="X551">
        <f>excelsalesdata[[#This Row],[Gross_sales]]*excelsalesdata[[#This Row],[Discount_%]]</f>
        <v>150</v>
      </c>
      <c r="Y551">
        <f>excelsalesdata[[#This Row],[Gross_sales]]-excelsalesdata[[#This Row],[Discount_amt]]</f>
        <v>1350</v>
      </c>
      <c r="Z551" s="4">
        <f>excelsalesdata[[#This Row],[Net_sales]]-excelsalesdata[[#This Row],[Cost]]</f>
        <v>1120</v>
      </c>
      <c r="AA551" s="5">
        <f>excelsalesdata[[#This Row],[Profit]]/excelsalesdata[[#This Row],[Net_sales]]</f>
        <v>0.82962962962962961</v>
      </c>
      <c r="AB551" s="4">
        <f>YEAR(excelsalesdata[[#This Row],[Order_Date]])</f>
        <v>2026</v>
      </c>
      <c r="AC551" s="4" t="str">
        <f>TEXT(excelsalesdata[[#This Row],[Order_Date]],"mmm")</f>
        <v>Oct</v>
      </c>
      <c r="AD551" s="4" t="str">
        <f>"Q"&amp;ROUNDUP(MONTH(excelsalesdata[[#This Row],[Order_Date]])/3,0)</f>
        <v>Q4</v>
      </c>
    </row>
    <row r="552" spans="1:30" x14ac:dyDescent="0.35">
      <c r="A552" t="s">
        <v>1199</v>
      </c>
      <c r="B552" s="3">
        <v>46310</v>
      </c>
      <c r="C552" t="s">
        <v>805</v>
      </c>
      <c r="D552" t="s">
        <v>1202</v>
      </c>
      <c r="E552" t="str">
        <f>TRIM(excelsalesdata[[#This Row],[Customer_Name]])</f>
        <v>Ishita Naidu</v>
      </c>
      <c r="F552" t="s">
        <v>44</v>
      </c>
      <c r="G552">
        <v>59</v>
      </c>
      <c r="H552" t="s">
        <v>35</v>
      </c>
      <c r="I552" t="str">
        <f>TRIM(excelsalesdata[[#This Row],[City]])</f>
        <v>Kolkata</v>
      </c>
      <c r="J552" t="s">
        <v>36</v>
      </c>
      <c r="K552" t="s">
        <v>37</v>
      </c>
      <c r="L552" t="s">
        <v>54</v>
      </c>
      <c r="M552" t="s">
        <v>66</v>
      </c>
      <c r="N552" t="s">
        <v>66</v>
      </c>
      <c r="O552">
        <v>1</v>
      </c>
      <c r="P552">
        <v>2400</v>
      </c>
      <c r="Q552">
        <v>0.15</v>
      </c>
      <c r="R552">
        <v>1530</v>
      </c>
      <c r="S552" t="s">
        <v>80</v>
      </c>
      <c r="T552" t="s">
        <v>30</v>
      </c>
      <c r="U552">
        <v>6</v>
      </c>
      <c r="V552" t="s">
        <v>40</v>
      </c>
      <c r="W552">
        <f>excelsalesdata[[#This Row],[Quantity]]*excelsalesdata[[#This Row],[Unit_Price]]</f>
        <v>2400</v>
      </c>
      <c r="X552">
        <f>excelsalesdata[[#This Row],[Gross_sales]]*excelsalesdata[[#This Row],[Discount_%]]</f>
        <v>360</v>
      </c>
      <c r="Y552">
        <f>excelsalesdata[[#This Row],[Gross_sales]]-excelsalesdata[[#This Row],[Discount_amt]]</f>
        <v>2040</v>
      </c>
      <c r="Z552" s="4">
        <f>excelsalesdata[[#This Row],[Net_sales]]-excelsalesdata[[#This Row],[Cost]]</f>
        <v>510</v>
      </c>
      <c r="AA552" s="5">
        <f>excelsalesdata[[#This Row],[Profit]]/excelsalesdata[[#This Row],[Net_sales]]</f>
        <v>0.25</v>
      </c>
      <c r="AB552" s="4">
        <f>YEAR(excelsalesdata[[#This Row],[Order_Date]])</f>
        <v>2026</v>
      </c>
      <c r="AC552" s="4" t="str">
        <f>TEXT(excelsalesdata[[#This Row],[Order_Date]],"mmm")</f>
        <v>Oct</v>
      </c>
      <c r="AD552" s="4" t="str">
        <f>"Q"&amp;ROUNDUP(MONTH(excelsalesdata[[#This Row],[Order_Date]])/3,0)</f>
        <v>Q4</v>
      </c>
    </row>
    <row r="553" spans="1:30" x14ac:dyDescent="0.35">
      <c r="A553" t="s">
        <v>1201</v>
      </c>
      <c r="B553" s="3">
        <v>46311</v>
      </c>
      <c r="C553" t="s">
        <v>809</v>
      </c>
      <c r="D553" t="s">
        <v>181</v>
      </c>
      <c r="E553" t="str">
        <f>TRIM(excelsalesdata[[#This Row],[Customer_Name]])</f>
        <v>Ananya Patel</v>
      </c>
      <c r="F553" t="s">
        <v>44</v>
      </c>
      <c r="G553">
        <v>33</v>
      </c>
      <c r="H553" t="s">
        <v>185</v>
      </c>
      <c r="I553" t="str">
        <f>TRIM(excelsalesdata[[#This Row],[City]])</f>
        <v>Lucknow</v>
      </c>
      <c r="J553" t="s">
        <v>186</v>
      </c>
      <c r="K553" t="s">
        <v>61</v>
      </c>
      <c r="L553" t="s">
        <v>38</v>
      </c>
      <c r="M553" t="s">
        <v>255</v>
      </c>
      <c r="N553" t="s">
        <v>255</v>
      </c>
      <c r="O553">
        <v>1</v>
      </c>
      <c r="P553">
        <v>4560</v>
      </c>
      <c r="Q553">
        <v>0.1</v>
      </c>
      <c r="R553">
        <v>2970</v>
      </c>
      <c r="S553" t="s">
        <v>151</v>
      </c>
      <c r="T553" t="s">
        <v>30</v>
      </c>
      <c r="U553">
        <v>1</v>
      </c>
      <c r="V553" t="s">
        <v>40</v>
      </c>
      <c r="W553">
        <f>excelsalesdata[[#This Row],[Quantity]]*excelsalesdata[[#This Row],[Unit_Price]]</f>
        <v>4560</v>
      </c>
      <c r="X553">
        <f>excelsalesdata[[#This Row],[Gross_sales]]*excelsalesdata[[#This Row],[Discount_%]]</f>
        <v>456</v>
      </c>
      <c r="Y553">
        <f>excelsalesdata[[#This Row],[Gross_sales]]-excelsalesdata[[#This Row],[Discount_amt]]</f>
        <v>4104</v>
      </c>
      <c r="Z553" s="4">
        <f>excelsalesdata[[#This Row],[Net_sales]]-excelsalesdata[[#This Row],[Cost]]</f>
        <v>1134</v>
      </c>
      <c r="AA553" s="5">
        <f>excelsalesdata[[#This Row],[Profit]]/excelsalesdata[[#This Row],[Net_sales]]</f>
        <v>0.27631578947368424</v>
      </c>
      <c r="AB553" s="4">
        <f>YEAR(excelsalesdata[[#This Row],[Order_Date]])</f>
        <v>2026</v>
      </c>
      <c r="AC553" s="4" t="str">
        <f>TEXT(excelsalesdata[[#This Row],[Order_Date]],"mmm")</f>
        <v>Oct</v>
      </c>
      <c r="AD553" s="4" t="str">
        <f>"Q"&amp;ROUNDUP(MONTH(excelsalesdata[[#This Row],[Order_Date]])/3,0)</f>
        <v>Q4</v>
      </c>
    </row>
    <row r="554" spans="1:30" x14ac:dyDescent="0.35">
      <c r="A554" t="s">
        <v>1203</v>
      </c>
      <c r="B554" s="3">
        <v>46312</v>
      </c>
      <c r="C554" t="s">
        <v>1204</v>
      </c>
      <c r="D554" t="s">
        <v>208</v>
      </c>
      <c r="E554" t="str">
        <f>TRIM(excelsalesdata[[#This Row],[Customer_Name]])</f>
        <v>Aarav Singh</v>
      </c>
      <c r="F554" t="s">
        <v>23</v>
      </c>
      <c r="G554">
        <v>29</v>
      </c>
      <c r="H554" t="s">
        <v>24</v>
      </c>
      <c r="I554" t="str">
        <f>TRIM(excelsalesdata[[#This Row],[City]])</f>
        <v>Pune</v>
      </c>
      <c r="J554" t="s">
        <v>25</v>
      </c>
      <c r="K554" t="s">
        <v>26</v>
      </c>
      <c r="L554" t="s">
        <v>27</v>
      </c>
      <c r="M554" t="s">
        <v>123</v>
      </c>
      <c r="N554" t="s">
        <v>123</v>
      </c>
      <c r="O554">
        <v>2</v>
      </c>
      <c r="P554">
        <v>2810</v>
      </c>
      <c r="Q554">
        <v>0.1</v>
      </c>
      <c r="R554">
        <v>1570</v>
      </c>
      <c r="S554" t="s">
        <v>29</v>
      </c>
      <c r="T554" t="s">
        <v>30</v>
      </c>
      <c r="U554">
        <v>3</v>
      </c>
      <c r="V554" t="s">
        <v>31</v>
      </c>
      <c r="W554">
        <f>excelsalesdata[[#This Row],[Quantity]]*excelsalesdata[[#This Row],[Unit_Price]]</f>
        <v>5620</v>
      </c>
      <c r="X554">
        <f>excelsalesdata[[#This Row],[Gross_sales]]*excelsalesdata[[#This Row],[Discount_%]]</f>
        <v>562</v>
      </c>
      <c r="Y554">
        <f>excelsalesdata[[#This Row],[Gross_sales]]-excelsalesdata[[#This Row],[Discount_amt]]</f>
        <v>5058</v>
      </c>
      <c r="Z554" s="4">
        <f>excelsalesdata[[#This Row],[Net_sales]]-excelsalesdata[[#This Row],[Cost]]</f>
        <v>3488</v>
      </c>
      <c r="AA554" s="5">
        <f>excelsalesdata[[#This Row],[Profit]]/excelsalesdata[[#This Row],[Net_sales]]</f>
        <v>0.68960063266113092</v>
      </c>
      <c r="AB554" s="4">
        <f>YEAR(excelsalesdata[[#This Row],[Order_Date]])</f>
        <v>2026</v>
      </c>
      <c r="AC554" s="4" t="str">
        <f>TEXT(excelsalesdata[[#This Row],[Order_Date]],"mmm")</f>
        <v>Oct</v>
      </c>
      <c r="AD554" s="4" t="str">
        <f>"Q"&amp;ROUNDUP(MONTH(excelsalesdata[[#This Row],[Order_Date]])/3,0)</f>
        <v>Q4</v>
      </c>
    </row>
    <row r="555" spans="1:30" x14ac:dyDescent="0.35">
      <c r="A555" t="s">
        <v>1205</v>
      </c>
      <c r="B555" s="3">
        <v>46313</v>
      </c>
      <c r="C555" t="s">
        <v>1137</v>
      </c>
      <c r="D555" t="s">
        <v>1013</v>
      </c>
      <c r="E555" t="str">
        <f>TRIM(excelsalesdata[[#This Row],[Customer_Name]])</f>
        <v>Aarav Mehta</v>
      </c>
      <c r="F555" t="s">
        <v>44</v>
      </c>
      <c r="G555">
        <v>35</v>
      </c>
      <c r="H555" t="s">
        <v>185</v>
      </c>
      <c r="I555" t="str">
        <f>TRIM(excelsalesdata[[#This Row],[City]])</f>
        <v>Lucknow</v>
      </c>
      <c r="J555" t="s">
        <v>186</v>
      </c>
      <c r="K555" t="s">
        <v>61</v>
      </c>
      <c r="L555" t="s">
        <v>38</v>
      </c>
      <c r="M555" t="s">
        <v>255</v>
      </c>
      <c r="N555" t="s">
        <v>255</v>
      </c>
      <c r="O555">
        <v>1</v>
      </c>
      <c r="P555">
        <v>4220</v>
      </c>
      <c r="Q555">
        <v>0.15</v>
      </c>
      <c r="R555">
        <v>2880</v>
      </c>
      <c r="S555" t="s">
        <v>29</v>
      </c>
      <c r="T555" t="s">
        <v>30</v>
      </c>
      <c r="U555">
        <v>2</v>
      </c>
      <c r="V555" t="s">
        <v>31</v>
      </c>
      <c r="W555">
        <f>excelsalesdata[[#This Row],[Quantity]]*excelsalesdata[[#This Row],[Unit_Price]]</f>
        <v>4220</v>
      </c>
      <c r="X555">
        <f>excelsalesdata[[#This Row],[Gross_sales]]*excelsalesdata[[#This Row],[Discount_%]]</f>
        <v>633</v>
      </c>
      <c r="Y555">
        <f>excelsalesdata[[#This Row],[Gross_sales]]-excelsalesdata[[#This Row],[Discount_amt]]</f>
        <v>3587</v>
      </c>
      <c r="Z555" s="4">
        <f>excelsalesdata[[#This Row],[Net_sales]]-excelsalesdata[[#This Row],[Cost]]</f>
        <v>707</v>
      </c>
      <c r="AA555" s="5">
        <f>excelsalesdata[[#This Row],[Profit]]/excelsalesdata[[#This Row],[Net_sales]]</f>
        <v>0.19710064120434903</v>
      </c>
      <c r="AB555" s="4">
        <f>YEAR(excelsalesdata[[#This Row],[Order_Date]])</f>
        <v>2026</v>
      </c>
      <c r="AC555" s="4" t="str">
        <f>TEXT(excelsalesdata[[#This Row],[Order_Date]],"mmm")</f>
        <v>Oct</v>
      </c>
      <c r="AD555" s="4" t="str">
        <f>"Q"&amp;ROUNDUP(MONTH(excelsalesdata[[#This Row],[Order_Date]])/3,0)</f>
        <v>Q4</v>
      </c>
    </row>
    <row r="556" spans="1:30" x14ac:dyDescent="0.35">
      <c r="A556" t="s">
        <v>1206</v>
      </c>
      <c r="B556" s="3">
        <v>46314</v>
      </c>
      <c r="C556" t="s">
        <v>1207</v>
      </c>
      <c r="D556" t="s">
        <v>563</v>
      </c>
      <c r="E556" t="str">
        <f>TRIM(excelsalesdata[[#This Row],[Customer_Name]])</f>
        <v>Sneha Verma</v>
      </c>
      <c r="F556" t="s">
        <v>44</v>
      </c>
      <c r="G556">
        <v>59</v>
      </c>
      <c r="H556" t="s">
        <v>190</v>
      </c>
      <c r="I556" t="str">
        <f>TRIM(excelsalesdata[[#This Row],[City]])</f>
        <v>Ahmedabad</v>
      </c>
      <c r="J556" t="s">
        <v>191</v>
      </c>
      <c r="K556" t="s">
        <v>26</v>
      </c>
      <c r="L556" t="s">
        <v>93</v>
      </c>
      <c r="M556" t="s">
        <v>206</v>
      </c>
      <c r="N556" t="s">
        <v>206</v>
      </c>
      <c r="O556">
        <v>2</v>
      </c>
      <c r="P556">
        <v>620</v>
      </c>
      <c r="Q556">
        <v>0.05</v>
      </c>
      <c r="R556">
        <v>290</v>
      </c>
      <c r="S556" t="s">
        <v>67</v>
      </c>
      <c r="T556" t="s">
        <v>30</v>
      </c>
      <c r="U556">
        <v>2</v>
      </c>
      <c r="V556" t="s">
        <v>40</v>
      </c>
      <c r="W556">
        <f>excelsalesdata[[#This Row],[Quantity]]*excelsalesdata[[#This Row],[Unit_Price]]</f>
        <v>1240</v>
      </c>
      <c r="X556">
        <f>excelsalesdata[[#This Row],[Gross_sales]]*excelsalesdata[[#This Row],[Discount_%]]</f>
        <v>62</v>
      </c>
      <c r="Y556">
        <f>excelsalesdata[[#This Row],[Gross_sales]]-excelsalesdata[[#This Row],[Discount_amt]]</f>
        <v>1178</v>
      </c>
      <c r="Z556" s="4">
        <f>excelsalesdata[[#This Row],[Net_sales]]-excelsalesdata[[#This Row],[Cost]]</f>
        <v>888</v>
      </c>
      <c r="AA556" s="5">
        <f>excelsalesdata[[#This Row],[Profit]]/excelsalesdata[[#This Row],[Net_sales]]</f>
        <v>0.75382003395585739</v>
      </c>
      <c r="AB556" s="4">
        <f>YEAR(excelsalesdata[[#This Row],[Order_Date]])</f>
        <v>2026</v>
      </c>
      <c r="AC556" s="4" t="str">
        <f>TEXT(excelsalesdata[[#This Row],[Order_Date]],"mmm")</f>
        <v>Oct</v>
      </c>
      <c r="AD556" s="4" t="str">
        <f>"Q"&amp;ROUNDUP(MONTH(excelsalesdata[[#This Row],[Order_Date]])/3,0)</f>
        <v>Q4</v>
      </c>
    </row>
    <row r="557" spans="1:30" x14ac:dyDescent="0.35">
      <c r="A557" t="s">
        <v>1208</v>
      </c>
      <c r="B557" s="3">
        <v>46315</v>
      </c>
      <c r="C557" t="s">
        <v>379</v>
      </c>
      <c r="D557" t="s">
        <v>355</v>
      </c>
      <c r="E557" t="str">
        <f>TRIM(excelsalesdata[[#This Row],[Customer_Name]])</f>
        <v>Diya Reddy</v>
      </c>
      <c r="F557" t="s">
        <v>23</v>
      </c>
      <c r="G557">
        <v>21</v>
      </c>
      <c r="H557" t="s">
        <v>52</v>
      </c>
      <c r="I557" t="str">
        <f>TRIM(excelsalesdata[[#This Row],[City]])</f>
        <v>Bengaluru</v>
      </c>
      <c r="J557" t="s">
        <v>53</v>
      </c>
      <c r="K557" t="s">
        <v>47</v>
      </c>
      <c r="L557" t="s">
        <v>54</v>
      </c>
      <c r="M557" t="s">
        <v>66</v>
      </c>
      <c r="N557" t="s">
        <v>66</v>
      </c>
      <c r="O557">
        <v>4</v>
      </c>
      <c r="P557">
        <v>2610</v>
      </c>
      <c r="Q557">
        <v>0.2</v>
      </c>
      <c r="R557">
        <v>1540</v>
      </c>
      <c r="S557" t="s">
        <v>29</v>
      </c>
      <c r="T557" t="s">
        <v>74</v>
      </c>
      <c r="U557">
        <v>2</v>
      </c>
      <c r="V557" t="s">
        <v>40</v>
      </c>
      <c r="W557">
        <f>excelsalesdata[[#This Row],[Quantity]]*excelsalesdata[[#This Row],[Unit_Price]]</f>
        <v>10440</v>
      </c>
      <c r="X557">
        <f>excelsalesdata[[#This Row],[Gross_sales]]*excelsalesdata[[#This Row],[Discount_%]]</f>
        <v>2088</v>
      </c>
      <c r="Y557">
        <f>excelsalesdata[[#This Row],[Gross_sales]]-excelsalesdata[[#This Row],[Discount_amt]]</f>
        <v>8352</v>
      </c>
      <c r="Z557" s="4">
        <f>excelsalesdata[[#This Row],[Net_sales]]-excelsalesdata[[#This Row],[Cost]]</f>
        <v>6812</v>
      </c>
      <c r="AA557" s="5">
        <f>excelsalesdata[[#This Row],[Profit]]/excelsalesdata[[#This Row],[Net_sales]]</f>
        <v>0.81561302681992343</v>
      </c>
      <c r="AB557" s="4">
        <f>YEAR(excelsalesdata[[#This Row],[Order_Date]])</f>
        <v>2026</v>
      </c>
      <c r="AC557" s="4" t="str">
        <f>TEXT(excelsalesdata[[#This Row],[Order_Date]],"mmm")</f>
        <v>Oct</v>
      </c>
      <c r="AD557" s="4" t="str">
        <f>"Q"&amp;ROUNDUP(MONTH(excelsalesdata[[#This Row],[Order_Date]])/3,0)</f>
        <v>Q4</v>
      </c>
    </row>
    <row r="558" spans="1:30" x14ac:dyDescent="0.35">
      <c r="A558" t="s">
        <v>1209</v>
      </c>
      <c r="B558" s="3">
        <v>46316</v>
      </c>
      <c r="C558" t="s">
        <v>1210</v>
      </c>
      <c r="D558" t="s">
        <v>328</v>
      </c>
      <c r="E558" t="str">
        <f>TRIM(excelsalesdata[[#This Row],[Customer_Name]])</f>
        <v>Aarav Verma</v>
      </c>
      <c r="F558" t="s">
        <v>23</v>
      </c>
      <c r="G558">
        <v>28</v>
      </c>
      <c r="H558" t="s">
        <v>133</v>
      </c>
      <c r="I558" t="str">
        <f>TRIM(excelsalesdata[[#This Row],[City]])</f>
        <v>Jaipur</v>
      </c>
      <c r="J558" t="s">
        <v>134</v>
      </c>
      <c r="K558" t="s">
        <v>61</v>
      </c>
      <c r="L558" t="s">
        <v>54</v>
      </c>
      <c r="M558" t="s">
        <v>55</v>
      </c>
      <c r="N558" t="s">
        <v>55</v>
      </c>
      <c r="O558">
        <v>5</v>
      </c>
      <c r="P558">
        <v>7520</v>
      </c>
      <c r="Q558">
        <v>0.05</v>
      </c>
      <c r="R558">
        <v>4720</v>
      </c>
      <c r="S558" t="s">
        <v>67</v>
      </c>
      <c r="T558" t="s">
        <v>30</v>
      </c>
      <c r="U558">
        <v>1</v>
      </c>
      <c r="V558" t="s">
        <v>40</v>
      </c>
      <c r="W558">
        <f>excelsalesdata[[#This Row],[Quantity]]*excelsalesdata[[#This Row],[Unit_Price]]</f>
        <v>37600</v>
      </c>
      <c r="X558">
        <f>excelsalesdata[[#This Row],[Gross_sales]]*excelsalesdata[[#This Row],[Discount_%]]</f>
        <v>1880</v>
      </c>
      <c r="Y558">
        <f>excelsalesdata[[#This Row],[Gross_sales]]-excelsalesdata[[#This Row],[Discount_amt]]</f>
        <v>35720</v>
      </c>
      <c r="Z558" s="4">
        <f>excelsalesdata[[#This Row],[Net_sales]]-excelsalesdata[[#This Row],[Cost]]</f>
        <v>31000</v>
      </c>
      <c r="AA558" s="5">
        <f>excelsalesdata[[#This Row],[Profit]]/excelsalesdata[[#This Row],[Net_sales]]</f>
        <v>0.8678611422172452</v>
      </c>
      <c r="AB558" s="4">
        <f>YEAR(excelsalesdata[[#This Row],[Order_Date]])</f>
        <v>2026</v>
      </c>
      <c r="AC558" s="4" t="str">
        <f>TEXT(excelsalesdata[[#This Row],[Order_Date]],"mmm")</f>
        <v>Oct</v>
      </c>
      <c r="AD558" s="4" t="str">
        <f>"Q"&amp;ROUNDUP(MONTH(excelsalesdata[[#This Row],[Order_Date]])/3,0)</f>
        <v>Q4</v>
      </c>
    </row>
    <row r="559" spans="1:30" x14ac:dyDescent="0.35">
      <c r="A559" t="s">
        <v>1211</v>
      </c>
      <c r="B559" s="3">
        <v>46317</v>
      </c>
      <c r="C559" t="s">
        <v>425</v>
      </c>
      <c r="D559" t="s">
        <v>1213</v>
      </c>
      <c r="E559" t="str">
        <f>TRIM(excelsalesdata[[#This Row],[Customer_Name]])</f>
        <v>Ananya Naidu</v>
      </c>
      <c r="F559" t="s">
        <v>23</v>
      </c>
      <c r="G559">
        <v>29</v>
      </c>
      <c r="H559" t="s">
        <v>24</v>
      </c>
      <c r="I559" t="str">
        <f>TRIM(excelsalesdata[[#This Row],[City]])</f>
        <v>Pune</v>
      </c>
      <c r="J559" t="s">
        <v>25</v>
      </c>
      <c r="K559" t="s">
        <v>26</v>
      </c>
      <c r="L559" t="s">
        <v>103</v>
      </c>
      <c r="M559" t="s">
        <v>238</v>
      </c>
      <c r="N559" t="s">
        <v>238</v>
      </c>
      <c r="O559">
        <v>1</v>
      </c>
      <c r="P559">
        <v>4090</v>
      </c>
      <c r="Q559">
        <v>0.05</v>
      </c>
      <c r="R559">
        <v>2570</v>
      </c>
      <c r="S559" t="s">
        <v>105</v>
      </c>
      <c r="T559" t="s">
        <v>30</v>
      </c>
      <c r="U559">
        <v>6</v>
      </c>
      <c r="V559" t="s">
        <v>40</v>
      </c>
      <c r="W559">
        <f>excelsalesdata[[#This Row],[Quantity]]*excelsalesdata[[#This Row],[Unit_Price]]</f>
        <v>4090</v>
      </c>
      <c r="X559">
        <f>excelsalesdata[[#This Row],[Gross_sales]]*excelsalesdata[[#This Row],[Discount_%]]</f>
        <v>204.5</v>
      </c>
      <c r="Y559">
        <f>excelsalesdata[[#This Row],[Gross_sales]]-excelsalesdata[[#This Row],[Discount_amt]]</f>
        <v>3885.5</v>
      </c>
      <c r="Z559" s="4">
        <f>excelsalesdata[[#This Row],[Net_sales]]-excelsalesdata[[#This Row],[Cost]]</f>
        <v>1315.5</v>
      </c>
      <c r="AA559" s="5">
        <f>excelsalesdata[[#This Row],[Profit]]/excelsalesdata[[#This Row],[Net_sales]]</f>
        <v>0.3385664650624115</v>
      </c>
      <c r="AB559" s="4">
        <f>YEAR(excelsalesdata[[#This Row],[Order_Date]])</f>
        <v>2026</v>
      </c>
      <c r="AC559" s="4" t="str">
        <f>TEXT(excelsalesdata[[#This Row],[Order_Date]],"mmm")</f>
        <v>Oct</v>
      </c>
      <c r="AD559" s="4" t="str">
        <f>"Q"&amp;ROUNDUP(MONTH(excelsalesdata[[#This Row],[Order_Date]])/3,0)</f>
        <v>Q4</v>
      </c>
    </row>
    <row r="560" spans="1:30" x14ac:dyDescent="0.35">
      <c r="A560" t="s">
        <v>1212</v>
      </c>
      <c r="B560" s="3">
        <v>46318</v>
      </c>
      <c r="C560" t="s">
        <v>953</v>
      </c>
      <c r="D560" t="s">
        <v>171</v>
      </c>
      <c r="E560" t="str">
        <f>TRIM(excelsalesdata[[#This Row],[Customer_Name]])</f>
        <v>Sneha Rao</v>
      </c>
      <c r="F560" t="s">
        <v>44</v>
      </c>
      <c r="G560">
        <v>51</v>
      </c>
      <c r="H560" t="s">
        <v>52</v>
      </c>
      <c r="I560" t="str">
        <f>TRIM(excelsalesdata[[#This Row],[City]])</f>
        <v>Bengaluru</v>
      </c>
      <c r="J560" t="s">
        <v>53</v>
      </c>
      <c r="K560" t="s">
        <v>47</v>
      </c>
      <c r="L560" t="s">
        <v>38</v>
      </c>
      <c r="M560" t="s">
        <v>255</v>
      </c>
      <c r="N560" t="s">
        <v>255</v>
      </c>
      <c r="O560">
        <v>1</v>
      </c>
      <c r="P560">
        <v>4630</v>
      </c>
      <c r="Q560">
        <v>0.1</v>
      </c>
      <c r="R560">
        <v>3030</v>
      </c>
      <c r="S560" t="s">
        <v>105</v>
      </c>
      <c r="T560" t="s">
        <v>30</v>
      </c>
      <c r="U560">
        <v>2</v>
      </c>
      <c r="V560" t="s">
        <v>40</v>
      </c>
      <c r="W560">
        <f>excelsalesdata[[#This Row],[Quantity]]*excelsalesdata[[#This Row],[Unit_Price]]</f>
        <v>4630</v>
      </c>
      <c r="X560">
        <f>excelsalesdata[[#This Row],[Gross_sales]]*excelsalesdata[[#This Row],[Discount_%]]</f>
        <v>463</v>
      </c>
      <c r="Y560">
        <f>excelsalesdata[[#This Row],[Gross_sales]]-excelsalesdata[[#This Row],[Discount_amt]]</f>
        <v>4167</v>
      </c>
      <c r="Z560" s="4">
        <f>excelsalesdata[[#This Row],[Net_sales]]-excelsalesdata[[#This Row],[Cost]]</f>
        <v>1137</v>
      </c>
      <c r="AA560" s="5">
        <f>excelsalesdata[[#This Row],[Profit]]/excelsalesdata[[#This Row],[Net_sales]]</f>
        <v>0.27285817134629231</v>
      </c>
      <c r="AB560" s="4">
        <f>YEAR(excelsalesdata[[#This Row],[Order_Date]])</f>
        <v>2026</v>
      </c>
      <c r="AC560" s="4" t="str">
        <f>TEXT(excelsalesdata[[#This Row],[Order_Date]],"mmm")</f>
        <v>Oct</v>
      </c>
      <c r="AD560" s="4" t="str">
        <f>"Q"&amp;ROUNDUP(MONTH(excelsalesdata[[#This Row],[Order_Date]])/3,0)</f>
        <v>Q4</v>
      </c>
    </row>
    <row r="561" spans="1:30" x14ac:dyDescent="0.35">
      <c r="A561" t="s">
        <v>1214</v>
      </c>
      <c r="B561" s="3">
        <v>46319</v>
      </c>
      <c r="C561" t="s">
        <v>674</v>
      </c>
      <c r="D561" t="s">
        <v>1216</v>
      </c>
      <c r="E561" t="str">
        <f>TRIM(excelsalesdata[[#This Row],[Customer_Name]])</f>
        <v>Diya Sharma</v>
      </c>
      <c r="F561" t="s">
        <v>23</v>
      </c>
      <c r="G561">
        <v>35</v>
      </c>
      <c r="H561" t="s">
        <v>190</v>
      </c>
      <c r="I561" t="str">
        <f>TRIM(excelsalesdata[[#This Row],[City]])</f>
        <v>Ahmedabad</v>
      </c>
      <c r="J561" t="s">
        <v>191</v>
      </c>
      <c r="K561" t="s">
        <v>26</v>
      </c>
      <c r="L561" t="s">
        <v>27</v>
      </c>
      <c r="M561" t="s">
        <v>195</v>
      </c>
      <c r="N561" t="s">
        <v>195</v>
      </c>
      <c r="O561">
        <v>3</v>
      </c>
      <c r="P561">
        <v>2100</v>
      </c>
      <c r="Q561">
        <v>0.15</v>
      </c>
      <c r="R561">
        <v>1210</v>
      </c>
      <c r="S561" t="s">
        <v>67</v>
      </c>
      <c r="T561" t="s">
        <v>30</v>
      </c>
      <c r="U561">
        <v>2</v>
      </c>
      <c r="V561" t="s">
        <v>31</v>
      </c>
      <c r="W561">
        <f>excelsalesdata[[#This Row],[Quantity]]*excelsalesdata[[#This Row],[Unit_Price]]</f>
        <v>6300</v>
      </c>
      <c r="X561">
        <f>excelsalesdata[[#This Row],[Gross_sales]]*excelsalesdata[[#This Row],[Discount_%]]</f>
        <v>945</v>
      </c>
      <c r="Y561">
        <f>excelsalesdata[[#This Row],[Gross_sales]]-excelsalesdata[[#This Row],[Discount_amt]]</f>
        <v>5355</v>
      </c>
      <c r="Z561" s="4">
        <f>excelsalesdata[[#This Row],[Net_sales]]-excelsalesdata[[#This Row],[Cost]]</f>
        <v>4145</v>
      </c>
      <c r="AA561" s="5">
        <f>excelsalesdata[[#This Row],[Profit]]/excelsalesdata[[#This Row],[Net_sales]]</f>
        <v>0.77404295051353877</v>
      </c>
      <c r="AB561" s="4">
        <f>YEAR(excelsalesdata[[#This Row],[Order_Date]])</f>
        <v>2026</v>
      </c>
      <c r="AC561" s="4" t="str">
        <f>TEXT(excelsalesdata[[#This Row],[Order_Date]],"mmm")</f>
        <v>Oct</v>
      </c>
      <c r="AD561" s="4" t="str">
        <f>"Q"&amp;ROUNDUP(MONTH(excelsalesdata[[#This Row],[Order_Date]])/3,0)</f>
        <v>Q4</v>
      </c>
    </row>
    <row r="562" spans="1:30" x14ac:dyDescent="0.35">
      <c r="A562" t="s">
        <v>1215</v>
      </c>
      <c r="B562" s="3">
        <v>46320</v>
      </c>
      <c r="C562" t="s">
        <v>885</v>
      </c>
      <c r="D562" t="s">
        <v>270</v>
      </c>
      <c r="E562" t="str">
        <f>TRIM(excelsalesdata[[#This Row],[Customer_Name]])</f>
        <v>Ananya Das</v>
      </c>
      <c r="F562" t="s">
        <v>44</v>
      </c>
      <c r="G562">
        <v>43</v>
      </c>
      <c r="H562" t="s">
        <v>52</v>
      </c>
      <c r="I562" t="str">
        <f>TRIM(excelsalesdata[[#This Row],[City]])</f>
        <v>Bengaluru</v>
      </c>
      <c r="J562" t="s">
        <v>53</v>
      </c>
      <c r="K562" t="s">
        <v>47</v>
      </c>
      <c r="L562" t="s">
        <v>85</v>
      </c>
      <c r="M562" t="s">
        <v>172</v>
      </c>
      <c r="N562" t="s">
        <v>172</v>
      </c>
      <c r="O562">
        <v>1</v>
      </c>
      <c r="P562">
        <v>4500</v>
      </c>
      <c r="Q562">
        <v>0.25</v>
      </c>
      <c r="R562">
        <v>2880</v>
      </c>
      <c r="S562" t="s">
        <v>80</v>
      </c>
      <c r="T562" t="s">
        <v>30</v>
      </c>
      <c r="U562">
        <v>4</v>
      </c>
      <c r="V562" t="s">
        <v>40</v>
      </c>
      <c r="W562">
        <f>excelsalesdata[[#This Row],[Quantity]]*excelsalesdata[[#This Row],[Unit_Price]]</f>
        <v>4500</v>
      </c>
      <c r="X562">
        <f>excelsalesdata[[#This Row],[Gross_sales]]*excelsalesdata[[#This Row],[Discount_%]]</f>
        <v>1125</v>
      </c>
      <c r="Y562">
        <f>excelsalesdata[[#This Row],[Gross_sales]]-excelsalesdata[[#This Row],[Discount_amt]]</f>
        <v>3375</v>
      </c>
      <c r="Z562" s="4">
        <f>excelsalesdata[[#This Row],[Net_sales]]-excelsalesdata[[#This Row],[Cost]]</f>
        <v>495</v>
      </c>
      <c r="AA562" s="5">
        <f>excelsalesdata[[#This Row],[Profit]]/excelsalesdata[[#This Row],[Net_sales]]</f>
        <v>0.14666666666666667</v>
      </c>
      <c r="AB562" s="4">
        <f>YEAR(excelsalesdata[[#This Row],[Order_Date]])</f>
        <v>2026</v>
      </c>
      <c r="AC562" s="4" t="str">
        <f>TEXT(excelsalesdata[[#This Row],[Order_Date]],"mmm")</f>
        <v>Oct</v>
      </c>
      <c r="AD562" s="4" t="str">
        <f>"Q"&amp;ROUNDUP(MONTH(excelsalesdata[[#This Row],[Order_Date]])/3,0)</f>
        <v>Q4</v>
      </c>
    </row>
    <row r="563" spans="1:30" x14ac:dyDescent="0.35">
      <c r="A563" t="s">
        <v>1217</v>
      </c>
      <c r="B563" s="3">
        <v>46321</v>
      </c>
      <c r="C563" t="s">
        <v>542</v>
      </c>
      <c r="D563" t="s">
        <v>160</v>
      </c>
      <c r="E563" t="str">
        <f>TRIM(excelsalesdata[[#This Row],[Customer_Name]])</f>
        <v>Nisha Bhat</v>
      </c>
      <c r="F563" t="s">
        <v>23</v>
      </c>
      <c r="G563">
        <v>41</v>
      </c>
      <c r="H563" t="s">
        <v>109</v>
      </c>
      <c r="I563" t="str">
        <f>TRIM(excelsalesdata[[#This Row],[City]])</f>
        <v>Mysuru</v>
      </c>
      <c r="J563" t="s">
        <v>53</v>
      </c>
      <c r="K563" t="s">
        <v>47</v>
      </c>
      <c r="L563" t="s">
        <v>38</v>
      </c>
      <c r="M563" t="s">
        <v>73</v>
      </c>
      <c r="N563" t="s">
        <v>73</v>
      </c>
      <c r="O563">
        <v>2</v>
      </c>
      <c r="P563">
        <v>4820</v>
      </c>
      <c r="Q563">
        <v>0.2</v>
      </c>
      <c r="R563">
        <v>3180</v>
      </c>
      <c r="S563" t="s">
        <v>29</v>
      </c>
      <c r="T563" t="s">
        <v>30</v>
      </c>
      <c r="U563">
        <v>5</v>
      </c>
      <c r="V563" t="s">
        <v>40</v>
      </c>
      <c r="W563">
        <f>excelsalesdata[[#This Row],[Quantity]]*excelsalesdata[[#This Row],[Unit_Price]]</f>
        <v>9640</v>
      </c>
      <c r="X563">
        <f>excelsalesdata[[#This Row],[Gross_sales]]*excelsalesdata[[#This Row],[Discount_%]]</f>
        <v>1928</v>
      </c>
      <c r="Y563">
        <f>excelsalesdata[[#This Row],[Gross_sales]]-excelsalesdata[[#This Row],[Discount_amt]]</f>
        <v>7712</v>
      </c>
      <c r="Z563" s="4">
        <f>excelsalesdata[[#This Row],[Net_sales]]-excelsalesdata[[#This Row],[Cost]]</f>
        <v>4532</v>
      </c>
      <c r="AA563" s="5">
        <f>excelsalesdata[[#This Row],[Profit]]/excelsalesdata[[#This Row],[Net_sales]]</f>
        <v>0.58765560165975106</v>
      </c>
      <c r="AB563" s="4">
        <f>YEAR(excelsalesdata[[#This Row],[Order_Date]])</f>
        <v>2026</v>
      </c>
      <c r="AC563" s="4" t="str">
        <f>TEXT(excelsalesdata[[#This Row],[Order_Date]],"mmm")</f>
        <v>Oct</v>
      </c>
      <c r="AD563" s="4" t="str">
        <f>"Q"&amp;ROUNDUP(MONTH(excelsalesdata[[#This Row],[Order_Date]])/3,0)</f>
        <v>Q4</v>
      </c>
    </row>
    <row r="564" spans="1:30" x14ac:dyDescent="0.35">
      <c r="A564" t="s">
        <v>1218</v>
      </c>
      <c r="B564" s="3">
        <v>46322</v>
      </c>
      <c r="C564" t="s">
        <v>514</v>
      </c>
      <c r="D564" t="s">
        <v>899</v>
      </c>
      <c r="E564" t="str">
        <f>TRIM(excelsalesdata[[#This Row],[Customer_Name]])</f>
        <v>Arjun Shah</v>
      </c>
      <c r="F564" t="s">
        <v>23</v>
      </c>
      <c r="G564">
        <v>56</v>
      </c>
      <c r="H564" t="s">
        <v>155</v>
      </c>
      <c r="I564" t="str">
        <f>TRIM(excelsalesdata[[#This Row],[City]])</f>
        <v>Chennai</v>
      </c>
      <c r="J564" t="s">
        <v>156</v>
      </c>
      <c r="K564" t="s">
        <v>47</v>
      </c>
      <c r="L564" t="s">
        <v>103</v>
      </c>
      <c r="M564" t="s">
        <v>347</v>
      </c>
      <c r="N564" t="s">
        <v>347</v>
      </c>
      <c r="O564">
        <v>1</v>
      </c>
      <c r="P564">
        <v>11410</v>
      </c>
      <c r="Q564">
        <v>0</v>
      </c>
      <c r="R564">
        <v>8270</v>
      </c>
      <c r="S564" t="s">
        <v>56</v>
      </c>
      <c r="T564" t="s">
        <v>30</v>
      </c>
      <c r="U564">
        <v>1</v>
      </c>
      <c r="V564" t="s">
        <v>31</v>
      </c>
      <c r="W564">
        <f>excelsalesdata[[#This Row],[Quantity]]*excelsalesdata[[#This Row],[Unit_Price]]</f>
        <v>11410</v>
      </c>
      <c r="X564">
        <f>excelsalesdata[[#This Row],[Gross_sales]]*excelsalesdata[[#This Row],[Discount_%]]</f>
        <v>0</v>
      </c>
      <c r="Y564">
        <f>excelsalesdata[[#This Row],[Gross_sales]]-excelsalesdata[[#This Row],[Discount_amt]]</f>
        <v>11410</v>
      </c>
      <c r="Z564" s="4">
        <f>excelsalesdata[[#This Row],[Net_sales]]-excelsalesdata[[#This Row],[Cost]]</f>
        <v>3140</v>
      </c>
      <c r="AA564" s="5">
        <f>excelsalesdata[[#This Row],[Profit]]/excelsalesdata[[#This Row],[Net_sales]]</f>
        <v>0.27519719544259419</v>
      </c>
      <c r="AB564" s="4">
        <f>YEAR(excelsalesdata[[#This Row],[Order_Date]])</f>
        <v>2026</v>
      </c>
      <c r="AC564" s="4" t="str">
        <f>TEXT(excelsalesdata[[#This Row],[Order_Date]],"mmm")</f>
        <v>Oct</v>
      </c>
      <c r="AD564" s="4" t="str">
        <f>"Q"&amp;ROUNDUP(MONTH(excelsalesdata[[#This Row],[Order_Date]])/3,0)</f>
        <v>Q4</v>
      </c>
    </row>
    <row r="565" spans="1:30" x14ac:dyDescent="0.35">
      <c r="A565" t="s">
        <v>1219</v>
      </c>
      <c r="B565" s="3">
        <v>46323</v>
      </c>
      <c r="C565" t="s">
        <v>979</v>
      </c>
      <c r="D565" t="s">
        <v>490</v>
      </c>
      <c r="E565" t="str">
        <f>TRIM(excelsalesdata[[#This Row],[Customer_Name]])</f>
        <v>Aditya Singh</v>
      </c>
      <c r="F565" t="s">
        <v>23</v>
      </c>
      <c r="G565">
        <v>40</v>
      </c>
      <c r="H565" t="s">
        <v>114</v>
      </c>
      <c r="I565" t="str">
        <f>TRIM(excelsalesdata[[#This Row],[City]])</f>
        <v>Hyderabad</v>
      </c>
      <c r="J565" t="s">
        <v>115</v>
      </c>
      <c r="K565" t="s">
        <v>47</v>
      </c>
      <c r="L565" t="s">
        <v>27</v>
      </c>
      <c r="M565" t="s">
        <v>295</v>
      </c>
      <c r="N565" t="s">
        <v>295</v>
      </c>
      <c r="O565">
        <v>3</v>
      </c>
      <c r="P565">
        <v>4220</v>
      </c>
      <c r="Q565">
        <v>0.05</v>
      </c>
      <c r="R565">
        <v>2650</v>
      </c>
      <c r="S565" t="s">
        <v>80</v>
      </c>
      <c r="T565" t="s">
        <v>30</v>
      </c>
      <c r="U565">
        <v>4</v>
      </c>
      <c r="V565" t="s">
        <v>31</v>
      </c>
      <c r="W565">
        <f>excelsalesdata[[#This Row],[Quantity]]*excelsalesdata[[#This Row],[Unit_Price]]</f>
        <v>12660</v>
      </c>
      <c r="X565">
        <f>excelsalesdata[[#This Row],[Gross_sales]]*excelsalesdata[[#This Row],[Discount_%]]</f>
        <v>633</v>
      </c>
      <c r="Y565">
        <f>excelsalesdata[[#This Row],[Gross_sales]]-excelsalesdata[[#This Row],[Discount_amt]]</f>
        <v>12027</v>
      </c>
      <c r="Z565" s="4">
        <f>excelsalesdata[[#This Row],[Net_sales]]-excelsalesdata[[#This Row],[Cost]]</f>
        <v>9377</v>
      </c>
      <c r="AA565" s="5">
        <f>excelsalesdata[[#This Row],[Profit]]/excelsalesdata[[#This Row],[Net_sales]]</f>
        <v>0.77966242620769932</v>
      </c>
      <c r="AB565" s="4">
        <f>YEAR(excelsalesdata[[#This Row],[Order_Date]])</f>
        <v>2026</v>
      </c>
      <c r="AC565" s="4" t="str">
        <f>TEXT(excelsalesdata[[#This Row],[Order_Date]],"mmm")</f>
        <v>Oct</v>
      </c>
      <c r="AD565" s="4" t="str">
        <f>"Q"&amp;ROUNDUP(MONTH(excelsalesdata[[#This Row],[Order_Date]])/3,0)</f>
        <v>Q4</v>
      </c>
    </row>
    <row r="566" spans="1:30" x14ac:dyDescent="0.35">
      <c r="A566" t="s">
        <v>1220</v>
      </c>
      <c r="B566" s="3">
        <v>46324</v>
      </c>
      <c r="C566" t="s">
        <v>1221</v>
      </c>
      <c r="D566" t="s">
        <v>160</v>
      </c>
      <c r="E566" t="str">
        <f>TRIM(excelsalesdata[[#This Row],[Customer_Name]])</f>
        <v>Nisha Bhat</v>
      </c>
      <c r="F566" t="s">
        <v>44</v>
      </c>
      <c r="G566">
        <v>50</v>
      </c>
      <c r="H566" t="s">
        <v>78</v>
      </c>
      <c r="I566" t="str">
        <f>TRIM(excelsalesdata[[#This Row],[City]])</f>
        <v>Guwahati</v>
      </c>
      <c r="J566" t="s">
        <v>79</v>
      </c>
      <c r="K566" t="s">
        <v>37</v>
      </c>
      <c r="L566" t="s">
        <v>27</v>
      </c>
      <c r="M566" t="s">
        <v>295</v>
      </c>
      <c r="N566" t="s">
        <v>295</v>
      </c>
      <c r="O566">
        <v>1</v>
      </c>
      <c r="P566">
        <v>4420</v>
      </c>
      <c r="Q566">
        <v>0.05</v>
      </c>
      <c r="R566">
        <v>2660</v>
      </c>
      <c r="S566" t="s">
        <v>29</v>
      </c>
      <c r="T566" t="s">
        <v>81</v>
      </c>
      <c r="U566">
        <v>0</v>
      </c>
      <c r="V566" t="s">
        <v>40</v>
      </c>
      <c r="W566">
        <f>excelsalesdata[[#This Row],[Quantity]]*excelsalesdata[[#This Row],[Unit_Price]]</f>
        <v>4420</v>
      </c>
      <c r="X566">
        <f>excelsalesdata[[#This Row],[Gross_sales]]*excelsalesdata[[#This Row],[Discount_%]]</f>
        <v>221</v>
      </c>
      <c r="Y566">
        <f>excelsalesdata[[#This Row],[Gross_sales]]-excelsalesdata[[#This Row],[Discount_amt]]</f>
        <v>4199</v>
      </c>
      <c r="Z566" s="4">
        <f>excelsalesdata[[#This Row],[Net_sales]]-excelsalesdata[[#This Row],[Cost]]</f>
        <v>1539</v>
      </c>
      <c r="AA566" s="5">
        <f>excelsalesdata[[#This Row],[Profit]]/excelsalesdata[[#This Row],[Net_sales]]</f>
        <v>0.36651583710407237</v>
      </c>
      <c r="AB566" s="4">
        <f>YEAR(excelsalesdata[[#This Row],[Order_Date]])</f>
        <v>2026</v>
      </c>
      <c r="AC566" s="4" t="str">
        <f>TEXT(excelsalesdata[[#This Row],[Order_Date]],"mmm")</f>
        <v>Oct</v>
      </c>
      <c r="AD566" s="4" t="str">
        <f>"Q"&amp;ROUNDUP(MONTH(excelsalesdata[[#This Row],[Order_Date]])/3,0)</f>
        <v>Q4</v>
      </c>
    </row>
    <row r="567" spans="1:30" x14ac:dyDescent="0.35">
      <c r="A567" t="s">
        <v>1222</v>
      </c>
      <c r="B567" s="3">
        <v>46325</v>
      </c>
      <c r="C567" t="s">
        <v>1223</v>
      </c>
      <c r="D567" t="s">
        <v>1087</v>
      </c>
      <c r="E567" t="str">
        <f>TRIM(excelsalesdata[[#This Row],[Customer_Name]])</f>
        <v>Vivaan Verma</v>
      </c>
      <c r="F567" t="s">
        <v>44</v>
      </c>
      <c r="G567">
        <v>21</v>
      </c>
      <c r="H567" t="s">
        <v>185</v>
      </c>
      <c r="I567" t="str">
        <f>TRIM(excelsalesdata[[#This Row],[City]])</f>
        <v>Lucknow</v>
      </c>
      <c r="J567" t="s">
        <v>186</v>
      </c>
      <c r="K567" t="s">
        <v>61</v>
      </c>
      <c r="L567" t="s">
        <v>85</v>
      </c>
      <c r="M567" t="s">
        <v>202</v>
      </c>
      <c r="N567" t="s">
        <v>202</v>
      </c>
      <c r="O567">
        <v>4</v>
      </c>
      <c r="P567">
        <v>930</v>
      </c>
      <c r="Q567">
        <v>0.15</v>
      </c>
      <c r="R567">
        <v>400</v>
      </c>
      <c r="S567" t="s">
        <v>29</v>
      </c>
      <c r="T567" t="s">
        <v>30</v>
      </c>
      <c r="U567">
        <v>4</v>
      </c>
      <c r="V567" t="s">
        <v>40</v>
      </c>
      <c r="W567">
        <f>excelsalesdata[[#This Row],[Quantity]]*excelsalesdata[[#This Row],[Unit_Price]]</f>
        <v>3720</v>
      </c>
      <c r="X567">
        <f>excelsalesdata[[#This Row],[Gross_sales]]*excelsalesdata[[#This Row],[Discount_%]]</f>
        <v>558</v>
      </c>
      <c r="Y567">
        <f>excelsalesdata[[#This Row],[Gross_sales]]-excelsalesdata[[#This Row],[Discount_amt]]</f>
        <v>3162</v>
      </c>
      <c r="Z567" s="4">
        <f>excelsalesdata[[#This Row],[Net_sales]]-excelsalesdata[[#This Row],[Cost]]</f>
        <v>2762</v>
      </c>
      <c r="AA567" s="5">
        <f>excelsalesdata[[#This Row],[Profit]]/excelsalesdata[[#This Row],[Net_sales]]</f>
        <v>0.87349778621125873</v>
      </c>
      <c r="AB567" s="4">
        <f>YEAR(excelsalesdata[[#This Row],[Order_Date]])</f>
        <v>2026</v>
      </c>
      <c r="AC567" s="4" t="str">
        <f>TEXT(excelsalesdata[[#This Row],[Order_Date]],"mmm")</f>
        <v>Oct</v>
      </c>
      <c r="AD567" s="4" t="str">
        <f>"Q"&amp;ROUNDUP(MONTH(excelsalesdata[[#This Row],[Order_Date]])/3,0)</f>
        <v>Q4</v>
      </c>
    </row>
    <row r="568" spans="1:30" x14ac:dyDescent="0.35">
      <c r="A568" t="s">
        <v>1224</v>
      </c>
      <c r="B568" s="3">
        <v>46326</v>
      </c>
      <c r="C568" t="s">
        <v>779</v>
      </c>
      <c r="D568" t="s">
        <v>1226</v>
      </c>
      <c r="E568" t="str">
        <f>TRIM(excelsalesdata[[#This Row],[Customer_Name]])</f>
        <v>Vikram Reddy</v>
      </c>
      <c r="F568" t="s">
        <v>23</v>
      </c>
      <c r="G568">
        <v>18</v>
      </c>
      <c r="H568" t="s">
        <v>60</v>
      </c>
      <c r="I568" t="str">
        <f>TRIM(excelsalesdata[[#This Row],[City]])</f>
        <v>Chandigarh</v>
      </c>
      <c r="J568" t="s">
        <v>60</v>
      </c>
      <c r="K568" t="s">
        <v>61</v>
      </c>
      <c r="L568" t="s">
        <v>54</v>
      </c>
      <c r="M568" t="s">
        <v>62</v>
      </c>
      <c r="N568" t="s">
        <v>62</v>
      </c>
      <c r="O568">
        <v>2</v>
      </c>
      <c r="P568">
        <v>23390</v>
      </c>
      <c r="Q568">
        <v>0</v>
      </c>
      <c r="R568">
        <v>16260</v>
      </c>
      <c r="S568" t="s">
        <v>29</v>
      </c>
      <c r="T568" t="s">
        <v>30</v>
      </c>
      <c r="U568">
        <v>10</v>
      </c>
      <c r="V568" t="s">
        <v>40</v>
      </c>
      <c r="W568">
        <f>excelsalesdata[[#This Row],[Quantity]]*excelsalesdata[[#This Row],[Unit_Price]]</f>
        <v>46780</v>
      </c>
      <c r="X568">
        <f>excelsalesdata[[#This Row],[Gross_sales]]*excelsalesdata[[#This Row],[Discount_%]]</f>
        <v>0</v>
      </c>
      <c r="Y568">
        <f>excelsalesdata[[#This Row],[Gross_sales]]-excelsalesdata[[#This Row],[Discount_amt]]</f>
        <v>46780</v>
      </c>
      <c r="Z568" s="4">
        <f>excelsalesdata[[#This Row],[Net_sales]]-excelsalesdata[[#This Row],[Cost]]</f>
        <v>30520</v>
      </c>
      <c r="AA568" s="5">
        <f>excelsalesdata[[#This Row],[Profit]]/excelsalesdata[[#This Row],[Net_sales]]</f>
        <v>0.652415562206071</v>
      </c>
      <c r="AB568" s="4">
        <f>YEAR(excelsalesdata[[#This Row],[Order_Date]])</f>
        <v>2026</v>
      </c>
      <c r="AC568" s="4" t="str">
        <f>TEXT(excelsalesdata[[#This Row],[Order_Date]],"mmm")</f>
        <v>Oct</v>
      </c>
      <c r="AD568" s="4" t="str">
        <f>"Q"&amp;ROUNDUP(MONTH(excelsalesdata[[#This Row],[Order_Date]])/3,0)</f>
        <v>Q4</v>
      </c>
    </row>
    <row r="569" spans="1:30" x14ac:dyDescent="0.35">
      <c r="A569" t="s">
        <v>1225</v>
      </c>
      <c r="B569" s="3">
        <v>46327</v>
      </c>
      <c r="C569" t="s">
        <v>170</v>
      </c>
      <c r="D569" t="s">
        <v>605</v>
      </c>
      <c r="E569" t="str">
        <f>TRIM(excelsalesdata[[#This Row],[Customer_Name]])</f>
        <v>Rahul Gupta</v>
      </c>
      <c r="F569" t="s">
        <v>44</v>
      </c>
      <c r="G569">
        <v>48</v>
      </c>
      <c r="H569" t="s">
        <v>52</v>
      </c>
      <c r="I569" t="str">
        <f>TRIM(excelsalesdata[[#This Row],[City]])</f>
        <v>Bengaluru</v>
      </c>
      <c r="J569" t="s">
        <v>53</v>
      </c>
      <c r="K569" t="s">
        <v>47</v>
      </c>
      <c r="L569" t="s">
        <v>85</v>
      </c>
      <c r="M569" t="s">
        <v>86</v>
      </c>
      <c r="N569" t="s">
        <v>86</v>
      </c>
      <c r="O569">
        <v>2</v>
      </c>
      <c r="P569">
        <v>2380</v>
      </c>
      <c r="Q569">
        <v>0.15</v>
      </c>
      <c r="R569">
        <v>1480</v>
      </c>
      <c r="S569" t="s">
        <v>29</v>
      </c>
      <c r="T569" t="s">
        <v>30</v>
      </c>
      <c r="U569">
        <v>2</v>
      </c>
      <c r="V569" t="s">
        <v>40</v>
      </c>
      <c r="W569">
        <f>excelsalesdata[[#This Row],[Quantity]]*excelsalesdata[[#This Row],[Unit_Price]]</f>
        <v>4760</v>
      </c>
      <c r="X569">
        <f>excelsalesdata[[#This Row],[Gross_sales]]*excelsalesdata[[#This Row],[Discount_%]]</f>
        <v>714</v>
      </c>
      <c r="Y569">
        <f>excelsalesdata[[#This Row],[Gross_sales]]-excelsalesdata[[#This Row],[Discount_amt]]</f>
        <v>4046</v>
      </c>
      <c r="Z569" s="4">
        <f>excelsalesdata[[#This Row],[Net_sales]]-excelsalesdata[[#This Row],[Cost]]</f>
        <v>2566</v>
      </c>
      <c r="AA569" s="5">
        <f>excelsalesdata[[#This Row],[Profit]]/excelsalesdata[[#This Row],[Net_sales]]</f>
        <v>0.63420662382600101</v>
      </c>
      <c r="AB569" s="4">
        <f>YEAR(excelsalesdata[[#This Row],[Order_Date]])</f>
        <v>2026</v>
      </c>
      <c r="AC569" s="4" t="str">
        <f>TEXT(excelsalesdata[[#This Row],[Order_Date]],"mmm")</f>
        <v>Nov</v>
      </c>
      <c r="AD569" s="4" t="str">
        <f>"Q"&amp;ROUNDUP(MONTH(excelsalesdata[[#This Row],[Order_Date]])/3,0)</f>
        <v>Q4</v>
      </c>
    </row>
    <row r="570" spans="1:30" x14ac:dyDescent="0.35">
      <c r="A570" t="s">
        <v>1227</v>
      </c>
      <c r="B570" s="3">
        <v>46328</v>
      </c>
      <c r="C570" t="s">
        <v>91</v>
      </c>
      <c r="D570" t="s">
        <v>181</v>
      </c>
      <c r="E570" t="str">
        <f>TRIM(excelsalesdata[[#This Row],[Customer_Name]])</f>
        <v>Ananya Patel</v>
      </c>
      <c r="F570" t="s">
        <v>44</v>
      </c>
      <c r="G570">
        <v>46</v>
      </c>
      <c r="H570" t="s">
        <v>60</v>
      </c>
      <c r="I570" t="str">
        <f>TRIM(excelsalesdata[[#This Row],[City]])</f>
        <v>Chandigarh</v>
      </c>
      <c r="J570" t="s">
        <v>60</v>
      </c>
      <c r="K570" t="s">
        <v>61</v>
      </c>
      <c r="L570" t="s">
        <v>93</v>
      </c>
      <c r="M570" t="s">
        <v>94</v>
      </c>
      <c r="N570" t="s">
        <v>94</v>
      </c>
      <c r="O570">
        <v>2</v>
      </c>
      <c r="P570">
        <v>530</v>
      </c>
      <c r="Q570">
        <v>0.1</v>
      </c>
      <c r="R570">
        <v>220</v>
      </c>
      <c r="S570" t="s">
        <v>105</v>
      </c>
      <c r="T570" t="s">
        <v>30</v>
      </c>
      <c r="U570">
        <v>4</v>
      </c>
      <c r="V570" t="s">
        <v>40</v>
      </c>
      <c r="W570">
        <f>excelsalesdata[[#This Row],[Quantity]]*excelsalesdata[[#This Row],[Unit_Price]]</f>
        <v>1060</v>
      </c>
      <c r="X570">
        <f>excelsalesdata[[#This Row],[Gross_sales]]*excelsalesdata[[#This Row],[Discount_%]]</f>
        <v>106</v>
      </c>
      <c r="Y570">
        <f>excelsalesdata[[#This Row],[Gross_sales]]-excelsalesdata[[#This Row],[Discount_amt]]</f>
        <v>954</v>
      </c>
      <c r="Z570" s="4">
        <f>excelsalesdata[[#This Row],[Net_sales]]-excelsalesdata[[#This Row],[Cost]]</f>
        <v>734</v>
      </c>
      <c r="AA570" s="5">
        <f>excelsalesdata[[#This Row],[Profit]]/excelsalesdata[[#This Row],[Net_sales]]</f>
        <v>0.76939203354297692</v>
      </c>
      <c r="AB570" s="4">
        <f>YEAR(excelsalesdata[[#This Row],[Order_Date]])</f>
        <v>2026</v>
      </c>
      <c r="AC570" s="4" t="str">
        <f>TEXT(excelsalesdata[[#This Row],[Order_Date]],"mmm")</f>
        <v>Nov</v>
      </c>
      <c r="AD570" s="4" t="str">
        <f>"Q"&amp;ROUNDUP(MONTH(excelsalesdata[[#This Row],[Order_Date]])/3,0)</f>
        <v>Q4</v>
      </c>
    </row>
    <row r="571" spans="1:30" x14ac:dyDescent="0.35">
      <c r="A571" t="s">
        <v>1228</v>
      </c>
      <c r="B571" s="3">
        <v>46329</v>
      </c>
      <c r="C571" t="s">
        <v>1229</v>
      </c>
      <c r="D571" t="s">
        <v>231</v>
      </c>
      <c r="E571" t="str">
        <f>TRIM(excelsalesdata[[#This Row],[Customer_Name]])</f>
        <v>Ananya Verma</v>
      </c>
      <c r="F571" t="s">
        <v>23</v>
      </c>
      <c r="G571">
        <v>56</v>
      </c>
      <c r="H571" t="s">
        <v>185</v>
      </c>
      <c r="I571" t="str">
        <f>TRIM(excelsalesdata[[#This Row],[City]])</f>
        <v>Lucknow</v>
      </c>
      <c r="J571" t="s">
        <v>186</v>
      </c>
      <c r="K571" t="s">
        <v>61</v>
      </c>
      <c r="L571" t="s">
        <v>27</v>
      </c>
      <c r="M571" t="s">
        <v>195</v>
      </c>
      <c r="N571" t="s">
        <v>195</v>
      </c>
      <c r="O571">
        <v>2</v>
      </c>
      <c r="P571">
        <v>2340</v>
      </c>
      <c r="Q571">
        <v>0.2</v>
      </c>
      <c r="R571">
        <v>1250</v>
      </c>
      <c r="S571" t="s">
        <v>67</v>
      </c>
      <c r="T571" t="s">
        <v>30</v>
      </c>
      <c r="U571">
        <v>2</v>
      </c>
      <c r="V571" t="s">
        <v>31</v>
      </c>
      <c r="W571">
        <f>excelsalesdata[[#This Row],[Quantity]]*excelsalesdata[[#This Row],[Unit_Price]]</f>
        <v>4680</v>
      </c>
      <c r="X571">
        <f>excelsalesdata[[#This Row],[Gross_sales]]*excelsalesdata[[#This Row],[Discount_%]]</f>
        <v>936</v>
      </c>
      <c r="Y571">
        <f>excelsalesdata[[#This Row],[Gross_sales]]-excelsalesdata[[#This Row],[Discount_amt]]</f>
        <v>3744</v>
      </c>
      <c r="Z571" s="4">
        <f>excelsalesdata[[#This Row],[Net_sales]]-excelsalesdata[[#This Row],[Cost]]</f>
        <v>2494</v>
      </c>
      <c r="AA571" s="5">
        <f>excelsalesdata[[#This Row],[Profit]]/excelsalesdata[[#This Row],[Net_sales]]</f>
        <v>0.6661324786324786</v>
      </c>
      <c r="AB571" s="4">
        <f>YEAR(excelsalesdata[[#This Row],[Order_Date]])</f>
        <v>2026</v>
      </c>
      <c r="AC571" s="4" t="str">
        <f>TEXT(excelsalesdata[[#This Row],[Order_Date]],"mmm")</f>
        <v>Nov</v>
      </c>
      <c r="AD571" s="4" t="str">
        <f>"Q"&amp;ROUNDUP(MONTH(excelsalesdata[[#This Row],[Order_Date]])/3,0)</f>
        <v>Q4</v>
      </c>
    </row>
    <row r="572" spans="1:30" x14ac:dyDescent="0.35">
      <c r="A572" t="s">
        <v>1230</v>
      </c>
      <c r="B572" s="3">
        <v>46330</v>
      </c>
      <c r="C572" t="s">
        <v>607</v>
      </c>
      <c r="D572" t="s">
        <v>820</v>
      </c>
      <c r="E572" t="str">
        <f>TRIM(excelsalesdata[[#This Row],[Customer_Name]])</f>
        <v>Ishita Verma</v>
      </c>
      <c r="F572" t="s">
        <v>44</v>
      </c>
      <c r="G572">
        <v>51</v>
      </c>
      <c r="H572" t="s">
        <v>24</v>
      </c>
      <c r="I572" t="str">
        <f>TRIM(excelsalesdata[[#This Row],[City]])</f>
        <v>Pune</v>
      </c>
      <c r="J572" t="s">
        <v>25</v>
      </c>
      <c r="K572" t="s">
        <v>26</v>
      </c>
      <c r="L572" t="s">
        <v>54</v>
      </c>
      <c r="M572" t="s">
        <v>62</v>
      </c>
      <c r="N572" t="s">
        <v>62</v>
      </c>
      <c r="O572">
        <v>3</v>
      </c>
      <c r="P572">
        <v>22490</v>
      </c>
      <c r="Q572">
        <v>0</v>
      </c>
      <c r="R572">
        <v>15470</v>
      </c>
      <c r="S572" t="s">
        <v>105</v>
      </c>
      <c r="T572" t="s">
        <v>30</v>
      </c>
      <c r="U572">
        <v>1</v>
      </c>
      <c r="V572" t="s">
        <v>40</v>
      </c>
      <c r="W572">
        <f>excelsalesdata[[#This Row],[Quantity]]*excelsalesdata[[#This Row],[Unit_Price]]</f>
        <v>67470</v>
      </c>
      <c r="X572">
        <f>excelsalesdata[[#This Row],[Gross_sales]]*excelsalesdata[[#This Row],[Discount_%]]</f>
        <v>0</v>
      </c>
      <c r="Y572">
        <f>excelsalesdata[[#This Row],[Gross_sales]]-excelsalesdata[[#This Row],[Discount_amt]]</f>
        <v>67470</v>
      </c>
      <c r="Z572" s="4">
        <f>excelsalesdata[[#This Row],[Net_sales]]-excelsalesdata[[#This Row],[Cost]]</f>
        <v>52000</v>
      </c>
      <c r="AA572" s="5">
        <f>excelsalesdata[[#This Row],[Profit]]/excelsalesdata[[#This Row],[Net_sales]]</f>
        <v>0.77071290944123316</v>
      </c>
      <c r="AB572" s="4">
        <f>YEAR(excelsalesdata[[#This Row],[Order_Date]])</f>
        <v>2026</v>
      </c>
      <c r="AC572" s="4" t="str">
        <f>TEXT(excelsalesdata[[#This Row],[Order_Date]],"mmm")</f>
        <v>Nov</v>
      </c>
      <c r="AD572" s="4" t="str">
        <f>"Q"&amp;ROUNDUP(MONTH(excelsalesdata[[#This Row],[Order_Date]])/3,0)</f>
        <v>Q4</v>
      </c>
    </row>
    <row r="573" spans="1:30" x14ac:dyDescent="0.35">
      <c r="A573" t="s">
        <v>1231</v>
      </c>
      <c r="B573" s="3">
        <v>46331</v>
      </c>
      <c r="C573" t="s">
        <v>140</v>
      </c>
      <c r="D573" t="s">
        <v>972</v>
      </c>
      <c r="E573" t="str">
        <f>TRIM(excelsalesdata[[#This Row],[Customer_Name]])</f>
        <v>Ananya Reddy</v>
      </c>
      <c r="F573" t="s">
        <v>23</v>
      </c>
      <c r="G573">
        <v>18</v>
      </c>
      <c r="H573" t="s">
        <v>52</v>
      </c>
      <c r="I573" t="str">
        <f>TRIM(excelsalesdata[[#This Row],[City]])</f>
        <v>Bengaluru</v>
      </c>
      <c r="J573" t="s">
        <v>53</v>
      </c>
      <c r="K573" t="s">
        <v>47</v>
      </c>
      <c r="L573" t="s">
        <v>54</v>
      </c>
      <c r="M573" t="s">
        <v>62</v>
      </c>
      <c r="N573" t="s">
        <v>62</v>
      </c>
      <c r="O573">
        <v>2</v>
      </c>
      <c r="P573">
        <v>21920</v>
      </c>
      <c r="Q573">
        <v>0.15</v>
      </c>
      <c r="R573">
        <v>14780</v>
      </c>
      <c r="S573" t="s">
        <v>105</v>
      </c>
      <c r="T573" t="s">
        <v>30</v>
      </c>
      <c r="U573">
        <v>3</v>
      </c>
      <c r="V573" t="s">
        <v>31</v>
      </c>
      <c r="W573">
        <f>excelsalesdata[[#This Row],[Quantity]]*excelsalesdata[[#This Row],[Unit_Price]]</f>
        <v>43840</v>
      </c>
      <c r="X573">
        <f>excelsalesdata[[#This Row],[Gross_sales]]*excelsalesdata[[#This Row],[Discount_%]]</f>
        <v>6576</v>
      </c>
      <c r="Y573">
        <f>excelsalesdata[[#This Row],[Gross_sales]]-excelsalesdata[[#This Row],[Discount_amt]]</f>
        <v>37264</v>
      </c>
      <c r="Z573" s="4">
        <f>excelsalesdata[[#This Row],[Net_sales]]-excelsalesdata[[#This Row],[Cost]]</f>
        <v>22484</v>
      </c>
      <c r="AA573" s="5">
        <f>excelsalesdata[[#This Row],[Profit]]/excelsalesdata[[#This Row],[Net_sales]]</f>
        <v>0.60337054529841139</v>
      </c>
      <c r="AB573" s="4">
        <f>YEAR(excelsalesdata[[#This Row],[Order_Date]])</f>
        <v>2026</v>
      </c>
      <c r="AC573" s="4" t="str">
        <f>TEXT(excelsalesdata[[#This Row],[Order_Date]],"mmm")</f>
        <v>Nov</v>
      </c>
      <c r="AD573" s="4" t="str">
        <f>"Q"&amp;ROUNDUP(MONTH(excelsalesdata[[#This Row],[Order_Date]])/3,0)</f>
        <v>Q4</v>
      </c>
    </row>
    <row r="574" spans="1:30" x14ac:dyDescent="0.35">
      <c r="A574" t="s">
        <v>1232</v>
      </c>
      <c r="B574" s="3">
        <v>46332</v>
      </c>
      <c r="C574" t="s">
        <v>218</v>
      </c>
      <c r="D574" t="s">
        <v>258</v>
      </c>
      <c r="E574" t="str">
        <f>TRIM(excelsalesdata[[#This Row],[Customer_Name]])</f>
        <v>Sneha Sharma</v>
      </c>
      <c r="F574" t="s">
        <v>23</v>
      </c>
      <c r="G574">
        <v>19</v>
      </c>
      <c r="H574" t="s">
        <v>168</v>
      </c>
      <c r="I574" t="str">
        <f>TRIM(excelsalesdata[[#This Row],[City]])</f>
        <v>Delhi</v>
      </c>
      <c r="J574" t="s">
        <v>168</v>
      </c>
      <c r="K574" t="s">
        <v>61</v>
      </c>
      <c r="L574" t="s">
        <v>103</v>
      </c>
      <c r="M574" t="s">
        <v>347</v>
      </c>
      <c r="N574" t="s">
        <v>347</v>
      </c>
      <c r="O574">
        <v>3</v>
      </c>
      <c r="P574">
        <v>12120</v>
      </c>
      <c r="Q574">
        <v>0.2</v>
      </c>
      <c r="R574">
        <v>8220</v>
      </c>
      <c r="S574" t="s">
        <v>80</v>
      </c>
      <c r="T574" t="s">
        <v>30</v>
      </c>
      <c r="U574">
        <v>5</v>
      </c>
      <c r="V574" t="s">
        <v>40</v>
      </c>
      <c r="W574">
        <f>excelsalesdata[[#This Row],[Quantity]]*excelsalesdata[[#This Row],[Unit_Price]]</f>
        <v>36360</v>
      </c>
      <c r="X574">
        <f>excelsalesdata[[#This Row],[Gross_sales]]*excelsalesdata[[#This Row],[Discount_%]]</f>
        <v>7272</v>
      </c>
      <c r="Y574">
        <f>excelsalesdata[[#This Row],[Gross_sales]]-excelsalesdata[[#This Row],[Discount_amt]]</f>
        <v>29088</v>
      </c>
      <c r="Z574" s="4">
        <f>excelsalesdata[[#This Row],[Net_sales]]-excelsalesdata[[#This Row],[Cost]]</f>
        <v>20868</v>
      </c>
      <c r="AA574" s="5">
        <f>excelsalesdata[[#This Row],[Profit]]/excelsalesdata[[#This Row],[Net_sales]]</f>
        <v>0.71740924092409242</v>
      </c>
      <c r="AB574" s="4">
        <f>YEAR(excelsalesdata[[#This Row],[Order_Date]])</f>
        <v>2026</v>
      </c>
      <c r="AC574" s="4" t="str">
        <f>TEXT(excelsalesdata[[#This Row],[Order_Date]],"mmm")</f>
        <v>Nov</v>
      </c>
      <c r="AD574" s="4" t="str">
        <f>"Q"&amp;ROUNDUP(MONTH(excelsalesdata[[#This Row],[Order_Date]])/3,0)</f>
        <v>Q4</v>
      </c>
    </row>
    <row r="575" spans="1:30" x14ac:dyDescent="0.35">
      <c r="A575" t="s">
        <v>1233</v>
      </c>
      <c r="B575" s="3">
        <v>46333</v>
      </c>
      <c r="C575" t="s">
        <v>243</v>
      </c>
      <c r="D575" t="s">
        <v>1235</v>
      </c>
      <c r="E575" t="str">
        <f>TRIM(excelsalesdata[[#This Row],[Customer_Name]])</f>
        <v>Priya Nair</v>
      </c>
      <c r="F575" t="s">
        <v>44</v>
      </c>
      <c r="G575">
        <v>20</v>
      </c>
      <c r="H575" t="s">
        <v>114</v>
      </c>
      <c r="I575" t="str">
        <f>TRIM(excelsalesdata[[#This Row],[City]])</f>
        <v>Hyderabad</v>
      </c>
      <c r="J575" t="s">
        <v>115</v>
      </c>
      <c r="K575" t="s">
        <v>47</v>
      </c>
      <c r="L575" t="s">
        <v>27</v>
      </c>
      <c r="M575" t="s">
        <v>28</v>
      </c>
      <c r="N575" t="s">
        <v>28</v>
      </c>
      <c r="O575">
        <v>2</v>
      </c>
      <c r="P575">
        <v>3630</v>
      </c>
      <c r="Q575">
        <v>0.1</v>
      </c>
      <c r="R575">
        <v>2050</v>
      </c>
      <c r="S575" t="s">
        <v>29</v>
      </c>
      <c r="T575" t="s">
        <v>30</v>
      </c>
      <c r="U575">
        <v>5</v>
      </c>
      <c r="V575" t="s">
        <v>40</v>
      </c>
      <c r="W575">
        <f>excelsalesdata[[#This Row],[Quantity]]*excelsalesdata[[#This Row],[Unit_Price]]</f>
        <v>7260</v>
      </c>
      <c r="X575">
        <f>excelsalesdata[[#This Row],[Gross_sales]]*excelsalesdata[[#This Row],[Discount_%]]</f>
        <v>726</v>
      </c>
      <c r="Y575">
        <f>excelsalesdata[[#This Row],[Gross_sales]]-excelsalesdata[[#This Row],[Discount_amt]]</f>
        <v>6534</v>
      </c>
      <c r="Z575" s="4">
        <f>excelsalesdata[[#This Row],[Net_sales]]-excelsalesdata[[#This Row],[Cost]]</f>
        <v>4484</v>
      </c>
      <c r="AA575" s="5">
        <f>excelsalesdata[[#This Row],[Profit]]/excelsalesdata[[#This Row],[Net_sales]]</f>
        <v>0.68625650443832265</v>
      </c>
      <c r="AB575" s="4">
        <f>YEAR(excelsalesdata[[#This Row],[Order_Date]])</f>
        <v>2026</v>
      </c>
      <c r="AC575" s="4" t="str">
        <f>TEXT(excelsalesdata[[#This Row],[Order_Date]],"mmm")</f>
        <v>Nov</v>
      </c>
      <c r="AD575" s="4" t="str">
        <f>"Q"&amp;ROUNDUP(MONTH(excelsalesdata[[#This Row],[Order_Date]])/3,0)</f>
        <v>Q4</v>
      </c>
    </row>
    <row r="576" spans="1:30" x14ac:dyDescent="0.35">
      <c r="A576" t="s">
        <v>1234</v>
      </c>
      <c r="B576" s="3">
        <v>46334</v>
      </c>
      <c r="C576" t="s">
        <v>1139</v>
      </c>
      <c r="D576" t="s">
        <v>544</v>
      </c>
      <c r="E576" t="str">
        <f>TRIM(excelsalesdata[[#This Row],[Customer_Name]])</f>
        <v>Kavya Iyer</v>
      </c>
      <c r="F576" t="s">
        <v>44</v>
      </c>
      <c r="G576">
        <v>20</v>
      </c>
      <c r="H576" t="s">
        <v>155</v>
      </c>
      <c r="I576" t="str">
        <f>TRIM(excelsalesdata[[#This Row],[City]])</f>
        <v>Chennai</v>
      </c>
      <c r="J576" t="s">
        <v>156</v>
      </c>
      <c r="K576" t="s">
        <v>47</v>
      </c>
      <c r="L576" t="s">
        <v>27</v>
      </c>
      <c r="M576" t="s">
        <v>195</v>
      </c>
      <c r="N576" t="s">
        <v>195</v>
      </c>
      <c r="O576">
        <v>2</v>
      </c>
      <c r="P576">
        <v>2170</v>
      </c>
      <c r="Q576">
        <v>0.15</v>
      </c>
      <c r="R576">
        <v>1180</v>
      </c>
      <c r="S576" t="s">
        <v>29</v>
      </c>
      <c r="T576" t="s">
        <v>99</v>
      </c>
      <c r="U576">
        <v>5</v>
      </c>
      <c r="V576" t="s">
        <v>31</v>
      </c>
      <c r="W576">
        <f>excelsalesdata[[#This Row],[Quantity]]*excelsalesdata[[#This Row],[Unit_Price]]</f>
        <v>4340</v>
      </c>
      <c r="X576">
        <f>excelsalesdata[[#This Row],[Gross_sales]]*excelsalesdata[[#This Row],[Discount_%]]</f>
        <v>651</v>
      </c>
      <c r="Y576">
        <f>excelsalesdata[[#This Row],[Gross_sales]]-excelsalesdata[[#This Row],[Discount_amt]]</f>
        <v>3689</v>
      </c>
      <c r="Z576" s="4">
        <f>excelsalesdata[[#This Row],[Net_sales]]-excelsalesdata[[#This Row],[Cost]]</f>
        <v>2509</v>
      </c>
      <c r="AA576" s="5">
        <f>excelsalesdata[[#This Row],[Profit]]/excelsalesdata[[#This Row],[Net_sales]]</f>
        <v>0.68013011656275413</v>
      </c>
      <c r="AB576" s="4">
        <f>YEAR(excelsalesdata[[#This Row],[Order_Date]])</f>
        <v>2026</v>
      </c>
      <c r="AC576" s="4" t="str">
        <f>TEXT(excelsalesdata[[#This Row],[Order_Date]],"mmm")</f>
        <v>Nov</v>
      </c>
      <c r="AD576" s="4" t="str">
        <f>"Q"&amp;ROUNDUP(MONTH(excelsalesdata[[#This Row],[Order_Date]])/3,0)</f>
        <v>Q4</v>
      </c>
    </row>
    <row r="577" spans="1:30" x14ac:dyDescent="0.35">
      <c r="A577" t="s">
        <v>1236</v>
      </c>
      <c r="B577" s="3">
        <v>46335</v>
      </c>
      <c r="C577" t="s">
        <v>452</v>
      </c>
      <c r="D577" t="s">
        <v>1238</v>
      </c>
      <c r="E577" t="str">
        <f>TRIM(excelsalesdata[[#This Row],[Customer_Name]])</f>
        <v>Rahul Das</v>
      </c>
      <c r="F577" t="s">
        <v>44</v>
      </c>
      <c r="G577">
        <v>36</v>
      </c>
      <c r="H577" t="s">
        <v>78</v>
      </c>
      <c r="I577" t="str">
        <f>TRIM(excelsalesdata[[#This Row],[City]])</f>
        <v>Guwahati</v>
      </c>
      <c r="J577" t="s">
        <v>79</v>
      </c>
      <c r="K577" t="s">
        <v>37</v>
      </c>
      <c r="L577" t="s">
        <v>54</v>
      </c>
      <c r="M577" t="s">
        <v>66</v>
      </c>
      <c r="N577" t="s">
        <v>66</v>
      </c>
      <c r="O577">
        <v>1</v>
      </c>
      <c r="P577">
        <v>2340</v>
      </c>
      <c r="Q577">
        <v>0.05</v>
      </c>
      <c r="R577">
        <v>1490</v>
      </c>
      <c r="S577" t="s">
        <v>29</v>
      </c>
      <c r="T577" t="s">
        <v>30</v>
      </c>
      <c r="U577">
        <v>1</v>
      </c>
      <c r="V577" t="s">
        <v>40</v>
      </c>
      <c r="W577">
        <f>excelsalesdata[[#This Row],[Quantity]]*excelsalesdata[[#This Row],[Unit_Price]]</f>
        <v>2340</v>
      </c>
      <c r="X577">
        <f>excelsalesdata[[#This Row],[Gross_sales]]*excelsalesdata[[#This Row],[Discount_%]]</f>
        <v>117</v>
      </c>
      <c r="Y577">
        <f>excelsalesdata[[#This Row],[Gross_sales]]-excelsalesdata[[#This Row],[Discount_amt]]</f>
        <v>2223</v>
      </c>
      <c r="Z577" s="4">
        <f>excelsalesdata[[#This Row],[Net_sales]]-excelsalesdata[[#This Row],[Cost]]</f>
        <v>733</v>
      </c>
      <c r="AA577" s="5">
        <f>excelsalesdata[[#This Row],[Profit]]/excelsalesdata[[#This Row],[Net_sales]]</f>
        <v>0.32973459289248763</v>
      </c>
      <c r="AB577" s="4">
        <f>YEAR(excelsalesdata[[#This Row],[Order_Date]])</f>
        <v>2026</v>
      </c>
      <c r="AC577" s="4" t="str">
        <f>TEXT(excelsalesdata[[#This Row],[Order_Date]],"mmm")</f>
        <v>Nov</v>
      </c>
      <c r="AD577" s="4" t="str">
        <f>"Q"&amp;ROUNDUP(MONTH(excelsalesdata[[#This Row],[Order_Date]])/3,0)</f>
        <v>Q4</v>
      </c>
    </row>
    <row r="578" spans="1:30" x14ac:dyDescent="0.35">
      <c r="A578" t="s">
        <v>1237</v>
      </c>
      <c r="B578" s="3">
        <v>46336</v>
      </c>
      <c r="C578" t="s">
        <v>1028</v>
      </c>
      <c r="D578" t="s">
        <v>1200</v>
      </c>
      <c r="E578" t="str">
        <f>TRIM(excelsalesdata[[#This Row],[Customer_Name]])</f>
        <v>Priya Iyer</v>
      </c>
      <c r="F578" t="s">
        <v>44</v>
      </c>
      <c r="G578">
        <v>30</v>
      </c>
      <c r="H578" t="s">
        <v>114</v>
      </c>
      <c r="I578" t="str">
        <f>TRIM(excelsalesdata[[#This Row],[City]])</f>
        <v>Hyderabad</v>
      </c>
      <c r="J578" t="s">
        <v>115</v>
      </c>
      <c r="K578" t="s">
        <v>47</v>
      </c>
      <c r="L578" t="s">
        <v>27</v>
      </c>
      <c r="M578" t="s">
        <v>28</v>
      </c>
      <c r="N578" t="s">
        <v>28</v>
      </c>
      <c r="O578">
        <v>1</v>
      </c>
      <c r="P578">
        <v>3280</v>
      </c>
      <c r="Q578">
        <v>0.1</v>
      </c>
      <c r="R578">
        <v>2190</v>
      </c>
      <c r="S578" t="s">
        <v>29</v>
      </c>
      <c r="T578" t="s">
        <v>30</v>
      </c>
      <c r="U578">
        <v>4</v>
      </c>
      <c r="V578" t="s">
        <v>40</v>
      </c>
      <c r="W578">
        <f>excelsalesdata[[#This Row],[Quantity]]*excelsalesdata[[#This Row],[Unit_Price]]</f>
        <v>3280</v>
      </c>
      <c r="X578">
        <f>excelsalesdata[[#This Row],[Gross_sales]]*excelsalesdata[[#This Row],[Discount_%]]</f>
        <v>328</v>
      </c>
      <c r="Y578">
        <f>excelsalesdata[[#This Row],[Gross_sales]]-excelsalesdata[[#This Row],[Discount_amt]]</f>
        <v>2952</v>
      </c>
      <c r="Z578" s="4">
        <f>excelsalesdata[[#This Row],[Net_sales]]-excelsalesdata[[#This Row],[Cost]]</f>
        <v>762</v>
      </c>
      <c r="AA578" s="5">
        <f>excelsalesdata[[#This Row],[Profit]]/excelsalesdata[[#This Row],[Net_sales]]</f>
        <v>0.258130081300813</v>
      </c>
      <c r="AB578" s="4">
        <f>YEAR(excelsalesdata[[#This Row],[Order_Date]])</f>
        <v>2026</v>
      </c>
      <c r="AC578" s="4" t="str">
        <f>TEXT(excelsalesdata[[#This Row],[Order_Date]],"mmm")</f>
        <v>Nov</v>
      </c>
      <c r="AD578" s="4" t="str">
        <f>"Q"&amp;ROUNDUP(MONTH(excelsalesdata[[#This Row],[Order_Date]])/3,0)</f>
        <v>Q4</v>
      </c>
    </row>
    <row r="579" spans="1:30" x14ac:dyDescent="0.35">
      <c r="A579" t="s">
        <v>1239</v>
      </c>
      <c r="B579" s="3">
        <v>46337</v>
      </c>
      <c r="C579" t="s">
        <v>929</v>
      </c>
      <c r="D579" t="s">
        <v>631</v>
      </c>
      <c r="E579" t="str">
        <f>TRIM(excelsalesdata[[#This Row],[Customer_Name]])</f>
        <v>Diya Naidu</v>
      </c>
      <c r="F579" t="s">
        <v>44</v>
      </c>
      <c r="G579">
        <v>28</v>
      </c>
      <c r="H579" t="s">
        <v>190</v>
      </c>
      <c r="I579" t="str">
        <f>TRIM(excelsalesdata[[#This Row],[City]])</f>
        <v>Ahmedabad</v>
      </c>
      <c r="J579" t="s">
        <v>191</v>
      </c>
      <c r="K579" t="s">
        <v>26</v>
      </c>
      <c r="L579" t="s">
        <v>38</v>
      </c>
      <c r="M579" t="s">
        <v>119</v>
      </c>
      <c r="N579" t="s">
        <v>119</v>
      </c>
      <c r="O579">
        <v>1</v>
      </c>
      <c r="P579">
        <v>8680</v>
      </c>
      <c r="Q579">
        <v>0.25</v>
      </c>
      <c r="R579">
        <v>5440</v>
      </c>
      <c r="S579" t="s">
        <v>105</v>
      </c>
      <c r="T579" t="s">
        <v>30</v>
      </c>
      <c r="U579">
        <v>4</v>
      </c>
      <c r="V579" t="s">
        <v>40</v>
      </c>
      <c r="W579">
        <f>excelsalesdata[[#This Row],[Quantity]]*excelsalesdata[[#This Row],[Unit_Price]]</f>
        <v>8680</v>
      </c>
      <c r="X579">
        <f>excelsalesdata[[#This Row],[Gross_sales]]*excelsalesdata[[#This Row],[Discount_%]]</f>
        <v>2170</v>
      </c>
      <c r="Y579">
        <f>excelsalesdata[[#This Row],[Gross_sales]]-excelsalesdata[[#This Row],[Discount_amt]]</f>
        <v>6510</v>
      </c>
      <c r="Z579" s="4">
        <f>excelsalesdata[[#This Row],[Net_sales]]-excelsalesdata[[#This Row],[Cost]]</f>
        <v>1070</v>
      </c>
      <c r="AA579" s="5">
        <f>excelsalesdata[[#This Row],[Profit]]/excelsalesdata[[#This Row],[Net_sales]]</f>
        <v>0.16436251920122888</v>
      </c>
      <c r="AB579" s="4">
        <f>YEAR(excelsalesdata[[#This Row],[Order_Date]])</f>
        <v>2026</v>
      </c>
      <c r="AC579" s="4" t="str">
        <f>TEXT(excelsalesdata[[#This Row],[Order_Date]],"mmm")</f>
        <v>Nov</v>
      </c>
      <c r="AD579" s="4" t="str">
        <f>"Q"&amp;ROUNDUP(MONTH(excelsalesdata[[#This Row],[Order_Date]])/3,0)</f>
        <v>Q4</v>
      </c>
    </row>
    <row r="580" spans="1:30" x14ac:dyDescent="0.35">
      <c r="A580" t="s">
        <v>1240</v>
      </c>
      <c r="B580" s="3">
        <v>46338</v>
      </c>
      <c r="C580" t="s">
        <v>1174</v>
      </c>
      <c r="D580" t="s">
        <v>650</v>
      </c>
      <c r="E580" t="str">
        <f>TRIM(excelsalesdata[[#This Row],[Customer_Name]])</f>
        <v>Sneha Shah</v>
      </c>
      <c r="F580" t="s">
        <v>44</v>
      </c>
      <c r="G580">
        <v>49</v>
      </c>
      <c r="H580" t="s">
        <v>109</v>
      </c>
      <c r="I580" t="str">
        <f>TRIM(excelsalesdata[[#This Row],[City]])</f>
        <v>Mysuru</v>
      </c>
      <c r="J580" t="s">
        <v>53</v>
      </c>
      <c r="K580" t="s">
        <v>47</v>
      </c>
      <c r="L580" t="s">
        <v>27</v>
      </c>
      <c r="M580" t="s">
        <v>195</v>
      </c>
      <c r="N580" t="s">
        <v>195</v>
      </c>
      <c r="O580">
        <v>1</v>
      </c>
      <c r="P580">
        <v>2030</v>
      </c>
      <c r="Q580">
        <v>0.25</v>
      </c>
      <c r="R580">
        <v>1160</v>
      </c>
      <c r="S580" t="s">
        <v>80</v>
      </c>
      <c r="T580" t="s">
        <v>30</v>
      </c>
      <c r="U580">
        <v>6</v>
      </c>
      <c r="V580" t="s">
        <v>40</v>
      </c>
      <c r="W580">
        <f>excelsalesdata[[#This Row],[Quantity]]*excelsalesdata[[#This Row],[Unit_Price]]</f>
        <v>2030</v>
      </c>
      <c r="X580">
        <f>excelsalesdata[[#This Row],[Gross_sales]]*excelsalesdata[[#This Row],[Discount_%]]</f>
        <v>507.5</v>
      </c>
      <c r="Y580">
        <f>excelsalesdata[[#This Row],[Gross_sales]]-excelsalesdata[[#This Row],[Discount_amt]]</f>
        <v>1522.5</v>
      </c>
      <c r="Z580" s="4">
        <f>excelsalesdata[[#This Row],[Net_sales]]-excelsalesdata[[#This Row],[Cost]]</f>
        <v>362.5</v>
      </c>
      <c r="AA580" s="5">
        <f>excelsalesdata[[#This Row],[Profit]]/excelsalesdata[[#This Row],[Net_sales]]</f>
        <v>0.23809523809523808</v>
      </c>
      <c r="AB580" s="4">
        <f>YEAR(excelsalesdata[[#This Row],[Order_Date]])</f>
        <v>2026</v>
      </c>
      <c r="AC580" s="4" t="str">
        <f>TEXT(excelsalesdata[[#This Row],[Order_Date]],"mmm")</f>
        <v>Nov</v>
      </c>
      <c r="AD580" s="4" t="str">
        <f>"Q"&amp;ROUNDUP(MONTH(excelsalesdata[[#This Row],[Order_Date]])/3,0)</f>
        <v>Q4</v>
      </c>
    </row>
    <row r="581" spans="1:30" x14ac:dyDescent="0.35">
      <c r="A581" t="s">
        <v>1241</v>
      </c>
      <c r="B581" s="3">
        <v>46339</v>
      </c>
      <c r="C581" t="s">
        <v>180</v>
      </c>
      <c r="D581" t="s">
        <v>944</v>
      </c>
      <c r="E581" t="str">
        <f>TRIM(excelsalesdata[[#This Row],[Customer_Name]])</f>
        <v>Kavya Gupta</v>
      </c>
      <c r="F581" t="s">
        <v>44</v>
      </c>
      <c r="G581">
        <v>35</v>
      </c>
      <c r="H581" t="s">
        <v>98</v>
      </c>
      <c r="I581" t="str">
        <f>TRIM(excelsalesdata[[#This Row],[City]])</f>
        <v>Mumbai</v>
      </c>
      <c r="J581" t="s">
        <v>25</v>
      </c>
      <c r="K581" t="s">
        <v>26</v>
      </c>
      <c r="L581" t="s">
        <v>27</v>
      </c>
      <c r="M581" t="s">
        <v>123</v>
      </c>
      <c r="N581" t="s">
        <v>123</v>
      </c>
      <c r="O581">
        <v>1</v>
      </c>
      <c r="P581">
        <v>2900</v>
      </c>
      <c r="Q581">
        <v>0.15</v>
      </c>
      <c r="R581">
        <v>1620</v>
      </c>
      <c r="S581" t="s">
        <v>29</v>
      </c>
      <c r="T581" t="s">
        <v>30</v>
      </c>
      <c r="U581">
        <v>2</v>
      </c>
      <c r="V581" t="s">
        <v>40</v>
      </c>
      <c r="W581">
        <f>excelsalesdata[[#This Row],[Quantity]]*excelsalesdata[[#This Row],[Unit_Price]]</f>
        <v>2900</v>
      </c>
      <c r="X581">
        <f>excelsalesdata[[#This Row],[Gross_sales]]*excelsalesdata[[#This Row],[Discount_%]]</f>
        <v>435</v>
      </c>
      <c r="Y581">
        <f>excelsalesdata[[#This Row],[Gross_sales]]-excelsalesdata[[#This Row],[Discount_amt]]</f>
        <v>2465</v>
      </c>
      <c r="Z581" s="4">
        <f>excelsalesdata[[#This Row],[Net_sales]]-excelsalesdata[[#This Row],[Cost]]</f>
        <v>845</v>
      </c>
      <c r="AA581" s="5">
        <f>excelsalesdata[[#This Row],[Profit]]/excelsalesdata[[#This Row],[Net_sales]]</f>
        <v>0.34279918864097364</v>
      </c>
      <c r="AB581" s="4">
        <f>YEAR(excelsalesdata[[#This Row],[Order_Date]])</f>
        <v>2026</v>
      </c>
      <c r="AC581" s="4" t="str">
        <f>TEXT(excelsalesdata[[#This Row],[Order_Date]],"mmm")</f>
        <v>Nov</v>
      </c>
      <c r="AD581" s="4" t="str">
        <f>"Q"&amp;ROUNDUP(MONTH(excelsalesdata[[#This Row],[Order_Date]])/3,0)</f>
        <v>Q4</v>
      </c>
    </row>
    <row r="582" spans="1:30" x14ac:dyDescent="0.35">
      <c r="A582" t="s">
        <v>1242</v>
      </c>
      <c r="B582" s="3">
        <v>46340</v>
      </c>
      <c r="C582" t="s">
        <v>452</v>
      </c>
      <c r="D582" t="s">
        <v>247</v>
      </c>
      <c r="E582" t="str">
        <f>TRIM(excelsalesdata[[#This Row],[Customer_Name]])</f>
        <v>Priya Mehta</v>
      </c>
      <c r="F582" t="s">
        <v>23</v>
      </c>
      <c r="G582">
        <v>18</v>
      </c>
      <c r="H582" t="s">
        <v>35</v>
      </c>
      <c r="I582" t="str">
        <f>TRIM(excelsalesdata[[#This Row],[City]])</f>
        <v>Kolkata</v>
      </c>
      <c r="J582" t="s">
        <v>36</v>
      </c>
      <c r="K582" t="s">
        <v>37</v>
      </c>
      <c r="L582" t="s">
        <v>38</v>
      </c>
      <c r="M582" t="s">
        <v>119</v>
      </c>
      <c r="N582" t="s">
        <v>119</v>
      </c>
      <c r="O582">
        <v>1</v>
      </c>
      <c r="P582">
        <v>8840</v>
      </c>
      <c r="Q582">
        <v>0.15</v>
      </c>
      <c r="R582">
        <v>5740</v>
      </c>
      <c r="S582" t="s">
        <v>80</v>
      </c>
      <c r="T582" t="s">
        <v>81</v>
      </c>
      <c r="U582">
        <v>0</v>
      </c>
      <c r="V582" t="s">
        <v>40</v>
      </c>
      <c r="W582">
        <f>excelsalesdata[[#This Row],[Quantity]]*excelsalesdata[[#This Row],[Unit_Price]]</f>
        <v>8840</v>
      </c>
      <c r="X582">
        <f>excelsalesdata[[#This Row],[Gross_sales]]*excelsalesdata[[#This Row],[Discount_%]]</f>
        <v>1326</v>
      </c>
      <c r="Y582">
        <f>excelsalesdata[[#This Row],[Gross_sales]]-excelsalesdata[[#This Row],[Discount_amt]]</f>
        <v>7514</v>
      </c>
      <c r="Z582" s="4">
        <f>excelsalesdata[[#This Row],[Net_sales]]-excelsalesdata[[#This Row],[Cost]]</f>
        <v>1774</v>
      </c>
      <c r="AA582" s="5">
        <f>excelsalesdata[[#This Row],[Profit]]/excelsalesdata[[#This Row],[Net_sales]]</f>
        <v>0.2360926270960873</v>
      </c>
      <c r="AB582" s="4">
        <f>YEAR(excelsalesdata[[#This Row],[Order_Date]])</f>
        <v>2026</v>
      </c>
      <c r="AC582" s="4" t="str">
        <f>TEXT(excelsalesdata[[#This Row],[Order_Date]],"mmm")</f>
        <v>Nov</v>
      </c>
      <c r="AD582" s="4" t="str">
        <f>"Q"&amp;ROUNDUP(MONTH(excelsalesdata[[#This Row],[Order_Date]])/3,0)</f>
        <v>Q4</v>
      </c>
    </row>
    <row r="583" spans="1:30" x14ac:dyDescent="0.35">
      <c r="A583" t="s">
        <v>1243</v>
      </c>
      <c r="B583" s="3">
        <v>46341</v>
      </c>
      <c r="C583" t="s">
        <v>1148</v>
      </c>
      <c r="D583" t="s">
        <v>546</v>
      </c>
      <c r="E583" t="str">
        <f>TRIM(excelsalesdata[[#This Row],[Customer_Name]])</f>
        <v>Karan Nair</v>
      </c>
      <c r="F583" t="s">
        <v>44</v>
      </c>
      <c r="G583">
        <v>24</v>
      </c>
      <c r="H583" t="s">
        <v>71</v>
      </c>
      <c r="I583" t="str">
        <f>TRIM(excelsalesdata[[#This Row],[City]])</f>
        <v>Bhubaneswar</v>
      </c>
      <c r="J583" t="s">
        <v>72</v>
      </c>
      <c r="K583" t="s">
        <v>37</v>
      </c>
      <c r="L583" t="s">
        <v>38</v>
      </c>
      <c r="M583" t="s">
        <v>255</v>
      </c>
      <c r="N583" t="s">
        <v>255</v>
      </c>
      <c r="O583">
        <v>1</v>
      </c>
      <c r="P583">
        <v>4560</v>
      </c>
      <c r="Q583">
        <v>0.1</v>
      </c>
      <c r="R583">
        <v>2820</v>
      </c>
      <c r="S583" t="s">
        <v>80</v>
      </c>
      <c r="T583" t="s">
        <v>30</v>
      </c>
      <c r="U583">
        <v>5</v>
      </c>
      <c r="V583" t="s">
        <v>40</v>
      </c>
      <c r="W583">
        <f>excelsalesdata[[#This Row],[Quantity]]*excelsalesdata[[#This Row],[Unit_Price]]</f>
        <v>4560</v>
      </c>
      <c r="X583">
        <f>excelsalesdata[[#This Row],[Gross_sales]]*excelsalesdata[[#This Row],[Discount_%]]</f>
        <v>456</v>
      </c>
      <c r="Y583">
        <f>excelsalesdata[[#This Row],[Gross_sales]]-excelsalesdata[[#This Row],[Discount_amt]]</f>
        <v>4104</v>
      </c>
      <c r="Z583" s="4">
        <f>excelsalesdata[[#This Row],[Net_sales]]-excelsalesdata[[#This Row],[Cost]]</f>
        <v>1284</v>
      </c>
      <c r="AA583" s="5">
        <f>excelsalesdata[[#This Row],[Profit]]/excelsalesdata[[#This Row],[Net_sales]]</f>
        <v>0.3128654970760234</v>
      </c>
      <c r="AB583" s="4">
        <f>YEAR(excelsalesdata[[#This Row],[Order_Date]])</f>
        <v>2026</v>
      </c>
      <c r="AC583" s="4" t="str">
        <f>TEXT(excelsalesdata[[#This Row],[Order_Date]],"mmm")</f>
        <v>Nov</v>
      </c>
      <c r="AD583" s="4" t="str">
        <f>"Q"&amp;ROUNDUP(MONTH(excelsalesdata[[#This Row],[Order_Date]])/3,0)</f>
        <v>Q4</v>
      </c>
    </row>
    <row r="584" spans="1:30" x14ac:dyDescent="0.35">
      <c r="A584" t="s">
        <v>1244</v>
      </c>
      <c r="B584" s="3">
        <v>46342</v>
      </c>
      <c r="C584" t="s">
        <v>1245</v>
      </c>
      <c r="D584" t="s">
        <v>189</v>
      </c>
      <c r="E584" t="str">
        <f>TRIM(excelsalesdata[[#This Row],[Customer_Name]])</f>
        <v>Aarav Reddy</v>
      </c>
      <c r="F584" t="s">
        <v>44</v>
      </c>
      <c r="G584">
        <v>50</v>
      </c>
      <c r="H584" t="s">
        <v>78</v>
      </c>
      <c r="I584" t="str">
        <f>TRIM(excelsalesdata[[#This Row],[City]])</f>
        <v>Guwahati</v>
      </c>
      <c r="J584" t="s">
        <v>79</v>
      </c>
      <c r="K584" t="s">
        <v>37</v>
      </c>
      <c r="L584" t="s">
        <v>54</v>
      </c>
      <c r="M584" t="s">
        <v>129</v>
      </c>
      <c r="N584" t="s">
        <v>129</v>
      </c>
      <c r="O584">
        <v>2</v>
      </c>
      <c r="P584">
        <v>17480</v>
      </c>
      <c r="Q584">
        <v>0.1</v>
      </c>
      <c r="R584">
        <v>13110</v>
      </c>
      <c r="S584" t="s">
        <v>29</v>
      </c>
      <c r="T584" t="s">
        <v>30</v>
      </c>
      <c r="U584">
        <v>6</v>
      </c>
      <c r="V584" t="s">
        <v>31</v>
      </c>
      <c r="W584">
        <f>excelsalesdata[[#This Row],[Quantity]]*excelsalesdata[[#This Row],[Unit_Price]]</f>
        <v>34960</v>
      </c>
      <c r="X584">
        <f>excelsalesdata[[#This Row],[Gross_sales]]*excelsalesdata[[#This Row],[Discount_%]]</f>
        <v>3496</v>
      </c>
      <c r="Y584">
        <f>excelsalesdata[[#This Row],[Gross_sales]]-excelsalesdata[[#This Row],[Discount_amt]]</f>
        <v>31464</v>
      </c>
      <c r="Z584" s="4">
        <f>excelsalesdata[[#This Row],[Net_sales]]-excelsalesdata[[#This Row],[Cost]]</f>
        <v>18354</v>
      </c>
      <c r="AA584" s="5">
        <f>excelsalesdata[[#This Row],[Profit]]/excelsalesdata[[#This Row],[Net_sales]]</f>
        <v>0.58333333333333337</v>
      </c>
      <c r="AB584" s="4">
        <f>YEAR(excelsalesdata[[#This Row],[Order_Date]])</f>
        <v>2026</v>
      </c>
      <c r="AC584" s="4" t="str">
        <f>TEXT(excelsalesdata[[#This Row],[Order_Date]],"mmm")</f>
        <v>Nov</v>
      </c>
      <c r="AD584" s="4" t="str">
        <f>"Q"&amp;ROUNDUP(MONTH(excelsalesdata[[#This Row],[Order_Date]])/3,0)</f>
        <v>Q4</v>
      </c>
    </row>
    <row r="585" spans="1:30" x14ac:dyDescent="0.35">
      <c r="A585" t="s">
        <v>1246</v>
      </c>
      <c r="B585" s="3">
        <v>46343</v>
      </c>
      <c r="C585" t="s">
        <v>381</v>
      </c>
      <c r="D585" t="s">
        <v>755</v>
      </c>
      <c r="E585" t="str">
        <f>TRIM(excelsalesdata[[#This Row],[Customer_Name]])</f>
        <v>Rahul Singh</v>
      </c>
      <c r="F585" t="s">
        <v>44</v>
      </c>
      <c r="G585">
        <v>50</v>
      </c>
      <c r="H585" t="s">
        <v>133</v>
      </c>
      <c r="I585" t="str">
        <f>TRIM(excelsalesdata[[#This Row],[City]])</f>
        <v>Jaipur</v>
      </c>
      <c r="J585" t="s">
        <v>134</v>
      </c>
      <c r="K585" t="s">
        <v>61</v>
      </c>
      <c r="L585" t="s">
        <v>54</v>
      </c>
      <c r="M585" t="s">
        <v>62</v>
      </c>
      <c r="N585" t="s">
        <v>62</v>
      </c>
      <c r="O585">
        <v>2</v>
      </c>
      <c r="P585">
        <v>22440</v>
      </c>
      <c r="Q585">
        <v>0.15</v>
      </c>
      <c r="R585">
        <v>14830</v>
      </c>
      <c r="S585" t="s">
        <v>105</v>
      </c>
      <c r="T585" t="s">
        <v>81</v>
      </c>
      <c r="U585">
        <v>0</v>
      </c>
      <c r="V585" t="s">
        <v>40</v>
      </c>
      <c r="W585">
        <f>excelsalesdata[[#This Row],[Quantity]]*excelsalesdata[[#This Row],[Unit_Price]]</f>
        <v>44880</v>
      </c>
      <c r="X585">
        <f>excelsalesdata[[#This Row],[Gross_sales]]*excelsalesdata[[#This Row],[Discount_%]]</f>
        <v>6732</v>
      </c>
      <c r="Y585">
        <f>excelsalesdata[[#This Row],[Gross_sales]]-excelsalesdata[[#This Row],[Discount_amt]]</f>
        <v>38148</v>
      </c>
      <c r="Z585" s="4">
        <f>excelsalesdata[[#This Row],[Net_sales]]-excelsalesdata[[#This Row],[Cost]]</f>
        <v>23318</v>
      </c>
      <c r="AA585" s="5">
        <f>excelsalesdata[[#This Row],[Profit]]/excelsalesdata[[#This Row],[Net_sales]]</f>
        <v>0.61125091747929117</v>
      </c>
      <c r="AB585" s="4">
        <f>YEAR(excelsalesdata[[#This Row],[Order_Date]])</f>
        <v>2026</v>
      </c>
      <c r="AC585" s="4" t="str">
        <f>TEXT(excelsalesdata[[#This Row],[Order_Date]],"mmm")</f>
        <v>Nov</v>
      </c>
      <c r="AD585" s="4" t="str">
        <f>"Q"&amp;ROUNDUP(MONTH(excelsalesdata[[#This Row],[Order_Date]])/3,0)</f>
        <v>Q4</v>
      </c>
    </row>
    <row r="586" spans="1:30" x14ac:dyDescent="0.35">
      <c r="A586" t="s">
        <v>1247</v>
      </c>
      <c r="B586" s="3">
        <v>46344</v>
      </c>
      <c r="C586" t="s">
        <v>628</v>
      </c>
      <c r="D586" t="s">
        <v>234</v>
      </c>
      <c r="E586" t="str">
        <f>TRIM(excelsalesdata[[#This Row],[Customer_Name]])</f>
        <v>Rohan Gupta</v>
      </c>
      <c r="F586" t="s">
        <v>23</v>
      </c>
      <c r="G586">
        <v>29</v>
      </c>
      <c r="H586" t="s">
        <v>114</v>
      </c>
      <c r="I586" t="str">
        <f>TRIM(excelsalesdata[[#This Row],[City]])</f>
        <v>Hyderabad</v>
      </c>
      <c r="J586" t="s">
        <v>115</v>
      </c>
      <c r="K586" t="s">
        <v>47</v>
      </c>
      <c r="L586" t="s">
        <v>54</v>
      </c>
      <c r="M586" t="s">
        <v>55</v>
      </c>
      <c r="N586" t="s">
        <v>55</v>
      </c>
      <c r="O586">
        <v>2</v>
      </c>
      <c r="P586">
        <v>6550</v>
      </c>
      <c r="Q586">
        <v>0.05</v>
      </c>
      <c r="R586">
        <v>4460</v>
      </c>
      <c r="S586" t="s">
        <v>29</v>
      </c>
      <c r="T586" t="s">
        <v>74</v>
      </c>
      <c r="U586">
        <v>2</v>
      </c>
      <c r="V586" t="s">
        <v>31</v>
      </c>
      <c r="W586">
        <f>excelsalesdata[[#This Row],[Quantity]]*excelsalesdata[[#This Row],[Unit_Price]]</f>
        <v>13100</v>
      </c>
      <c r="X586">
        <f>excelsalesdata[[#This Row],[Gross_sales]]*excelsalesdata[[#This Row],[Discount_%]]</f>
        <v>655</v>
      </c>
      <c r="Y586">
        <f>excelsalesdata[[#This Row],[Gross_sales]]-excelsalesdata[[#This Row],[Discount_amt]]</f>
        <v>12445</v>
      </c>
      <c r="Z586" s="4">
        <f>excelsalesdata[[#This Row],[Net_sales]]-excelsalesdata[[#This Row],[Cost]]</f>
        <v>7985</v>
      </c>
      <c r="AA586" s="5">
        <f>excelsalesdata[[#This Row],[Profit]]/excelsalesdata[[#This Row],[Net_sales]]</f>
        <v>0.64162314182402569</v>
      </c>
      <c r="AB586" s="4">
        <f>YEAR(excelsalesdata[[#This Row],[Order_Date]])</f>
        <v>2026</v>
      </c>
      <c r="AC586" s="4" t="str">
        <f>TEXT(excelsalesdata[[#This Row],[Order_Date]],"mmm")</f>
        <v>Nov</v>
      </c>
      <c r="AD586" s="4" t="str">
        <f>"Q"&amp;ROUNDUP(MONTH(excelsalesdata[[#This Row],[Order_Date]])/3,0)</f>
        <v>Q4</v>
      </c>
    </row>
    <row r="587" spans="1:30" x14ac:dyDescent="0.35">
      <c r="A587" t="s">
        <v>1248</v>
      </c>
      <c r="B587" s="3">
        <v>46345</v>
      </c>
      <c r="C587" t="s">
        <v>1249</v>
      </c>
      <c r="D587" t="s">
        <v>167</v>
      </c>
      <c r="E587" t="str">
        <f>TRIM(excelsalesdata[[#This Row],[Customer_Name]])</f>
        <v>Arjun Nair</v>
      </c>
      <c r="F587" t="s">
        <v>23</v>
      </c>
      <c r="G587">
        <v>34</v>
      </c>
      <c r="H587" t="s">
        <v>71</v>
      </c>
      <c r="I587" t="str">
        <f>TRIM(excelsalesdata[[#This Row],[City]])</f>
        <v>Bhubaneswar</v>
      </c>
      <c r="J587" t="s">
        <v>72</v>
      </c>
      <c r="K587" t="s">
        <v>37</v>
      </c>
      <c r="L587" t="s">
        <v>103</v>
      </c>
      <c r="M587" t="s">
        <v>178</v>
      </c>
      <c r="N587" t="s">
        <v>178</v>
      </c>
      <c r="O587">
        <v>2</v>
      </c>
      <c r="P587">
        <v>1680</v>
      </c>
      <c r="Q587">
        <v>0.1</v>
      </c>
      <c r="R587">
        <v>980</v>
      </c>
      <c r="S587" t="s">
        <v>105</v>
      </c>
      <c r="T587" t="s">
        <v>74</v>
      </c>
      <c r="U587">
        <v>3</v>
      </c>
      <c r="V587" t="s">
        <v>31</v>
      </c>
      <c r="W587">
        <f>excelsalesdata[[#This Row],[Quantity]]*excelsalesdata[[#This Row],[Unit_Price]]</f>
        <v>3360</v>
      </c>
      <c r="X587">
        <f>excelsalesdata[[#This Row],[Gross_sales]]*excelsalesdata[[#This Row],[Discount_%]]</f>
        <v>336</v>
      </c>
      <c r="Y587">
        <f>excelsalesdata[[#This Row],[Gross_sales]]-excelsalesdata[[#This Row],[Discount_amt]]</f>
        <v>3024</v>
      </c>
      <c r="Z587" s="4">
        <f>excelsalesdata[[#This Row],[Net_sales]]-excelsalesdata[[#This Row],[Cost]]</f>
        <v>2044</v>
      </c>
      <c r="AA587" s="5">
        <f>excelsalesdata[[#This Row],[Profit]]/excelsalesdata[[#This Row],[Net_sales]]</f>
        <v>0.67592592592592593</v>
      </c>
      <c r="AB587" s="4">
        <f>YEAR(excelsalesdata[[#This Row],[Order_Date]])</f>
        <v>2026</v>
      </c>
      <c r="AC587" s="4" t="str">
        <f>TEXT(excelsalesdata[[#This Row],[Order_Date]],"mmm")</f>
        <v>Nov</v>
      </c>
      <c r="AD587" s="4" t="str">
        <f>"Q"&amp;ROUNDUP(MONTH(excelsalesdata[[#This Row],[Order_Date]])/3,0)</f>
        <v>Q4</v>
      </c>
    </row>
    <row r="588" spans="1:30" x14ac:dyDescent="0.35">
      <c r="A588" t="s">
        <v>1250</v>
      </c>
      <c r="B588" s="3">
        <v>46346</v>
      </c>
      <c r="C588" t="s">
        <v>64</v>
      </c>
      <c r="D588" t="s">
        <v>51</v>
      </c>
      <c r="E588" t="str">
        <f>TRIM(excelsalesdata[[#This Row],[Customer_Name]])</f>
        <v>Sneha Iyer</v>
      </c>
      <c r="F588" t="s">
        <v>44</v>
      </c>
      <c r="G588">
        <v>58</v>
      </c>
      <c r="H588" t="s">
        <v>24</v>
      </c>
      <c r="I588" t="str">
        <f>TRIM(excelsalesdata[[#This Row],[City]])</f>
        <v>Pune</v>
      </c>
      <c r="J588" t="s">
        <v>25</v>
      </c>
      <c r="K588" t="s">
        <v>26</v>
      </c>
      <c r="L588" t="s">
        <v>103</v>
      </c>
      <c r="M588" t="s">
        <v>178</v>
      </c>
      <c r="N588" t="s">
        <v>178</v>
      </c>
      <c r="O588">
        <v>2</v>
      </c>
      <c r="P588">
        <v>1780</v>
      </c>
      <c r="Q588">
        <v>0.1</v>
      </c>
      <c r="R588">
        <v>920</v>
      </c>
      <c r="S588" t="s">
        <v>29</v>
      </c>
      <c r="T588" t="s">
        <v>30</v>
      </c>
      <c r="U588">
        <v>1</v>
      </c>
      <c r="V588" t="s">
        <v>31</v>
      </c>
      <c r="W588">
        <f>excelsalesdata[[#This Row],[Quantity]]*excelsalesdata[[#This Row],[Unit_Price]]</f>
        <v>3560</v>
      </c>
      <c r="X588">
        <f>excelsalesdata[[#This Row],[Gross_sales]]*excelsalesdata[[#This Row],[Discount_%]]</f>
        <v>356</v>
      </c>
      <c r="Y588">
        <f>excelsalesdata[[#This Row],[Gross_sales]]-excelsalesdata[[#This Row],[Discount_amt]]</f>
        <v>3204</v>
      </c>
      <c r="Z588" s="4">
        <f>excelsalesdata[[#This Row],[Net_sales]]-excelsalesdata[[#This Row],[Cost]]</f>
        <v>2284</v>
      </c>
      <c r="AA588" s="5">
        <f>excelsalesdata[[#This Row],[Profit]]/excelsalesdata[[#This Row],[Net_sales]]</f>
        <v>0.71285892634207237</v>
      </c>
      <c r="AB588" s="4">
        <f>YEAR(excelsalesdata[[#This Row],[Order_Date]])</f>
        <v>2026</v>
      </c>
      <c r="AC588" s="4" t="str">
        <f>TEXT(excelsalesdata[[#This Row],[Order_Date]],"mmm")</f>
        <v>Nov</v>
      </c>
      <c r="AD588" s="4" t="str">
        <f>"Q"&amp;ROUNDUP(MONTH(excelsalesdata[[#This Row],[Order_Date]])/3,0)</f>
        <v>Q4</v>
      </c>
    </row>
    <row r="589" spans="1:30" x14ac:dyDescent="0.35">
      <c r="A589" t="s">
        <v>1251</v>
      </c>
      <c r="B589" s="3">
        <v>46347</v>
      </c>
      <c r="C589" t="s">
        <v>924</v>
      </c>
      <c r="D589" t="s">
        <v>205</v>
      </c>
      <c r="E589" t="str">
        <f>TRIM(excelsalesdata[[#This Row],[Customer_Name]])</f>
        <v>Vivaan Bhat</v>
      </c>
      <c r="F589" t="s">
        <v>23</v>
      </c>
      <c r="G589">
        <v>23</v>
      </c>
      <c r="H589" t="s">
        <v>60</v>
      </c>
      <c r="I589" t="str">
        <f>TRIM(excelsalesdata[[#This Row],[City]])</f>
        <v>Chandigarh</v>
      </c>
      <c r="J589" t="s">
        <v>60</v>
      </c>
      <c r="K589" t="s">
        <v>61</v>
      </c>
      <c r="L589" t="s">
        <v>85</v>
      </c>
      <c r="M589" t="s">
        <v>110</v>
      </c>
      <c r="N589" t="s">
        <v>110</v>
      </c>
      <c r="O589">
        <v>2</v>
      </c>
      <c r="P589">
        <v>1290</v>
      </c>
      <c r="Q589">
        <v>0.05</v>
      </c>
      <c r="R589">
        <v>610</v>
      </c>
      <c r="S589" t="s">
        <v>151</v>
      </c>
      <c r="T589" t="s">
        <v>30</v>
      </c>
      <c r="U589">
        <v>3</v>
      </c>
      <c r="V589" t="s">
        <v>40</v>
      </c>
      <c r="W589">
        <f>excelsalesdata[[#This Row],[Quantity]]*excelsalesdata[[#This Row],[Unit_Price]]</f>
        <v>2580</v>
      </c>
      <c r="X589">
        <f>excelsalesdata[[#This Row],[Gross_sales]]*excelsalesdata[[#This Row],[Discount_%]]</f>
        <v>129</v>
      </c>
      <c r="Y589">
        <f>excelsalesdata[[#This Row],[Gross_sales]]-excelsalesdata[[#This Row],[Discount_amt]]</f>
        <v>2451</v>
      </c>
      <c r="Z589" s="4">
        <f>excelsalesdata[[#This Row],[Net_sales]]-excelsalesdata[[#This Row],[Cost]]</f>
        <v>1841</v>
      </c>
      <c r="AA589" s="5">
        <f>excelsalesdata[[#This Row],[Profit]]/excelsalesdata[[#This Row],[Net_sales]]</f>
        <v>0.75112199102407184</v>
      </c>
      <c r="AB589" s="4">
        <f>YEAR(excelsalesdata[[#This Row],[Order_Date]])</f>
        <v>2026</v>
      </c>
      <c r="AC589" s="4" t="str">
        <f>TEXT(excelsalesdata[[#This Row],[Order_Date]],"mmm")</f>
        <v>Nov</v>
      </c>
      <c r="AD589" s="4" t="str">
        <f>"Q"&amp;ROUNDUP(MONTH(excelsalesdata[[#This Row],[Order_Date]])/3,0)</f>
        <v>Q4</v>
      </c>
    </row>
    <row r="590" spans="1:30" x14ac:dyDescent="0.35">
      <c r="A590" t="s">
        <v>1252</v>
      </c>
      <c r="B590" s="3">
        <v>46348</v>
      </c>
      <c r="C590" t="s">
        <v>1253</v>
      </c>
      <c r="D590" t="s">
        <v>1256</v>
      </c>
      <c r="E590" t="str">
        <f>TRIM(excelsalesdata[[#This Row],[Customer_Name]])</f>
        <v>Kavya Bhat</v>
      </c>
      <c r="F590" t="s">
        <v>44</v>
      </c>
      <c r="G590">
        <v>21</v>
      </c>
      <c r="H590" t="s">
        <v>133</v>
      </c>
      <c r="I590" t="str">
        <f>TRIM(excelsalesdata[[#This Row],[City]])</f>
        <v>Jaipur</v>
      </c>
      <c r="J590" t="s">
        <v>134</v>
      </c>
      <c r="K590" t="s">
        <v>61</v>
      </c>
      <c r="L590" t="s">
        <v>54</v>
      </c>
      <c r="M590" t="s">
        <v>157</v>
      </c>
      <c r="N590" t="s">
        <v>157</v>
      </c>
      <c r="O590">
        <v>2</v>
      </c>
      <c r="P590">
        <v>55440</v>
      </c>
      <c r="Q590">
        <v>0.2</v>
      </c>
      <c r="R590">
        <v>40340</v>
      </c>
      <c r="S590" t="s">
        <v>151</v>
      </c>
      <c r="T590" t="s">
        <v>30</v>
      </c>
      <c r="U590">
        <v>3</v>
      </c>
      <c r="V590" t="s">
        <v>40</v>
      </c>
      <c r="W590">
        <f>excelsalesdata[[#This Row],[Quantity]]*excelsalesdata[[#This Row],[Unit_Price]]</f>
        <v>110880</v>
      </c>
      <c r="X590">
        <f>excelsalesdata[[#This Row],[Gross_sales]]*excelsalesdata[[#This Row],[Discount_%]]</f>
        <v>22176</v>
      </c>
      <c r="Y590">
        <f>excelsalesdata[[#This Row],[Gross_sales]]-excelsalesdata[[#This Row],[Discount_amt]]</f>
        <v>88704</v>
      </c>
      <c r="Z590" s="4">
        <f>excelsalesdata[[#This Row],[Net_sales]]-excelsalesdata[[#This Row],[Cost]]</f>
        <v>48364</v>
      </c>
      <c r="AA590" s="5">
        <f>excelsalesdata[[#This Row],[Profit]]/excelsalesdata[[#This Row],[Net_sales]]</f>
        <v>0.54522907647907648</v>
      </c>
      <c r="AB590" s="4">
        <f>YEAR(excelsalesdata[[#This Row],[Order_Date]])</f>
        <v>2026</v>
      </c>
      <c r="AC590" s="4" t="str">
        <f>TEXT(excelsalesdata[[#This Row],[Order_Date]],"mmm")</f>
        <v>Nov</v>
      </c>
      <c r="AD590" s="4" t="str">
        <f>"Q"&amp;ROUNDUP(MONTH(excelsalesdata[[#This Row],[Order_Date]])/3,0)</f>
        <v>Q4</v>
      </c>
    </row>
    <row r="591" spans="1:30" x14ac:dyDescent="0.35">
      <c r="A591" t="s">
        <v>1254</v>
      </c>
      <c r="B591" s="3">
        <v>46349</v>
      </c>
      <c r="C591" t="s">
        <v>1255</v>
      </c>
      <c r="D591" t="s">
        <v>588</v>
      </c>
      <c r="E591" t="str">
        <f>TRIM(excelsalesdata[[#This Row],[Customer_Name]])</f>
        <v>Karan Rao</v>
      </c>
      <c r="F591" t="s">
        <v>23</v>
      </c>
      <c r="G591">
        <v>44</v>
      </c>
      <c r="H591" t="s">
        <v>24</v>
      </c>
      <c r="I591" t="str">
        <f>TRIM(excelsalesdata[[#This Row],[City]])</f>
        <v>Pune</v>
      </c>
      <c r="J591" t="s">
        <v>25</v>
      </c>
      <c r="K591" t="s">
        <v>26</v>
      </c>
      <c r="L591" t="s">
        <v>54</v>
      </c>
      <c r="M591" t="s">
        <v>62</v>
      </c>
      <c r="N591" t="s">
        <v>62</v>
      </c>
      <c r="O591">
        <v>2</v>
      </c>
      <c r="P591">
        <v>23230</v>
      </c>
      <c r="Q591">
        <v>0.15</v>
      </c>
      <c r="R591">
        <v>15490</v>
      </c>
      <c r="S591" t="s">
        <v>29</v>
      </c>
      <c r="T591" t="s">
        <v>74</v>
      </c>
      <c r="U591">
        <v>4</v>
      </c>
      <c r="V591" t="s">
        <v>31</v>
      </c>
      <c r="W591">
        <f>excelsalesdata[[#This Row],[Quantity]]*excelsalesdata[[#This Row],[Unit_Price]]</f>
        <v>46460</v>
      </c>
      <c r="X591">
        <f>excelsalesdata[[#This Row],[Gross_sales]]*excelsalesdata[[#This Row],[Discount_%]]</f>
        <v>6969</v>
      </c>
      <c r="Y591">
        <f>excelsalesdata[[#This Row],[Gross_sales]]-excelsalesdata[[#This Row],[Discount_amt]]</f>
        <v>39491</v>
      </c>
      <c r="Z591" s="4">
        <f>excelsalesdata[[#This Row],[Net_sales]]-excelsalesdata[[#This Row],[Cost]]</f>
        <v>24001</v>
      </c>
      <c r="AA591" s="5">
        <f>excelsalesdata[[#This Row],[Profit]]/excelsalesdata[[#This Row],[Net_sales]]</f>
        <v>0.60775872983717805</v>
      </c>
      <c r="AB591" s="4">
        <f>YEAR(excelsalesdata[[#This Row],[Order_Date]])</f>
        <v>2026</v>
      </c>
      <c r="AC591" s="4" t="str">
        <f>TEXT(excelsalesdata[[#This Row],[Order_Date]],"mmm")</f>
        <v>Nov</v>
      </c>
      <c r="AD591" s="4" t="str">
        <f>"Q"&amp;ROUNDUP(MONTH(excelsalesdata[[#This Row],[Order_Date]])/3,0)</f>
        <v>Q4</v>
      </c>
    </row>
    <row r="592" spans="1:30" x14ac:dyDescent="0.35">
      <c r="A592" t="s">
        <v>1257</v>
      </c>
      <c r="B592" s="3">
        <v>46350</v>
      </c>
      <c r="C592" t="s">
        <v>1258</v>
      </c>
      <c r="D592" t="s">
        <v>231</v>
      </c>
      <c r="E592" t="str">
        <f>TRIM(excelsalesdata[[#This Row],[Customer_Name]])</f>
        <v>Ananya Verma</v>
      </c>
      <c r="F592" t="s">
        <v>23</v>
      </c>
      <c r="G592">
        <v>18</v>
      </c>
      <c r="H592" t="s">
        <v>114</v>
      </c>
      <c r="I592" t="str">
        <f>TRIM(excelsalesdata[[#This Row],[City]])</f>
        <v>Hyderabad</v>
      </c>
      <c r="J592" t="s">
        <v>115</v>
      </c>
      <c r="K592" t="s">
        <v>47</v>
      </c>
      <c r="L592" t="s">
        <v>38</v>
      </c>
      <c r="M592" t="s">
        <v>39</v>
      </c>
      <c r="N592" t="s">
        <v>39</v>
      </c>
      <c r="O592">
        <v>3</v>
      </c>
      <c r="P592">
        <v>6070</v>
      </c>
      <c r="Q592">
        <v>0.2</v>
      </c>
      <c r="R592">
        <v>4270</v>
      </c>
      <c r="S592" t="s">
        <v>151</v>
      </c>
      <c r="T592" t="s">
        <v>30</v>
      </c>
      <c r="U592">
        <v>4</v>
      </c>
      <c r="V592" t="s">
        <v>31</v>
      </c>
      <c r="W592">
        <f>excelsalesdata[[#This Row],[Quantity]]*excelsalesdata[[#This Row],[Unit_Price]]</f>
        <v>18210</v>
      </c>
      <c r="X592">
        <f>excelsalesdata[[#This Row],[Gross_sales]]*excelsalesdata[[#This Row],[Discount_%]]</f>
        <v>3642</v>
      </c>
      <c r="Y592">
        <f>excelsalesdata[[#This Row],[Gross_sales]]-excelsalesdata[[#This Row],[Discount_amt]]</f>
        <v>14568</v>
      </c>
      <c r="Z592" s="4">
        <f>excelsalesdata[[#This Row],[Net_sales]]-excelsalesdata[[#This Row],[Cost]]</f>
        <v>10298</v>
      </c>
      <c r="AA592" s="5">
        <f>excelsalesdata[[#This Row],[Profit]]/excelsalesdata[[#This Row],[Net_sales]]</f>
        <v>0.70689181768259202</v>
      </c>
      <c r="AB592" s="4">
        <f>YEAR(excelsalesdata[[#This Row],[Order_Date]])</f>
        <v>2026</v>
      </c>
      <c r="AC592" s="4" t="str">
        <f>TEXT(excelsalesdata[[#This Row],[Order_Date]],"mmm")</f>
        <v>Nov</v>
      </c>
      <c r="AD592" s="4" t="str">
        <f>"Q"&amp;ROUNDUP(MONTH(excelsalesdata[[#This Row],[Order_Date]])/3,0)</f>
        <v>Q4</v>
      </c>
    </row>
    <row r="593" spans="1:30" x14ac:dyDescent="0.35">
      <c r="A593" t="s">
        <v>1259</v>
      </c>
      <c r="B593" s="3">
        <v>46351</v>
      </c>
      <c r="C593" t="s">
        <v>734</v>
      </c>
      <c r="D593" t="s">
        <v>141</v>
      </c>
      <c r="E593" t="str">
        <f>TRIM(excelsalesdata[[#This Row],[Customer_Name]])</f>
        <v>Aarav Kumar</v>
      </c>
      <c r="F593" t="s">
        <v>44</v>
      </c>
      <c r="G593">
        <v>60</v>
      </c>
      <c r="H593" t="s">
        <v>35</v>
      </c>
      <c r="I593" t="str">
        <f>TRIM(excelsalesdata[[#This Row],[City]])</f>
        <v>Kolkata</v>
      </c>
      <c r="J593" t="s">
        <v>36</v>
      </c>
      <c r="K593" t="s">
        <v>37</v>
      </c>
      <c r="L593" t="s">
        <v>38</v>
      </c>
      <c r="M593" t="s">
        <v>39</v>
      </c>
      <c r="N593" t="s">
        <v>39</v>
      </c>
      <c r="O593">
        <v>2</v>
      </c>
      <c r="P593">
        <v>6990</v>
      </c>
      <c r="Q593">
        <v>0</v>
      </c>
      <c r="R593">
        <v>4120</v>
      </c>
      <c r="S593" t="s">
        <v>80</v>
      </c>
      <c r="T593" t="s">
        <v>30</v>
      </c>
      <c r="U593">
        <v>2</v>
      </c>
      <c r="V593" t="s">
        <v>40</v>
      </c>
      <c r="W593">
        <f>excelsalesdata[[#This Row],[Quantity]]*excelsalesdata[[#This Row],[Unit_Price]]</f>
        <v>13980</v>
      </c>
      <c r="X593">
        <f>excelsalesdata[[#This Row],[Gross_sales]]*excelsalesdata[[#This Row],[Discount_%]]</f>
        <v>0</v>
      </c>
      <c r="Y593">
        <f>excelsalesdata[[#This Row],[Gross_sales]]-excelsalesdata[[#This Row],[Discount_amt]]</f>
        <v>13980</v>
      </c>
      <c r="Z593" s="4">
        <f>excelsalesdata[[#This Row],[Net_sales]]-excelsalesdata[[#This Row],[Cost]]</f>
        <v>9860</v>
      </c>
      <c r="AA593" s="5">
        <f>excelsalesdata[[#This Row],[Profit]]/excelsalesdata[[#This Row],[Net_sales]]</f>
        <v>0.70529327610872672</v>
      </c>
      <c r="AB593" s="4">
        <f>YEAR(excelsalesdata[[#This Row],[Order_Date]])</f>
        <v>2026</v>
      </c>
      <c r="AC593" s="4" t="str">
        <f>TEXT(excelsalesdata[[#This Row],[Order_Date]],"mmm")</f>
        <v>Nov</v>
      </c>
      <c r="AD593" s="4" t="str">
        <f>"Q"&amp;ROUNDUP(MONTH(excelsalesdata[[#This Row],[Order_Date]])/3,0)</f>
        <v>Q4</v>
      </c>
    </row>
    <row r="594" spans="1:30" x14ac:dyDescent="0.35">
      <c r="A594" t="s">
        <v>1260</v>
      </c>
      <c r="B594" s="3">
        <v>46352</v>
      </c>
      <c r="C594" t="s">
        <v>1261</v>
      </c>
      <c r="D594" t="s">
        <v>273</v>
      </c>
      <c r="E594" t="str">
        <f>TRIM(excelsalesdata[[#This Row],[Customer_Name]])</f>
        <v>Aarav Sharma</v>
      </c>
      <c r="F594" t="s">
        <v>23</v>
      </c>
      <c r="G594">
        <v>22</v>
      </c>
      <c r="H594" t="s">
        <v>24</v>
      </c>
      <c r="I594" t="str">
        <f>TRIM(excelsalesdata[[#This Row],[City]])</f>
        <v>Pune</v>
      </c>
      <c r="J594" t="s">
        <v>25</v>
      </c>
      <c r="K594" t="s">
        <v>26</v>
      </c>
      <c r="L594" t="s">
        <v>27</v>
      </c>
      <c r="M594" t="s">
        <v>195</v>
      </c>
      <c r="N594" t="s">
        <v>195</v>
      </c>
      <c r="O594">
        <v>1</v>
      </c>
      <c r="P594">
        <v>2200</v>
      </c>
      <c r="Q594">
        <v>0.1</v>
      </c>
      <c r="R594">
        <v>1180</v>
      </c>
      <c r="S594" t="s">
        <v>80</v>
      </c>
      <c r="T594" t="s">
        <v>30</v>
      </c>
      <c r="U594">
        <v>4</v>
      </c>
      <c r="V594" t="s">
        <v>40</v>
      </c>
      <c r="W594">
        <f>excelsalesdata[[#This Row],[Quantity]]*excelsalesdata[[#This Row],[Unit_Price]]</f>
        <v>2200</v>
      </c>
      <c r="X594">
        <f>excelsalesdata[[#This Row],[Gross_sales]]*excelsalesdata[[#This Row],[Discount_%]]</f>
        <v>220</v>
      </c>
      <c r="Y594">
        <f>excelsalesdata[[#This Row],[Gross_sales]]-excelsalesdata[[#This Row],[Discount_amt]]</f>
        <v>1980</v>
      </c>
      <c r="Z594" s="4">
        <f>excelsalesdata[[#This Row],[Net_sales]]-excelsalesdata[[#This Row],[Cost]]</f>
        <v>800</v>
      </c>
      <c r="AA594" s="5">
        <f>excelsalesdata[[#This Row],[Profit]]/excelsalesdata[[#This Row],[Net_sales]]</f>
        <v>0.40404040404040403</v>
      </c>
      <c r="AB594" s="4">
        <f>YEAR(excelsalesdata[[#This Row],[Order_Date]])</f>
        <v>2026</v>
      </c>
      <c r="AC594" s="4" t="str">
        <f>TEXT(excelsalesdata[[#This Row],[Order_Date]],"mmm")</f>
        <v>Nov</v>
      </c>
      <c r="AD594" s="4" t="str">
        <f>"Q"&amp;ROUNDUP(MONTH(excelsalesdata[[#This Row],[Order_Date]])/3,0)</f>
        <v>Q4</v>
      </c>
    </row>
    <row r="595" spans="1:30" x14ac:dyDescent="0.35">
      <c r="A595" t="s">
        <v>1262</v>
      </c>
      <c r="B595" s="3">
        <v>46353</v>
      </c>
      <c r="C595" t="s">
        <v>1263</v>
      </c>
      <c r="D595" t="s">
        <v>689</v>
      </c>
      <c r="E595" t="str">
        <f>TRIM(excelsalesdata[[#This Row],[Customer_Name]])</f>
        <v>Priya Rao</v>
      </c>
      <c r="F595" t="s">
        <v>44</v>
      </c>
      <c r="G595">
        <v>47</v>
      </c>
      <c r="H595" t="s">
        <v>60</v>
      </c>
      <c r="I595" t="str">
        <f>TRIM(excelsalesdata[[#This Row],[City]])</f>
        <v>Chandigarh</v>
      </c>
      <c r="J595" t="s">
        <v>60</v>
      </c>
      <c r="K595" t="s">
        <v>61</v>
      </c>
      <c r="L595" t="s">
        <v>93</v>
      </c>
      <c r="M595" t="s">
        <v>94</v>
      </c>
      <c r="N595" t="s">
        <v>94</v>
      </c>
      <c r="O595">
        <v>1</v>
      </c>
      <c r="P595">
        <v>540</v>
      </c>
      <c r="Q595">
        <v>0</v>
      </c>
      <c r="R595">
        <v>230</v>
      </c>
      <c r="S595" t="s">
        <v>29</v>
      </c>
      <c r="T595" t="s">
        <v>74</v>
      </c>
      <c r="U595">
        <v>4</v>
      </c>
      <c r="V595" t="s">
        <v>31</v>
      </c>
      <c r="W595">
        <f>excelsalesdata[[#This Row],[Quantity]]*excelsalesdata[[#This Row],[Unit_Price]]</f>
        <v>540</v>
      </c>
      <c r="X595">
        <f>excelsalesdata[[#This Row],[Gross_sales]]*excelsalesdata[[#This Row],[Discount_%]]</f>
        <v>0</v>
      </c>
      <c r="Y595">
        <f>excelsalesdata[[#This Row],[Gross_sales]]-excelsalesdata[[#This Row],[Discount_amt]]</f>
        <v>540</v>
      </c>
      <c r="Z595" s="4">
        <f>excelsalesdata[[#This Row],[Net_sales]]-excelsalesdata[[#This Row],[Cost]]</f>
        <v>310</v>
      </c>
      <c r="AA595" s="5">
        <f>excelsalesdata[[#This Row],[Profit]]/excelsalesdata[[#This Row],[Net_sales]]</f>
        <v>0.57407407407407407</v>
      </c>
      <c r="AB595" s="4">
        <f>YEAR(excelsalesdata[[#This Row],[Order_Date]])</f>
        <v>2026</v>
      </c>
      <c r="AC595" s="4" t="str">
        <f>TEXT(excelsalesdata[[#This Row],[Order_Date]],"mmm")</f>
        <v>Nov</v>
      </c>
      <c r="AD595" s="4" t="str">
        <f>"Q"&amp;ROUNDUP(MONTH(excelsalesdata[[#This Row],[Order_Date]])/3,0)</f>
        <v>Q4</v>
      </c>
    </row>
    <row r="596" spans="1:30" x14ac:dyDescent="0.35">
      <c r="A596" t="s">
        <v>1264</v>
      </c>
      <c r="B596" s="3">
        <v>46354</v>
      </c>
      <c r="C596" t="s">
        <v>802</v>
      </c>
      <c r="D596" t="s">
        <v>1029</v>
      </c>
      <c r="E596" t="str">
        <f>TRIM(excelsalesdata[[#This Row],[Customer_Name]])</f>
        <v>Kavya Reddy</v>
      </c>
      <c r="F596" t="s">
        <v>44</v>
      </c>
      <c r="G596">
        <v>24</v>
      </c>
      <c r="H596" t="s">
        <v>155</v>
      </c>
      <c r="I596" t="str">
        <f>TRIM(excelsalesdata[[#This Row],[City]])</f>
        <v>Chennai</v>
      </c>
      <c r="J596" t="s">
        <v>156</v>
      </c>
      <c r="K596" t="s">
        <v>47</v>
      </c>
      <c r="L596" t="s">
        <v>38</v>
      </c>
      <c r="M596" t="s">
        <v>161</v>
      </c>
      <c r="N596" t="s">
        <v>161</v>
      </c>
      <c r="O596">
        <v>5</v>
      </c>
      <c r="P596">
        <v>29780</v>
      </c>
      <c r="Q596">
        <v>0</v>
      </c>
      <c r="R596">
        <v>19530</v>
      </c>
      <c r="S596" t="s">
        <v>105</v>
      </c>
      <c r="T596" t="s">
        <v>30</v>
      </c>
      <c r="U596">
        <v>7</v>
      </c>
      <c r="V596" t="s">
        <v>40</v>
      </c>
      <c r="W596">
        <f>excelsalesdata[[#This Row],[Quantity]]*excelsalesdata[[#This Row],[Unit_Price]]</f>
        <v>148900</v>
      </c>
      <c r="X596">
        <f>excelsalesdata[[#This Row],[Gross_sales]]*excelsalesdata[[#This Row],[Discount_%]]</f>
        <v>0</v>
      </c>
      <c r="Y596">
        <f>excelsalesdata[[#This Row],[Gross_sales]]-excelsalesdata[[#This Row],[Discount_amt]]</f>
        <v>148900</v>
      </c>
      <c r="Z596" s="4">
        <f>excelsalesdata[[#This Row],[Net_sales]]-excelsalesdata[[#This Row],[Cost]]</f>
        <v>129370</v>
      </c>
      <c r="AA596" s="5">
        <f>excelsalesdata[[#This Row],[Profit]]/excelsalesdata[[#This Row],[Net_sales]]</f>
        <v>0.86883814640698454</v>
      </c>
      <c r="AB596" s="4">
        <f>YEAR(excelsalesdata[[#This Row],[Order_Date]])</f>
        <v>2026</v>
      </c>
      <c r="AC596" s="4" t="str">
        <f>TEXT(excelsalesdata[[#This Row],[Order_Date]],"mmm")</f>
        <v>Nov</v>
      </c>
      <c r="AD596" s="4" t="str">
        <f>"Q"&amp;ROUNDUP(MONTH(excelsalesdata[[#This Row],[Order_Date]])/3,0)</f>
        <v>Q4</v>
      </c>
    </row>
    <row r="597" spans="1:30" x14ac:dyDescent="0.35">
      <c r="A597" t="s">
        <v>1265</v>
      </c>
      <c r="B597" s="3">
        <v>46355</v>
      </c>
      <c r="C597" t="s">
        <v>1266</v>
      </c>
      <c r="D597" t="s">
        <v>914</v>
      </c>
      <c r="E597" t="str">
        <f>TRIM(excelsalesdata[[#This Row],[Customer_Name]])</f>
        <v>Nisha Kumar</v>
      </c>
      <c r="F597" t="s">
        <v>44</v>
      </c>
      <c r="G597">
        <v>20</v>
      </c>
      <c r="H597" t="s">
        <v>185</v>
      </c>
      <c r="I597" t="str">
        <f>TRIM(excelsalesdata[[#This Row],[City]])</f>
        <v>Lucknow</v>
      </c>
      <c r="J597" t="s">
        <v>186</v>
      </c>
      <c r="K597" t="s">
        <v>61</v>
      </c>
      <c r="L597" t="s">
        <v>54</v>
      </c>
      <c r="M597" t="s">
        <v>62</v>
      </c>
      <c r="N597" t="s">
        <v>62</v>
      </c>
      <c r="O597">
        <v>1</v>
      </c>
      <c r="P597">
        <v>21690</v>
      </c>
      <c r="Q597">
        <v>0</v>
      </c>
      <c r="R597">
        <v>15140</v>
      </c>
      <c r="S597" t="s">
        <v>151</v>
      </c>
      <c r="T597" t="s">
        <v>30</v>
      </c>
      <c r="U597">
        <v>5</v>
      </c>
      <c r="V597" t="s">
        <v>31</v>
      </c>
      <c r="W597">
        <f>excelsalesdata[[#This Row],[Quantity]]*excelsalesdata[[#This Row],[Unit_Price]]</f>
        <v>21690</v>
      </c>
      <c r="X597">
        <f>excelsalesdata[[#This Row],[Gross_sales]]*excelsalesdata[[#This Row],[Discount_%]]</f>
        <v>0</v>
      </c>
      <c r="Y597">
        <f>excelsalesdata[[#This Row],[Gross_sales]]-excelsalesdata[[#This Row],[Discount_amt]]</f>
        <v>21690</v>
      </c>
      <c r="Z597" s="4">
        <f>excelsalesdata[[#This Row],[Net_sales]]-excelsalesdata[[#This Row],[Cost]]</f>
        <v>6550</v>
      </c>
      <c r="AA597" s="5">
        <f>excelsalesdata[[#This Row],[Profit]]/excelsalesdata[[#This Row],[Net_sales]]</f>
        <v>0.3019824804057169</v>
      </c>
      <c r="AB597" s="4">
        <f>YEAR(excelsalesdata[[#This Row],[Order_Date]])</f>
        <v>2026</v>
      </c>
      <c r="AC597" s="4" t="str">
        <f>TEXT(excelsalesdata[[#This Row],[Order_Date]],"mmm")</f>
        <v>Nov</v>
      </c>
      <c r="AD597" s="4" t="str">
        <f>"Q"&amp;ROUNDUP(MONTH(excelsalesdata[[#This Row],[Order_Date]])/3,0)</f>
        <v>Q4</v>
      </c>
    </row>
    <row r="598" spans="1:30" x14ac:dyDescent="0.35">
      <c r="A598" t="s">
        <v>1267</v>
      </c>
      <c r="B598" s="3">
        <v>46356</v>
      </c>
      <c r="C598" t="s">
        <v>537</v>
      </c>
      <c r="D598" t="s">
        <v>150</v>
      </c>
      <c r="E598" t="str">
        <f>TRIM(excelsalesdata[[#This Row],[Customer_Name]])</f>
        <v>Nisha Reddy</v>
      </c>
      <c r="F598" t="s">
        <v>44</v>
      </c>
      <c r="G598">
        <v>30</v>
      </c>
      <c r="H598" t="s">
        <v>78</v>
      </c>
      <c r="I598" t="str">
        <f>TRIM(excelsalesdata[[#This Row],[City]])</f>
        <v>Guwahati</v>
      </c>
      <c r="J598" t="s">
        <v>79</v>
      </c>
      <c r="K598" t="s">
        <v>37</v>
      </c>
      <c r="L598" t="s">
        <v>103</v>
      </c>
      <c r="M598" t="s">
        <v>347</v>
      </c>
      <c r="N598" t="s">
        <v>347</v>
      </c>
      <c r="O598">
        <v>3</v>
      </c>
      <c r="P598">
        <v>12650</v>
      </c>
      <c r="Q598">
        <v>0.15</v>
      </c>
      <c r="R598">
        <v>7980</v>
      </c>
      <c r="S598" t="s">
        <v>29</v>
      </c>
      <c r="T598" t="s">
        <v>30</v>
      </c>
      <c r="U598">
        <v>2</v>
      </c>
      <c r="V598" t="s">
        <v>40</v>
      </c>
      <c r="W598">
        <f>excelsalesdata[[#This Row],[Quantity]]*excelsalesdata[[#This Row],[Unit_Price]]</f>
        <v>37950</v>
      </c>
      <c r="X598">
        <f>excelsalesdata[[#This Row],[Gross_sales]]*excelsalesdata[[#This Row],[Discount_%]]</f>
        <v>5692.5</v>
      </c>
      <c r="Y598">
        <f>excelsalesdata[[#This Row],[Gross_sales]]-excelsalesdata[[#This Row],[Discount_amt]]</f>
        <v>32257.5</v>
      </c>
      <c r="Z598" s="4">
        <f>excelsalesdata[[#This Row],[Net_sales]]-excelsalesdata[[#This Row],[Cost]]</f>
        <v>24277.5</v>
      </c>
      <c r="AA598" s="5">
        <f>excelsalesdata[[#This Row],[Profit]]/excelsalesdata[[#This Row],[Net_sales]]</f>
        <v>0.75261567077423852</v>
      </c>
      <c r="AB598" s="4">
        <f>YEAR(excelsalesdata[[#This Row],[Order_Date]])</f>
        <v>2026</v>
      </c>
      <c r="AC598" s="4" t="str">
        <f>TEXT(excelsalesdata[[#This Row],[Order_Date]],"mmm")</f>
        <v>Nov</v>
      </c>
      <c r="AD598" s="4" t="str">
        <f>"Q"&amp;ROUNDUP(MONTH(excelsalesdata[[#This Row],[Order_Date]])/3,0)</f>
        <v>Q4</v>
      </c>
    </row>
    <row r="599" spans="1:30" x14ac:dyDescent="0.35">
      <c r="A599" t="s">
        <v>1268</v>
      </c>
      <c r="B599" s="3">
        <v>46357</v>
      </c>
      <c r="C599" t="s">
        <v>1249</v>
      </c>
      <c r="D599" t="s">
        <v>1271</v>
      </c>
      <c r="E599" t="str">
        <f>TRIM(excelsalesdata[[#This Row],[Customer_Name]])</f>
        <v>Arjun Sharma</v>
      </c>
      <c r="F599" t="s">
        <v>44</v>
      </c>
      <c r="G599">
        <v>37</v>
      </c>
      <c r="H599" t="s">
        <v>133</v>
      </c>
      <c r="I599" t="str">
        <f>TRIM(excelsalesdata[[#This Row],[City]])</f>
        <v>Jaipur</v>
      </c>
      <c r="J599" t="s">
        <v>134</v>
      </c>
      <c r="K599" t="s">
        <v>61</v>
      </c>
      <c r="L599" t="s">
        <v>93</v>
      </c>
      <c r="M599" t="s">
        <v>718</v>
      </c>
      <c r="N599" t="s">
        <v>718</v>
      </c>
      <c r="O599">
        <v>1</v>
      </c>
      <c r="P599">
        <v>1940</v>
      </c>
      <c r="Q599">
        <v>0</v>
      </c>
      <c r="R599">
        <v>890</v>
      </c>
      <c r="S599" t="s">
        <v>29</v>
      </c>
      <c r="T599" t="s">
        <v>74</v>
      </c>
      <c r="U599">
        <v>2</v>
      </c>
      <c r="V599" t="s">
        <v>31</v>
      </c>
      <c r="W599">
        <f>excelsalesdata[[#This Row],[Quantity]]*excelsalesdata[[#This Row],[Unit_Price]]</f>
        <v>1940</v>
      </c>
      <c r="X599">
        <f>excelsalesdata[[#This Row],[Gross_sales]]*excelsalesdata[[#This Row],[Discount_%]]</f>
        <v>0</v>
      </c>
      <c r="Y599">
        <f>excelsalesdata[[#This Row],[Gross_sales]]-excelsalesdata[[#This Row],[Discount_amt]]</f>
        <v>1940</v>
      </c>
      <c r="Z599" s="4">
        <f>excelsalesdata[[#This Row],[Net_sales]]-excelsalesdata[[#This Row],[Cost]]</f>
        <v>1050</v>
      </c>
      <c r="AA599" s="5">
        <f>excelsalesdata[[#This Row],[Profit]]/excelsalesdata[[#This Row],[Net_sales]]</f>
        <v>0.54123711340206182</v>
      </c>
      <c r="AB599" s="4">
        <f>YEAR(excelsalesdata[[#This Row],[Order_Date]])</f>
        <v>2026</v>
      </c>
      <c r="AC599" s="4" t="str">
        <f>TEXT(excelsalesdata[[#This Row],[Order_Date]],"mmm")</f>
        <v>Dec</v>
      </c>
      <c r="AD599" s="4" t="str">
        <f>"Q"&amp;ROUNDUP(MONTH(excelsalesdata[[#This Row],[Order_Date]])/3,0)</f>
        <v>Q4</v>
      </c>
    </row>
    <row r="600" spans="1:30" x14ac:dyDescent="0.35">
      <c r="A600" t="s">
        <v>1269</v>
      </c>
      <c r="B600" s="3">
        <v>46358</v>
      </c>
      <c r="C600" t="s">
        <v>1270</v>
      </c>
      <c r="D600" t="s">
        <v>97</v>
      </c>
      <c r="E600" t="str">
        <f>TRIM(excelsalesdata[[#This Row],[Customer_Name]])</f>
        <v>Aditya Shah</v>
      </c>
      <c r="F600" t="s">
        <v>23</v>
      </c>
      <c r="G600">
        <v>52</v>
      </c>
      <c r="H600" t="s">
        <v>60</v>
      </c>
      <c r="I600" t="str">
        <f>TRIM(excelsalesdata[[#This Row],[City]])</f>
        <v>Chandigarh</v>
      </c>
      <c r="J600" t="s">
        <v>60</v>
      </c>
      <c r="K600" t="s">
        <v>61</v>
      </c>
      <c r="L600" t="s">
        <v>93</v>
      </c>
      <c r="M600" t="s">
        <v>718</v>
      </c>
      <c r="N600" t="s">
        <v>718</v>
      </c>
      <c r="O600">
        <v>3</v>
      </c>
      <c r="P600">
        <v>1730</v>
      </c>
      <c r="Q600">
        <v>0.15</v>
      </c>
      <c r="R600">
        <v>870</v>
      </c>
      <c r="S600" t="s">
        <v>29</v>
      </c>
      <c r="T600" t="s">
        <v>30</v>
      </c>
      <c r="U600">
        <v>4</v>
      </c>
      <c r="V600" t="s">
        <v>40</v>
      </c>
      <c r="W600">
        <f>excelsalesdata[[#This Row],[Quantity]]*excelsalesdata[[#This Row],[Unit_Price]]</f>
        <v>5190</v>
      </c>
      <c r="X600">
        <f>excelsalesdata[[#This Row],[Gross_sales]]*excelsalesdata[[#This Row],[Discount_%]]</f>
        <v>778.5</v>
      </c>
      <c r="Y600">
        <f>excelsalesdata[[#This Row],[Gross_sales]]-excelsalesdata[[#This Row],[Discount_amt]]</f>
        <v>4411.5</v>
      </c>
      <c r="Z600" s="4">
        <f>excelsalesdata[[#This Row],[Net_sales]]-excelsalesdata[[#This Row],[Cost]]</f>
        <v>3541.5</v>
      </c>
      <c r="AA600" s="5">
        <f>excelsalesdata[[#This Row],[Profit]]/excelsalesdata[[#This Row],[Net_sales]]</f>
        <v>0.80278816729003744</v>
      </c>
      <c r="AB600" s="4">
        <f>YEAR(excelsalesdata[[#This Row],[Order_Date]])</f>
        <v>2026</v>
      </c>
      <c r="AC600" s="4" t="str">
        <f>TEXT(excelsalesdata[[#This Row],[Order_Date]],"mmm")</f>
        <v>Dec</v>
      </c>
      <c r="AD600" s="4" t="str">
        <f>"Q"&amp;ROUNDUP(MONTH(excelsalesdata[[#This Row],[Order_Date]])/3,0)</f>
        <v>Q4</v>
      </c>
    </row>
    <row r="601" spans="1:30" x14ac:dyDescent="0.35">
      <c r="A601" t="s">
        <v>1272</v>
      </c>
      <c r="B601" s="3">
        <v>46359</v>
      </c>
      <c r="C601" t="s">
        <v>1273</v>
      </c>
      <c r="D601" t="s">
        <v>689</v>
      </c>
      <c r="E601" t="str">
        <f>TRIM(excelsalesdata[[#This Row],[Customer_Name]])</f>
        <v>Priya Rao</v>
      </c>
      <c r="F601" t="s">
        <v>44</v>
      </c>
      <c r="G601">
        <v>37</v>
      </c>
      <c r="H601" t="s">
        <v>35</v>
      </c>
      <c r="I601" t="str">
        <f>TRIM(excelsalesdata[[#This Row],[City]])</f>
        <v>Kolkata</v>
      </c>
      <c r="J601" t="s">
        <v>36</v>
      </c>
      <c r="K601" t="s">
        <v>37</v>
      </c>
      <c r="L601" t="s">
        <v>103</v>
      </c>
      <c r="M601" t="s">
        <v>178</v>
      </c>
      <c r="N601" t="s">
        <v>178</v>
      </c>
      <c r="O601">
        <v>1</v>
      </c>
      <c r="P601">
        <v>1840</v>
      </c>
      <c r="Q601">
        <v>0.05</v>
      </c>
      <c r="R601">
        <v>910</v>
      </c>
      <c r="S601" t="s">
        <v>151</v>
      </c>
      <c r="T601" t="s">
        <v>30</v>
      </c>
      <c r="U601">
        <v>3</v>
      </c>
      <c r="V601" t="s">
        <v>31</v>
      </c>
      <c r="W601">
        <f>excelsalesdata[[#This Row],[Quantity]]*excelsalesdata[[#This Row],[Unit_Price]]</f>
        <v>1840</v>
      </c>
      <c r="X601">
        <f>excelsalesdata[[#This Row],[Gross_sales]]*excelsalesdata[[#This Row],[Discount_%]]</f>
        <v>92</v>
      </c>
      <c r="Y601">
        <f>excelsalesdata[[#This Row],[Gross_sales]]-excelsalesdata[[#This Row],[Discount_amt]]</f>
        <v>1748</v>
      </c>
      <c r="Z601" s="4">
        <f>excelsalesdata[[#This Row],[Net_sales]]-excelsalesdata[[#This Row],[Cost]]</f>
        <v>838</v>
      </c>
      <c r="AA601" s="5">
        <f>excelsalesdata[[#This Row],[Profit]]/excelsalesdata[[#This Row],[Net_sales]]</f>
        <v>0.4794050343249428</v>
      </c>
      <c r="AB601" s="4">
        <f>YEAR(excelsalesdata[[#This Row],[Order_Date]])</f>
        <v>2026</v>
      </c>
      <c r="AC601" s="4" t="str">
        <f>TEXT(excelsalesdata[[#This Row],[Order_Date]],"mmm")</f>
        <v>Dec</v>
      </c>
      <c r="AD601" s="4" t="str">
        <f>"Q"&amp;ROUNDUP(MONTH(excelsalesdata[[#This Row],[Order_Date]])/3,0)</f>
        <v>Q4</v>
      </c>
    </row>
    <row r="602" spans="1:30" x14ac:dyDescent="0.35">
      <c r="A602" t="s">
        <v>1274</v>
      </c>
      <c r="B602" s="3">
        <v>46360</v>
      </c>
      <c r="C602" t="s">
        <v>621</v>
      </c>
      <c r="D602" t="s">
        <v>164</v>
      </c>
      <c r="E602" t="str">
        <f>TRIM(excelsalesdata[[#This Row],[Customer_Name]])</f>
        <v>Priya Naidu</v>
      </c>
      <c r="F602" t="s">
        <v>23</v>
      </c>
      <c r="G602">
        <v>43</v>
      </c>
      <c r="H602" t="s">
        <v>78</v>
      </c>
      <c r="I602" t="str">
        <f>TRIM(excelsalesdata[[#This Row],[City]])</f>
        <v>Guwahati</v>
      </c>
      <c r="J602" t="s">
        <v>79</v>
      </c>
      <c r="K602" t="s">
        <v>37</v>
      </c>
      <c r="L602" t="s">
        <v>54</v>
      </c>
      <c r="M602" t="s">
        <v>129</v>
      </c>
      <c r="N602" t="s">
        <v>129</v>
      </c>
      <c r="O602">
        <v>1</v>
      </c>
      <c r="P602">
        <v>18600</v>
      </c>
      <c r="Q602">
        <v>0</v>
      </c>
      <c r="R602">
        <v>12960</v>
      </c>
      <c r="S602" t="s">
        <v>29</v>
      </c>
      <c r="T602" t="s">
        <v>30</v>
      </c>
      <c r="U602">
        <v>2</v>
      </c>
      <c r="V602" t="s">
        <v>31</v>
      </c>
      <c r="W602">
        <f>excelsalesdata[[#This Row],[Quantity]]*excelsalesdata[[#This Row],[Unit_Price]]</f>
        <v>18600</v>
      </c>
      <c r="X602">
        <f>excelsalesdata[[#This Row],[Gross_sales]]*excelsalesdata[[#This Row],[Discount_%]]</f>
        <v>0</v>
      </c>
      <c r="Y602">
        <f>excelsalesdata[[#This Row],[Gross_sales]]-excelsalesdata[[#This Row],[Discount_amt]]</f>
        <v>18600</v>
      </c>
      <c r="Z602" s="4">
        <f>excelsalesdata[[#This Row],[Net_sales]]-excelsalesdata[[#This Row],[Cost]]</f>
        <v>5640</v>
      </c>
      <c r="AA602" s="5">
        <f>excelsalesdata[[#This Row],[Profit]]/excelsalesdata[[#This Row],[Net_sales]]</f>
        <v>0.3032258064516129</v>
      </c>
      <c r="AB602" s="4">
        <f>YEAR(excelsalesdata[[#This Row],[Order_Date]])</f>
        <v>2026</v>
      </c>
      <c r="AC602" s="4" t="str">
        <f>TEXT(excelsalesdata[[#This Row],[Order_Date]],"mmm")</f>
        <v>Dec</v>
      </c>
      <c r="AD602" s="4" t="str">
        <f>"Q"&amp;ROUNDUP(MONTH(excelsalesdata[[#This Row],[Order_Date]])/3,0)</f>
        <v>Q4</v>
      </c>
    </row>
    <row r="603" spans="1:30" x14ac:dyDescent="0.35">
      <c r="A603" t="s">
        <v>1275</v>
      </c>
      <c r="B603" s="3">
        <v>46361</v>
      </c>
      <c r="C603" t="s">
        <v>1276</v>
      </c>
      <c r="D603" t="s">
        <v>591</v>
      </c>
      <c r="E603" t="str">
        <f>TRIM(excelsalesdata[[#This Row],[Customer_Name]])</f>
        <v>Ishita Rao</v>
      </c>
      <c r="F603" t="s">
        <v>23</v>
      </c>
      <c r="G603">
        <v>18</v>
      </c>
      <c r="H603" t="s">
        <v>114</v>
      </c>
      <c r="I603" t="str">
        <f>TRIM(excelsalesdata[[#This Row],[City]])</f>
        <v>Hyderabad</v>
      </c>
      <c r="J603" t="s">
        <v>115</v>
      </c>
      <c r="K603" t="s">
        <v>47</v>
      </c>
      <c r="L603" t="s">
        <v>38</v>
      </c>
      <c r="M603" t="s">
        <v>161</v>
      </c>
      <c r="N603" t="s">
        <v>161</v>
      </c>
      <c r="O603">
        <v>2</v>
      </c>
      <c r="P603">
        <v>27230</v>
      </c>
      <c r="Q603">
        <v>0.2</v>
      </c>
      <c r="R603">
        <v>19730</v>
      </c>
      <c r="S603" t="s">
        <v>80</v>
      </c>
      <c r="T603" t="s">
        <v>30</v>
      </c>
      <c r="U603">
        <v>7</v>
      </c>
      <c r="V603" t="s">
        <v>31</v>
      </c>
      <c r="W603">
        <f>excelsalesdata[[#This Row],[Quantity]]*excelsalesdata[[#This Row],[Unit_Price]]</f>
        <v>54460</v>
      </c>
      <c r="X603">
        <f>excelsalesdata[[#This Row],[Gross_sales]]*excelsalesdata[[#This Row],[Discount_%]]</f>
        <v>10892</v>
      </c>
      <c r="Y603">
        <f>excelsalesdata[[#This Row],[Gross_sales]]-excelsalesdata[[#This Row],[Discount_amt]]</f>
        <v>43568</v>
      </c>
      <c r="Z603" s="4">
        <f>excelsalesdata[[#This Row],[Net_sales]]-excelsalesdata[[#This Row],[Cost]]</f>
        <v>23838</v>
      </c>
      <c r="AA603" s="5">
        <f>excelsalesdata[[#This Row],[Profit]]/excelsalesdata[[#This Row],[Net_sales]]</f>
        <v>0.5471446933529196</v>
      </c>
      <c r="AB603" s="4">
        <f>YEAR(excelsalesdata[[#This Row],[Order_Date]])</f>
        <v>2026</v>
      </c>
      <c r="AC603" s="4" t="str">
        <f>TEXT(excelsalesdata[[#This Row],[Order_Date]],"mmm")</f>
        <v>Dec</v>
      </c>
      <c r="AD603" s="4" t="str">
        <f>"Q"&amp;ROUNDUP(MONTH(excelsalesdata[[#This Row],[Order_Date]])/3,0)</f>
        <v>Q4</v>
      </c>
    </row>
    <row r="604" spans="1:30" x14ac:dyDescent="0.35">
      <c r="A604" t="s">
        <v>1277</v>
      </c>
      <c r="B604" s="3">
        <v>46362</v>
      </c>
      <c r="C604" t="s">
        <v>1278</v>
      </c>
      <c r="D604" t="s">
        <v>925</v>
      </c>
      <c r="E604" t="str">
        <f>TRIM(excelsalesdata[[#This Row],[Customer_Name]])</f>
        <v>Ananya Rao</v>
      </c>
      <c r="F604" t="s">
        <v>44</v>
      </c>
      <c r="G604">
        <v>34</v>
      </c>
      <c r="H604" t="s">
        <v>155</v>
      </c>
      <c r="I604" t="str">
        <f>TRIM(excelsalesdata[[#This Row],[City]])</f>
        <v>Chennai</v>
      </c>
      <c r="J604" t="s">
        <v>156</v>
      </c>
      <c r="K604" t="s">
        <v>47</v>
      </c>
      <c r="L604" t="s">
        <v>27</v>
      </c>
      <c r="M604" t="s">
        <v>48</v>
      </c>
      <c r="N604" t="s">
        <v>48</v>
      </c>
      <c r="O604">
        <v>1</v>
      </c>
      <c r="P604">
        <v>930</v>
      </c>
      <c r="Q604">
        <v>0</v>
      </c>
      <c r="R604">
        <v>440</v>
      </c>
      <c r="S604" t="s">
        <v>29</v>
      </c>
      <c r="T604" t="s">
        <v>30</v>
      </c>
      <c r="U604">
        <v>5</v>
      </c>
      <c r="V604" t="s">
        <v>40</v>
      </c>
      <c r="W604">
        <f>excelsalesdata[[#This Row],[Quantity]]*excelsalesdata[[#This Row],[Unit_Price]]</f>
        <v>930</v>
      </c>
      <c r="X604">
        <f>excelsalesdata[[#This Row],[Gross_sales]]*excelsalesdata[[#This Row],[Discount_%]]</f>
        <v>0</v>
      </c>
      <c r="Y604">
        <f>excelsalesdata[[#This Row],[Gross_sales]]-excelsalesdata[[#This Row],[Discount_amt]]</f>
        <v>930</v>
      </c>
      <c r="Z604" s="4">
        <f>excelsalesdata[[#This Row],[Net_sales]]-excelsalesdata[[#This Row],[Cost]]</f>
        <v>490</v>
      </c>
      <c r="AA604" s="5">
        <f>excelsalesdata[[#This Row],[Profit]]/excelsalesdata[[#This Row],[Net_sales]]</f>
        <v>0.5268817204301075</v>
      </c>
      <c r="AB604" s="4">
        <f>YEAR(excelsalesdata[[#This Row],[Order_Date]])</f>
        <v>2026</v>
      </c>
      <c r="AC604" s="4" t="str">
        <f>TEXT(excelsalesdata[[#This Row],[Order_Date]],"mmm")</f>
        <v>Dec</v>
      </c>
      <c r="AD604" s="4" t="str">
        <f>"Q"&amp;ROUNDUP(MONTH(excelsalesdata[[#This Row],[Order_Date]])/3,0)</f>
        <v>Q4</v>
      </c>
    </row>
    <row r="605" spans="1:30" x14ac:dyDescent="0.35">
      <c r="A605" t="s">
        <v>1279</v>
      </c>
      <c r="B605" s="3">
        <v>46363</v>
      </c>
      <c r="C605" t="s">
        <v>843</v>
      </c>
      <c r="D605" t="s">
        <v>502</v>
      </c>
      <c r="E605" t="str">
        <f>TRIM(excelsalesdata[[#This Row],[Customer_Name]])</f>
        <v>Diya Joshi</v>
      </c>
      <c r="F605" t="s">
        <v>44</v>
      </c>
      <c r="G605">
        <v>26</v>
      </c>
      <c r="H605" t="s">
        <v>109</v>
      </c>
      <c r="I605" t="str">
        <f>TRIM(excelsalesdata[[#This Row],[City]])</f>
        <v>Mysuru</v>
      </c>
      <c r="J605" t="s">
        <v>53</v>
      </c>
      <c r="K605" t="s">
        <v>47</v>
      </c>
      <c r="L605" t="s">
        <v>54</v>
      </c>
      <c r="M605" t="s">
        <v>55</v>
      </c>
      <c r="N605" t="s">
        <v>55</v>
      </c>
      <c r="O605">
        <v>2</v>
      </c>
      <c r="P605">
        <v>7500</v>
      </c>
      <c r="Q605">
        <v>0.15</v>
      </c>
      <c r="R605">
        <v>4300</v>
      </c>
      <c r="S605" t="s">
        <v>67</v>
      </c>
      <c r="T605" t="s">
        <v>74</v>
      </c>
      <c r="U605">
        <v>3</v>
      </c>
      <c r="V605" t="s">
        <v>40</v>
      </c>
      <c r="W605">
        <f>excelsalesdata[[#This Row],[Quantity]]*excelsalesdata[[#This Row],[Unit_Price]]</f>
        <v>15000</v>
      </c>
      <c r="X605">
        <f>excelsalesdata[[#This Row],[Gross_sales]]*excelsalesdata[[#This Row],[Discount_%]]</f>
        <v>2250</v>
      </c>
      <c r="Y605">
        <f>excelsalesdata[[#This Row],[Gross_sales]]-excelsalesdata[[#This Row],[Discount_amt]]</f>
        <v>12750</v>
      </c>
      <c r="Z605" s="4">
        <f>excelsalesdata[[#This Row],[Net_sales]]-excelsalesdata[[#This Row],[Cost]]</f>
        <v>8450</v>
      </c>
      <c r="AA605" s="5">
        <f>excelsalesdata[[#This Row],[Profit]]/excelsalesdata[[#This Row],[Net_sales]]</f>
        <v>0.66274509803921566</v>
      </c>
      <c r="AB605" s="4">
        <f>YEAR(excelsalesdata[[#This Row],[Order_Date]])</f>
        <v>2026</v>
      </c>
      <c r="AC605" s="4" t="str">
        <f>TEXT(excelsalesdata[[#This Row],[Order_Date]],"mmm")</f>
        <v>Dec</v>
      </c>
      <c r="AD605" s="4" t="str">
        <f>"Q"&amp;ROUNDUP(MONTH(excelsalesdata[[#This Row],[Order_Date]])/3,0)</f>
        <v>Q4</v>
      </c>
    </row>
    <row r="606" spans="1:30" x14ac:dyDescent="0.35">
      <c r="A606" t="s">
        <v>1280</v>
      </c>
      <c r="B606" s="3">
        <v>46364</v>
      </c>
      <c r="C606" t="s">
        <v>218</v>
      </c>
      <c r="D606" t="s">
        <v>499</v>
      </c>
      <c r="E606" t="str">
        <f>TRIM(excelsalesdata[[#This Row],[Customer_Name]])</f>
        <v>Aditya Nair</v>
      </c>
      <c r="F606" t="s">
        <v>44</v>
      </c>
      <c r="G606">
        <v>20</v>
      </c>
      <c r="H606" t="s">
        <v>155</v>
      </c>
      <c r="I606" t="str">
        <f>TRIM(excelsalesdata[[#This Row],[City]])</f>
        <v>Chennai</v>
      </c>
      <c r="J606" t="s">
        <v>156</v>
      </c>
      <c r="K606" t="s">
        <v>47</v>
      </c>
      <c r="L606" t="s">
        <v>38</v>
      </c>
      <c r="M606" t="s">
        <v>161</v>
      </c>
      <c r="N606" t="s">
        <v>161</v>
      </c>
      <c r="O606">
        <v>2</v>
      </c>
      <c r="P606">
        <v>28380</v>
      </c>
      <c r="Q606">
        <v>0.2</v>
      </c>
      <c r="R606">
        <v>21500</v>
      </c>
      <c r="S606" t="s">
        <v>80</v>
      </c>
      <c r="T606" t="s">
        <v>30</v>
      </c>
      <c r="U606">
        <v>5</v>
      </c>
      <c r="V606" t="s">
        <v>40</v>
      </c>
      <c r="W606">
        <f>excelsalesdata[[#This Row],[Quantity]]*excelsalesdata[[#This Row],[Unit_Price]]</f>
        <v>56760</v>
      </c>
      <c r="X606">
        <f>excelsalesdata[[#This Row],[Gross_sales]]*excelsalesdata[[#This Row],[Discount_%]]</f>
        <v>11352</v>
      </c>
      <c r="Y606">
        <f>excelsalesdata[[#This Row],[Gross_sales]]-excelsalesdata[[#This Row],[Discount_amt]]</f>
        <v>45408</v>
      </c>
      <c r="Z606" s="4">
        <f>excelsalesdata[[#This Row],[Net_sales]]-excelsalesdata[[#This Row],[Cost]]</f>
        <v>23908</v>
      </c>
      <c r="AA606" s="5">
        <f>excelsalesdata[[#This Row],[Profit]]/excelsalesdata[[#This Row],[Net_sales]]</f>
        <v>0.52651515151515149</v>
      </c>
      <c r="AB606" s="4">
        <f>YEAR(excelsalesdata[[#This Row],[Order_Date]])</f>
        <v>2026</v>
      </c>
      <c r="AC606" s="4" t="str">
        <f>TEXT(excelsalesdata[[#This Row],[Order_Date]],"mmm")</f>
        <v>Dec</v>
      </c>
      <c r="AD606" s="4" t="str">
        <f>"Q"&amp;ROUNDUP(MONTH(excelsalesdata[[#This Row],[Order_Date]])/3,0)</f>
        <v>Q4</v>
      </c>
    </row>
    <row r="607" spans="1:30" x14ac:dyDescent="0.35">
      <c r="A607" t="s">
        <v>1281</v>
      </c>
      <c r="B607" s="3">
        <v>46365</v>
      </c>
      <c r="C607" t="s">
        <v>297</v>
      </c>
      <c r="D607" t="s">
        <v>1011</v>
      </c>
      <c r="E607" t="str">
        <f>TRIM(excelsalesdata[[#This Row],[Customer_Name]])</f>
        <v>Vivaan Rao</v>
      </c>
      <c r="F607" t="s">
        <v>44</v>
      </c>
      <c r="G607">
        <v>19</v>
      </c>
      <c r="H607" t="s">
        <v>168</v>
      </c>
      <c r="I607" t="str">
        <f>TRIM(excelsalesdata[[#This Row],[City]])</f>
        <v>Delhi</v>
      </c>
      <c r="J607" t="s">
        <v>168</v>
      </c>
      <c r="K607" t="s">
        <v>61</v>
      </c>
      <c r="L607" t="s">
        <v>103</v>
      </c>
      <c r="M607" t="s">
        <v>312</v>
      </c>
      <c r="N607" t="s">
        <v>312</v>
      </c>
      <c r="O607">
        <v>1</v>
      </c>
      <c r="P607">
        <v>6990</v>
      </c>
      <c r="Q607">
        <v>0.15</v>
      </c>
      <c r="R607">
        <v>4160</v>
      </c>
      <c r="S607" t="s">
        <v>29</v>
      </c>
      <c r="T607" t="s">
        <v>30</v>
      </c>
      <c r="U607">
        <v>2</v>
      </c>
      <c r="V607" t="s">
        <v>31</v>
      </c>
      <c r="W607">
        <f>excelsalesdata[[#This Row],[Quantity]]*excelsalesdata[[#This Row],[Unit_Price]]</f>
        <v>6990</v>
      </c>
      <c r="X607">
        <f>excelsalesdata[[#This Row],[Gross_sales]]*excelsalesdata[[#This Row],[Discount_%]]</f>
        <v>1048.5</v>
      </c>
      <c r="Y607">
        <f>excelsalesdata[[#This Row],[Gross_sales]]-excelsalesdata[[#This Row],[Discount_amt]]</f>
        <v>5941.5</v>
      </c>
      <c r="Z607" s="4">
        <f>excelsalesdata[[#This Row],[Net_sales]]-excelsalesdata[[#This Row],[Cost]]</f>
        <v>1781.5</v>
      </c>
      <c r="AA607" s="5">
        <f>excelsalesdata[[#This Row],[Profit]]/excelsalesdata[[#This Row],[Net_sales]]</f>
        <v>0.2998401077169065</v>
      </c>
      <c r="AB607" s="4">
        <f>YEAR(excelsalesdata[[#This Row],[Order_Date]])</f>
        <v>2026</v>
      </c>
      <c r="AC607" s="4" t="str">
        <f>TEXT(excelsalesdata[[#This Row],[Order_Date]],"mmm")</f>
        <v>Dec</v>
      </c>
      <c r="AD607" s="4" t="str">
        <f>"Q"&amp;ROUNDUP(MONTH(excelsalesdata[[#This Row],[Order_Date]])/3,0)</f>
        <v>Q4</v>
      </c>
    </row>
    <row r="608" spans="1:30" x14ac:dyDescent="0.35">
      <c r="A608" t="s">
        <v>1282</v>
      </c>
      <c r="B608" s="3">
        <v>46366</v>
      </c>
      <c r="C608" t="s">
        <v>213</v>
      </c>
      <c r="D608" t="s">
        <v>642</v>
      </c>
      <c r="E608" t="str">
        <f>TRIM(excelsalesdata[[#This Row],[Customer_Name]])</f>
        <v>Kavya Singh</v>
      </c>
      <c r="F608" t="s">
        <v>23</v>
      </c>
      <c r="G608">
        <v>28</v>
      </c>
      <c r="H608" t="s">
        <v>24</v>
      </c>
      <c r="I608" t="str">
        <f>TRIM(excelsalesdata[[#This Row],[City]])</f>
        <v>Pune</v>
      </c>
      <c r="J608" t="s">
        <v>25</v>
      </c>
      <c r="K608" t="s">
        <v>26</v>
      </c>
      <c r="L608" t="s">
        <v>93</v>
      </c>
      <c r="M608" t="s">
        <v>206</v>
      </c>
      <c r="N608" t="s">
        <v>206</v>
      </c>
      <c r="O608">
        <v>1</v>
      </c>
      <c r="P608">
        <v>610</v>
      </c>
      <c r="Q608">
        <v>0.05</v>
      </c>
      <c r="R608">
        <v>310</v>
      </c>
      <c r="S608" t="s">
        <v>29</v>
      </c>
      <c r="T608" t="s">
        <v>30</v>
      </c>
      <c r="U608">
        <v>4</v>
      </c>
      <c r="V608" t="s">
        <v>40</v>
      </c>
      <c r="W608">
        <f>excelsalesdata[[#This Row],[Quantity]]*excelsalesdata[[#This Row],[Unit_Price]]</f>
        <v>610</v>
      </c>
      <c r="X608">
        <f>excelsalesdata[[#This Row],[Gross_sales]]*excelsalesdata[[#This Row],[Discount_%]]</f>
        <v>30.5</v>
      </c>
      <c r="Y608">
        <f>excelsalesdata[[#This Row],[Gross_sales]]-excelsalesdata[[#This Row],[Discount_amt]]</f>
        <v>579.5</v>
      </c>
      <c r="Z608" s="4">
        <f>excelsalesdata[[#This Row],[Net_sales]]-excelsalesdata[[#This Row],[Cost]]</f>
        <v>269.5</v>
      </c>
      <c r="AA608" s="5">
        <f>excelsalesdata[[#This Row],[Profit]]/excelsalesdata[[#This Row],[Net_sales]]</f>
        <v>0.46505608283002586</v>
      </c>
      <c r="AB608" s="4">
        <f>YEAR(excelsalesdata[[#This Row],[Order_Date]])</f>
        <v>2026</v>
      </c>
      <c r="AC608" s="4" t="str">
        <f>TEXT(excelsalesdata[[#This Row],[Order_Date]],"mmm")</f>
        <v>Dec</v>
      </c>
      <c r="AD608" s="4" t="str">
        <f>"Q"&amp;ROUNDUP(MONTH(excelsalesdata[[#This Row],[Order_Date]])/3,0)</f>
        <v>Q4</v>
      </c>
    </row>
    <row r="609" spans="1:30" x14ac:dyDescent="0.35">
      <c r="A609" t="s">
        <v>1283</v>
      </c>
      <c r="B609" s="3">
        <v>46367</v>
      </c>
      <c r="C609" t="s">
        <v>394</v>
      </c>
      <c r="D609" t="s">
        <v>362</v>
      </c>
      <c r="E609" t="str">
        <f>TRIM(excelsalesdata[[#This Row],[Customer_Name]])</f>
        <v>Diya Gupta</v>
      </c>
      <c r="F609" t="s">
        <v>23</v>
      </c>
      <c r="G609">
        <v>39</v>
      </c>
      <c r="H609" t="s">
        <v>45</v>
      </c>
      <c r="I609" t="str">
        <f>TRIM(excelsalesdata[[#This Row],[City]])</f>
        <v>Kochi</v>
      </c>
      <c r="J609" t="s">
        <v>46</v>
      </c>
      <c r="K609" t="s">
        <v>47</v>
      </c>
      <c r="L609" t="s">
        <v>38</v>
      </c>
      <c r="M609" t="s">
        <v>255</v>
      </c>
      <c r="N609" t="s">
        <v>255</v>
      </c>
      <c r="O609">
        <v>4</v>
      </c>
      <c r="P609">
        <v>4530</v>
      </c>
      <c r="Q609">
        <v>0.05</v>
      </c>
      <c r="R609">
        <v>2790</v>
      </c>
      <c r="S609" t="s">
        <v>105</v>
      </c>
      <c r="T609" t="s">
        <v>30</v>
      </c>
      <c r="U609">
        <v>3</v>
      </c>
      <c r="V609" t="s">
        <v>40</v>
      </c>
      <c r="W609">
        <f>excelsalesdata[[#This Row],[Quantity]]*excelsalesdata[[#This Row],[Unit_Price]]</f>
        <v>18120</v>
      </c>
      <c r="X609">
        <f>excelsalesdata[[#This Row],[Gross_sales]]*excelsalesdata[[#This Row],[Discount_%]]</f>
        <v>906</v>
      </c>
      <c r="Y609">
        <f>excelsalesdata[[#This Row],[Gross_sales]]-excelsalesdata[[#This Row],[Discount_amt]]</f>
        <v>17214</v>
      </c>
      <c r="Z609" s="4">
        <f>excelsalesdata[[#This Row],[Net_sales]]-excelsalesdata[[#This Row],[Cost]]</f>
        <v>14424</v>
      </c>
      <c r="AA609" s="5">
        <f>excelsalesdata[[#This Row],[Profit]]/excelsalesdata[[#This Row],[Net_sales]]</f>
        <v>0.83792262112234228</v>
      </c>
      <c r="AB609" s="4">
        <f>YEAR(excelsalesdata[[#This Row],[Order_Date]])</f>
        <v>2026</v>
      </c>
      <c r="AC609" s="4" t="str">
        <f>TEXT(excelsalesdata[[#This Row],[Order_Date]],"mmm")</f>
        <v>Dec</v>
      </c>
      <c r="AD609" s="4" t="str">
        <f>"Q"&amp;ROUNDUP(MONTH(excelsalesdata[[#This Row],[Order_Date]])/3,0)</f>
        <v>Q4</v>
      </c>
    </row>
    <row r="610" spans="1:30" x14ac:dyDescent="0.35">
      <c r="A610" t="s">
        <v>1284</v>
      </c>
      <c r="B610" s="3">
        <v>46368</v>
      </c>
      <c r="C610" t="s">
        <v>1285</v>
      </c>
      <c r="D610" t="s">
        <v>333</v>
      </c>
      <c r="E610" t="str">
        <f>TRIM(excelsalesdata[[#This Row],[Customer_Name]])</f>
        <v>Ishita Singh</v>
      </c>
      <c r="F610" t="s">
        <v>44</v>
      </c>
      <c r="G610">
        <v>42</v>
      </c>
      <c r="H610" t="s">
        <v>185</v>
      </c>
      <c r="I610" t="str">
        <f>TRIM(excelsalesdata[[#This Row],[City]])</f>
        <v>Lucknow</v>
      </c>
      <c r="J610" t="s">
        <v>186</v>
      </c>
      <c r="K610" t="s">
        <v>61</v>
      </c>
      <c r="L610" t="s">
        <v>27</v>
      </c>
      <c r="M610" t="s">
        <v>123</v>
      </c>
      <c r="N610" t="s">
        <v>123</v>
      </c>
      <c r="O610">
        <v>1</v>
      </c>
      <c r="P610">
        <v>2980</v>
      </c>
      <c r="Q610">
        <v>0</v>
      </c>
      <c r="R610">
        <v>1630</v>
      </c>
      <c r="S610" t="s">
        <v>80</v>
      </c>
      <c r="T610" t="s">
        <v>74</v>
      </c>
      <c r="U610">
        <v>2</v>
      </c>
      <c r="V610" t="s">
        <v>31</v>
      </c>
      <c r="W610">
        <f>excelsalesdata[[#This Row],[Quantity]]*excelsalesdata[[#This Row],[Unit_Price]]</f>
        <v>2980</v>
      </c>
      <c r="X610">
        <f>excelsalesdata[[#This Row],[Gross_sales]]*excelsalesdata[[#This Row],[Discount_%]]</f>
        <v>0</v>
      </c>
      <c r="Y610">
        <f>excelsalesdata[[#This Row],[Gross_sales]]-excelsalesdata[[#This Row],[Discount_amt]]</f>
        <v>2980</v>
      </c>
      <c r="Z610" s="4">
        <f>excelsalesdata[[#This Row],[Net_sales]]-excelsalesdata[[#This Row],[Cost]]</f>
        <v>1350</v>
      </c>
      <c r="AA610" s="5">
        <f>excelsalesdata[[#This Row],[Profit]]/excelsalesdata[[#This Row],[Net_sales]]</f>
        <v>0.45302013422818793</v>
      </c>
      <c r="AB610" s="4">
        <f>YEAR(excelsalesdata[[#This Row],[Order_Date]])</f>
        <v>2026</v>
      </c>
      <c r="AC610" s="4" t="str">
        <f>TEXT(excelsalesdata[[#This Row],[Order_Date]],"mmm")</f>
        <v>Dec</v>
      </c>
      <c r="AD610" s="4" t="str">
        <f>"Q"&amp;ROUNDUP(MONTH(excelsalesdata[[#This Row],[Order_Date]])/3,0)</f>
        <v>Q4</v>
      </c>
    </row>
    <row r="611" spans="1:30" x14ac:dyDescent="0.35">
      <c r="A611" t="s">
        <v>1286</v>
      </c>
      <c r="B611" s="3">
        <v>46369</v>
      </c>
      <c r="C611" t="s">
        <v>1287</v>
      </c>
      <c r="D611" t="s">
        <v>626</v>
      </c>
      <c r="E611" t="str">
        <f>TRIM(excelsalesdata[[#This Row],[Customer_Name]])</f>
        <v>Aditya Rao</v>
      </c>
      <c r="F611" t="s">
        <v>44</v>
      </c>
      <c r="G611">
        <v>42</v>
      </c>
      <c r="H611" t="s">
        <v>78</v>
      </c>
      <c r="I611" t="str">
        <f>TRIM(excelsalesdata[[#This Row],[City]])</f>
        <v>Guwahati</v>
      </c>
      <c r="J611" t="s">
        <v>79</v>
      </c>
      <c r="K611" t="s">
        <v>37</v>
      </c>
      <c r="L611" t="s">
        <v>93</v>
      </c>
      <c r="M611" t="s">
        <v>206</v>
      </c>
      <c r="N611" t="s">
        <v>206</v>
      </c>
      <c r="O611">
        <v>1</v>
      </c>
      <c r="P611">
        <v>640</v>
      </c>
      <c r="Q611">
        <v>0</v>
      </c>
      <c r="R611">
        <v>310</v>
      </c>
      <c r="S611" t="s">
        <v>80</v>
      </c>
      <c r="T611" t="s">
        <v>30</v>
      </c>
      <c r="U611">
        <v>5</v>
      </c>
      <c r="V611" t="s">
        <v>40</v>
      </c>
      <c r="W611">
        <f>excelsalesdata[[#This Row],[Quantity]]*excelsalesdata[[#This Row],[Unit_Price]]</f>
        <v>640</v>
      </c>
      <c r="X611">
        <f>excelsalesdata[[#This Row],[Gross_sales]]*excelsalesdata[[#This Row],[Discount_%]]</f>
        <v>0</v>
      </c>
      <c r="Y611">
        <f>excelsalesdata[[#This Row],[Gross_sales]]-excelsalesdata[[#This Row],[Discount_amt]]</f>
        <v>640</v>
      </c>
      <c r="Z611" s="4">
        <f>excelsalesdata[[#This Row],[Net_sales]]-excelsalesdata[[#This Row],[Cost]]</f>
        <v>330</v>
      </c>
      <c r="AA611" s="5">
        <f>excelsalesdata[[#This Row],[Profit]]/excelsalesdata[[#This Row],[Net_sales]]</f>
        <v>0.515625</v>
      </c>
      <c r="AB611" s="4">
        <f>YEAR(excelsalesdata[[#This Row],[Order_Date]])</f>
        <v>2026</v>
      </c>
      <c r="AC611" s="4" t="str">
        <f>TEXT(excelsalesdata[[#This Row],[Order_Date]],"mmm")</f>
        <v>Dec</v>
      </c>
      <c r="AD611" s="4" t="str">
        <f>"Q"&amp;ROUNDUP(MONTH(excelsalesdata[[#This Row],[Order_Date]])/3,0)</f>
        <v>Q4</v>
      </c>
    </row>
    <row r="612" spans="1:30" x14ac:dyDescent="0.35">
      <c r="A612" t="s">
        <v>1288</v>
      </c>
      <c r="B612" s="3">
        <v>46370</v>
      </c>
      <c r="C612" t="s">
        <v>767</v>
      </c>
      <c r="D612" t="s">
        <v>122</v>
      </c>
      <c r="E612" t="str">
        <f>TRIM(excelsalesdata[[#This Row],[Customer_Name]])</f>
        <v>Vikram Rao</v>
      </c>
      <c r="F612" t="s">
        <v>23</v>
      </c>
      <c r="G612">
        <v>23</v>
      </c>
      <c r="H612" t="s">
        <v>52</v>
      </c>
      <c r="I612" t="str">
        <f>TRIM(excelsalesdata[[#This Row],[City]])</f>
        <v>Bengaluru</v>
      </c>
      <c r="J612" t="s">
        <v>53</v>
      </c>
      <c r="K612" t="s">
        <v>47</v>
      </c>
      <c r="L612" t="s">
        <v>54</v>
      </c>
      <c r="M612" t="s">
        <v>66</v>
      </c>
      <c r="N612" t="s">
        <v>66</v>
      </c>
      <c r="O612">
        <v>1</v>
      </c>
      <c r="P612">
        <v>2320</v>
      </c>
      <c r="Q612">
        <v>0.2</v>
      </c>
      <c r="R612">
        <v>1470</v>
      </c>
      <c r="S612" t="s">
        <v>29</v>
      </c>
      <c r="T612" t="s">
        <v>30</v>
      </c>
      <c r="U612">
        <v>3</v>
      </c>
      <c r="V612" t="s">
        <v>31</v>
      </c>
      <c r="W612">
        <f>excelsalesdata[[#This Row],[Quantity]]*excelsalesdata[[#This Row],[Unit_Price]]</f>
        <v>2320</v>
      </c>
      <c r="X612">
        <f>excelsalesdata[[#This Row],[Gross_sales]]*excelsalesdata[[#This Row],[Discount_%]]</f>
        <v>464</v>
      </c>
      <c r="Y612">
        <f>excelsalesdata[[#This Row],[Gross_sales]]-excelsalesdata[[#This Row],[Discount_amt]]</f>
        <v>1856</v>
      </c>
      <c r="Z612" s="4">
        <f>excelsalesdata[[#This Row],[Net_sales]]-excelsalesdata[[#This Row],[Cost]]</f>
        <v>386</v>
      </c>
      <c r="AA612" s="5">
        <f>excelsalesdata[[#This Row],[Profit]]/excelsalesdata[[#This Row],[Net_sales]]</f>
        <v>0.20797413793103448</v>
      </c>
      <c r="AB612" s="4">
        <f>YEAR(excelsalesdata[[#This Row],[Order_Date]])</f>
        <v>2026</v>
      </c>
      <c r="AC612" s="4" t="str">
        <f>TEXT(excelsalesdata[[#This Row],[Order_Date]],"mmm")</f>
        <v>Dec</v>
      </c>
      <c r="AD612" s="4" t="str">
        <f>"Q"&amp;ROUNDUP(MONTH(excelsalesdata[[#This Row],[Order_Date]])/3,0)</f>
        <v>Q4</v>
      </c>
    </row>
    <row r="613" spans="1:30" x14ac:dyDescent="0.35">
      <c r="A613" t="s">
        <v>1289</v>
      </c>
      <c r="B613" s="3">
        <v>46371</v>
      </c>
      <c r="C613" t="s">
        <v>514</v>
      </c>
      <c r="D613" t="s">
        <v>593</v>
      </c>
      <c r="E613" t="str">
        <f>TRIM(excelsalesdata[[#This Row],[Customer_Name]])</f>
        <v>Nisha Gupta</v>
      </c>
      <c r="F613" t="s">
        <v>44</v>
      </c>
      <c r="G613">
        <v>27</v>
      </c>
      <c r="H613" t="s">
        <v>78</v>
      </c>
      <c r="I613" t="str">
        <f>TRIM(excelsalesdata[[#This Row],[City]])</f>
        <v>Guwahati</v>
      </c>
      <c r="J613" t="s">
        <v>79</v>
      </c>
      <c r="K613" t="s">
        <v>37</v>
      </c>
      <c r="L613" t="s">
        <v>103</v>
      </c>
      <c r="M613" t="s">
        <v>238</v>
      </c>
      <c r="N613" t="s">
        <v>238</v>
      </c>
      <c r="O613">
        <v>2</v>
      </c>
      <c r="P613">
        <v>3940</v>
      </c>
      <c r="Q613">
        <v>0.05</v>
      </c>
      <c r="R613">
        <v>2660</v>
      </c>
      <c r="S613" t="s">
        <v>151</v>
      </c>
      <c r="T613" t="s">
        <v>30</v>
      </c>
      <c r="U613">
        <v>4</v>
      </c>
      <c r="V613" t="s">
        <v>31</v>
      </c>
      <c r="W613">
        <f>excelsalesdata[[#This Row],[Quantity]]*excelsalesdata[[#This Row],[Unit_Price]]</f>
        <v>7880</v>
      </c>
      <c r="X613">
        <f>excelsalesdata[[#This Row],[Gross_sales]]*excelsalesdata[[#This Row],[Discount_%]]</f>
        <v>394</v>
      </c>
      <c r="Y613">
        <f>excelsalesdata[[#This Row],[Gross_sales]]-excelsalesdata[[#This Row],[Discount_amt]]</f>
        <v>7486</v>
      </c>
      <c r="Z613" s="4">
        <f>excelsalesdata[[#This Row],[Net_sales]]-excelsalesdata[[#This Row],[Cost]]</f>
        <v>4826</v>
      </c>
      <c r="AA613" s="5">
        <f>excelsalesdata[[#This Row],[Profit]]/excelsalesdata[[#This Row],[Net_sales]]</f>
        <v>0.64467005076142136</v>
      </c>
      <c r="AB613" s="4">
        <f>YEAR(excelsalesdata[[#This Row],[Order_Date]])</f>
        <v>2026</v>
      </c>
      <c r="AC613" s="4" t="str">
        <f>TEXT(excelsalesdata[[#This Row],[Order_Date]],"mmm")</f>
        <v>Dec</v>
      </c>
      <c r="AD613" s="4" t="str">
        <f>"Q"&amp;ROUNDUP(MONTH(excelsalesdata[[#This Row],[Order_Date]])/3,0)</f>
        <v>Q4</v>
      </c>
    </row>
    <row r="614" spans="1:30" x14ac:dyDescent="0.35">
      <c r="A614" t="s">
        <v>1290</v>
      </c>
      <c r="B614" s="3">
        <v>46372</v>
      </c>
      <c r="C614" t="s">
        <v>330</v>
      </c>
      <c r="D614" t="s">
        <v>1292</v>
      </c>
      <c r="E614" t="str">
        <f>TRIM(excelsalesdata[[#This Row],[Customer_Name]])</f>
        <v>Sneha Mehta</v>
      </c>
      <c r="F614" t="s">
        <v>44</v>
      </c>
      <c r="G614">
        <v>50</v>
      </c>
      <c r="H614" t="s">
        <v>109</v>
      </c>
      <c r="I614" t="str">
        <f>TRIM(excelsalesdata[[#This Row],[City]])</f>
        <v>Mysuru</v>
      </c>
      <c r="J614" t="s">
        <v>53</v>
      </c>
      <c r="K614" t="s">
        <v>47</v>
      </c>
      <c r="L614" t="s">
        <v>54</v>
      </c>
      <c r="M614" t="s">
        <v>157</v>
      </c>
      <c r="N614" t="s">
        <v>157</v>
      </c>
      <c r="O614">
        <v>2</v>
      </c>
      <c r="P614">
        <v>52840</v>
      </c>
      <c r="Q614">
        <v>0</v>
      </c>
      <c r="R614">
        <v>40150</v>
      </c>
      <c r="S614" t="s">
        <v>80</v>
      </c>
      <c r="T614" t="s">
        <v>30</v>
      </c>
      <c r="U614">
        <v>2</v>
      </c>
      <c r="V614" t="s">
        <v>40</v>
      </c>
      <c r="W614">
        <f>excelsalesdata[[#This Row],[Quantity]]*excelsalesdata[[#This Row],[Unit_Price]]</f>
        <v>105680</v>
      </c>
      <c r="X614">
        <f>excelsalesdata[[#This Row],[Gross_sales]]*excelsalesdata[[#This Row],[Discount_%]]</f>
        <v>0</v>
      </c>
      <c r="Y614">
        <f>excelsalesdata[[#This Row],[Gross_sales]]-excelsalesdata[[#This Row],[Discount_amt]]</f>
        <v>105680</v>
      </c>
      <c r="Z614" s="4">
        <f>excelsalesdata[[#This Row],[Net_sales]]-excelsalesdata[[#This Row],[Cost]]</f>
        <v>65530</v>
      </c>
      <c r="AA614" s="5">
        <f>excelsalesdata[[#This Row],[Profit]]/excelsalesdata[[#This Row],[Net_sales]]</f>
        <v>0.62007948523845569</v>
      </c>
      <c r="AB614" s="4">
        <f>YEAR(excelsalesdata[[#This Row],[Order_Date]])</f>
        <v>2026</v>
      </c>
      <c r="AC614" s="4" t="str">
        <f>TEXT(excelsalesdata[[#This Row],[Order_Date]],"mmm")</f>
        <v>Dec</v>
      </c>
      <c r="AD614" s="4" t="str">
        <f>"Q"&amp;ROUNDUP(MONTH(excelsalesdata[[#This Row],[Order_Date]])/3,0)</f>
        <v>Q4</v>
      </c>
    </row>
    <row r="615" spans="1:30" x14ac:dyDescent="0.35">
      <c r="A615" t="s">
        <v>1291</v>
      </c>
      <c r="B615" s="3">
        <v>46373</v>
      </c>
      <c r="C615" t="s">
        <v>387</v>
      </c>
      <c r="D615" t="s">
        <v>270</v>
      </c>
      <c r="E615" t="str">
        <f>TRIM(excelsalesdata[[#This Row],[Customer_Name]])</f>
        <v>Ananya Das</v>
      </c>
      <c r="F615" t="s">
        <v>23</v>
      </c>
      <c r="G615">
        <v>37</v>
      </c>
      <c r="H615" t="s">
        <v>168</v>
      </c>
      <c r="I615" t="str">
        <f>TRIM(excelsalesdata[[#This Row],[City]])</f>
        <v>Delhi</v>
      </c>
      <c r="J615" t="s">
        <v>168</v>
      </c>
      <c r="K615" t="s">
        <v>61</v>
      </c>
      <c r="L615" t="s">
        <v>27</v>
      </c>
      <c r="M615" t="s">
        <v>48</v>
      </c>
      <c r="N615" t="s">
        <v>48</v>
      </c>
      <c r="O615">
        <v>5</v>
      </c>
      <c r="P615">
        <v>930</v>
      </c>
      <c r="Q615">
        <v>0.25</v>
      </c>
      <c r="R615">
        <v>460</v>
      </c>
      <c r="S615" t="s">
        <v>29</v>
      </c>
      <c r="T615" t="s">
        <v>30</v>
      </c>
      <c r="U615">
        <v>3</v>
      </c>
      <c r="V615" t="s">
        <v>40</v>
      </c>
      <c r="W615">
        <f>excelsalesdata[[#This Row],[Quantity]]*excelsalesdata[[#This Row],[Unit_Price]]</f>
        <v>4650</v>
      </c>
      <c r="X615">
        <f>excelsalesdata[[#This Row],[Gross_sales]]*excelsalesdata[[#This Row],[Discount_%]]</f>
        <v>1162.5</v>
      </c>
      <c r="Y615">
        <f>excelsalesdata[[#This Row],[Gross_sales]]-excelsalesdata[[#This Row],[Discount_amt]]</f>
        <v>3487.5</v>
      </c>
      <c r="Z615" s="4">
        <f>excelsalesdata[[#This Row],[Net_sales]]-excelsalesdata[[#This Row],[Cost]]</f>
        <v>3027.5</v>
      </c>
      <c r="AA615" s="5">
        <f>excelsalesdata[[#This Row],[Profit]]/excelsalesdata[[#This Row],[Net_sales]]</f>
        <v>0.86810035842293909</v>
      </c>
      <c r="AB615" s="4">
        <f>YEAR(excelsalesdata[[#This Row],[Order_Date]])</f>
        <v>2026</v>
      </c>
      <c r="AC615" s="4" t="str">
        <f>TEXT(excelsalesdata[[#This Row],[Order_Date]],"mmm")</f>
        <v>Dec</v>
      </c>
      <c r="AD615" s="4" t="str">
        <f>"Q"&amp;ROUNDUP(MONTH(excelsalesdata[[#This Row],[Order_Date]])/3,0)</f>
        <v>Q4</v>
      </c>
    </row>
    <row r="616" spans="1:30" x14ac:dyDescent="0.35">
      <c r="A616" t="s">
        <v>1293</v>
      </c>
      <c r="B616" s="3">
        <v>46374</v>
      </c>
      <c r="C616" t="s">
        <v>117</v>
      </c>
      <c r="D616" t="s">
        <v>474</v>
      </c>
      <c r="E616" t="str">
        <f>TRIM(excelsalesdata[[#This Row],[Customer_Name]])</f>
        <v>Arjun Gupta</v>
      </c>
      <c r="F616" t="s">
        <v>23</v>
      </c>
      <c r="G616">
        <v>32</v>
      </c>
      <c r="H616" t="s">
        <v>98</v>
      </c>
      <c r="I616" t="str">
        <f>TRIM(excelsalesdata[[#This Row],[City]])</f>
        <v>Mumbai</v>
      </c>
      <c r="J616" t="s">
        <v>25</v>
      </c>
      <c r="K616" t="s">
        <v>26</v>
      </c>
      <c r="L616" t="s">
        <v>38</v>
      </c>
      <c r="M616" t="s">
        <v>161</v>
      </c>
      <c r="N616" t="s">
        <v>161</v>
      </c>
      <c r="O616">
        <v>1</v>
      </c>
      <c r="P616">
        <v>27780</v>
      </c>
      <c r="Q616">
        <v>0.2</v>
      </c>
      <c r="R616">
        <v>20690</v>
      </c>
      <c r="S616" t="s">
        <v>29</v>
      </c>
      <c r="T616" t="s">
        <v>30</v>
      </c>
      <c r="U616">
        <v>4</v>
      </c>
      <c r="V616" t="s">
        <v>40</v>
      </c>
      <c r="W616">
        <f>excelsalesdata[[#This Row],[Quantity]]*excelsalesdata[[#This Row],[Unit_Price]]</f>
        <v>27780</v>
      </c>
      <c r="X616">
        <f>excelsalesdata[[#This Row],[Gross_sales]]*excelsalesdata[[#This Row],[Discount_%]]</f>
        <v>5556</v>
      </c>
      <c r="Y616">
        <f>excelsalesdata[[#This Row],[Gross_sales]]-excelsalesdata[[#This Row],[Discount_amt]]</f>
        <v>22224</v>
      </c>
      <c r="Z616" s="4">
        <f>excelsalesdata[[#This Row],[Net_sales]]-excelsalesdata[[#This Row],[Cost]]</f>
        <v>1534</v>
      </c>
      <c r="AA616" s="5">
        <f>excelsalesdata[[#This Row],[Profit]]/excelsalesdata[[#This Row],[Net_sales]]</f>
        <v>6.9024478041756654E-2</v>
      </c>
      <c r="AB616" s="4">
        <f>YEAR(excelsalesdata[[#This Row],[Order_Date]])</f>
        <v>2026</v>
      </c>
      <c r="AC616" s="4" t="str">
        <f>TEXT(excelsalesdata[[#This Row],[Order_Date]],"mmm")</f>
        <v>Dec</v>
      </c>
      <c r="AD616" s="4" t="str">
        <f>"Q"&amp;ROUNDUP(MONTH(excelsalesdata[[#This Row],[Order_Date]])/3,0)</f>
        <v>Q4</v>
      </c>
    </row>
    <row r="617" spans="1:30" x14ac:dyDescent="0.35">
      <c r="A617" t="s">
        <v>1294</v>
      </c>
      <c r="B617" s="3">
        <v>46375</v>
      </c>
      <c r="C617" t="s">
        <v>1295</v>
      </c>
      <c r="D617" t="s">
        <v>132</v>
      </c>
      <c r="E617" t="str">
        <f>TRIM(excelsalesdata[[#This Row],[Customer_Name]])</f>
        <v>Vivaan Das</v>
      </c>
      <c r="F617" t="s">
        <v>44</v>
      </c>
      <c r="G617">
        <v>34</v>
      </c>
      <c r="H617" t="s">
        <v>109</v>
      </c>
      <c r="I617" t="str">
        <f>TRIM(excelsalesdata[[#This Row],[City]])</f>
        <v>Mysuru</v>
      </c>
      <c r="J617" t="s">
        <v>53</v>
      </c>
      <c r="K617" t="s">
        <v>47</v>
      </c>
      <c r="L617" t="s">
        <v>93</v>
      </c>
      <c r="M617" t="s">
        <v>718</v>
      </c>
      <c r="N617" t="s">
        <v>718</v>
      </c>
      <c r="O617">
        <v>1</v>
      </c>
      <c r="P617">
        <v>1750</v>
      </c>
      <c r="Q617">
        <v>0.15</v>
      </c>
      <c r="R617">
        <v>870</v>
      </c>
      <c r="S617" t="s">
        <v>105</v>
      </c>
      <c r="T617" t="s">
        <v>81</v>
      </c>
      <c r="U617">
        <v>0</v>
      </c>
      <c r="V617" t="s">
        <v>31</v>
      </c>
      <c r="W617">
        <f>excelsalesdata[[#This Row],[Quantity]]*excelsalesdata[[#This Row],[Unit_Price]]</f>
        <v>1750</v>
      </c>
      <c r="X617">
        <f>excelsalesdata[[#This Row],[Gross_sales]]*excelsalesdata[[#This Row],[Discount_%]]</f>
        <v>262.5</v>
      </c>
      <c r="Y617">
        <f>excelsalesdata[[#This Row],[Gross_sales]]-excelsalesdata[[#This Row],[Discount_amt]]</f>
        <v>1487.5</v>
      </c>
      <c r="Z617" s="4">
        <f>excelsalesdata[[#This Row],[Net_sales]]-excelsalesdata[[#This Row],[Cost]]</f>
        <v>617.5</v>
      </c>
      <c r="AA617" s="5">
        <f>excelsalesdata[[#This Row],[Profit]]/excelsalesdata[[#This Row],[Net_sales]]</f>
        <v>0.41512605042016809</v>
      </c>
      <c r="AB617" s="4">
        <f>YEAR(excelsalesdata[[#This Row],[Order_Date]])</f>
        <v>2026</v>
      </c>
      <c r="AC617" s="4" t="str">
        <f>TEXT(excelsalesdata[[#This Row],[Order_Date]],"mmm")</f>
        <v>Dec</v>
      </c>
      <c r="AD617" s="4" t="str">
        <f>"Q"&amp;ROUNDUP(MONTH(excelsalesdata[[#This Row],[Order_Date]])/3,0)</f>
        <v>Q4</v>
      </c>
    </row>
    <row r="618" spans="1:30" x14ac:dyDescent="0.35">
      <c r="A618" t="s">
        <v>1296</v>
      </c>
      <c r="B618" s="3">
        <v>46376</v>
      </c>
      <c r="C618" t="s">
        <v>153</v>
      </c>
      <c r="D618" t="s">
        <v>495</v>
      </c>
      <c r="E618" t="str">
        <f>TRIM(excelsalesdata[[#This Row],[Customer_Name]])</f>
        <v>Meera Das</v>
      </c>
      <c r="F618" t="s">
        <v>23</v>
      </c>
      <c r="G618">
        <v>50</v>
      </c>
      <c r="H618" t="s">
        <v>168</v>
      </c>
      <c r="I618" t="str">
        <f>TRIM(excelsalesdata[[#This Row],[City]])</f>
        <v>Delhi</v>
      </c>
      <c r="J618" t="s">
        <v>168</v>
      </c>
      <c r="K618" t="s">
        <v>61</v>
      </c>
      <c r="L618" t="s">
        <v>54</v>
      </c>
      <c r="M618" t="s">
        <v>129</v>
      </c>
      <c r="N618" t="s">
        <v>129</v>
      </c>
      <c r="O618">
        <v>5</v>
      </c>
      <c r="P618">
        <v>18330</v>
      </c>
      <c r="Q618">
        <v>0.2</v>
      </c>
      <c r="R618">
        <v>11980</v>
      </c>
      <c r="S618" t="s">
        <v>29</v>
      </c>
      <c r="T618" t="s">
        <v>30</v>
      </c>
      <c r="U618">
        <v>1</v>
      </c>
      <c r="V618" t="s">
        <v>40</v>
      </c>
      <c r="W618">
        <f>excelsalesdata[[#This Row],[Quantity]]*excelsalesdata[[#This Row],[Unit_Price]]</f>
        <v>91650</v>
      </c>
      <c r="X618">
        <f>excelsalesdata[[#This Row],[Gross_sales]]*excelsalesdata[[#This Row],[Discount_%]]</f>
        <v>18330</v>
      </c>
      <c r="Y618">
        <f>excelsalesdata[[#This Row],[Gross_sales]]-excelsalesdata[[#This Row],[Discount_amt]]</f>
        <v>73320</v>
      </c>
      <c r="Z618" s="4">
        <f>excelsalesdata[[#This Row],[Net_sales]]-excelsalesdata[[#This Row],[Cost]]</f>
        <v>61340</v>
      </c>
      <c r="AA618" s="5">
        <f>excelsalesdata[[#This Row],[Profit]]/excelsalesdata[[#This Row],[Net_sales]]</f>
        <v>0.8366066557555919</v>
      </c>
      <c r="AB618" s="4">
        <f>YEAR(excelsalesdata[[#This Row],[Order_Date]])</f>
        <v>2026</v>
      </c>
      <c r="AC618" s="4" t="str">
        <f>TEXT(excelsalesdata[[#This Row],[Order_Date]],"mmm")</f>
        <v>Dec</v>
      </c>
      <c r="AD618" s="4" t="str">
        <f>"Q"&amp;ROUNDUP(MONTH(excelsalesdata[[#This Row],[Order_Date]])/3,0)</f>
        <v>Q4</v>
      </c>
    </row>
    <row r="619" spans="1:30" x14ac:dyDescent="0.35">
      <c r="A619" t="s">
        <v>1297</v>
      </c>
      <c r="B619" s="3">
        <v>46377</v>
      </c>
      <c r="C619" t="s">
        <v>454</v>
      </c>
      <c r="D619" t="s">
        <v>231</v>
      </c>
      <c r="E619" t="str">
        <f>TRIM(excelsalesdata[[#This Row],[Customer_Name]])</f>
        <v>Ananya Verma</v>
      </c>
      <c r="F619" t="s">
        <v>23</v>
      </c>
      <c r="G619">
        <v>37</v>
      </c>
      <c r="H619" t="s">
        <v>45</v>
      </c>
      <c r="I619" t="str">
        <f>TRIM(excelsalesdata[[#This Row],[City]])</f>
        <v>Kochi</v>
      </c>
      <c r="J619" t="s">
        <v>46</v>
      </c>
      <c r="K619" t="s">
        <v>47</v>
      </c>
      <c r="L619" t="s">
        <v>27</v>
      </c>
      <c r="M619" t="s">
        <v>295</v>
      </c>
      <c r="N619" t="s">
        <v>295</v>
      </c>
      <c r="O619">
        <v>1</v>
      </c>
      <c r="P619">
        <v>3940</v>
      </c>
      <c r="Q619">
        <v>0</v>
      </c>
      <c r="R619">
        <v>2620</v>
      </c>
      <c r="S619" t="s">
        <v>80</v>
      </c>
      <c r="T619" t="s">
        <v>30</v>
      </c>
      <c r="U619">
        <v>3</v>
      </c>
      <c r="V619" t="s">
        <v>40</v>
      </c>
      <c r="W619">
        <f>excelsalesdata[[#This Row],[Quantity]]*excelsalesdata[[#This Row],[Unit_Price]]</f>
        <v>3940</v>
      </c>
      <c r="X619">
        <f>excelsalesdata[[#This Row],[Gross_sales]]*excelsalesdata[[#This Row],[Discount_%]]</f>
        <v>0</v>
      </c>
      <c r="Y619">
        <f>excelsalesdata[[#This Row],[Gross_sales]]-excelsalesdata[[#This Row],[Discount_amt]]</f>
        <v>3940</v>
      </c>
      <c r="Z619" s="4">
        <f>excelsalesdata[[#This Row],[Net_sales]]-excelsalesdata[[#This Row],[Cost]]</f>
        <v>1320</v>
      </c>
      <c r="AA619" s="5">
        <f>excelsalesdata[[#This Row],[Profit]]/excelsalesdata[[#This Row],[Net_sales]]</f>
        <v>0.3350253807106599</v>
      </c>
      <c r="AB619" s="4">
        <f>YEAR(excelsalesdata[[#This Row],[Order_Date]])</f>
        <v>2026</v>
      </c>
      <c r="AC619" s="4" t="str">
        <f>TEXT(excelsalesdata[[#This Row],[Order_Date]],"mmm")</f>
        <v>Dec</v>
      </c>
      <c r="AD619" s="4" t="str">
        <f>"Q"&amp;ROUNDUP(MONTH(excelsalesdata[[#This Row],[Order_Date]])/3,0)</f>
        <v>Q4</v>
      </c>
    </row>
    <row r="620" spans="1:30" x14ac:dyDescent="0.35">
      <c r="A620" t="s">
        <v>1298</v>
      </c>
      <c r="B620" s="3">
        <v>46378</v>
      </c>
      <c r="C620" t="s">
        <v>775</v>
      </c>
      <c r="D620" t="s">
        <v>237</v>
      </c>
      <c r="E620" t="str">
        <f>TRIM(excelsalesdata[[#This Row],[Customer_Name]])</f>
        <v>Vivaan Kumar</v>
      </c>
      <c r="F620" t="s">
        <v>44</v>
      </c>
      <c r="G620">
        <v>41</v>
      </c>
      <c r="H620" t="s">
        <v>133</v>
      </c>
      <c r="I620" t="str">
        <f>TRIM(excelsalesdata[[#This Row],[City]])</f>
        <v>Jaipur</v>
      </c>
      <c r="J620" t="s">
        <v>134</v>
      </c>
      <c r="K620" t="s">
        <v>61</v>
      </c>
      <c r="L620" t="s">
        <v>54</v>
      </c>
      <c r="M620" t="s">
        <v>66</v>
      </c>
      <c r="N620" t="s">
        <v>66</v>
      </c>
      <c r="O620">
        <v>1</v>
      </c>
      <c r="P620">
        <v>2540</v>
      </c>
      <c r="Q620">
        <v>0.2</v>
      </c>
      <c r="R620">
        <v>1490</v>
      </c>
      <c r="S620" t="s">
        <v>29</v>
      </c>
      <c r="T620" t="s">
        <v>30</v>
      </c>
      <c r="U620">
        <v>4</v>
      </c>
      <c r="V620" t="s">
        <v>40</v>
      </c>
      <c r="W620">
        <f>excelsalesdata[[#This Row],[Quantity]]*excelsalesdata[[#This Row],[Unit_Price]]</f>
        <v>2540</v>
      </c>
      <c r="X620">
        <f>excelsalesdata[[#This Row],[Gross_sales]]*excelsalesdata[[#This Row],[Discount_%]]</f>
        <v>508</v>
      </c>
      <c r="Y620">
        <f>excelsalesdata[[#This Row],[Gross_sales]]-excelsalesdata[[#This Row],[Discount_amt]]</f>
        <v>2032</v>
      </c>
      <c r="Z620" s="4">
        <f>excelsalesdata[[#This Row],[Net_sales]]-excelsalesdata[[#This Row],[Cost]]</f>
        <v>542</v>
      </c>
      <c r="AA620" s="5">
        <f>excelsalesdata[[#This Row],[Profit]]/excelsalesdata[[#This Row],[Net_sales]]</f>
        <v>0.26673228346456695</v>
      </c>
      <c r="AB620" s="4">
        <f>YEAR(excelsalesdata[[#This Row],[Order_Date]])</f>
        <v>2026</v>
      </c>
      <c r="AC620" s="4" t="str">
        <f>TEXT(excelsalesdata[[#This Row],[Order_Date]],"mmm")</f>
        <v>Dec</v>
      </c>
      <c r="AD620" s="4" t="str">
        <f>"Q"&amp;ROUNDUP(MONTH(excelsalesdata[[#This Row],[Order_Date]])/3,0)</f>
        <v>Q4</v>
      </c>
    </row>
    <row r="621" spans="1:30" x14ac:dyDescent="0.35">
      <c r="A621" t="s">
        <v>1299</v>
      </c>
      <c r="B621" s="3">
        <v>46379</v>
      </c>
      <c r="C621" t="s">
        <v>702</v>
      </c>
      <c r="D621" t="s">
        <v>833</v>
      </c>
      <c r="E621" t="str">
        <f>TRIM(excelsalesdata[[#This Row],[Customer_Name]])</f>
        <v>Rohan Mehta</v>
      </c>
      <c r="F621" t="s">
        <v>44</v>
      </c>
      <c r="G621">
        <v>22</v>
      </c>
      <c r="H621" t="s">
        <v>45</v>
      </c>
      <c r="I621" t="str">
        <f>TRIM(excelsalesdata[[#This Row],[City]])</f>
        <v>Kochi</v>
      </c>
      <c r="J621" t="s">
        <v>46</v>
      </c>
      <c r="K621" t="s">
        <v>47</v>
      </c>
      <c r="L621" t="s">
        <v>103</v>
      </c>
      <c r="M621" t="s">
        <v>104</v>
      </c>
      <c r="N621" t="s">
        <v>104</v>
      </c>
      <c r="O621">
        <v>3</v>
      </c>
      <c r="P621">
        <v>9120</v>
      </c>
      <c r="Q621">
        <v>0.15</v>
      </c>
      <c r="R621">
        <v>5440</v>
      </c>
      <c r="S621" t="s">
        <v>29</v>
      </c>
      <c r="T621" t="s">
        <v>30</v>
      </c>
      <c r="U621">
        <v>4</v>
      </c>
      <c r="V621" t="s">
        <v>40</v>
      </c>
      <c r="W621">
        <f>excelsalesdata[[#This Row],[Quantity]]*excelsalesdata[[#This Row],[Unit_Price]]</f>
        <v>27360</v>
      </c>
      <c r="X621">
        <f>excelsalesdata[[#This Row],[Gross_sales]]*excelsalesdata[[#This Row],[Discount_%]]</f>
        <v>4104</v>
      </c>
      <c r="Y621">
        <f>excelsalesdata[[#This Row],[Gross_sales]]-excelsalesdata[[#This Row],[Discount_amt]]</f>
        <v>23256</v>
      </c>
      <c r="Z621" s="4">
        <f>excelsalesdata[[#This Row],[Net_sales]]-excelsalesdata[[#This Row],[Cost]]</f>
        <v>17816</v>
      </c>
      <c r="AA621" s="5">
        <f>excelsalesdata[[#This Row],[Profit]]/excelsalesdata[[#This Row],[Net_sales]]</f>
        <v>0.76608187134502925</v>
      </c>
      <c r="AB621" s="4">
        <f>YEAR(excelsalesdata[[#This Row],[Order_Date]])</f>
        <v>2026</v>
      </c>
      <c r="AC621" s="4" t="str">
        <f>TEXT(excelsalesdata[[#This Row],[Order_Date]],"mmm")</f>
        <v>Dec</v>
      </c>
      <c r="AD621" s="4" t="str">
        <f>"Q"&amp;ROUNDUP(MONTH(excelsalesdata[[#This Row],[Order_Date]])/3,0)</f>
        <v>Q4</v>
      </c>
    </row>
    <row r="622" spans="1:30" x14ac:dyDescent="0.35">
      <c r="A622" t="s">
        <v>1300</v>
      </c>
      <c r="B622" s="3">
        <v>46380</v>
      </c>
      <c r="C622" t="s">
        <v>829</v>
      </c>
      <c r="D622" t="s">
        <v>879</v>
      </c>
      <c r="E622" t="str">
        <f>TRIM(excelsalesdata[[#This Row],[Customer_Name]])</f>
        <v>Ishita Das</v>
      </c>
      <c r="F622" t="s">
        <v>23</v>
      </c>
      <c r="G622">
        <v>39</v>
      </c>
      <c r="H622" t="s">
        <v>98</v>
      </c>
      <c r="I622" t="str">
        <f>TRIM(excelsalesdata[[#This Row],[City]])</f>
        <v>Mumbai</v>
      </c>
      <c r="J622" t="s">
        <v>25</v>
      </c>
      <c r="K622" t="s">
        <v>26</v>
      </c>
      <c r="L622" t="s">
        <v>85</v>
      </c>
      <c r="M622" t="s">
        <v>202</v>
      </c>
      <c r="N622" t="s">
        <v>202</v>
      </c>
      <c r="O622">
        <v>2</v>
      </c>
      <c r="P622">
        <v>900</v>
      </c>
      <c r="Q622">
        <v>0.05</v>
      </c>
      <c r="R622">
        <v>380</v>
      </c>
      <c r="S622" t="s">
        <v>105</v>
      </c>
      <c r="T622" t="s">
        <v>30</v>
      </c>
      <c r="U622">
        <v>3</v>
      </c>
      <c r="V622" t="s">
        <v>40</v>
      </c>
      <c r="W622">
        <f>excelsalesdata[[#This Row],[Quantity]]*excelsalesdata[[#This Row],[Unit_Price]]</f>
        <v>1800</v>
      </c>
      <c r="X622">
        <f>excelsalesdata[[#This Row],[Gross_sales]]*excelsalesdata[[#This Row],[Discount_%]]</f>
        <v>90</v>
      </c>
      <c r="Y622">
        <f>excelsalesdata[[#This Row],[Gross_sales]]-excelsalesdata[[#This Row],[Discount_amt]]</f>
        <v>1710</v>
      </c>
      <c r="Z622" s="4">
        <f>excelsalesdata[[#This Row],[Net_sales]]-excelsalesdata[[#This Row],[Cost]]</f>
        <v>1330</v>
      </c>
      <c r="AA622" s="5">
        <f>excelsalesdata[[#This Row],[Profit]]/excelsalesdata[[#This Row],[Net_sales]]</f>
        <v>0.77777777777777779</v>
      </c>
      <c r="AB622" s="4">
        <f>YEAR(excelsalesdata[[#This Row],[Order_Date]])</f>
        <v>2026</v>
      </c>
      <c r="AC622" s="4" t="str">
        <f>TEXT(excelsalesdata[[#This Row],[Order_Date]],"mmm")</f>
        <v>Dec</v>
      </c>
      <c r="AD622" s="4" t="str">
        <f>"Q"&amp;ROUNDUP(MONTH(excelsalesdata[[#This Row],[Order_Date]])/3,0)</f>
        <v>Q4</v>
      </c>
    </row>
    <row r="623" spans="1:30" x14ac:dyDescent="0.35">
      <c r="A623" t="s">
        <v>1301</v>
      </c>
      <c r="B623" s="3">
        <v>46381</v>
      </c>
      <c r="C623" t="s">
        <v>654</v>
      </c>
      <c r="D623" t="s">
        <v>755</v>
      </c>
      <c r="E623" t="str">
        <f>TRIM(excelsalesdata[[#This Row],[Customer_Name]])</f>
        <v>Rahul Singh</v>
      </c>
      <c r="F623" t="s">
        <v>23</v>
      </c>
      <c r="G623">
        <v>44</v>
      </c>
      <c r="H623" t="s">
        <v>155</v>
      </c>
      <c r="I623" t="str">
        <f>TRIM(excelsalesdata[[#This Row],[City]])</f>
        <v>Chennai</v>
      </c>
      <c r="J623" t="s">
        <v>156</v>
      </c>
      <c r="K623" t="s">
        <v>47</v>
      </c>
      <c r="L623" t="s">
        <v>54</v>
      </c>
      <c r="M623" t="s">
        <v>129</v>
      </c>
      <c r="N623" t="s">
        <v>129</v>
      </c>
      <c r="O623">
        <v>2</v>
      </c>
      <c r="P623">
        <v>16750</v>
      </c>
      <c r="Q623">
        <v>0.2</v>
      </c>
      <c r="R623">
        <v>12030</v>
      </c>
      <c r="S623" t="s">
        <v>67</v>
      </c>
      <c r="T623" t="s">
        <v>74</v>
      </c>
      <c r="U623">
        <v>3</v>
      </c>
      <c r="V623" t="s">
        <v>40</v>
      </c>
      <c r="W623">
        <f>excelsalesdata[[#This Row],[Quantity]]*excelsalesdata[[#This Row],[Unit_Price]]</f>
        <v>33500</v>
      </c>
      <c r="X623">
        <f>excelsalesdata[[#This Row],[Gross_sales]]*excelsalesdata[[#This Row],[Discount_%]]</f>
        <v>6700</v>
      </c>
      <c r="Y623">
        <f>excelsalesdata[[#This Row],[Gross_sales]]-excelsalesdata[[#This Row],[Discount_amt]]</f>
        <v>26800</v>
      </c>
      <c r="Z623" s="4">
        <f>excelsalesdata[[#This Row],[Net_sales]]-excelsalesdata[[#This Row],[Cost]]</f>
        <v>14770</v>
      </c>
      <c r="AA623" s="5">
        <f>excelsalesdata[[#This Row],[Profit]]/excelsalesdata[[#This Row],[Net_sales]]</f>
        <v>0.55111940298507467</v>
      </c>
      <c r="AB623" s="4">
        <f>YEAR(excelsalesdata[[#This Row],[Order_Date]])</f>
        <v>2026</v>
      </c>
      <c r="AC623" s="4" t="str">
        <f>TEXT(excelsalesdata[[#This Row],[Order_Date]],"mmm")</f>
        <v>Dec</v>
      </c>
      <c r="AD623" s="4" t="str">
        <f>"Q"&amp;ROUNDUP(MONTH(excelsalesdata[[#This Row],[Order_Date]])/3,0)</f>
        <v>Q4</v>
      </c>
    </row>
    <row r="624" spans="1:30" x14ac:dyDescent="0.35">
      <c r="A624" t="s">
        <v>1302</v>
      </c>
      <c r="B624" s="3">
        <v>46382</v>
      </c>
      <c r="C624" t="s">
        <v>1303</v>
      </c>
      <c r="D624" t="s">
        <v>147</v>
      </c>
      <c r="E624" t="str">
        <f>TRIM(excelsalesdata[[#This Row],[Customer_Name]])</f>
        <v>Rohan Sharma</v>
      </c>
      <c r="F624" t="s">
        <v>23</v>
      </c>
      <c r="G624">
        <v>59</v>
      </c>
      <c r="H624" t="s">
        <v>109</v>
      </c>
      <c r="I624" t="str">
        <f>TRIM(excelsalesdata[[#This Row],[City]])</f>
        <v>Mysuru</v>
      </c>
      <c r="J624" t="s">
        <v>53</v>
      </c>
      <c r="K624" t="s">
        <v>47</v>
      </c>
      <c r="L624" t="s">
        <v>38</v>
      </c>
      <c r="M624" t="s">
        <v>161</v>
      </c>
      <c r="N624" t="s">
        <v>161</v>
      </c>
      <c r="O624">
        <v>4</v>
      </c>
      <c r="P624">
        <v>27940</v>
      </c>
      <c r="Q624">
        <v>0.1</v>
      </c>
      <c r="R624">
        <v>21080</v>
      </c>
      <c r="S624" t="s">
        <v>151</v>
      </c>
      <c r="T624" t="s">
        <v>30</v>
      </c>
      <c r="U624">
        <v>2</v>
      </c>
      <c r="V624" t="s">
        <v>40</v>
      </c>
      <c r="W624">
        <f>excelsalesdata[[#This Row],[Quantity]]*excelsalesdata[[#This Row],[Unit_Price]]</f>
        <v>111760</v>
      </c>
      <c r="X624">
        <f>excelsalesdata[[#This Row],[Gross_sales]]*excelsalesdata[[#This Row],[Discount_%]]</f>
        <v>11176</v>
      </c>
      <c r="Y624">
        <f>excelsalesdata[[#This Row],[Gross_sales]]-excelsalesdata[[#This Row],[Discount_amt]]</f>
        <v>100584</v>
      </c>
      <c r="Z624" s="4">
        <f>excelsalesdata[[#This Row],[Net_sales]]-excelsalesdata[[#This Row],[Cost]]</f>
        <v>79504</v>
      </c>
      <c r="AA624" s="5">
        <f>excelsalesdata[[#This Row],[Profit]]/excelsalesdata[[#This Row],[Net_sales]]</f>
        <v>0.79042392428219199</v>
      </c>
      <c r="AB624" s="4">
        <f>YEAR(excelsalesdata[[#This Row],[Order_Date]])</f>
        <v>2026</v>
      </c>
      <c r="AC624" s="4" t="str">
        <f>TEXT(excelsalesdata[[#This Row],[Order_Date]],"mmm")</f>
        <v>Dec</v>
      </c>
      <c r="AD624" s="4" t="str">
        <f>"Q"&amp;ROUNDUP(MONTH(excelsalesdata[[#This Row],[Order_Date]])/3,0)</f>
        <v>Q4</v>
      </c>
    </row>
    <row r="625" spans="1:30" x14ac:dyDescent="0.35">
      <c r="A625" t="s">
        <v>1304</v>
      </c>
      <c r="B625" s="3">
        <v>46383</v>
      </c>
      <c r="C625" t="s">
        <v>542</v>
      </c>
      <c r="D625" t="s">
        <v>1108</v>
      </c>
      <c r="E625" t="str">
        <f>TRIM(excelsalesdata[[#This Row],[Customer_Name]])</f>
        <v>Rohan Verma</v>
      </c>
      <c r="F625" t="s">
        <v>23</v>
      </c>
      <c r="G625">
        <v>23</v>
      </c>
      <c r="H625" t="s">
        <v>60</v>
      </c>
      <c r="I625" t="str">
        <f>TRIM(excelsalesdata[[#This Row],[City]])</f>
        <v>Chandigarh</v>
      </c>
      <c r="J625" t="s">
        <v>60</v>
      </c>
      <c r="K625" t="s">
        <v>61</v>
      </c>
      <c r="L625" t="s">
        <v>103</v>
      </c>
      <c r="M625" t="s">
        <v>312</v>
      </c>
      <c r="N625" t="s">
        <v>312</v>
      </c>
      <c r="O625">
        <v>2</v>
      </c>
      <c r="P625">
        <v>6840</v>
      </c>
      <c r="Q625">
        <v>0</v>
      </c>
      <c r="R625">
        <v>4350</v>
      </c>
      <c r="S625" t="s">
        <v>80</v>
      </c>
      <c r="T625" t="s">
        <v>30</v>
      </c>
      <c r="U625">
        <v>3</v>
      </c>
      <c r="V625" t="s">
        <v>40</v>
      </c>
      <c r="W625">
        <f>excelsalesdata[[#This Row],[Quantity]]*excelsalesdata[[#This Row],[Unit_Price]]</f>
        <v>13680</v>
      </c>
      <c r="X625">
        <f>excelsalesdata[[#This Row],[Gross_sales]]*excelsalesdata[[#This Row],[Discount_%]]</f>
        <v>0</v>
      </c>
      <c r="Y625">
        <f>excelsalesdata[[#This Row],[Gross_sales]]-excelsalesdata[[#This Row],[Discount_amt]]</f>
        <v>13680</v>
      </c>
      <c r="Z625" s="4">
        <f>excelsalesdata[[#This Row],[Net_sales]]-excelsalesdata[[#This Row],[Cost]]</f>
        <v>9330</v>
      </c>
      <c r="AA625" s="5">
        <f>excelsalesdata[[#This Row],[Profit]]/excelsalesdata[[#This Row],[Net_sales]]</f>
        <v>0.68201754385964908</v>
      </c>
      <c r="AB625" s="4">
        <f>YEAR(excelsalesdata[[#This Row],[Order_Date]])</f>
        <v>2026</v>
      </c>
      <c r="AC625" s="4" t="str">
        <f>TEXT(excelsalesdata[[#This Row],[Order_Date]],"mmm")</f>
        <v>Dec</v>
      </c>
      <c r="AD625" s="4" t="str">
        <f>"Q"&amp;ROUNDUP(MONTH(excelsalesdata[[#This Row],[Order_Date]])/3,0)</f>
        <v>Q4</v>
      </c>
    </row>
    <row r="626" spans="1:30" x14ac:dyDescent="0.35">
      <c r="A626" t="s">
        <v>1305</v>
      </c>
      <c r="B626" s="3">
        <v>46384</v>
      </c>
      <c r="C626" t="s">
        <v>1210</v>
      </c>
      <c r="D626" t="s">
        <v>527</v>
      </c>
      <c r="E626" t="str">
        <f>TRIM(excelsalesdata[[#This Row],[Customer_Name]])</f>
        <v>Aditya Sharma</v>
      </c>
      <c r="F626" t="s">
        <v>44</v>
      </c>
      <c r="G626">
        <v>42</v>
      </c>
      <c r="H626" t="s">
        <v>133</v>
      </c>
      <c r="I626" t="str">
        <f>TRIM(excelsalesdata[[#This Row],[City]])</f>
        <v>Jaipur</v>
      </c>
      <c r="J626" t="s">
        <v>134</v>
      </c>
      <c r="K626" t="s">
        <v>61</v>
      </c>
      <c r="L626" t="s">
        <v>103</v>
      </c>
      <c r="M626" t="s">
        <v>238</v>
      </c>
      <c r="N626" t="s">
        <v>238</v>
      </c>
      <c r="O626">
        <v>1</v>
      </c>
      <c r="P626">
        <v>3870</v>
      </c>
      <c r="Q626">
        <v>0.15</v>
      </c>
      <c r="R626">
        <v>2760</v>
      </c>
      <c r="S626" t="s">
        <v>105</v>
      </c>
      <c r="T626" t="s">
        <v>99</v>
      </c>
      <c r="U626">
        <v>6</v>
      </c>
      <c r="V626" t="s">
        <v>40</v>
      </c>
      <c r="W626">
        <f>excelsalesdata[[#This Row],[Quantity]]*excelsalesdata[[#This Row],[Unit_Price]]</f>
        <v>3870</v>
      </c>
      <c r="X626">
        <f>excelsalesdata[[#This Row],[Gross_sales]]*excelsalesdata[[#This Row],[Discount_%]]</f>
        <v>580.5</v>
      </c>
      <c r="Y626">
        <f>excelsalesdata[[#This Row],[Gross_sales]]-excelsalesdata[[#This Row],[Discount_amt]]</f>
        <v>3289.5</v>
      </c>
      <c r="Z626" s="4">
        <f>excelsalesdata[[#This Row],[Net_sales]]-excelsalesdata[[#This Row],[Cost]]</f>
        <v>529.5</v>
      </c>
      <c r="AA626" s="5">
        <f>excelsalesdata[[#This Row],[Profit]]/excelsalesdata[[#This Row],[Net_sales]]</f>
        <v>0.16096671226630188</v>
      </c>
      <c r="AB626" s="4">
        <f>YEAR(excelsalesdata[[#This Row],[Order_Date]])</f>
        <v>2026</v>
      </c>
      <c r="AC626" s="4" t="str">
        <f>TEXT(excelsalesdata[[#This Row],[Order_Date]],"mmm")</f>
        <v>Dec</v>
      </c>
      <c r="AD626" s="4" t="str">
        <f>"Q"&amp;ROUNDUP(MONTH(excelsalesdata[[#This Row],[Order_Date]])/3,0)</f>
        <v>Q4</v>
      </c>
    </row>
    <row r="627" spans="1:30" x14ac:dyDescent="0.35">
      <c r="A627" t="s">
        <v>1306</v>
      </c>
      <c r="B627" s="3">
        <v>46385</v>
      </c>
      <c r="C627" t="s">
        <v>1189</v>
      </c>
      <c r="D627" t="s">
        <v>626</v>
      </c>
      <c r="E627" t="str">
        <f>TRIM(excelsalesdata[[#This Row],[Customer_Name]])</f>
        <v>Aditya Rao</v>
      </c>
      <c r="F627" t="s">
        <v>44</v>
      </c>
      <c r="G627">
        <v>48</v>
      </c>
      <c r="H627" t="s">
        <v>71</v>
      </c>
      <c r="I627" t="str">
        <f>TRIM(excelsalesdata[[#This Row],[City]])</f>
        <v>Bhubaneswar</v>
      </c>
      <c r="J627" t="s">
        <v>72</v>
      </c>
      <c r="K627" t="s">
        <v>37</v>
      </c>
      <c r="L627" t="s">
        <v>27</v>
      </c>
      <c r="M627" t="s">
        <v>48</v>
      </c>
      <c r="N627" t="s">
        <v>48</v>
      </c>
      <c r="O627">
        <v>2</v>
      </c>
      <c r="P627">
        <v>880</v>
      </c>
      <c r="Q627">
        <v>0.05</v>
      </c>
      <c r="R627">
        <v>440</v>
      </c>
      <c r="S627" t="s">
        <v>105</v>
      </c>
      <c r="T627" t="s">
        <v>30</v>
      </c>
      <c r="U627">
        <v>4</v>
      </c>
      <c r="V627" t="s">
        <v>40</v>
      </c>
      <c r="W627">
        <f>excelsalesdata[[#This Row],[Quantity]]*excelsalesdata[[#This Row],[Unit_Price]]</f>
        <v>1760</v>
      </c>
      <c r="X627">
        <f>excelsalesdata[[#This Row],[Gross_sales]]*excelsalesdata[[#This Row],[Discount_%]]</f>
        <v>88</v>
      </c>
      <c r="Y627">
        <f>excelsalesdata[[#This Row],[Gross_sales]]-excelsalesdata[[#This Row],[Discount_amt]]</f>
        <v>1672</v>
      </c>
      <c r="Z627" s="4">
        <f>excelsalesdata[[#This Row],[Net_sales]]-excelsalesdata[[#This Row],[Cost]]</f>
        <v>1232</v>
      </c>
      <c r="AA627" s="5">
        <f>excelsalesdata[[#This Row],[Profit]]/excelsalesdata[[#This Row],[Net_sales]]</f>
        <v>0.73684210526315785</v>
      </c>
      <c r="AB627" s="4">
        <f>YEAR(excelsalesdata[[#This Row],[Order_Date]])</f>
        <v>2026</v>
      </c>
      <c r="AC627" s="4" t="str">
        <f>TEXT(excelsalesdata[[#This Row],[Order_Date]],"mmm")</f>
        <v>Dec</v>
      </c>
      <c r="AD627" s="4" t="str">
        <f>"Q"&amp;ROUNDUP(MONTH(excelsalesdata[[#This Row],[Order_Date]])/3,0)</f>
        <v>Q4</v>
      </c>
    </row>
    <row r="628" spans="1:30" x14ac:dyDescent="0.35">
      <c r="A628" t="s">
        <v>1307</v>
      </c>
      <c r="B628" s="3">
        <v>46386</v>
      </c>
      <c r="C628" t="s">
        <v>1308</v>
      </c>
      <c r="D628" t="s">
        <v>113</v>
      </c>
      <c r="E628" t="str">
        <f>TRIM(excelsalesdata[[#This Row],[Customer_Name]])</f>
        <v>Nisha Joshi</v>
      </c>
      <c r="F628" t="s">
        <v>23</v>
      </c>
      <c r="G628">
        <v>47</v>
      </c>
      <c r="H628" t="s">
        <v>78</v>
      </c>
      <c r="I628" t="str">
        <f>TRIM(excelsalesdata[[#This Row],[City]])</f>
        <v>Guwahati</v>
      </c>
      <c r="J628" t="s">
        <v>79</v>
      </c>
      <c r="K628" t="s">
        <v>37</v>
      </c>
      <c r="L628" t="s">
        <v>27</v>
      </c>
      <c r="M628" t="s">
        <v>295</v>
      </c>
      <c r="N628" t="s">
        <v>295</v>
      </c>
      <c r="O628">
        <v>2</v>
      </c>
      <c r="P628">
        <v>4060</v>
      </c>
      <c r="Q628">
        <v>0.1</v>
      </c>
      <c r="R628">
        <v>2720</v>
      </c>
      <c r="S628" t="s">
        <v>151</v>
      </c>
      <c r="T628" t="s">
        <v>99</v>
      </c>
      <c r="U628">
        <v>5</v>
      </c>
      <c r="V628" t="s">
        <v>31</v>
      </c>
      <c r="W628">
        <f>excelsalesdata[[#This Row],[Quantity]]*excelsalesdata[[#This Row],[Unit_Price]]</f>
        <v>8120</v>
      </c>
      <c r="X628">
        <f>excelsalesdata[[#This Row],[Gross_sales]]*excelsalesdata[[#This Row],[Discount_%]]</f>
        <v>812</v>
      </c>
      <c r="Y628">
        <f>excelsalesdata[[#This Row],[Gross_sales]]-excelsalesdata[[#This Row],[Discount_amt]]</f>
        <v>7308</v>
      </c>
      <c r="Z628" s="4">
        <f>excelsalesdata[[#This Row],[Net_sales]]-excelsalesdata[[#This Row],[Cost]]</f>
        <v>4588</v>
      </c>
      <c r="AA628" s="5">
        <f>excelsalesdata[[#This Row],[Profit]]/excelsalesdata[[#This Row],[Net_sales]]</f>
        <v>0.6278051450465244</v>
      </c>
      <c r="AB628" s="4">
        <f>YEAR(excelsalesdata[[#This Row],[Order_Date]])</f>
        <v>2026</v>
      </c>
      <c r="AC628" s="4" t="str">
        <f>TEXT(excelsalesdata[[#This Row],[Order_Date]],"mmm")</f>
        <v>Dec</v>
      </c>
      <c r="AD628" s="4" t="str">
        <f>"Q"&amp;ROUNDUP(MONTH(excelsalesdata[[#This Row],[Order_Date]])/3,0)</f>
        <v>Q4</v>
      </c>
    </row>
    <row r="629" spans="1:30" x14ac:dyDescent="0.35">
      <c r="A629" t="s">
        <v>1309</v>
      </c>
      <c r="B629" s="3">
        <v>46387</v>
      </c>
      <c r="C629" t="s">
        <v>1310</v>
      </c>
      <c r="D629" t="s">
        <v>600</v>
      </c>
      <c r="E629" t="str">
        <f>TRIM(excelsalesdata[[#This Row],[Customer_Name]])</f>
        <v>Karan Mehta</v>
      </c>
      <c r="F629" t="s">
        <v>23</v>
      </c>
      <c r="G629">
        <v>57</v>
      </c>
      <c r="H629" t="s">
        <v>185</v>
      </c>
      <c r="I629" t="str">
        <f>TRIM(excelsalesdata[[#This Row],[City]])</f>
        <v>Lucknow</v>
      </c>
      <c r="J629" t="s">
        <v>186</v>
      </c>
      <c r="K629" t="s">
        <v>61</v>
      </c>
      <c r="L629" t="s">
        <v>54</v>
      </c>
      <c r="M629" t="s">
        <v>62</v>
      </c>
      <c r="N629" t="s">
        <v>62</v>
      </c>
      <c r="O629">
        <v>2</v>
      </c>
      <c r="P629">
        <v>23520</v>
      </c>
      <c r="Q629">
        <v>0.1</v>
      </c>
      <c r="R629">
        <v>15560</v>
      </c>
      <c r="S629" t="s">
        <v>80</v>
      </c>
      <c r="T629" t="s">
        <v>30</v>
      </c>
      <c r="U629">
        <v>1</v>
      </c>
      <c r="V629" t="s">
        <v>40</v>
      </c>
      <c r="W629">
        <f>excelsalesdata[[#This Row],[Quantity]]*excelsalesdata[[#This Row],[Unit_Price]]</f>
        <v>47040</v>
      </c>
      <c r="X629">
        <f>excelsalesdata[[#This Row],[Gross_sales]]*excelsalesdata[[#This Row],[Discount_%]]</f>
        <v>4704</v>
      </c>
      <c r="Y629">
        <f>excelsalesdata[[#This Row],[Gross_sales]]-excelsalesdata[[#This Row],[Discount_amt]]</f>
        <v>42336</v>
      </c>
      <c r="Z629" s="4">
        <f>excelsalesdata[[#This Row],[Net_sales]]-excelsalesdata[[#This Row],[Cost]]</f>
        <v>26776</v>
      </c>
      <c r="AA629" s="5">
        <f>excelsalesdata[[#This Row],[Profit]]/excelsalesdata[[#This Row],[Net_sales]]</f>
        <v>0.63246409674981108</v>
      </c>
      <c r="AB629" s="4">
        <f>YEAR(excelsalesdata[[#This Row],[Order_Date]])</f>
        <v>2026</v>
      </c>
      <c r="AC629" s="4" t="str">
        <f>TEXT(excelsalesdata[[#This Row],[Order_Date]],"mmm")</f>
        <v>Dec</v>
      </c>
      <c r="AD629" s="4" t="str">
        <f>"Q"&amp;ROUNDUP(MONTH(excelsalesdata[[#This Row],[Order_Date]])/3,0)</f>
        <v>Q4</v>
      </c>
    </row>
    <row r="630" spans="1:30" x14ac:dyDescent="0.35">
      <c r="A630" t="s">
        <v>1311</v>
      </c>
      <c r="B630" s="3">
        <v>46388</v>
      </c>
      <c r="C630" t="s">
        <v>890</v>
      </c>
      <c r="D630" t="s">
        <v>395</v>
      </c>
      <c r="E630" t="str">
        <f>TRIM(excelsalesdata[[#This Row],[Customer_Name]])</f>
        <v>Meera Gupta</v>
      </c>
      <c r="F630" t="s">
        <v>44</v>
      </c>
      <c r="G630">
        <v>18</v>
      </c>
      <c r="H630" t="s">
        <v>155</v>
      </c>
      <c r="I630" t="str">
        <f>TRIM(excelsalesdata[[#This Row],[City]])</f>
        <v>Chennai</v>
      </c>
      <c r="J630" t="s">
        <v>156</v>
      </c>
      <c r="K630" t="s">
        <v>47</v>
      </c>
      <c r="L630" t="s">
        <v>85</v>
      </c>
      <c r="M630" t="s">
        <v>202</v>
      </c>
      <c r="N630" t="s">
        <v>202</v>
      </c>
      <c r="O630">
        <v>2</v>
      </c>
      <c r="P630">
        <v>850</v>
      </c>
      <c r="Q630">
        <v>0</v>
      </c>
      <c r="R630">
        <v>410</v>
      </c>
      <c r="S630" t="s">
        <v>105</v>
      </c>
      <c r="T630" t="s">
        <v>30</v>
      </c>
      <c r="U630">
        <v>2</v>
      </c>
      <c r="V630" t="s">
        <v>40</v>
      </c>
      <c r="W630">
        <f>excelsalesdata[[#This Row],[Quantity]]*excelsalesdata[[#This Row],[Unit_Price]]</f>
        <v>1700</v>
      </c>
      <c r="X630">
        <f>excelsalesdata[[#This Row],[Gross_sales]]*excelsalesdata[[#This Row],[Discount_%]]</f>
        <v>0</v>
      </c>
      <c r="Y630">
        <f>excelsalesdata[[#This Row],[Gross_sales]]-excelsalesdata[[#This Row],[Discount_amt]]</f>
        <v>1700</v>
      </c>
      <c r="Z630" s="4">
        <f>excelsalesdata[[#This Row],[Net_sales]]-excelsalesdata[[#This Row],[Cost]]</f>
        <v>1290</v>
      </c>
      <c r="AA630" s="5">
        <f>excelsalesdata[[#This Row],[Profit]]/excelsalesdata[[#This Row],[Net_sales]]</f>
        <v>0.75882352941176467</v>
      </c>
      <c r="AB630" s="4">
        <f>YEAR(excelsalesdata[[#This Row],[Order_Date]])</f>
        <v>2027</v>
      </c>
      <c r="AC630" s="4" t="str">
        <f>TEXT(excelsalesdata[[#This Row],[Order_Date]],"mmm")</f>
        <v>Jan</v>
      </c>
      <c r="AD630" s="4" t="str">
        <f>"Q"&amp;ROUNDUP(MONTH(excelsalesdata[[#This Row],[Order_Date]])/3,0)</f>
        <v>Q1</v>
      </c>
    </row>
    <row r="631" spans="1:30" x14ac:dyDescent="0.35">
      <c r="A631" t="s">
        <v>1312</v>
      </c>
      <c r="B631" s="3">
        <v>46389</v>
      </c>
      <c r="C631" t="s">
        <v>724</v>
      </c>
      <c r="D631" t="s">
        <v>566</v>
      </c>
      <c r="E631" t="str">
        <f>TRIM(excelsalesdata[[#This Row],[Customer_Name]])</f>
        <v>Sneha Reddy</v>
      </c>
      <c r="F631" t="s">
        <v>44</v>
      </c>
      <c r="G631">
        <v>53</v>
      </c>
      <c r="H631" t="s">
        <v>190</v>
      </c>
      <c r="I631" t="str">
        <f>TRIM(excelsalesdata[[#This Row],[City]])</f>
        <v>Ahmedabad</v>
      </c>
      <c r="J631" t="s">
        <v>191</v>
      </c>
      <c r="K631" t="s">
        <v>26</v>
      </c>
      <c r="L631" t="s">
        <v>54</v>
      </c>
      <c r="M631" t="s">
        <v>62</v>
      </c>
      <c r="N631" t="s">
        <v>62</v>
      </c>
      <c r="O631">
        <v>1</v>
      </c>
      <c r="P631">
        <v>23310</v>
      </c>
      <c r="Q631">
        <v>0</v>
      </c>
      <c r="R631">
        <v>15830</v>
      </c>
      <c r="S631" t="s">
        <v>29</v>
      </c>
      <c r="T631" t="s">
        <v>30</v>
      </c>
      <c r="U631">
        <v>3</v>
      </c>
      <c r="V631" t="s">
        <v>40</v>
      </c>
      <c r="W631">
        <f>excelsalesdata[[#This Row],[Quantity]]*excelsalesdata[[#This Row],[Unit_Price]]</f>
        <v>23310</v>
      </c>
      <c r="X631">
        <f>excelsalesdata[[#This Row],[Gross_sales]]*excelsalesdata[[#This Row],[Discount_%]]</f>
        <v>0</v>
      </c>
      <c r="Y631">
        <f>excelsalesdata[[#This Row],[Gross_sales]]-excelsalesdata[[#This Row],[Discount_amt]]</f>
        <v>23310</v>
      </c>
      <c r="Z631" s="4">
        <f>excelsalesdata[[#This Row],[Net_sales]]-excelsalesdata[[#This Row],[Cost]]</f>
        <v>7480</v>
      </c>
      <c r="AA631" s="5">
        <f>excelsalesdata[[#This Row],[Profit]]/excelsalesdata[[#This Row],[Net_sales]]</f>
        <v>0.32089232089232089</v>
      </c>
      <c r="AB631" s="4">
        <f>YEAR(excelsalesdata[[#This Row],[Order_Date]])</f>
        <v>2027</v>
      </c>
      <c r="AC631" s="4" t="str">
        <f>TEXT(excelsalesdata[[#This Row],[Order_Date]],"mmm")</f>
        <v>Jan</v>
      </c>
      <c r="AD631" s="4" t="str">
        <f>"Q"&amp;ROUNDUP(MONTH(excelsalesdata[[#This Row],[Order_Date]])/3,0)</f>
        <v>Q1</v>
      </c>
    </row>
    <row r="632" spans="1:30" x14ac:dyDescent="0.35">
      <c r="A632" t="s">
        <v>1313</v>
      </c>
      <c r="B632" s="3">
        <v>46390</v>
      </c>
      <c r="C632" t="s">
        <v>1314</v>
      </c>
      <c r="D632" t="s">
        <v>1011</v>
      </c>
      <c r="E632" t="str">
        <f>TRIM(excelsalesdata[[#This Row],[Customer_Name]])</f>
        <v>Vivaan Rao</v>
      </c>
      <c r="F632" t="s">
        <v>44</v>
      </c>
      <c r="G632">
        <v>44</v>
      </c>
      <c r="H632" t="s">
        <v>155</v>
      </c>
      <c r="I632" t="str">
        <f>TRIM(excelsalesdata[[#This Row],[City]])</f>
        <v>Chennai</v>
      </c>
      <c r="J632" t="s">
        <v>156</v>
      </c>
      <c r="K632" t="s">
        <v>47</v>
      </c>
      <c r="L632" t="s">
        <v>38</v>
      </c>
      <c r="M632" t="s">
        <v>73</v>
      </c>
      <c r="N632" t="s">
        <v>73</v>
      </c>
      <c r="O632">
        <v>1</v>
      </c>
      <c r="P632">
        <v>5120</v>
      </c>
      <c r="Q632">
        <v>0.1</v>
      </c>
      <c r="R632">
        <v>3100</v>
      </c>
      <c r="S632" t="s">
        <v>105</v>
      </c>
      <c r="T632" t="s">
        <v>30</v>
      </c>
      <c r="U632">
        <v>6</v>
      </c>
      <c r="V632" t="s">
        <v>40</v>
      </c>
      <c r="W632">
        <f>excelsalesdata[[#This Row],[Quantity]]*excelsalesdata[[#This Row],[Unit_Price]]</f>
        <v>5120</v>
      </c>
      <c r="X632">
        <f>excelsalesdata[[#This Row],[Gross_sales]]*excelsalesdata[[#This Row],[Discount_%]]</f>
        <v>512</v>
      </c>
      <c r="Y632">
        <f>excelsalesdata[[#This Row],[Gross_sales]]-excelsalesdata[[#This Row],[Discount_amt]]</f>
        <v>4608</v>
      </c>
      <c r="Z632" s="4">
        <f>excelsalesdata[[#This Row],[Net_sales]]-excelsalesdata[[#This Row],[Cost]]</f>
        <v>1508</v>
      </c>
      <c r="AA632" s="5">
        <f>excelsalesdata[[#This Row],[Profit]]/excelsalesdata[[#This Row],[Net_sales]]</f>
        <v>0.32725694444444442</v>
      </c>
      <c r="AB632" s="4">
        <f>YEAR(excelsalesdata[[#This Row],[Order_Date]])</f>
        <v>2027</v>
      </c>
      <c r="AC632" s="4" t="str">
        <f>TEXT(excelsalesdata[[#This Row],[Order_Date]],"mmm")</f>
        <v>Jan</v>
      </c>
      <c r="AD632" s="4" t="str">
        <f>"Q"&amp;ROUNDUP(MONTH(excelsalesdata[[#This Row],[Order_Date]])/3,0)</f>
        <v>Q1</v>
      </c>
    </row>
    <row r="633" spans="1:30" x14ac:dyDescent="0.35">
      <c r="A633" t="s">
        <v>1315</v>
      </c>
      <c r="B633" s="3">
        <v>46391</v>
      </c>
      <c r="C633" t="s">
        <v>384</v>
      </c>
      <c r="D633" t="s">
        <v>154</v>
      </c>
      <c r="E633" t="str">
        <f>TRIM(excelsalesdata[[#This Row],[Customer_Name]])</f>
        <v>Rohan Rao</v>
      </c>
      <c r="F633" t="s">
        <v>23</v>
      </c>
      <c r="G633">
        <v>30</v>
      </c>
      <c r="H633" t="s">
        <v>133</v>
      </c>
      <c r="I633" t="str">
        <f>TRIM(excelsalesdata[[#This Row],[City]])</f>
        <v>Jaipur</v>
      </c>
      <c r="J633" t="s">
        <v>134</v>
      </c>
      <c r="K633" t="s">
        <v>61</v>
      </c>
      <c r="L633" t="s">
        <v>85</v>
      </c>
      <c r="M633" t="s">
        <v>251</v>
      </c>
      <c r="N633" t="s">
        <v>251</v>
      </c>
      <c r="O633">
        <v>1</v>
      </c>
      <c r="P633">
        <v>3380</v>
      </c>
      <c r="Q633">
        <v>0.05</v>
      </c>
      <c r="R633">
        <v>1950</v>
      </c>
      <c r="S633" t="s">
        <v>105</v>
      </c>
      <c r="T633" t="s">
        <v>30</v>
      </c>
      <c r="U633">
        <v>4</v>
      </c>
      <c r="V633" t="s">
        <v>40</v>
      </c>
      <c r="W633">
        <f>excelsalesdata[[#This Row],[Quantity]]*excelsalesdata[[#This Row],[Unit_Price]]</f>
        <v>3380</v>
      </c>
      <c r="X633">
        <f>excelsalesdata[[#This Row],[Gross_sales]]*excelsalesdata[[#This Row],[Discount_%]]</f>
        <v>169</v>
      </c>
      <c r="Y633">
        <f>excelsalesdata[[#This Row],[Gross_sales]]-excelsalesdata[[#This Row],[Discount_amt]]</f>
        <v>3211</v>
      </c>
      <c r="Z633" s="4">
        <f>excelsalesdata[[#This Row],[Net_sales]]-excelsalesdata[[#This Row],[Cost]]</f>
        <v>1261</v>
      </c>
      <c r="AA633" s="5">
        <f>excelsalesdata[[#This Row],[Profit]]/excelsalesdata[[#This Row],[Net_sales]]</f>
        <v>0.39271255060728744</v>
      </c>
      <c r="AB633" s="4">
        <f>YEAR(excelsalesdata[[#This Row],[Order_Date]])</f>
        <v>2027</v>
      </c>
      <c r="AC633" s="4" t="str">
        <f>TEXT(excelsalesdata[[#This Row],[Order_Date]],"mmm")</f>
        <v>Jan</v>
      </c>
      <c r="AD633" s="4" t="str">
        <f>"Q"&amp;ROUNDUP(MONTH(excelsalesdata[[#This Row],[Order_Date]])/3,0)</f>
        <v>Q1</v>
      </c>
    </row>
    <row r="634" spans="1:30" x14ac:dyDescent="0.35">
      <c r="A634" t="s">
        <v>1316</v>
      </c>
      <c r="B634" s="3">
        <v>46392</v>
      </c>
      <c r="C634" t="s">
        <v>1317</v>
      </c>
      <c r="D634" t="s">
        <v>891</v>
      </c>
      <c r="E634" t="str">
        <f>TRIM(excelsalesdata[[#This Row],[Customer_Name]])</f>
        <v>Rahul Verma</v>
      </c>
      <c r="F634" t="s">
        <v>44</v>
      </c>
      <c r="G634">
        <v>33</v>
      </c>
      <c r="H634" t="s">
        <v>114</v>
      </c>
      <c r="I634" t="str">
        <f>TRIM(excelsalesdata[[#This Row],[City]])</f>
        <v>Hyderabad</v>
      </c>
      <c r="J634" t="s">
        <v>115</v>
      </c>
      <c r="K634" t="s">
        <v>47</v>
      </c>
      <c r="L634" t="s">
        <v>54</v>
      </c>
      <c r="M634" t="s">
        <v>129</v>
      </c>
      <c r="N634" t="s">
        <v>129</v>
      </c>
      <c r="O634">
        <v>1</v>
      </c>
      <c r="P634">
        <v>16720</v>
      </c>
      <c r="Q634">
        <v>0</v>
      </c>
      <c r="R634">
        <v>13010</v>
      </c>
      <c r="S634" t="s">
        <v>151</v>
      </c>
      <c r="T634" t="s">
        <v>30</v>
      </c>
      <c r="U634">
        <v>4</v>
      </c>
      <c r="V634" t="s">
        <v>31</v>
      </c>
      <c r="W634">
        <f>excelsalesdata[[#This Row],[Quantity]]*excelsalesdata[[#This Row],[Unit_Price]]</f>
        <v>16720</v>
      </c>
      <c r="X634">
        <f>excelsalesdata[[#This Row],[Gross_sales]]*excelsalesdata[[#This Row],[Discount_%]]</f>
        <v>0</v>
      </c>
      <c r="Y634">
        <f>excelsalesdata[[#This Row],[Gross_sales]]-excelsalesdata[[#This Row],[Discount_amt]]</f>
        <v>16720</v>
      </c>
      <c r="Z634" s="4">
        <f>excelsalesdata[[#This Row],[Net_sales]]-excelsalesdata[[#This Row],[Cost]]</f>
        <v>3710</v>
      </c>
      <c r="AA634" s="5">
        <f>excelsalesdata[[#This Row],[Profit]]/excelsalesdata[[#This Row],[Net_sales]]</f>
        <v>0.22188995215311005</v>
      </c>
      <c r="AB634" s="4">
        <f>YEAR(excelsalesdata[[#This Row],[Order_Date]])</f>
        <v>2027</v>
      </c>
      <c r="AC634" s="4" t="str">
        <f>TEXT(excelsalesdata[[#This Row],[Order_Date]],"mmm")</f>
        <v>Jan</v>
      </c>
      <c r="AD634" s="4" t="str">
        <f>"Q"&amp;ROUNDUP(MONTH(excelsalesdata[[#This Row],[Order_Date]])/3,0)</f>
        <v>Q1</v>
      </c>
    </row>
    <row r="635" spans="1:30" x14ac:dyDescent="0.35">
      <c r="A635" t="s">
        <v>1318</v>
      </c>
      <c r="B635" s="3">
        <v>46393</v>
      </c>
      <c r="C635" t="s">
        <v>83</v>
      </c>
      <c r="D635" t="s">
        <v>650</v>
      </c>
      <c r="E635" t="str">
        <f>TRIM(excelsalesdata[[#This Row],[Customer_Name]])</f>
        <v>Sneha Shah</v>
      </c>
      <c r="F635" t="s">
        <v>44</v>
      </c>
      <c r="G635">
        <v>26</v>
      </c>
      <c r="H635" t="s">
        <v>190</v>
      </c>
      <c r="I635" t="str">
        <f>TRIM(excelsalesdata[[#This Row],[City]])</f>
        <v>Ahmedabad</v>
      </c>
      <c r="J635" t="s">
        <v>191</v>
      </c>
      <c r="K635" t="s">
        <v>26</v>
      </c>
      <c r="L635" t="s">
        <v>85</v>
      </c>
      <c r="M635" t="s">
        <v>86</v>
      </c>
      <c r="N635" t="s">
        <v>86</v>
      </c>
      <c r="O635">
        <v>1</v>
      </c>
      <c r="P635">
        <v>2350</v>
      </c>
      <c r="Q635">
        <v>0.15</v>
      </c>
      <c r="R635">
        <v>1430</v>
      </c>
      <c r="S635" t="s">
        <v>67</v>
      </c>
      <c r="T635" t="s">
        <v>30</v>
      </c>
      <c r="U635">
        <v>5</v>
      </c>
      <c r="V635" t="s">
        <v>40</v>
      </c>
      <c r="W635">
        <f>excelsalesdata[[#This Row],[Quantity]]*excelsalesdata[[#This Row],[Unit_Price]]</f>
        <v>2350</v>
      </c>
      <c r="X635">
        <f>excelsalesdata[[#This Row],[Gross_sales]]*excelsalesdata[[#This Row],[Discount_%]]</f>
        <v>352.5</v>
      </c>
      <c r="Y635">
        <f>excelsalesdata[[#This Row],[Gross_sales]]-excelsalesdata[[#This Row],[Discount_amt]]</f>
        <v>1997.5</v>
      </c>
      <c r="Z635" s="4">
        <f>excelsalesdata[[#This Row],[Net_sales]]-excelsalesdata[[#This Row],[Cost]]</f>
        <v>567.5</v>
      </c>
      <c r="AA635" s="5">
        <f>excelsalesdata[[#This Row],[Profit]]/excelsalesdata[[#This Row],[Net_sales]]</f>
        <v>0.28410513141426785</v>
      </c>
      <c r="AB635" s="4">
        <f>YEAR(excelsalesdata[[#This Row],[Order_Date]])</f>
        <v>2027</v>
      </c>
      <c r="AC635" s="4" t="str">
        <f>TEXT(excelsalesdata[[#This Row],[Order_Date]],"mmm")</f>
        <v>Jan</v>
      </c>
      <c r="AD635" s="4" t="str">
        <f>"Q"&amp;ROUNDUP(MONTH(excelsalesdata[[#This Row],[Order_Date]])/3,0)</f>
        <v>Q1</v>
      </c>
    </row>
    <row r="636" spans="1:30" x14ac:dyDescent="0.35">
      <c r="A636" t="s">
        <v>1319</v>
      </c>
      <c r="B636" s="3">
        <v>46394</v>
      </c>
      <c r="C636" t="s">
        <v>1320</v>
      </c>
      <c r="D636" t="s">
        <v>258</v>
      </c>
      <c r="E636" t="str">
        <f>TRIM(excelsalesdata[[#This Row],[Customer_Name]])</f>
        <v>Sneha Sharma</v>
      </c>
      <c r="F636" t="s">
        <v>44</v>
      </c>
      <c r="G636">
        <v>51</v>
      </c>
      <c r="H636" t="s">
        <v>155</v>
      </c>
      <c r="I636" t="str">
        <f>TRIM(excelsalesdata[[#This Row],[City]])</f>
        <v>Chennai</v>
      </c>
      <c r="J636" t="s">
        <v>156</v>
      </c>
      <c r="K636" t="s">
        <v>47</v>
      </c>
      <c r="L636" t="s">
        <v>38</v>
      </c>
      <c r="M636" t="s">
        <v>39</v>
      </c>
      <c r="N636" t="s">
        <v>39</v>
      </c>
      <c r="O636">
        <v>1</v>
      </c>
      <c r="P636">
        <v>6310</v>
      </c>
      <c r="Q636">
        <v>0.1</v>
      </c>
      <c r="R636">
        <v>4120</v>
      </c>
      <c r="S636" t="s">
        <v>29</v>
      </c>
      <c r="T636" t="s">
        <v>99</v>
      </c>
      <c r="U636">
        <v>2</v>
      </c>
      <c r="V636" t="s">
        <v>40</v>
      </c>
      <c r="W636">
        <f>excelsalesdata[[#This Row],[Quantity]]*excelsalesdata[[#This Row],[Unit_Price]]</f>
        <v>6310</v>
      </c>
      <c r="X636">
        <f>excelsalesdata[[#This Row],[Gross_sales]]*excelsalesdata[[#This Row],[Discount_%]]</f>
        <v>631</v>
      </c>
      <c r="Y636">
        <f>excelsalesdata[[#This Row],[Gross_sales]]-excelsalesdata[[#This Row],[Discount_amt]]</f>
        <v>5679</v>
      </c>
      <c r="Z636" s="4">
        <f>excelsalesdata[[#This Row],[Net_sales]]-excelsalesdata[[#This Row],[Cost]]</f>
        <v>1559</v>
      </c>
      <c r="AA636" s="5">
        <f>excelsalesdata[[#This Row],[Profit]]/excelsalesdata[[#This Row],[Net_sales]]</f>
        <v>0.27452016200035217</v>
      </c>
      <c r="AB636" s="4">
        <f>YEAR(excelsalesdata[[#This Row],[Order_Date]])</f>
        <v>2027</v>
      </c>
      <c r="AC636" s="4" t="str">
        <f>TEXT(excelsalesdata[[#This Row],[Order_Date]],"mmm")</f>
        <v>Jan</v>
      </c>
      <c r="AD636" s="4" t="str">
        <f>"Q"&amp;ROUNDUP(MONTH(excelsalesdata[[#This Row],[Order_Date]])/3,0)</f>
        <v>Q1</v>
      </c>
    </row>
    <row r="637" spans="1:30" x14ac:dyDescent="0.35">
      <c r="A637" t="s">
        <v>1321</v>
      </c>
      <c r="B637" s="3">
        <v>46395</v>
      </c>
      <c r="C637" t="s">
        <v>218</v>
      </c>
      <c r="D637" t="s">
        <v>713</v>
      </c>
      <c r="E637" t="str">
        <f>TRIM(excelsalesdata[[#This Row],[Customer_Name]])</f>
        <v>Meera Singh</v>
      </c>
      <c r="F637" t="s">
        <v>23</v>
      </c>
      <c r="G637">
        <v>39</v>
      </c>
      <c r="H637" t="s">
        <v>190</v>
      </c>
      <c r="I637" t="str">
        <f>TRIM(excelsalesdata[[#This Row],[City]])</f>
        <v>Ahmedabad</v>
      </c>
      <c r="J637" t="s">
        <v>191</v>
      </c>
      <c r="K637" t="s">
        <v>26</v>
      </c>
      <c r="L637" t="s">
        <v>38</v>
      </c>
      <c r="M637" t="s">
        <v>255</v>
      </c>
      <c r="N637" t="s">
        <v>255</v>
      </c>
      <c r="O637">
        <v>3</v>
      </c>
      <c r="P637">
        <v>4470</v>
      </c>
      <c r="Q637">
        <v>0.2</v>
      </c>
      <c r="R637">
        <v>2770</v>
      </c>
      <c r="S637" t="s">
        <v>29</v>
      </c>
      <c r="T637" t="s">
        <v>30</v>
      </c>
      <c r="U637">
        <v>3</v>
      </c>
      <c r="V637" t="s">
        <v>40</v>
      </c>
      <c r="W637">
        <f>excelsalesdata[[#This Row],[Quantity]]*excelsalesdata[[#This Row],[Unit_Price]]</f>
        <v>13410</v>
      </c>
      <c r="X637">
        <f>excelsalesdata[[#This Row],[Gross_sales]]*excelsalesdata[[#This Row],[Discount_%]]</f>
        <v>2682</v>
      </c>
      <c r="Y637">
        <f>excelsalesdata[[#This Row],[Gross_sales]]-excelsalesdata[[#This Row],[Discount_amt]]</f>
        <v>10728</v>
      </c>
      <c r="Z637" s="4">
        <f>excelsalesdata[[#This Row],[Net_sales]]-excelsalesdata[[#This Row],[Cost]]</f>
        <v>7958</v>
      </c>
      <c r="AA637" s="5">
        <f>excelsalesdata[[#This Row],[Profit]]/excelsalesdata[[#This Row],[Net_sales]]</f>
        <v>0.74179716629381054</v>
      </c>
      <c r="AB637" s="4">
        <f>YEAR(excelsalesdata[[#This Row],[Order_Date]])</f>
        <v>2027</v>
      </c>
      <c r="AC637" s="4" t="str">
        <f>TEXT(excelsalesdata[[#This Row],[Order_Date]],"mmm")</f>
        <v>Jan</v>
      </c>
      <c r="AD637" s="4" t="str">
        <f>"Q"&amp;ROUNDUP(MONTH(excelsalesdata[[#This Row],[Order_Date]])/3,0)</f>
        <v>Q1</v>
      </c>
    </row>
    <row r="638" spans="1:30" x14ac:dyDescent="0.35">
      <c r="A638" t="s">
        <v>1322</v>
      </c>
      <c r="B638" s="3">
        <v>46396</v>
      </c>
      <c r="C638" t="s">
        <v>1323</v>
      </c>
      <c r="D638" t="s">
        <v>849</v>
      </c>
      <c r="E638" t="str">
        <f>TRIM(excelsalesdata[[#This Row],[Customer_Name]])</f>
        <v>Rohan Nair</v>
      </c>
      <c r="F638" t="s">
        <v>44</v>
      </c>
      <c r="G638">
        <v>29</v>
      </c>
      <c r="H638" t="s">
        <v>71</v>
      </c>
      <c r="I638" t="str">
        <f>TRIM(excelsalesdata[[#This Row],[City]])</f>
        <v>Bhubaneswar</v>
      </c>
      <c r="J638" t="s">
        <v>72</v>
      </c>
      <c r="K638" t="s">
        <v>37</v>
      </c>
      <c r="L638" t="s">
        <v>103</v>
      </c>
      <c r="M638" t="s">
        <v>347</v>
      </c>
      <c r="N638" t="s">
        <v>347</v>
      </c>
      <c r="O638">
        <v>1</v>
      </c>
      <c r="P638">
        <v>12070</v>
      </c>
      <c r="Q638">
        <v>0</v>
      </c>
      <c r="R638">
        <v>8150</v>
      </c>
      <c r="S638" t="s">
        <v>151</v>
      </c>
      <c r="T638" t="s">
        <v>30</v>
      </c>
      <c r="U638">
        <v>4</v>
      </c>
      <c r="V638" t="s">
        <v>31</v>
      </c>
      <c r="W638">
        <f>excelsalesdata[[#This Row],[Quantity]]*excelsalesdata[[#This Row],[Unit_Price]]</f>
        <v>12070</v>
      </c>
      <c r="X638">
        <f>excelsalesdata[[#This Row],[Gross_sales]]*excelsalesdata[[#This Row],[Discount_%]]</f>
        <v>0</v>
      </c>
      <c r="Y638">
        <f>excelsalesdata[[#This Row],[Gross_sales]]-excelsalesdata[[#This Row],[Discount_amt]]</f>
        <v>12070</v>
      </c>
      <c r="Z638" s="4">
        <f>excelsalesdata[[#This Row],[Net_sales]]-excelsalesdata[[#This Row],[Cost]]</f>
        <v>3920</v>
      </c>
      <c r="AA638" s="5">
        <f>excelsalesdata[[#This Row],[Profit]]/excelsalesdata[[#This Row],[Net_sales]]</f>
        <v>0.3247721623860812</v>
      </c>
      <c r="AB638" s="4">
        <f>YEAR(excelsalesdata[[#This Row],[Order_Date]])</f>
        <v>2027</v>
      </c>
      <c r="AC638" s="4" t="str">
        <f>TEXT(excelsalesdata[[#This Row],[Order_Date]],"mmm")</f>
        <v>Jan</v>
      </c>
      <c r="AD638" s="4" t="str">
        <f>"Q"&amp;ROUNDUP(MONTH(excelsalesdata[[#This Row],[Order_Date]])/3,0)</f>
        <v>Q1</v>
      </c>
    </row>
    <row r="639" spans="1:30" x14ac:dyDescent="0.35">
      <c r="A639" t="s">
        <v>1324</v>
      </c>
      <c r="B639" s="3">
        <v>46397</v>
      </c>
      <c r="C639" t="s">
        <v>1263</v>
      </c>
      <c r="D639" t="s">
        <v>655</v>
      </c>
      <c r="E639" t="str">
        <f>TRIM(excelsalesdata[[#This Row],[Customer_Name]])</f>
        <v>Arjun Naidu</v>
      </c>
      <c r="F639" t="s">
        <v>44</v>
      </c>
      <c r="G639">
        <v>45</v>
      </c>
      <c r="H639" t="s">
        <v>35</v>
      </c>
      <c r="I639" t="str">
        <f>TRIM(excelsalesdata[[#This Row],[City]])</f>
        <v>Kolkata</v>
      </c>
      <c r="J639" t="s">
        <v>36</v>
      </c>
      <c r="K639" t="s">
        <v>37</v>
      </c>
      <c r="L639" t="s">
        <v>38</v>
      </c>
      <c r="M639" t="s">
        <v>255</v>
      </c>
      <c r="N639" t="s">
        <v>255</v>
      </c>
      <c r="O639">
        <v>2</v>
      </c>
      <c r="P639">
        <v>4770</v>
      </c>
      <c r="Q639">
        <v>0.1</v>
      </c>
      <c r="R639">
        <v>2950</v>
      </c>
      <c r="S639" t="s">
        <v>151</v>
      </c>
      <c r="T639" t="s">
        <v>30</v>
      </c>
      <c r="U639">
        <v>3</v>
      </c>
      <c r="V639" t="s">
        <v>31</v>
      </c>
      <c r="W639">
        <f>excelsalesdata[[#This Row],[Quantity]]*excelsalesdata[[#This Row],[Unit_Price]]</f>
        <v>9540</v>
      </c>
      <c r="X639">
        <f>excelsalesdata[[#This Row],[Gross_sales]]*excelsalesdata[[#This Row],[Discount_%]]</f>
        <v>954</v>
      </c>
      <c r="Y639">
        <f>excelsalesdata[[#This Row],[Gross_sales]]-excelsalesdata[[#This Row],[Discount_amt]]</f>
        <v>8586</v>
      </c>
      <c r="Z639" s="4">
        <f>excelsalesdata[[#This Row],[Net_sales]]-excelsalesdata[[#This Row],[Cost]]</f>
        <v>5636</v>
      </c>
      <c r="AA639" s="5">
        <f>excelsalesdata[[#This Row],[Profit]]/excelsalesdata[[#This Row],[Net_sales]]</f>
        <v>0.65641742371302114</v>
      </c>
      <c r="AB639" s="4">
        <f>YEAR(excelsalesdata[[#This Row],[Order_Date]])</f>
        <v>2027</v>
      </c>
      <c r="AC639" s="4" t="str">
        <f>TEXT(excelsalesdata[[#This Row],[Order_Date]],"mmm")</f>
        <v>Jan</v>
      </c>
      <c r="AD639" s="4" t="str">
        <f>"Q"&amp;ROUNDUP(MONTH(excelsalesdata[[#This Row],[Order_Date]])/3,0)</f>
        <v>Q1</v>
      </c>
    </row>
    <row r="640" spans="1:30" x14ac:dyDescent="0.35">
      <c r="A640" t="s">
        <v>1325</v>
      </c>
      <c r="B640" s="3">
        <v>46398</v>
      </c>
      <c r="C640" t="s">
        <v>657</v>
      </c>
      <c r="D640" t="s">
        <v>867</v>
      </c>
      <c r="E640" t="str">
        <f>TRIM(excelsalesdata[[#This Row],[Customer_Name]])</f>
        <v>Sneha Nair</v>
      </c>
      <c r="F640" t="s">
        <v>44</v>
      </c>
      <c r="G640">
        <v>29</v>
      </c>
      <c r="H640" t="s">
        <v>35</v>
      </c>
      <c r="I640" t="str">
        <f>TRIM(excelsalesdata[[#This Row],[City]])</f>
        <v>Kolkata</v>
      </c>
      <c r="J640" t="s">
        <v>36</v>
      </c>
      <c r="K640" t="s">
        <v>37</v>
      </c>
      <c r="L640" t="s">
        <v>54</v>
      </c>
      <c r="M640" t="s">
        <v>62</v>
      </c>
      <c r="N640" t="s">
        <v>62</v>
      </c>
      <c r="O640">
        <v>1</v>
      </c>
      <c r="P640">
        <v>22520</v>
      </c>
      <c r="Q640">
        <v>0.1</v>
      </c>
      <c r="R640">
        <v>15350</v>
      </c>
      <c r="S640" t="s">
        <v>105</v>
      </c>
      <c r="T640" t="s">
        <v>30</v>
      </c>
      <c r="U640">
        <v>4</v>
      </c>
      <c r="V640" t="s">
        <v>31</v>
      </c>
      <c r="W640">
        <f>excelsalesdata[[#This Row],[Quantity]]*excelsalesdata[[#This Row],[Unit_Price]]</f>
        <v>22520</v>
      </c>
      <c r="X640">
        <f>excelsalesdata[[#This Row],[Gross_sales]]*excelsalesdata[[#This Row],[Discount_%]]</f>
        <v>2252</v>
      </c>
      <c r="Y640">
        <f>excelsalesdata[[#This Row],[Gross_sales]]-excelsalesdata[[#This Row],[Discount_amt]]</f>
        <v>20268</v>
      </c>
      <c r="Z640" s="4">
        <f>excelsalesdata[[#This Row],[Net_sales]]-excelsalesdata[[#This Row],[Cost]]</f>
        <v>4918</v>
      </c>
      <c r="AA640" s="5">
        <f>excelsalesdata[[#This Row],[Profit]]/excelsalesdata[[#This Row],[Net_sales]]</f>
        <v>0.24264850996644957</v>
      </c>
      <c r="AB640" s="4">
        <f>YEAR(excelsalesdata[[#This Row],[Order_Date]])</f>
        <v>2027</v>
      </c>
      <c r="AC640" s="4" t="str">
        <f>TEXT(excelsalesdata[[#This Row],[Order_Date]],"mmm")</f>
        <v>Jan</v>
      </c>
      <c r="AD640" s="4" t="str">
        <f>"Q"&amp;ROUNDUP(MONTH(excelsalesdata[[#This Row],[Order_Date]])/3,0)</f>
        <v>Q1</v>
      </c>
    </row>
    <row r="641" spans="1:30" x14ac:dyDescent="0.35">
      <c r="A641" t="s">
        <v>1326</v>
      </c>
      <c r="B641" s="3">
        <v>46399</v>
      </c>
      <c r="C641" t="s">
        <v>422</v>
      </c>
      <c r="D641" t="s">
        <v>655</v>
      </c>
      <c r="E641" t="str">
        <f>TRIM(excelsalesdata[[#This Row],[Customer_Name]])</f>
        <v>Arjun Naidu</v>
      </c>
      <c r="F641" t="s">
        <v>44</v>
      </c>
      <c r="G641">
        <v>26</v>
      </c>
      <c r="H641" t="s">
        <v>45</v>
      </c>
      <c r="I641" t="str">
        <f>TRIM(excelsalesdata[[#This Row],[City]])</f>
        <v>Kochi</v>
      </c>
      <c r="J641" t="s">
        <v>46</v>
      </c>
      <c r="K641" t="s">
        <v>47</v>
      </c>
      <c r="L641" t="s">
        <v>93</v>
      </c>
      <c r="M641" t="s">
        <v>375</v>
      </c>
      <c r="N641" t="s">
        <v>375</v>
      </c>
      <c r="O641">
        <v>2</v>
      </c>
      <c r="P641">
        <v>2210</v>
      </c>
      <c r="Q641">
        <v>0.25</v>
      </c>
      <c r="R641">
        <v>1250</v>
      </c>
      <c r="S641" t="s">
        <v>80</v>
      </c>
      <c r="T641" t="s">
        <v>30</v>
      </c>
      <c r="U641">
        <v>3</v>
      </c>
      <c r="V641" t="s">
        <v>31</v>
      </c>
      <c r="W641">
        <f>excelsalesdata[[#This Row],[Quantity]]*excelsalesdata[[#This Row],[Unit_Price]]</f>
        <v>4420</v>
      </c>
      <c r="X641">
        <f>excelsalesdata[[#This Row],[Gross_sales]]*excelsalesdata[[#This Row],[Discount_%]]</f>
        <v>1105</v>
      </c>
      <c r="Y641">
        <f>excelsalesdata[[#This Row],[Gross_sales]]-excelsalesdata[[#This Row],[Discount_amt]]</f>
        <v>3315</v>
      </c>
      <c r="Z641" s="4">
        <f>excelsalesdata[[#This Row],[Net_sales]]-excelsalesdata[[#This Row],[Cost]]</f>
        <v>2065</v>
      </c>
      <c r="AA641" s="5">
        <f>excelsalesdata[[#This Row],[Profit]]/excelsalesdata[[#This Row],[Net_sales]]</f>
        <v>0.62292609351432882</v>
      </c>
      <c r="AB641" s="4">
        <f>YEAR(excelsalesdata[[#This Row],[Order_Date]])</f>
        <v>2027</v>
      </c>
      <c r="AC641" s="4" t="str">
        <f>TEXT(excelsalesdata[[#This Row],[Order_Date]],"mmm")</f>
        <v>Jan</v>
      </c>
      <c r="AD641" s="4" t="str">
        <f>"Q"&amp;ROUNDUP(MONTH(excelsalesdata[[#This Row],[Order_Date]])/3,0)</f>
        <v>Q1</v>
      </c>
    </row>
    <row r="642" spans="1:30" x14ac:dyDescent="0.35">
      <c r="A642" t="s">
        <v>1327</v>
      </c>
      <c r="B642" s="3">
        <v>46400</v>
      </c>
      <c r="C642" t="s">
        <v>1317</v>
      </c>
      <c r="D642" t="s">
        <v>619</v>
      </c>
      <c r="E642" t="str">
        <f>TRIM(excelsalesdata[[#This Row],[Customer_Name]])</f>
        <v>Aarav Naidu</v>
      </c>
      <c r="F642" t="s">
        <v>44</v>
      </c>
      <c r="G642">
        <v>20</v>
      </c>
      <c r="H642" t="s">
        <v>109</v>
      </c>
      <c r="I642" t="str">
        <f>TRIM(excelsalesdata[[#This Row],[City]])</f>
        <v>Mysuru</v>
      </c>
      <c r="J642" t="s">
        <v>53</v>
      </c>
      <c r="K642" t="s">
        <v>47</v>
      </c>
      <c r="L642" t="s">
        <v>54</v>
      </c>
      <c r="M642" t="s">
        <v>66</v>
      </c>
      <c r="N642" t="s">
        <v>66</v>
      </c>
      <c r="O642">
        <v>1</v>
      </c>
      <c r="P642">
        <v>2560</v>
      </c>
      <c r="Q642">
        <v>0.05</v>
      </c>
      <c r="R642">
        <v>1460</v>
      </c>
      <c r="S642" t="s">
        <v>29</v>
      </c>
      <c r="T642" t="s">
        <v>30</v>
      </c>
      <c r="U642">
        <v>2</v>
      </c>
      <c r="V642" t="s">
        <v>31</v>
      </c>
      <c r="W642">
        <f>excelsalesdata[[#This Row],[Quantity]]*excelsalesdata[[#This Row],[Unit_Price]]</f>
        <v>2560</v>
      </c>
      <c r="X642">
        <f>excelsalesdata[[#This Row],[Gross_sales]]*excelsalesdata[[#This Row],[Discount_%]]</f>
        <v>128</v>
      </c>
      <c r="Y642">
        <f>excelsalesdata[[#This Row],[Gross_sales]]-excelsalesdata[[#This Row],[Discount_amt]]</f>
        <v>2432</v>
      </c>
      <c r="Z642" s="4">
        <f>excelsalesdata[[#This Row],[Net_sales]]-excelsalesdata[[#This Row],[Cost]]</f>
        <v>972</v>
      </c>
      <c r="AA642" s="5">
        <f>excelsalesdata[[#This Row],[Profit]]/excelsalesdata[[#This Row],[Net_sales]]</f>
        <v>0.39967105263157893</v>
      </c>
      <c r="AB642" s="4">
        <f>YEAR(excelsalesdata[[#This Row],[Order_Date]])</f>
        <v>2027</v>
      </c>
      <c r="AC642" s="4" t="str">
        <f>TEXT(excelsalesdata[[#This Row],[Order_Date]],"mmm")</f>
        <v>Jan</v>
      </c>
      <c r="AD642" s="4" t="str">
        <f>"Q"&amp;ROUNDUP(MONTH(excelsalesdata[[#This Row],[Order_Date]])/3,0)</f>
        <v>Q1</v>
      </c>
    </row>
    <row r="643" spans="1:30" x14ac:dyDescent="0.35">
      <c r="A643" t="s">
        <v>1328</v>
      </c>
      <c r="B643" s="3">
        <v>46401</v>
      </c>
      <c r="C643" t="s">
        <v>1329</v>
      </c>
      <c r="D643" t="s">
        <v>382</v>
      </c>
      <c r="E643" t="str">
        <f>TRIM(excelsalesdata[[#This Row],[Customer_Name]])</f>
        <v>Rahul Sharma</v>
      </c>
      <c r="F643" t="s">
        <v>44</v>
      </c>
      <c r="G643">
        <v>51</v>
      </c>
      <c r="H643" t="s">
        <v>133</v>
      </c>
      <c r="I643" t="str">
        <f>TRIM(excelsalesdata[[#This Row],[City]])</f>
        <v>Jaipur</v>
      </c>
      <c r="J643" t="s">
        <v>134</v>
      </c>
      <c r="K643" t="s">
        <v>61</v>
      </c>
      <c r="L643" t="s">
        <v>103</v>
      </c>
      <c r="M643" t="s">
        <v>178</v>
      </c>
      <c r="N643" t="s">
        <v>178</v>
      </c>
      <c r="O643">
        <v>3</v>
      </c>
      <c r="P643">
        <v>1660</v>
      </c>
      <c r="Q643">
        <v>0.1</v>
      </c>
      <c r="R643">
        <v>990</v>
      </c>
      <c r="S643" t="s">
        <v>151</v>
      </c>
      <c r="T643" t="s">
        <v>30</v>
      </c>
      <c r="U643">
        <v>4</v>
      </c>
      <c r="V643" t="s">
        <v>40</v>
      </c>
      <c r="W643">
        <f>excelsalesdata[[#This Row],[Quantity]]*excelsalesdata[[#This Row],[Unit_Price]]</f>
        <v>4980</v>
      </c>
      <c r="X643">
        <f>excelsalesdata[[#This Row],[Gross_sales]]*excelsalesdata[[#This Row],[Discount_%]]</f>
        <v>498</v>
      </c>
      <c r="Y643">
        <f>excelsalesdata[[#This Row],[Gross_sales]]-excelsalesdata[[#This Row],[Discount_amt]]</f>
        <v>4482</v>
      </c>
      <c r="Z643" s="4">
        <f>excelsalesdata[[#This Row],[Net_sales]]-excelsalesdata[[#This Row],[Cost]]</f>
        <v>3492</v>
      </c>
      <c r="AA643" s="5">
        <f>excelsalesdata[[#This Row],[Profit]]/excelsalesdata[[#This Row],[Net_sales]]</f>
        <v>0.77911646586345384</v>
      </c>
      <c r="AB643" s="4">
        <f>YEAR(excelsalesdata[[#This Row],[Order_Date]])</f>
        <v>2027</v>
      </c>
      <c r="AC643" s="4" t="str">
        <f>TEXT(excelsalesdata[[#This Row],[Order_Date]],"mmm")</f>
        <v>Jan</v>
      </c>
      <c r="AD643" s="4" t="str">
        <f>"Q"&amp;ROUNDUP(MONTH(excelsalesdata[[#This Row],[Order_Date]])/3,0)</f>
        <v>Q1</v>
      </c>
    </row>
    <row r="644" spans="1:30" x14ac:dyDescent="0.35">
      <c r="A644" t="s">
        <v>1330</v>
      </c>
      <c r="B644" s="3">
        <v>46402</v>
      </c>
      <c r="C644" t="s">
        <v>748</v>
      </c>
      <c r="D644" t="s">
        <v>147</v>
      </c>
      <c r="E644" t="str">
        <f>TRIM(excelsalesdata[[#This Row],[Customer_Name]])</f>
        <v>Rohan Sharma</v>
      </c>
      <c r="F644" t="s">
        <v>23</v>
      </c>
      <c r="G644">
        <v>43</v>
      </c>
      <c r="H644" t="s">
        <v>45</v>
      </c>
      <c r="I644" t="str">
        <f>TRIM(excelsalesdata[[#This Row],[City]])</f>
        <v>Kochi</v>
      </c>
      <c r="J644" t="s">
        <v>46</v>
      </c>
      <c r="K644" t="s">
        <v>47</v>
      </c>
      <c r="L644" t="s">
        <v>93</v>
      </c>
      <c r="M644" t="s">
        <v>718</v>
      </c>
      <c r="N644" t="s">
        <v>718</v>
      </c>
      <c r="O644">
        <v>3</v>
      </c>
      <c r="P644">
        <v>1800</v>
      </c>
      <c r="Q644">
        <v>0.15</v>
      </c>
      <c r="R644">
        <v>860</v>
      </c>
      <c r="S644" t="s">
        <v>80</v>
      </c>
      <c r="T644" t="s">
        <v>30</v>
      </c>
      <c r="U644">
        <v>3</v>
      </c>
      <c r="V644" t="s">
        <v>31</v>
      </c>
      <c r="W644">
        <f>excelsalesdata[[#This Row],[Quantity]]*excelsalesdata[[#This Row],[Unit_Price]]</f>
        <v>5400</v>
      </c>
      <c r="X644">
        <f>excelsalesdata[[#This Row],[Gross_sales]]*excelsalesdata[[#This Row],[Discount_%]]</f>
        <v>810</v>
      </c>
      <c r="Y644">
        <f>excelsalesdata[[#This Row],[Gross_sales]]-excelsalesdata[[#This Row],[Discount_amt]]</f>
        <v>4590</v>
      </c>
      <c r="Z644" s="4">
        <f>excelsalesdata[[#This Row],[Net_sales]]-excelsalesdata[[#This Row],[Cost]]</f>
        <v>3730</v>
      </c>
      <c r="AA644" s="5">
        <f>excelsalesdata[[#This Row],[Profit]]/excelsalesdata[[#This Row],[Net_sales]]</f>
        <v>0.81263616557734208</v>
      </c>
      <c r="AB644" s="4">
        <f>YEAR(excelsalesdata[[#This Row],[Order_Date]])</f>
        <v>2027</v>
      </c>
      <c r="AC644" s="4" t="str">
        <f>TEXT(excelsalesdata[[#This Row],[Order_Date]],"mmm")</f>
        <v>Jan</v>
      </c>
      <c r="AD644" s="4" t="str">
        <f>"Q"&amp;ROUNDUP(MONTH(excelsalesdata[[#This Row],[Order_Date]])/3,0)</f>
        <v>Q1</v>
      </c>
    </row>
    <row r="645" spans="1:30" x14ac:dyDescent="0.35">
      <c r="A645" t="s">
        <v>1331</v>
      </c>
      <c r="B645" s="3">
        <v>46403</v>
      </c>
      <c r="C645" t="s">
        <v>370</v>
      </c>
      <c r="D645" t="s">
        <v>205</v>
      </c>
      <c r="E645" t="str">
        <f>TRIM(excelsalesdata[[#This Row],[Customer_Name]])</f>
        <v>Vivaan Bhat</v>
      </c>
      <c r="F645" t="s">
        <v>23</v>
      </c>
      <c r="G645">
        <v>36</v>
      </c>
      <c r="H645" t="s">
        <v>71</v>
      </c>
      <c r="I645" t="str">
        <f>TRIM(excelsalesdata[[#This Row],[City]])</f>
        <v>Bhubaneswar</v>
      </c>
      <c r="J645" t="s">
        <v>72</v>
      </c>
      <c r="K645" t="s">
        <v>37</v>
      </c>
      <c r="L645" t="s">
        <v>38</v>
      </c>
      <c r="M645" t="s">
        <v>161</v>
      </c>
      <c r="N645" t="s">
        <v>161</v>
      </c>
      <c r="O645">
        <v>3</v>
      </c>
      <c r="P645">
        <v>28050</v>
      </c>
      <c r="Q645">
        <v>0.15</v>
      </c>
      <c r="R645">
        <v>19680</v>
      </c>
      <c r="S645" t="s">
        <v>67</v>
      </c>
      <c r="T645" t="s">
        <v>30</v>
      </c>
      <c r="U645">
        <v>8</v>
      </c>
      <c r="V645" t="s">
        <v>31</v>
      </c>
      <c r="W645">
        <f>excelsalesdata[[#This Row],[Quantity]]*excelsalesdata[[#This Row],[Unit_Price]]</f>
        <v>84150</v>
      </c>
      <c r="X645">
        <f>excelsalesdata[[#This Row],[Gross_sales]]*excelsalesdata[[#This Row],[Discount_%]]</f>
        <v>12622.5</v>
      </c>
      <c r="Y645">
        <f>excelsalesdata[[#This Row],[Gross_sales]]-excelsalesdata[[#This Row],[Discount_amt]]</f>
        <v>71527.5</v>
      </c>
      <c r="Z645" s="4">
        <f>excelsalesdata[[#This Row],[Net_sales]]-excelsalesdata[[#This Row],[Cost]]</f>
        <v>51847.5</v>
      </c>
      <c r="AA645" s="5">
        <f>excelsalesdata[[#This Row],[Profit]]/excelsalesdata[[#This Row],[Net_sales]]</f>
        <v>0.72486106742162104</v>
      </c>
      <c r="AB645" s="4">
        <f>YEAR(excelsalesdata[[#This Row],[Order_Date]])</f>
        <v>2027</v>
      </c>
      <c r="AC645" s="4" t="str">
        <f>TEXT(excelsalesdata[[#This Row],[Order_Date]],"mmm")</f>
        <v>Jan</v>
      </c>
      <c r="AD645" s="4" t="str">
        <f>"Q"&amp;ROUNDUP(MONTH(excelsalesdata[[#This Row],[Order_Date]])/3,0)</f>
        <v>Q1</v>
      </c>
    </row>
    <row r="646" spans="1:30" x14ac:dyDescent="0.35">
      <c r="A646" t="s">
        <v>1332</v>
      </c>
      <c r="B646" s="3">
        <v>46404</v>
      </c>
      <c r="C646" t="s">
        <v>415</v>
      </c>
      <c r="D646" t="s">
        <v>502</v>
      </c>
      <c r="E646" t="str">
        <f>TRIM(excelsalesdata[[#This Row],[Customer_Name]])</f>
        <v>Diya Joshi</v>
      </c>
      <c r="F646" t="s">
        <v>44</v>
      </c>
      <c r="G646">
        <v>43</v>
      </c>
      <c r="H646" t="s">
        <v>24</v>
      </c>
      <c r="I646" t="str">
        <f>TRIM(excelsalesdata[[#This Row],[City]])</f>
        <v>Pune</v>
      </c>
      <c r="J646" t="s">
        <v>25</v>
      </c>
      <c r="K646" t="s">
        <v>26</v>
      </c>
      <c r="L646" t="s">
        <v>38</v>
      </c>
      <c r="M646" t="s">
        <v>119</v>
      </c>
      <c r="N646" t="s">
        <v>119</v>
      </c>
      <c r="O646">
        <v>1</v>
      </c>
      <c r="P646">
        <v>7870</v>
      </c>
      <c r="Q646">
        <v>0.1</v>
      </c>
      <c r="R646">
        <v>5480</v>
      </c>
      <c r="S646" t="s">
        <v>151</v>
      </c>
      <c r="T646" t="s">
        <v>30</v>
      </c>
      <c r="U646">
        <v>3</v>
      </c>
      <c r="V646" t="s">
        <v>40</v>
      </c>
      <c r="W646">
        <f>excelsalesdata[[#This Row],[Quantity]]*excelsalesdata[[#This Row],[Unit_Price]]</f>
        <v>7870</v>
      </c>
      <c r="X646">
        <f>excelsalesdata[[#This Row],[Gross_sales]]*excelsalesdata[[#This Row],[Discount_%]]</f>
        <v>787</v>
      </c>
      <c r="Y646">
        <f>excelsalesdata[[#This Row],[Gross_sales]]-excelsalesdata[[#This Row],[Discount_amt]]</f>
        <v>7083</v>
      </c>
      <c r="Z646" s="4">
        <f>excelsalesdata[[#This Row],[Net_sales]]-excelsalesdata[[#This Row],[Cost]]</f>
        <v>1603</v>
      </c>
      <c r="AA646" s="5">
        <f>excelsalesdata[[#This Row],[Profit]]/excelsalesdata[[#This Row],[Net_sales]]</f>
        <v>0.22631653254270789</v>
      </c>
      <c r="AB646" s="4">
        <f>YEAR(excelsalesdata[[#This Row],[Order_Date]])</f>
        <v>2027</v>
      </c>
      <c r="AC646" s="4" t="str">
        <f>TEXT(excelsalesdata[[#This Row],[Order_Date]],"mmm")</f>
        <v>Jan</v>
      </c>
      <c r="AD646" s="4" t="str">
        <f>"Q"&amp;ROUNDUP(MONTH(excelsalesdata[[#This Row],[Order_Date]])/3,0)</f>
        <v>Q1</v>
      </c>
    </row>
    <row r="647" spans="1:30" x14ac:dyDescent="0.35">
      <c r="A647" t="s">
        <v>1333</v>
      </c>
      <c r="B647" s="3">
        <v>46405</v>
      </c>
      <c r="C647" t="s">
        <v>257</v>
      </c>
      <c r="D647" t="s">
        <v>1335</v>
      </c>
      <c r="E647" t="str">
        <f>TRIM(excelsalesdata[[#This Row],[Customer_Name]])</f>
        <v>Kavya Patel</v>
      </c>
      <c r="F647" t="s">
        <v>44</v>
      </c>
      <c r="G647">
        <v>49</v>
      </c>
      <c r="H647" t="s">
        <v>45</v>
      </c>
      <c r="I647" t="str">
        <f>TRIM(excelsalesdata[[#This Row],[City]])</f>
        <v>Kochi</v>
      </c>
      <c r="J647" t="s">
        <v>46</v>
      </c>
      <c r="K647" t="s">
        <v>47</v>
      </c>
      <c r="L647" t="s">
        <v>27</v>
      </c>
      <c r="M647" t="s">
        <v>195</v>
      </c>
      <c r="N647" t="s">
        <v>195</v>
      </c>
      <c r="O647">
        <v>2</v>
      </c>
      <c r="P647">
        <v>2180</v>
      </c>
      <c r="Q647">
        <v>0.1</v>
      </c>
      <c r="R647">
        <v>1150</v>
      </c>
      <c r="S647" t="s">
        <v>151</v>
      </c>
      <c r="T647" t="s">
        <v>30</v>
      </c>
      <c r="U647">
        <v>2</v>
      </c>
      <c r="V647" t="s">
        <v>40</v>
      </c>
      <c r="W647">
        <f>excelsalesdata[[#This Row],[Quantity]]*excelsalesdata[[#This Row],[Unit_Price]]</f>
        <v>4360</v>
      </c>
      <c r="X647">
        <f>excelsalesdata[[#This Row],[Gross_sales]]*excelsalesdata[[#This Row],[Discount_%]]</f>
        <v>436</v>
      </c>
      <c r="Y647">
        <f>excelsalesdata[[#This Row],[Gross_sales]]-excelsalesdata[[#This Row],[Discount_amt]]</f>
        <v>3924</v>
      </c>
      <c r="Z647" s="4">
        <f>excelsalesdata[[#This Row],[Net_sales]]-excelsalesdata[[#This Row],[Cost]]</f>
        <v>2774</v>
      </c>
      <c r="AA647" s="5">
        <f>excelsalesdata[[#This Row],[Profit]]/excelsalesdata[[#This Row],[Net_sales]]</f>
        <v>0.70693170234454639</v>
      </c>
      <c r="AB647" s="4">
        <f>YEAR(excelsalesdata[[#This Row],[Order_Date]])</f>
        <v>2027</v>
      </c>
      <c r="AC647" s="4" t="str">
        <f>TEXT(excelsalesdata[[#This Row],[Order_Date]],"mmm")</f>
        <v>Jan</v>
      </c>
      <c r="AD647" s="4" t="str">
        <f>"Q"&amp;ROUNDUP(MONTH(excelsalesdata[[#This Row],[Order_Date]])/3,0)</f>
        <v>Q1</v>
      </c>
    </row>
    <row r="648" spans="1:30" x14ac:dyDescent="0.35">
      <c r="A648" t="s">
        <v>1334</v>
      </c>
      <c r="B648" s="3">
        <v>46406</v>
      </c>
      <c r="C648" t="s">
        <v>816</v>
      </c>
      <c r="D648" t="s">
        <v>588</v>
      </c>
      <c r="E648" t="str">
        <f>TRIM(excelsalesdata[[#This Row],[Customer_Name]])</f>
        <v>Karan Rao</v>
      </c>
      <c r="F648" t="s">
        <v>44</v>
      </c>
      <c r="G648">
        <v>21</v>
      </c>
      <c r="H648" t="s">
        <v>155</v>
      </c>
      <c r="I648" t="str">
        <f>TRIM(excelsalesdata[[#This Row],[City]])</f>
        <v>Chennai</v>
      </c>
      <c r="J648" t="s">
        <v>156</v>
      </c>
      <c r="K648" t="s">
        <v>47</v>
      </c>
      <c r="L648" t="s">
        <v>54</v>
      </c>
      <c r="M648" t="s">
        <v>157</v>
      </c>
      <c r="N648" t="s">
        <v>157</v>
      </c>
      <c r="O648">
        <v>3</v>
      </c>
      <c r="P648">
        <v>54420</v>
      </c>
      <c r="Q648">
        <v>0.1</v>
      </c>
      <c r="R648">
        <v>40050</v>
      </c>
      <c r="S648" t="s">
        <v>80</v>
      </c>
      <c r="T648" t="s">
        <v>30</v>
      </c>
      <c r="U648">
        <v>4</v>
      </c>
      <c r="V648" t="s">
        <v>40</v>
      </c>
      <c r="W648">
        <f>excelsalesdata[[#This Row],[Quantity]]*excelsalesdata[[#This Row],[Unit_Price]]</f>
        <v>163260</v>
      </c>
      <c r="X648">
        <f>excelsalesdata[[#This Row],[Gross_sales]]*excelsalesdata[[#This Row],[Discount_%]]</f>
        <v>16326</v>
      </c>
      <c r="Y648">
        <f>excelsalesdata[[#This Row],[Gross_sales]]-excelsalesdata[[#This Row],[Discount_amt]]</f>
        <v>146934</v>
      </c>
      <c r="Z648" s="4">
        <f>excelsalesdata[[#This Row],[Net_sales]]-excelsalesdata[[#This Row],[Cost]]</f>
        <v>106884</v>
      </c>
      <c r="AA648" s="5">
        <f>excelsalesdata[[#This Row],[Profit]]/excelsalesdata[[#This Row],[Net_sales]]</f>
        <v>0.72742864143084651</v>
      </c>
      <c r="AB648" s="4">
        <f>YEAR(excelsalesdata[[#This Row],[Order_Date]])</f>
        <v>2027</v>
      </c>
      <c r="AC648" s="4" t="str">
        <f>TEXT(excelsalesdata[[#This Row],[Order_Date]],"mmm")</f>
        <v>Jan</v>
      </c>
      <c r="AD648" s="4" t="str">
        <f>"Q"&amp;ROUNDUP(MONTH(excelsalesdata[[#This Row],[Order_Date]])/3,0)</f>
        <v>Q1</v>
      </c>
    </row>
    <row r="649" spans="1:30" x14ac:dyDescent="0.35">
      <c r="A649" t="s">
        <v>1336</v>
      </c>
      <c r="B649" s="3">
        <v>46407</v>
      </c>
      <c r="C649" t="s">
        <v>841</v>
      </c>
      <c r="D649" t="s">
        <v>563</v>
      </c>
      <c r="E649" t="str">
        <f>TRIM(excelsalesdata[[#This Row],[Customer_Name]])</f>
        <v>Sneha Verma</v>
      </c>
      <c r="F649" t="s">
        <v>44</v>
      </c>
      <c r="G649">
        <v>36</v>
      </c>
      <c r="H649" t="s">
        <v>60</v>
      </c>
      <c r="I649" t="str">
        <f>TRIM(excelsalesdata[[#This Row],[City]])</f>
        <v>Chandigarh</v>
      </c>
      <c r="J649" t="s">
        <v>60</v>
      </c>
      <c r="K649" t="s">
        <v>61</v>
      </c>
      <c r="L649" t="s">
        <v>54</v>
      </c>
      <c r="M649" t="s">
        <v>55</v>
      </c>
      <c r="N649" t="s">
        <v>55</v>
      </c>
      <c r="O649">
        <v>2</v>
      </c>
      <c r="P649">
        <v>6480</v>
      </c>
      <c r="Q649">
        <v>0.05</v>
      </c>
      <c r="R649">
        <v>4500</v>
      </c>
      <c r="S649" t="s">
        <v>105</v>
      </c>
      <c r="T649" t="s">
        <v>30</v>
      </c>
      <c r="U649">
        <v>3</v>
      </c>
      <c r="V649" t="s">
        <v>40</v>
      </c>
      <c r="W649">
        <f>excelsalesdata[[#This Row],[Quantity]]*excelsalesdata[[#This Row],[Unit_Price]]</f>
        <v>12960</v>
      </c>
      <c r="X649">
        <f>excelsalesdata[[#This Row],[Gross_sales]]*excelsalesdata[[#This Row],[Discount_%]]</f>
        <v>648</v>
      </c>
      <c r="Y649">
        <f>excelsalesdata[[#This Row],[Gross_sales]]-excelsalesdata[[#This Row],[Discount_amt]]</f>
        <v>12312</v>
      </c>
      <c r="Z649" s="4">
        <f>excelsalesdata[[#This Row],[Net_sales]]-excelsalesdata[[#This Row],[Cost]]</f>
        <v>7812</v>
      </c>
      <c r="AA649" s="5">
        <f>excelsalesdata[[#This Row],[Profit]]/excelsalesdata[[#This Row],[Net_sales]]</f>
        <v>0.63450292397660824</v>
      </c>
      <c r="AB649" s="4">
        <f>YEAR(excelsalesdata[[#This Row],[Order_Date]])</f>
        <v>2027</v>
      </c>
      <c r="AC649" s="4" t="str">
        <f>TEXT(excelsalesdata[[#This Row],[Order_Date]],"mmm")</f>
        <v>Jan</v>
      </c>
      <c r="AD649" s="4" t="str">
        <f>"Q"&amp;ROUNDUP(MONTH(excelsalesdata[[#This Row],[Order_Date]])/3,0)</f>
        <v>Q1</v>
      </c>
    </row>
    <row r="650" spans="1:30" x14ac:dyDescent="0.35">
      <c r="A650" t="s">
        <v>1337</v>
      </c>
      <c r="B650" s="3">
        <v>46408</v>
      </c>
      <c r="C650" t="s">
        <v>702</v>
      </c>
      <c r="D650" t="s">
        <v>362</v>
      </c>
      <c r="E650" t="str">
        <f>TRIM(excelsalesdata[[#This Row],[Customer_Name]])</f>
        <v>Diya Gupta</v>
      </c>
      <c r="F650" t="s">
        <v>23</v>
      </c>
      <c r="G650">
        <v>32</v>
      </c>
      <c r="H650" t="s">
        <v>52</v>
      </c>
      <c r="I650" t="str">
        <f>TRIM(excelsalesdata[[#This Row],[City]])</f>
        <v>Bengaluru</v>
      </c>
      <c r="J650" t="s">
        <v>53</v>
      </c>
      <c r="K650" t="s">
        <v>47</v>
      </c>
      <c r="L650" t="s">
        <v>38</v>
      </c>
      <c r="M650" t="s">
        <v>161</v>
      </c>
      <c r="N650" t="s">
        <v>161</v>
      </c>
      <c r="O650">
        <v>1</v>
      </c>
      <c r="P650">
        <v>28670</v>
      </c>
      <c r="Q650">
        <v>0.05</v>
      </c>
      <c r="R650">
        <v>20720</v>
      </c>
      <c r="S650" t="s">
        <v>80</v>
      </c>
      <c r="T650" t="s">
        <v>30</v>
      </c>
      <c r="U650">
        <v>5</v>
      </c>
      <c r="V650" t="s">
        <v>40</v>
      </c>
      <c r="W650">
        <f>excelsalesdata[[#This Row],[Quantity]]*excelsalesdata[[#This Row],[Unit_Price]]</f>
        <v>28670</v>
      </c>
      <c r="X650">
        <f>excelsalesdata[[#This Row],[Gross_sales]]*excelsalesdata[[#This Row],[Discount_%]]</f>
        <v>1433.5</v>
      </c>
      <c r="Y650">
        <f>excelsalesdata[[#This Row],[Gross_sales]]-excelsalesdata[[#This Row],[Discount_amt]]</f>
        <v>27236.5</v>
      </c>
      <c r="Z650" s="4">
        <f>excelsalesdata[[#This Row],[Net_sales]]-excelsalesdata[[#This Row],[Cost]]</f>
        <v>6516.5</v>
      </c>
      <c r="AA650" s="5">
        <f>excelsalesdata[[#This Row],[Profit]]/excelsalesdata[[#This Row],[Net_sales]]</f>
        <v>0.23925614524626879</v>
      </c>
      <c r="AB650" s="4">
        <f>YEAR(excelsalesdata[[#This Row],[Order_Date]])</f>
        <v>2027</v>
      </c>
      <c r="AC650" s="4" t="str">
        <f>TEXT(excelsalesdata[[#This Row],[Order_Date]],"mmm")</f>
        <v>Jan</v>
      </c>
      <c r="AD650" s="4" t="str">
        <f>"Q"&amp;ROUNDUP(MONTH(excelsalesdata[[#This Row],[Order_Date]])/3,0)</f>
        <v>Q1</v>
      </c>
    </row>
    <row r="651" spans="1:30" x14ac:dyDescent="0.35">
      <c r="A651" t="s">
        <v>1338</v>
      </c>
      <c r="B651" s="3">
        <v>46409</v>
      </c>
      <c r="C651" t="s">
        <v>197</v>
      </c>
      <c r="D651" t="s">
        <v>395</v>
      </c>
      <c r="E651" t="str">
        <f>TRIM(excelsalesdata[[#This Row],[Customer_Name]])</f>
        <v>Meera Gupta</v>
      </c>
      <c r="F651" t="s">
        <v>23</v>
      </c>
      <c r="G651">
        <v>20</v>
      </c>
      <c r="H651" t="s">
        <v>24</v>
      </c>
      <c r="I651" t="str">
        <f>TRIM(excelsalesdata[[#This Row],[City]])</f>
        <v>Pune</v>
      </c>
      <c r="J651" t="s">
        <v>25</v>
      </c>
      <c r="K651" t="s">
        <v>26</v>
      </c>
      <c r="L651" t="s">
        <v>27</v>
      </c>
      <c r="M651" t="s">
        <v>295</v>
      </c>
      <c r="N651" t="s">
        <v>295</v>
      </c>
      <c r="O651">
        <v>1</v>
      </c>
      <c r="P651">
        <v>4170</v>
      </c>
      <c r="Q651">
        <v>0.05</v>
      </c>
      <c r="R651">
        <v>2630</v>
      </c>
      <c r="S651" t="s">
        <v>151</v>
      </c>
      <c r="T651" t="s">
        <v>30</v>
      </c>
      <c r="U651">
        <v>5</v>
      </c>
      <c r="V651" t="s">
        <v>40</v>
      </c>
      <c r="W651">
        <f>excelsalesdata[[#This Row],[Quantity]]*excelsalesdata[[#This Row],[Unit_Price]]</f>
        <v>4170</v>
      </c>
      <c r="X651">
        <f>excelsalesdata[[#This Row],[Gross_sales]]*excelsalesdata[[#This Row],[Discount_%]]</f>
        <v>208.5</v>
      </c>
      <c r="Y651">
        <f>excelsalesdata[[#This Row],[Gross_sales]]-excelsalesdata[[#This Row],[Discount_amt]]</f>
        <v>3961.5</v>
      </c>
      <c r="Z651" s="4">
        <f>excelsalesdata[[#This Row],[Net_sales]]-excelsalesdata[[#This Row],[Cost]]</f>
        <v>1331.5</v>
      </c>
      <c r="AA651" s="5">
        <f>excelsalesdata[[#This Row],[Profit]]/excelsalesdata[[#This Row],[Net_sales]]</f>
        <v>0.33611005932096427</v>
      </c>
      <c r="AB651" s="4">
        <f>YEAR(excelsalesdata[[#This Row],[Order_Date]])</f>
        <v>2027</v>
      </c>
      <c r="AC651" s="4" t="str">
        <f>TEXT(excelsalesdata[[#This Row],[Order_Date]],"mmm")</f>
        <v>Jan</v>
      </c>
      <c r="AD651" s="4" t="str">
        <f>"Q"&amp;ROUNDUP(MONTH(excelsalesdata[[#This Row],[Order_Date]])/3,0)</f>
        <v>Q1</v>
      </c>
    </row>
    <row r="652" spans="1:30" x14ac:dyDescent="0.35">
      <c r="A652" t="s">
        <v>1339</v>
      </c>
      <c r="B652" s="3">
        <v>46410</v>
      </c>
      <c r="C652" t="s">
        <v>33</v>
      </c>
      <c r="D652" t="s">
        <v>1271</v>
      </c>
      <c r="E652" t="str">
        <f>TRIM(excelsalesdata[[#This Row],[Customer_Name]])</f>
        <v>Arjun Sharma</v>
      </c>
      <c r="F652" t="s">
        <v>44</v>
      </c>
      <c r="G652">
        <v>57</v>
      </c>
      <c r="H652" t="s">
        <v>45</v>
      </c>
      <c r="I652" t="str">
        <f>TRIM(excelsalesdata[[#This Row],[City]])</f>
        <v>Kochi</v>
      </c>
      <c r="J652" t="s">
        <v>46</v>
      </c>
      <c r="K652" t="s">
        <v>47</v>
      </c>
      <c r="L652" t="s">
        <v>103</v>
      </c>
      <c r="M652" t="s">
        <v>104</v>
      </c>
      <c r="N652" t="s">
        <v>104</v>
      </c>
      <c r="O652">
        <v>2</v>
      </c>
      <c r="P652">
        <v>8950</v>
      </c>
      <c r="Q652">
        <v>0.15</v>
      </c>
      <c r="R652">
        <v>5790</v>
      </c>
      <c r="S652" t="s">
        <v>29</v>
      </c>
      <c r="T652" t="s">
        <v>30</v>
      </c>
      <c r="U652">
        <v>2</v>
      </c>
      <c r="V652" t="s">
        <v>40</v>
      </c>
      <c r="W652">
        <f>excelsalesdata[[#This Row],[Quantity]]*excelsalesdata[[#This Row],[Unit_Price]]</f>
        <v>17900</v>
      </c>
      <c r="X652">
        <f>excelsalesdata[[#This Row],[Gross_sales]]*excelsalesdata[[#This Row],[Discount_%]]</f>
        <v>2685</v>
      </c>
      <c r="Y652">
        <f>excelsalesdata[[#This Row],[Gross_sales]]-excelsalesdata[[#This Row],[Discount_amt]]</f>
        <v>15215</v>
      </c>
      <c r="Z652" s="4">
        <f>excelsalesdata[[#This Row],[Net_sales]]-excelsalesdata[[#This Row],[Cost]]</f>
        <v>9425</v>
      </c>
      <c r="AA652" s="5">
        <f>excelsalesdata[[#This Row],[Profit]]/excelsalesdata[[#This Row],[Net_sales]]</f>
        <v>0.61945448570489647</v>
      </c>
      <c r="AB652" s="4">
        <f>YEAR(excelsalesdata[[#This Row],[Order_Date]])</f>
        <v>2027</v>
      </c>
      <c r="AC652" s="4" t="str">
        <f>TEXT(excelsalesdata[[#This Row],[Order_Date]],"mmm")</f>
        <v>Jan</v>
      </c>
      <c r="AD652" s="4" t="str">
        <f>"Q"&amp;ROUNDUP(MONTH(excelsalesdata[[#This Row],[Order_Date]])/3,0)</f>
        <v>Q1</v>
      </c>
    </row>
    <row r="653" spans="1:30" x14ac:dyDescent="0.35">
      <c r="A653" t="s">
        <v>1340</v>
      </c>
      <c r="B653" s="3">
        <v>46411</v>
      </c>
      <c r="C653" t="s">
        <v>743</v>
      </c>
      <c r="D653" t="s">
        <v>138</v>
      </c>
      <c r="E653" t="str">
        <f>TRIM(excelsalesdata[[#This Row],[Customer_Name]])</f>
        <v>Vikram Bhat</v>
      </c>
      <c r="F653" t="s">
        <v>23</v>
      </c>
      <c r="G653">
        <v>19</v>
      </c>
      <c r="H653" t="s">
        <v>78</v>
      </c>
      <c r="I653" t="str">
        <f>TRIM(excelsalesdata[[#This Row],[City]])</f>
        <v>Guwahati</v>
      </c>
      <c r="J653" t="s">
        <v>79</v>
      </c>
      <c r="K653" t="s">
        <v>37</v>
      </c>
      <c r="L653" t="s">
        <v>93</v>
      </c>
      <c r="M653" t="s">
        <v>375</v>
      </c>
      <c r="N653" t="s">
        <v>375</v>
      </c>
      <c r="O653">
        <v>3</v>
      </c>
      <c r="P653">
        <v>2240</v>
      </c>
      <c r="Q653">
        <v>0.15</v>
      </c>
      <c r="R653">
        <v>1170</v>
      </c>
      <c r="S653" t="s">
        <v>105</v>
      </c>
      <c r="T653" t="s">
        <v>30</v>
      </c>
      <c r="U653">
        <v>2</v>
      </c>
      <c r="V653" t="s">
        <v>31</v>
      </c>
      <c r="W653">
        <f>excelsalesdata[[#This Row],[Quantity]]*excelsalesdata[[#This Row],[Unit_Price]]</f>
        <v>6720</v>
      </c>
      <c r="X653">
        <f>excelsalesdata[[#This Row],[Gross_sales]]*excelsalesdata[[#This Row],[Discount_%]]</f>
        <v>1008</v>
      </c>
      <c r="Y653">
        <f>excelsalesdata[[#This Row],[Gross_sales]]-excelsalesdata[[#This Row],[Discount_amt]]</f>
        <v>5712</v>
      </c>
      <c r="Z653" s="4">
        <f>excelsalesdata[[#This Row],[Net_sales]]-excelsalesdata[[#This Row],[Cost]]</f>
        <v>4542</v>
      </c>
      <c r="AA653" s="5">
        <f>excelsalesdata[[#This Row],[Profit]]/excelsalesdata[[#This Row],[Net_sales]]</f>
        <v>0.79516806722689071</v>
      </c>
      <c r="AB653" s="4">
        <f>YEAR(excelsalesdata[[#This Row],[Order_Date]])</f>
        <v>2027</v>
      </c>
      <c r="AC653" s="4" t="str">
        <f>TEXT(excelsalesdata[[#This Row],[Order_Date]],"mmm")</f>
        <v>Jan</v>
      </c>
      <c r="AD653" s="4" t="str">
        <f>"Q"&amp;ROUNDUP(MONTH(excelsalesdata[[#This Row],[Order_Date]])/3,0)</f>
        <v>Q1</v>
      </c>
    </row>
    <row r="654" spans="1:30" x14ac:dyDescent="0.35">
      <c r="A654" t="s">
        <v>1341</v>
      </c>
      <c r="B654" s="3">
        <v>46412</v>
      </c>
      <c r="C654" t="s">
        <v>704</v>
      </c>
      <c r="D654" t="s">
        <v>43</v>
      </c>
      <c r="E654" t="str">
        <f>TRIM(excelsalesdata[[#This Row],[Customer_Name]])</f>
        <v>Nisha Nair</v>
      </c>
      <c r="F654" t="s">
        <v>23</v>
      </c>
      <c r="G654">
        <v>26</v>
      </c>
      <c r="H654" t="s">
        <v>24</v>
      </c>
      <c r="I654" t="str">
        <f>TRIM(excelsalesdata[[#This Row],[City]])</f>
        <v>Pune</v>
      </c>
      <c r="J654" t="s">
        <v>25</v>
      </c>
      <c r="K654" t="s">
        <v>26</v>
      </c>
      <c r="L654" t="s">
        <v>27</v>
      </c>
      <c r="M654" t="s">
        <v>48</v>
      </c>
      <c r="N654" t="s">
        <v>48</v>
      </c>
      <c r="O654">
        <v>1</v>
      </c>
      <c r="P654">
        <v>840</v>
      </c>
      <c r="Q654">
        <v>0.1</v>
      </c>
      <c r="R654">
        <v>450</v>
      </c>
      <c r="S654" t="s">
        <v>80</v>
      </c>
      <c r="T654" t="s">
        <v>30</v>
      </c>
      <c r="U654">
        <v>1</v>
      </c>
      <c r="V654" t="s">
        <v>40</v>
      </c>
      <c r="W654">
        <f>excelsalesdata[[#This Row],[Quantity]]*excelsalesdata[[#This Row],[Unit_Price]]</f>
        <v>840</v>
      </c>
      <c r="X654">
        <f>excelsalesdata[[#This Row],[Gross_sales]]*excelsalesdata[[#This Row],[Discount_%]]</f>
        <v>84</v>
      </c>
      <c r="Y654">
        <f>excelsalesdata[[#This Row],[Gross_sales]]-excelsalesdata[[#This Row],[Discount_amt]]</f>
        <v>756</v>
      </c>
      <c r="Z654" s="4">
        <f>excelsalesdata[[#This Row],[Net_sales]]-excelsalesdata[[#This Row],[Cost]]</f>
        <v>306</v>
      </c>
      <c r="AA654" s="5">
        <f>excelsalesdata[[#This Row],[Profit]]/excelsalesdata[[#This Row],[Net_sales]]</f>
        <v>0.40476190476190477</v>
      </c>
      <c r="AB654" s="4">
        <f>YEAR(excelsalesdata[[#This Row],[Order_Date]])</f>
        <v>2027</v>
      </c>
      <c r="AC654" s="4" t="str">
        <f>TEXT(excelsalesdata[[#This Row],[Order_Date]],"mmm")</f>
        <v>Jan</v>
      </c>
      <c r="AD654" s="4" t="str">
        <f>"Q"&amp;ROUNDUP(MONTH(excelsalesdata[[#This Row],[Order_Date]])/3,0)</f>
        <v>Q1</v>
      </c>
    </row>
    <row r="655" spans="1:30" x14ac:dyDescent="0.35">
      <c r="A655" t="s">
        <v>1342</v>
      </c>
      <c r="B655" s="3">
        <v>46413</v>
      </c>
      <c r="C655" t="s">
        <v>1137</v>
      </c>
      <c r="D655" t="s">
        <v>294</v>
      </c>
      <c r="E655" t="str">
        <f>TRIM(excelsalesdata[[#This Row],[Customer_Name]])</f>
        <v>Ananya Gupta</v>
      </c>
      <c r="F655" t="s">
        <v>44</v>
      </c>
      <c r="G655">
        <v>20</v>
      </c>
      <c r="H655" t="s">
        <v>45</v>
      </c>
      <c r="I655" t="str">
        <f>TRIM(excelsalesdata[[#This Row],[City]])</f>
        <v>Kochi</v>
      </c>
      <c r="J655" t="s">
        <v>46</v>
      </c>
      <c r="K655" t="s">
        <v>47</v>
      </c>
      <c r="L655" t="s">
        <v>54</v>
      </c>
      <c r="M655" t="s">
        <v>66</v>
      </c>
      <c r="N655" t="s">
        <v>66</v>
      </c>
      <c r="O655">
        <v>2</v>
      </c>
      <c r="P655">
        <v>2380</v>
      </c>
      <c r="Q655">
        <v>0.05</v>
      </c>
      <c r="R655">
        <v>1450</v>
      </c>
      <c r="S655" t="s">
        <v>56</v>
      </c>
      <c r="T655" t="s">
        <v>74</v>
      </c>
      <c r="U655">
        <v>2</v>
      </c>
      <c r="V655" t="s">
        <v>31</v>
      </c>
      <c r="W655">
        <f>excelsalesdata[[#This Row],[Quantity]]*excelsalesdata[[#This Row],[Unit_Price]]</f>
        <v>4760</v>
      </c>
      <c r="X655">
        <f>excelsalesdata[[#This Row],[Gross_sales]]*excelsalesdata[[#This Row],[Discount_%]]</f>
        <v>238</v>
      </c>
      <c r="Y655">
        <f>excelsalesdata[[#This Row],[Gross_sales]]-excelsalesdata[[#This Row],[Discount_amt]]</f>
        <v>4522</v>
      </c>
      <c r="Z655" s="4">
        <f>excelsalesdata[[#This Row],[Net_sales]]-excelsalesdata[[#This Row],[Cost]]</f>
        <v>3072</v>
      </c>
      <c r="AA655" s="5">
        <f>excelsalesdata[[#This Row],[Profit]]/excelsalesdata[[#This Row],[Net_sales]]</f>
        <v>0.67934542237947815</v>
      </c>
      <c r="AB655" s="4">
        <f>YEAR(excelsalesdata[[#This Row],[Order_Date]])</f>
        <v>2027</v>
      </c>
      <c r="AC655" s="4" t="str">
        <f>TEXT(excelsalesdata[[#This Row],[Order_Date]],"mmm")</f>
        <v>Jan</v>
      </c>
      <c r="AD655" s="4" t="str">
        <f>"Q"&amp;ROUNDUP(MONTH(excelsalesdata[[#This Row],[Order_Date]])/3,0)</f>
        <v>Q1</v>
      </c>
    </row>
    <row r="656" spans="1:30" x14ac:dyDescent="0.35">
      <c r="A656" t="s">
        <v>1343</v>
      </c>
      <c r="B656" s="3">
        <v>46414</v>
      </c>
      <c r="C656" t="s">
        <v>127</v>
      </c>
      <c r="D656" t="s">
        <v>583</v>
      </c>
      <c r="E656" t="str">
        <f>TRIM(excelsalesdata[[#This Row],[Customer_Name]])</f>
        <v>Ishita Gupta</v>
      </c>
      <c r="F656" t="s">
        <v>44</v>
      </c>
      <c r="G656">
        <v>47</v>
      </c>
      <c r="H656" t="s">
        <v>45</v>
      </c>
      <c r="I656" t="str">
        <f>TRIM(excelsalesdata[[#This Row],[City]])</f>
        <v>Kochi</v>
      </c>
      <c r="J656" t="s">
        <v>46</v>
      </c>
      <c r="K656" t="s">
        <v>47</v>
      </c>
      <c r="L656" t="s">
        <v>103</v>
      </c>
      <c r="M656" t="s">
        <v>238</v>
      </c>
      <c r="N656" t="s">
        <v>238</v>
      </c>
      <c r="O656">
        <v>1</v>
      </c>
      <c r="P656">
        <v>4260</v>
      </c>
      <c r="Q656">
        <v>0</v>
      </c>
      <c r="R656">
        <v>2570</v>
      </c>
      <c r="S656" t="s">
        <v>29</v>
      </c>
      <c r="T656" t="s">
        <v>30</v>
      </c>
      <c r="U656">
        <v>6</v>
      </c>
      <c r="V656" t="s">
        <v>40</v>
      </c>
      <c r="W656">
        <f>excelsalesdata[[#This Row],[Quantity]]*excelsalesdata[[#This Row],[Unit_Price]]</f>
        <v>4260</v>
      </c>
      <c r="X656">
        <f>excelsalesdata[[#This Row],[Gross_sales]]*excelsalesdata[[#This Row],[Discount_%]]</f>
        <v>0</v>
      </c>
      <c r="Y656">
        <f>excelsalesdata[[#This Row],[Gross_sales]]-excelsalesdata[[#This Row],[Discount_amt]]</f>
        <v>4260</v>
      </c>
      <c r="Z656" s="4">
        <f>excelsalesdata[[#This Row],[Net_sales]]-excelsalesdata[[#This Row],[Cost]]</f>
        <v>1690</v>
      </c>
      <c r="AA656" s="5">
        <f>excelsalesdata[[#This Row],[Profit]]/excelsalesdata[[#This Row],[Net_sales]]</f>
        <v>0.39671361502347419</v>
      </c>
      <c r="AB656" s="4">
        <f>YEAR(excelsalesdata[[#This Row],[Order_Date]])</f>
        <v>2027</v>
      </c>
      <c r="AC656" s="4" t="str">
        <f>TEXT(excelsalesdata[[#This Row],[Order_Date]],"mmm")</f>
        <v>Jan</v>
      </c>
      <c r="AD656" s="4" t="str">
        <f>"Q"&amp;ROUNDUP(MONTH(excelsalesdata[[#This Row],[Order_Date]])/3,0)</f>
        <v>Q1</v>
      </c>
    </row>
    <row r="657" spans="1:30" x14ac:dyDescent="0.35">
      <c r="A657" t="s">
        <v>1344</v>
      </c>
      <c r="B657" s="3">
        <v>46415</v>
      </c>
      <c r="C657" t="s">
        <v>418</v>
      </c>
      <c r="D657" t="s">
        <v>122</v>
      </c>
      <c r="E657" t="str">
        <f>TRIM(excelsalesdata[[#This Row],[Customer_Name]])</f>
        <v>Vikram Rao</v>
      </c>
      <c r="F657" t="s">
        <v>44</v>
      </c>
      <c r="G657">
        <v>23</v>
      </c>
      <c r="H657" t="s">
        <v>45</v>
      </c>
      <c r="I657" t="str">
        <f>TRIM(excelsalesdata[[#This Row],[City]])</f>
        <v>Kochi</v>
      </c>
      <c r="J657" t="s">
        <v>46</v>
      </c>
      <c r="K657" t="s">
        <v>47</v>
      </c>
      <c r="L657" t="s">
        <v>38</v>
      </c>
      <c r="M657" t="s">
        <v>255</v>
      </c>
      <c r="N657" t="s">
        <v>255</v>
      </c>
      <c r="O657">
        <v>1</v>
      </c>
      <c r="P657">
        <v>4700</v>
      </c>
      <c r="Q657">
        <v>0.05</v>
      </c>
      <c r="R657">
        <v>2800</v>
      </c>
      <c r="S657" t="s">
        <v>67</v>
      </c>
      <c r="T657" t="s">
        <v>30</v>
      </c>
      <c r="U657">
        <v>4</v>
      </c>
      <c r="V657" t="s">
        <v>31</v>
      </c>
      <c r="W657">
        <f>excelsalesdata[[#This Row],[Quantity]]*excelsalesdata[[#This Row],[Unit_Price]]</f>
        <v>4700</v>
      </c>
      <c r="X657">
        <f>excelsalesdata[[#This Row],[Gross_sales]]*excelsalesdata[[#This Row],[Discount_%]]</f>
        <v>235</v>
      </c>
      <c r="Y657">
        <f>excelsalesdata[[#This Row],[Gross_sales]]-excelsalesdata[[#This Row],[Discount_amt]]</f>
        <v>4465</v>
      </c>
      <c r="Z657" s="4">
        <f>excelsalesdata[[#This Row],[Net_sales]]-excelsalesdata[[#This Row],[Cost]]</f>
        <v>1665</v>
      </c>
      <c r="AA657" s="5">
        <f>excelsalesdata[[#This Row],[Profit]]/excelsalesdata[[#This Row],[Net_sales]]</f>
        <v>0.37290033594624861</v>
      </c>
      <c r="AB657" s="4">
        <f>YEAR(excelsalesdata[[#This Row],[Order_Date]])</f>
        <v>2027</v>
      </c>
      <c r="AC657" s="4" t="str">
        <f>TEXT(excelsalesdata[[#This Row],[Order_Date]],"mmm")</f>
        <v>Jan</v>
      </c>
      <c r="AD657" s="4" t="str">
        <f>"Q"&amp;ROUNDUP(MONTH(excelsalesdata[[#This Row],[Order_Date]])/3,0)</f>
        <v>Q1</v>
      </c>
    </row>
    <row r="658" spans="1:30" x14ac:dyDescent="0.35">
      <c r="A658" t="s">
        <v>1345</v>
      </c>
      <c r="B658" s="3">
        <v>46416</v>
      </c>
      <c r="C658" t="s">
        <v>684</v>
      </c>
      <c r="D658" t="s">
        <v>1051</v>
      </c>
      <c r="E658" t="str">
        <f>TRIM(excelsalesdata[[#This Row],[Customer_Name]])</f>
        <v>Aarav Das</v>
      </c>
      <c r="F658" t="s">
        <v>44</v>
      </c>
      <c r="G658">
        <v>52</v>
      </c>
      <c r="H658" t="s">
        <v>78</v>
      </c>
      <c r="I658" t="str">
        <f>TRIM(excelsalesdata[[#This Row],[City]])</f>
        <v>Guwahati</v>
      </c>
      <c r="J658" t="s">
        <v>79</v>
      </c>
      <c r="K658" t="s">
        <v>37</v>
      </c>
      <c r="L658" t="s">
        <v>54</v>
      </c>
      <c r="M658" t="s">
        <v>157</v>
      </c>
      <c r="N658" t="s">
        <v>157</v>
      </c>
      <c r="O658">
        <v>4</v>
      </c>
      <c r="P658">
        <v>51110</v>
      </c>
      <c r="Q658">
        <v>0</v>
      </c>
      <c r="R658">
        <v>42910</v>
      </c>
      <c r="S658" t="s">
        <v>80</v>
      </c>
      <c r="T658" t="s">
        <v>30</v>
      </c>
      <c r="U658">
        <v>2</v>
      </c>
      <c r="V658" t="s">
        <v>31</v>
      </c>
      <c r="W658">
        <f>excelsalesdata[[#This Row],[Quantity]]*excelsalesdata[[#This Row],[Unit_Price]]</f>
        <v>204440</v>
      </c>
      <c r="X658">
        <f>excelsalesdata[[#This Row],[Gross_sales]]*excelsalesdata[[#This Row],[Discount_%]]</f>
        <v>0</v>
      </c>
      <c r="Y658">
        <f>excelsalesdata[[#This Row],[Gross_sales]]-excelsalesdata[[#This Row],[Discount_amt]]</f>
        <v>204440</v>
      </c>
      <c r="Z658" s="4">
        <f>excelsalesdata[[#This Row],[Net_sales]]-excelsalesdata[[#This Row],[Cost]]</f>
        <v>161530</v>
      </c>
      <c r="AA658" s="5">
        <f>excelsalesdata[[#This Row],[Profit]]/excelsalesdata[[#This Row],[Net_sales]]</f>
        <v>0.79010956759929563</v>
      </c>
      <c r="AB658" s="4">
        <f>YEAR(excelsalesdata[[#This Row],[Order_Date]])</f>
        <v>2027</v>
      </c>
      <c r="AC658" s="4" t="str">
        <f>TEXT(excelsalesdata[[#This Row],[Order_Date]],"mmm")</f>
        <v>Jan</v>
      </c>
      <c r="AD658" s="4" t="str">
        <f>"Q"&amp;ROUNDUP(MONTH(excelsalesdata[[#This Row],[Order_Date]])/3,0)</f>
        <v>Q1</v>
      </c>
    </row>
    <row r="659" spans="1:30" x14ac:dyDescent="0.35">
      <c r="A659" t="s">
        <v>1346</v>
      </c>
      <c r="B659" s="3">
        <v>46417</v>
      </c>
      <c r="C659" t="s">
        <v>526</v>
      </c>
      <c r="D659" t="s">
        <v>371</v>
      </c>
      <c r="E659" t="str">
        <f>TRIM(excelsalesdata[[#This Row],[Customer_Name]])</f>
        <v>Karan Bhat</v>
      </c>
      <c r="F659" t="s">
        <v>44</v>
      </c>
      <c r="G659">
        <v>36</v>
      </c>
      <c r="H659" t="s">
        <v>60</v>
      </c>
      <c r="I659" t="str">
        <f>TRIM(excelsalesdata[[#This Row],[City]])</f>
        <v>Chandigarh</v>
      </c>
      <c r="J659" t="s">
        <v>60</v>
      </c>
      <c r="K659" t="s">
        <v>61</v>
      </c>
      <c r="L659" t="s">
        <v>54</v>
      </c>
      <c r="M659" t="s">
        <v>55</v>
      </c>
      <c r="N659" t="s">
        <v>55</v>
      </c>
      <c r="O659">
        <v>1</v>
      </c>
      <c r="P659">
        <v>7060</v>
      </c>
      <c r="Q659">
        <v>0.15</v>
      </c>
      <c r="R659">
        <v>4400</v>
      </c>
      <c r="S659" t="s">
        <v>29</v>
      </c>
      <c r="T659" t="s">
        <v>30</v>
      </c>
      <c r="U659">
        <v>2</v>
      </c>
      <c r="V659" t="s">
        <v>40</v>
      </c>
      <c r="W659">
        <f>excelsalesdata[[#This Row],[Quantity]]*excelsalesdata[[#This Row],[Unit_Price]]</f>
        <v>7060</v>
      </c>
      <c r="X659">
        <f>excelsalesdata[[#This Row],[Gross_sales]]*excelsalesdata[[#This Row],[Discount_%]]</f>
        <v>1059</v>
      </c>
      <c r="Y659">
        <f>excelsalesdata[[#This Row],[Gross_sales]]-excelsalesdata[[#This Row],[Discount_amt]]</f>
        <v>6001</v>
      </c>
      <c r="Z659" s="4">
        <f>excelsalesdata[[#This Row],[Net_sales]]-excelsalesdata[[#This Row],[Cost]]</f>
        <v>1601</v>
      </c>
      <c r="AA659" s="5">
        <f>excelsalesdata[[#This Row],[Profit]]/excelsalesdata[[#This Row],[Net_sales]]</f>
        <v>0.26678886852191303</v>
      </c>
      <c r="AB659" s="4">
        <f>YEAR(excelsalesdata[[#This Row],[Order_Date]])</f>
        <v>2027</v>
      </c>
      <c r="AC659" s="4" t="str">
        <f>TEXT(excelsalesdata[[#This Row],[Order_Date]],"mmm")</f>
        <v>Jan</v>
      </c>
      <c r="AD659" s="4" t="str">
        <f>"Q"&amp;ROUNDUP(MONTH(excelsalesdata[[#This Row],[Order_Date]])/3,0)</f>
        <v>Q1</v>
      </c>
    </row>
    <row r="660" spans="1:30" x14ac:dyDescent="0.35">
      <c r="A660" t="s">
        <v>1347</v>
      </c>
      <c r="B660" s="3">
        <v>46418</v>
      </c>
      <c r="C660" t="s">
        <v>64</v>
      </c>
      <c r="D660" t="s">
        <v>432</v>
      </c>
      <c r="E660" t="str">
        <f>TRIM(excelsalesdata[[#This Row],[Customer_Name]])</f>
        <v>Karan Gupta</v>
      </c>
      <c r="F660" t="s">
        <v>44</v>
      </c>
      <c r="G660">
        <v>31</v>
      </c>
      <c r="H660" t="s">
        <v>71</v>
      </c>
      <c r="I660" t="str">
        <f>TRIM(excelsalesdata[[#This Row],[City]])</f>
        <v>Bhubaneswar</v>
      </c>
      <c r="J660" t="s">
        <v>72</v>
      </c>
      <c r="K660" t="s">
        <v>37</v>
      </c>
      <c r="L660" t="s">
        <v>27</v>
      </c>
      <c r="M660" t="s">
        <v>195</v>
      </c>
      <c r="N660" t="s">
        <v>195</v>
      </c>
      <c r="O660">
        <v>2</v>
      </c>
      <c r="P660">
        <v>2230</v>
      </c>
      <c r="Q660">
        <v>0.05</v>
      </c>
      <c r="R660">
        <v>1210</v>
      </c>
      <c r="S660" t="s">
        <v>80</v>
      </c>
      <c r="T660" t="s">
        <v>30</v>
      </c>
      <c r="U660">
        <v>10</v>
      </c>
      <c r="V660" t="s">
        <v>31</v>
      </c>
      <c r="W660">
        <f>excelsalesdata[[#This Row],[Quantity]]*excelsalesdata[[#This Row],[Unit_Price]]</f>
        <v>4460</v>
      </c>
      <c r="X660">
        <f>excelsalesdata[[#This Row],[Gross_sales]]*excelsalesdata[[#This Row],[Discount_%]]</f>
        <v>223</v>
      </c>
      <c r="Y660">
        <f>excelsalesdata[[#This Row],[Gross_sales]]-excelsalesdata[[#This Row],[Discount_amt]]</f>
        <v>4237</v>
      </c>
      <c r="Z660" s="4">
        <f>excelsalesdata[[#This Row],[Net_sales]]-excelsalesdata[[#This Row],[Cost]]</f>
        <v>3027</v>
      </c>
      <c r="AA660" s="5">
        <f>excelsalesdata[[#This Row],[Profit]]/excelsalesdata[[#This Row],[Net_sales]]</f>
        <v>0.71442058059948077</v>
      </c>
      <c r="AB660" s="4">
        <f>YEAR(excelsalesdata[[#This Row],[Order_Date]])</f>
        <v>2027</v>
      </c>
      <c r="AC660" s="4" t="str">
        <f>TEXT(excelsalesdata[[#This Row],[Order_Date]],"mmm")</f>
        <v>Jan</v>
      </c>
      <c r="AD660" s="4" t="str">
        <f>"Q"&amp;ROUNDUP(MONTH(excelsalesdata[[#This Row],[Order_Date]])/3,0)</f>
        <v>Q1</v>
      </c>
    </row>
    <row r="661" spans="1:30" x14ac:dyDescent="0.35">
      <c r="A661" t="s">
        <v>1348</v>
      </c>
      <c r="B661" s="3">
        <v>46419</v>
      </c>
      <c r="C661" t="s">
        <v>609</v>
      </c>
      <c r="D661" t="s">
        <v>311</v>
      </c>
      <c r="E661" t="str">
        <f>TRIM(excelsalesdata[[#This Row],[Customer_Name]])</f>
        <v>Karan Verma</v>
      </c>
      <c r="F661" t="s">
        <v>44</v>
      </c>
      <c r="G661">
        <v>33</v>
      </c>
      <c r="H661" t="s">
        <v>185</v>
      </c>
      <c r="I661" t="str">
        <f>TRIM(excelsalesdata[[#This Row],[City]])</f>
        <v>Lucknow</v>
      </c>
      <c r="J661" t="s">
        <v>186</v>
      </c>
      <c r="K661" t="s">
        <v>61</v>
      </c>
      <c r="L661" t="s">
        <v>38</v>
      </c>
      <c r="M661" t="s">
        <v>255</v>
      </c>
      <c r="N661" t="s">
        <v>255</v>
      </c>
      <c r="O661">
        <v>1</v>
      </c>
      <c r="P661">
        <v>4330</v>
      </c>
      <c r="Q661">
        <v>0.05</v>
      </c>
      <c r="R661">
        <v>2870</v>
      </c>
      <c r="S661" t="s">
        <v>151</v>
      </c>
      <c r="T661" t="s">
        <v>30</v>
      </c>
      <c r="U661">
        <v>7</v>
      </c>
      <c r="V661" t="s">
        <v>40</v>
      </c>
      <c r="W661">
        <f>excelsalesdata[[#This Row],[Quantity]]*excelsalesdata[[#This Row],[Unit_Price]]</f>
        <v>4330</v>
      </c>
      <c r="X661">
        <f>excelsalesdata[[#This Row],[Gross_sales]]*excelsalesdata[[#This Row],[Discount_%]]</f>
        <v>216.5</v>
      </c>
      <c r="Y661">
        <f>excelsalesdata[[#This Row],[Gross_sales]]-excelsalesdata[[#This Row],[Discount_amt]]</f>
        <v>4113.5</v>
      </c>
      <c r="Z661" s="4">
        <f>excelsalesdata[[#This Row],[Net_sales]]-excelsalesdata[[#This Row],[Cost]]</f>
        <v>1243.5</v>
      </c>
      <c r="AA661" s="5">
        <f>excelsalesdata[[#This Row],[Profit]]/excelsalesdata[[#This Row],[Net_sales]]</f>
        <v>0.30229731372310686</v>
      </c>
      <c r="AB661" s="4">
        <f>YEAR(excelsalesdata[[#This Row],[Order_Date]])</f>
        <v>2027</v>
      </c>
      <c r="AC661" s="4" t="str">
        <f>TEXT(excelsalesdata[[#This Row],[Order_Date]],"mmm")</f>
        <v>Feb</v>
      </c>
      <c r="AD661" s="4" t="str">
        <f>"Q"&amp;ROUNDUP(MONTH(excelsalesdata[[#This Row],[Order_Date]])/3,0)</f>
        <v>Q1</v>
      </c>
    </row>
    <row r="662" spans="1:30" x14ac:dyDescent="0.35">
      <c r="A662" t="s">
        <v>1349</v>
      </c>
      <c r="B662" s="3">
        <v>46420</v>
      </c>
      <c r="C662" t="s">
        <v>959</v>
      </c>
      <c r="D662" t="s">
        <v>488</v>
      </c>
      <c r="E662" t="str">
        <f>TRIM(excelsalesdata[[#This Row],[Customer_Name]])</f>
        <v>Nisha Singh</v>
      </c>
      <c r="F662" t="s">
        <v>23</v>
      </c>
      <c r="G662">
        <v>47</v>
      </c>
      <c r="H662" t="s">
        <v>45</v>
      </c>
      <c r="I662" t="str">
        <f>TRIM(excelsalesdata[[#This Row],[City]])</f>
        <v>Kochi</v>
      </c>
      <c r="J662" t="s">
        <v>46</v>
      </c>
      <c r="K662" t="s">
        <v>47</v>
      </c>
      <c r="L662" t="s">
        <v>54</v>
      </c>
      <c r="M662" t="s">
        <v>55</v>
      </c>
      <c r="N662" t="s">
        <v>55</v>
      </c>
      <c r="O662">
        <v>1</v>
      </c>
      <c r="P662">
        <v>7070</v>
      </c>
      <c r="Q662">
        <v>0</v>
      </c>
      <c r="R662">
        <v>4310</v>
      </c>
      <c r="S662" t="s">
        <v>29</v>
      </c>
      <c r="T662" t="s">
        <v>30</v>
      </c>
      <c r="U662">
        <v>4</v>
      </c>
      <c r="V662" t="s">
        <v>31</v>
      </c>
      <c r="W662">
        <f>excelsalesdata[[#This Row],[Quantity]]*excelsalesdata[[#This Row],[Unit_Price]]</f>
        <v>7070</v>
      </c>
      <c r="X662">
        <f>excelsalesdata[[#This Row],[Gross_sales]]*excelsalesdata[[#This Row],[Discount_%]]</f>
        <v>0</v>
      </c>
      <c r="Y662">
        <f>excelsalesdata[[#This Row],[Gross_sales]]-excelsalesdata[[#This Row],[Discount_amt]]</f>
        <v>7070</v>
      </c>
      <c r="Z662" s="4">
        <f>excelsalesdata[[#This Row],[Net_sales]]-excelsalesdata[[#This Row],[Cost]]</f>
        <v>2760</v>
      </c>
      <c r="AA662" s="5">
        <f>excelsalesdata[[#This Row],[Profit]]/excelsalesdata[[#This Row],[Net_sales]]</f>
        <v>0.39038189533239037</v>
      </c>
      <c r="AB662" s="4">
        <f>YEAR(excelsalesdata[[#This Row],[Order_Date]])</f>
        <v>2027</v>
      </c>
      <c r="AC662" s="4" t="str">
        <f>TEXT(excelsalesdata[[#This Row],[Order_Date]],"mmm")</f>
        <v>Feb</v>
      </c>
      <c r="AD662" s="4" t="str">
        <f>"Q"&amp;ROUNDUP(MONTH(excelsalesdata[[#This Row],[Order_Date]])/3,0)</f>
        <v>Q1</v>
      </c>
    </row>
    <row r="663" spans="1:30" x14ac:dyDescent="0.35">
      <c r="A663" t="s">
        <v>1350</v>
      </c>
      <c r="B663" s="3">
        <v>46421</v>
      </c>
      <c r="C663" t="s">
        <v>1351</v>
      </c>
      <c r="D663" t="s">
        <v>1354</v>
      </c>
      <c r="E663" t="str">
        <f>TRIM(excelsalesdata[[#This Row],[Customer_Name]])</f>
        <v>Priya Shah</v>
      </c>
      <c r="F663" t="s">
        <v>44</v>
      </c>
      <c r="G663">
        <v>39</v>
      </c>
      <c r="H663" t="s">
        <v>35</v>
      </c>
      <c r="I663" t="str">
        <f>TRIM(excelsalesdata[[#This Row],[City]])</f>
        <v>Kolkata</v>
      </c>
      <c r="J663" t="s">
        <v>36</v>
      </c>
      <c r="K663" t="s">
        <v>37</v>
      </c>
      <c r="L663" t="s">
        <v>54</v>
      </c>
      <c r="M663" t="s">
        <v>129</v>
      </c>
      <c r="N663" t="s">
        <v>129</v>
      </c>
      <c r="O663">
        <v>4</v>
      </c>
      <c r="P663">
        <v>17830</v>
      </c>
      <c r="Q663">
        <v>0.3</v>
      </c>
      <c r="R663">
        <v>12400</v>
      </c>
      <c r="S663" t="s">
        <v>105</v>
      </c>
      <c r="T663" t="s">
        <v>30</v>
      </c>
      <c r="U663">
        <v>3</v>
      </c>
      <c r="V663" t="s">
        <v>40</v>
      </c>
      <c r="W663">
        <f>excelsalesdata[[#This Row],[Quantity]]*excelsalesdata[[#This Row],[Unit_Price]]</f>
        <v>71320</v>
      </c>
      <c r="X663">
        <f>excelsalesdata[[#This Row],[Gross_sales]]*excelsalesdata[[#This Row],[Discount_%]]</f>
        <v>21396</v>
      </c>
      <c r="Y663">
        <f>excelsalesdata[[#This Row],[Gross_sales]]-excelsalesdata[[#This Row],[Discount_amt]]</f>
        <v>49924</v>
      </c>
      <c r="Z663" s="4">
        <f>excelsalesdata[[#This Row],[Net_sales]]-excelsalesdata[[#This Row],[Cost]]</f>
        <v>37524</v>
      </c>
      <c r="AA663" s="5">
        <f>excelsalesdata[[#This Row],[Profit]]/excelsalesdata[[#This Row],[Net_sales]]</f>
        <v>0.75162246614854578</v>
      </c>
      <c r="AB663" s="4">
        <f>YEAR(excelsalesdata[[#This Row],[Order_Date]])</f>
        <v>2027</v>
      </c>
      <c r="AC663" s="4" t="str">
        <f>TEXT(excelsalesdata[[#This Row],[Order_Date]],"mmm")</f>
        <v>Feb</v>
      </c>
      <c r="AD663" s="4" t="str">
        <f>"Q"&amp;ROUNDUP(MONTH(excelsalesdata[[#This Row],[Order_Date]])/3,0)</f>
        <v>Q1</v>
      </c>
    </row>
    <row r="664" spans="1:30" x14ac:dyDescent="0.35">
      <c r="A664" t="s">
        <v>1352</v>
      </c>
      <c r="B664" s="3">
        <v>46422</v>
      </c>
      <c r="C664" t="s">
        <v>1353</v>
      </c>
      <c r="D664" t="s">
        <v>1202</v>
      </c>
      <c r="E664" t="str">
        <f>TRIM(excelsalesdata[[#This Row],[Customer_Name]])</f>
        <v>Ishita Naidu</v>
      </c>
      <c r="F664" t="s">
        <v>23</v>
      </c>
      <c r="G664">
        <v>38</v>
      </c>
      <c r="H664" t="s">
        <v>78</v>
      </c>
      <c r="I664" t="str">
        <f>TRIM(excelsalesdata[[#This Row],[City]])</f>
        <v>Guwahati</v>
      </c>
      <c r="J664" t="s">
        <v>79</v>
      </c>
      <c r="K664" t="s">
        <v>37</v>
      </c>
      <c r="L664" t="s">
        <v>54</v>
      </c>
      <c r="M664" t="s">
        <v>55</v>
      </c>
      <c r="N664" t="s">
        <v>55</v>
      </c>
      <c r="O664">
        <v>2</v>
      </c>
      <c r="P664">
        <v>6830</v>
      </c>
      <c r="Q664">
        <v>0.25</v>
      </c>
      <c r="R664">
        <v>4340</v>
      </c>
      <c r="S664" t="s">
        <v>105</v>
      </c>
      <c r="T664" t="s">
        <v>30</v>
      </c>
      <c r="U664">
        <v>7</v>
      </c>
      <c r="V664" t="s">
        <v>31</v>
      </c>
      <c r="W664">
        <f>excelsalesdata[[#This Row],[Quantity]]*excelsalesdata[[#This Row],[Unit_Price]]</f>
        <v>13660</v>
      </c>
      <c r="X664">
        <f>excelsalesdata[[#This Row],[Gross_sales]]*excelsalesdata[[#This Row],[Discount_%]]</f>
        <v>3415</v>
      </c>
      <c r="Y664">
        <f>excelsalesdata[[#This Row],[Gross_sales]]-excelsalesdata[[#This Row],[Discount_amt]]</f>
        <v>10245</v>
      </c>
      <c r="Z664" s="4">
        <f>excelsalesdata[[#This Row],[Net_sales]]-excelsalesdata[[#This Row],[Cost]]</f>
        <v>5905</v>
      </c>
      <c r="AA664" s="5">
        <f>excelsalesdata[[#This Row],[Profit]]/excelsalesdata[[#This Row],[Net_sales]]</f>
        <v>0.57637872132747681</v>
      </c>
      <c r="AB664" s="4">
        <f>YEAR(excelsalesdata[[#This Row],[Order_Date]])</f>
        <v>2027</v>
      </c>
      <c r="AC664" s="4" t="str">
        <f>TEXT(excelsalesdata[[#This Row],[Order_Date]],"mmm")</f>
        <v>Feb</v>
      </c>
      <c r="AD664" s="4" t="str">
        <f>"Q"&amp;ROUNDUP(MONTH(excelsalesdata[[#This Row],[Order_Date]])/3,0)</f>
        <v>Q1</v>
      </c>
    </row>
    <row r="665" spans="1:30" x14ac:dyDescent="0.35">
      <c r="A665" t="s">
        <v>1355</v>
      </c>
      <c r="B665" s="3">
        <v>46423</v>
      </c>
      <c r="C665" t="s">
        <v>1121</v>
      </c>
      <c r="D665" t="s">
        <v>896</v>
      </c>
      <c r="E665" t="str">
        <f>TRIM(excelsalesdata[[#This Row],[Customer_Name]])</f>
        <v>Arjun Iyer</v>
      </c>
      <c r="F665" t="s">
        <v>44</v>
      </c>
      <c r="G665">
        <v>48</v>
      </c>
      <c r="H665" t="s">
        <v>78</v>
      </c>
      <c r="I665" t="str">
        <f>TRIM(excelsalesdata[[#This Row],[City]])</f>
        <v>Guwahati</v>
      </c>
      <c r="J665" t="s">
        <v>79</v>
      </c>
      <c r="K665" t="s">
        <v>37</v>
      </c>
      <c r="L665" t="s">
        <v>54</v>
      </c>
      <c r="M665" t="s">
        <v>129</v>
      </c>
      <c r="N665" t="s">
        <v>129</v>
      </c>
      <c r="O665">
        <v>4</v>
      </c>
      <c r="P665">
        <v>19260</v>
      </c>
      <c r="Q665">
        <v>0.25</v>
      </c>
      <c r="R665">
        <v>12560</v>
      </c>
      <c r="S665" t="s">
        <v>80</v>
      </c>
      <c r="T665" t="s">
        <v>30</v>
      </c>
      <c r="U665">
        <v>1</v>
      </c>
      <c r="V665" t="s">
        <v>40</v>
      </c>
      <c r="W665">
        <f>excelsalesdata[[#This Row],[Quantity]]*excelsalesdata[[#This Row],[Unit_Price]]</f>
        <v>77040</v>
      </c>
      <c r="X665">
        <f>excelsalesdata[[#This Row],[Gross_sales]]*excelsalesdata[[#This Row],[Discount_%]]</f>
        <v>19260</v>
      </c>
      <c r="Y665">
        <f>excelsalesdata[[#This Row],[Gross_sales]]-excelsalesdata[[#This Row],[Discount_amt]]</f>
        <v>57780</v>
      </c>
      <c r="Z665" s="4">
        <f>excelsalesdata[[#This Row],[Net_sales]]-excelsalesdata[[#This Row],[Cost]]</f>
        <v>45220</v>
      </c>
      <c r="AA665" s="5">
        <f>excelsalesdata[[#This Row],[Profit]]/excelsalesdata[[#This Row],[Net_sales]]</f>
        <v>0.78262374524056766</v>
      </c>
      <c r="AB665" s="4">
        <f>YEAR(excelsalesdata[[#This Row],[Order_Date]])</f>
        <v>2027</v>
      </c>
      <c r="AC665" s="4" t="str">
        <f>TEXT(excelsalesdata[[#This Row],[Order_Date]],"mmm")</f>
        <v>Feb</v>
      </c>
      <c r="AD665" s="4" t="str">
        <f>"Q"&amp;ROUNDUP(MONTH(excelsalesdata[[#This Row],[Order_Date]])/3,0)</f>
        <v>Q1</v>
      </c>
    </row>
    <row r="666" spans="1:30" x14ac:dyDescent="0.35">
      <c r="A666" t="s">
        <v>1356</v>
      </c>
      <c r="B666" s="3">
        <v>46424</v>
      </c>
      <c r="C666" t="s">
        <v>322</v>
      </c>
      <c r="D666" t="s">
        <v>922</v>
      </c>
      <c r="E666" t="str">
        <f>TRIM(excelsalesdata[[#This Row],[Customer_Name]])</f>
        <v>Arjun Kumar</v>
      </c>
      <c r="F666" t="s">
        <v>44</v>
      </c>
      <c r="G666">
        <v>47</v>
      </c>
      <c r="H666" t="s">
        <v>109</v>
      </c>
      <c r="I666" t="str">
        <f>TRIM(excelsalesdata[[#This Row],[City]])</f>
        <v>Mysuru</v>
      </c>
      <c r="J666" t="s">
        <v>53</v>
      </c>
      <c r="K666" t="s">
        <v>47</v>
      </c>
      <c r="L666" t="s">
        <v>54</v>
      </c>
      <c r="M666" t="s">
        <v>55</v>
      </c>
      <c r="N666" t="s">
        <v>55</v>
      </c>
      <c r="O666">
        <v>1</v>
      </c>
      <c r="P666">
        <v>6600</v>
      </c>
      <c r="Q666">
        <v>0.05</v>
      </c>
      <c r="R666">
        <v>4540</v>
      </c>
      <c r="S666" t="s">
        <v>29</v>
      </c>
      <c r="T666" t="s">
        <v>81</v>
      </c>
      <c r="U666">
        <v>0</v>
      </c>
      <c r="V666" t="s">
        <v>31</v>
      </c>
      <c r="W666">
        <f>excelsalesdata[[#This Row],[Quantity]]*excelsalesdata[[#This Row],[Unit_Price]]</f>
        <v>6600</v>
      </c>
      <c r="X666">
        <f>excelsalesdata[[#This Row],[Gross_sales]]*excelsalesdata[[#This Row],[Discount_%]]</f>
        <v>330</v>
      </c>
      <c r="Y666">
        <f>excelsalesdata[[#This Row],[Gross_sales]]-excelsalesdata[[#This Row],[Discount_amt]]</f>
        <v>6270</v>
      </c>
      <c r="Z666" s="4">
        <f>excelsalesdata[[#This Row],[Net_sales]]-excelsalesdata[[#This Row],[Cost]]</f>
        <v>1730</v>
      </c>
      <c r="AA666" s="5">
        <f>excelsalesdata[[#This Row],[Profit]]/excelsalesdata[[#This Row],[Net_sales]]</f>
        <v>0.27591706539074962</v>
      </c>
      <c r="AB666" s="4">
        <f>YEAR(excelsalesdata[[#This Row],[Order_Date]])</f>
        <v>2027</v>
      </c>
      <c r="AC666" s="4" t="str">
        <f>TEXT(excelsalesdata[[#This Row],[Order_Date]],"mmm")</f>
        <v>Feb</v>
      </c>
      <c r="AD666" s="4" t="str">
        <f>"Q"&amp;ROUNDUP(MONTH(excelsalesdata[[#This Row],[Order_Date]])/3,0)</f>
        <v>Q1</v>
      </c>
    </row>
    <row r="667" spans="1:30" x14ac:dyDescent="0.35">
      <c r="A667" t="s">
        <v>1357</v>
      </c>
      <c r="B667" s="3">
        <v>46425</v>
      </c>
      <c r="C667" t="s">
        <v>1358</v>
      </c>
      <c r="D667" t="s">
        <v>231</v>
      </c>
      <c r="E667" t="str">
        <f>TRIM(excelsalesdata[[#This Row],[Customer_Name]])</f>
        <v>Ananya Verma</v>
      </c>
      <c r="F667" t="s">
        <v>44</v>
      </c>
      <c r="G667">
        <v>31</v>
      </c>
      <c r="H667" t="s">
        <v>71</v>
      </c>
      <c r="I667" t="str">
        <f>TRIM(excelsalesdata[[#This Row],[City]])</f>
        <v>Bhubaneswar</v>
      </c>
      <c r="J667" t="s">
        <v>72</v>
      </c>
      <c r="K667" t="s">
        <v>37</v>
      </c>
      <c r="L667" t="s">
        <v>93</v>
      </c>
      <c r="M667" t="s">
        <v>375</v>
      </c>
      <c r="N667" t="s">
        <v>375</v>
      </c>
      <c r="O667">
        <v>2</v>
      </c>
      <c r="P667">
        <v>2370</v>
      </c>
      <c r="Q667">
        <v>0.15</v>
      </c>
      <c r="R667">
        <v>1230</v>
      </c>
      <c r="S667" t="s">
        <v>67</v>
      </c>
      <c r="T667" t="s">
        <v>30</v>
      </c>
      <c r="U667">
        <v>2</v>
      </c>
      <c r="V667" t="s">
        <v>40</v>
      </c>
      <c r="W667">
        <f>excelsalesdata[[#This Row],[Quantity]]*excelsalesdata[[#This Row],[Unit_Price]]</f>
        <v>4740</v>
      </c>
      <c r="X667">
        <f>excelsalesdata[[#This Row],[Gross_sales]]*excelsalesdata[[#This Row],[Discount_%]]</f>
        <v>711</v>
      </c>
      <c r="Y667">
        <f>excelsalesdata[[#This Row],[Gross_sales]]-excelsalesdata[[#This Row],[Discount_amt]]</f>
        <v>4029</v>
      </c>
      <c r="Z667" s="4">
        <f>excelsalesdata[[#This Row],[Net_sales]]-excelsalesdata[[#This Row],[Cost]]</f>
        <v>2799</v>
      </c>
      <c r="AA667" s="5">
        <f>excelsalesdata[[#This Row],[Profit]]/excelsalesdata[[#This Row],[Net_sales]]</f>
        <v>0.69471332836932242</v>
      </c>
      <c r="AB667" s="4">
        <f>YEAR(excelsalesdata[[#This Row],[Order_Date]])</f>
        <v>2027</v>
      </c>
      <c r="AC667" s="4" t="str">
        <f>TEXT(excelsalesdata[[#This Row],[Order_Date]],"mmm")</f>
        <v>Feb</v>
      </c>
      <c r="AD667" s="4" t="str">
        <f>"Q"&amp;ROUNDUP(MONTH(excelsalesdata[[#This Row],[Order_Date]])/3,0)</f>
        <v>Q1</v>
      </c>
    </row>
    <row r="668" spans="1:30" x14ac:dyDescent="0.35">
      <c r="A668" t="s">
        <v>1359</v>
      </c>
      <c r="B668" s="3">
        <v>46426</v>
      </c>
      <c r="C668" t="s">
        <v>587</v>
      </c>
      <c r="D668" t="s">
        <v>485</v>
      </c>
      <c r="E668" t="str">
        <f>TRIM(excelsalesdata[[#This Row],[Customer_Name]])</f>
        <v>Ishita Mehta</v>
      </c>
      <c r="F668" t="s">
        <v>23</v>
      </c>
      <c r="G668">
        <v>30</v>
      </c>
      <c r="H668" t="s">
        <v>114</v>
      </c>
      <c r="I668" t="str">
        <f>TRIM(excelsalesdata[[#This Row],[City]])</f>
        <v>Hyderabad</v>
      </c>
      <c r="J668" t="s">
        <v>115</v>
      </c>
      <c r="K668" t="s">
        <v>47</v>
      </c>
      <c r="L668" t="s">
        <v>54</v>
      </c>
      <c r="M668" t="s">
        <v>129</v>
      </c>
      <c r="N668" t="s">
        <v>129</v>
      </c>
      <c r="O668">
        <v>1</v>
      </c>
      <c r="P668">
        <v>18330</v>
      </c>
      <c r="Q668">
        <v>0.2</v>
      </c>
      <c r="R668">
        <v>12070</v>
      </c>
      <c r="S668" t="s">
        <v>105</v>
      </c>
      <c r="T668" t="s">
        <v>30</v>
      </c>
      <c r="U668">
        <v>2</v>
      </c>
      <c r="V668" t="s">
        <v>31</v>
      </c>
      <c r="W668">
        <f>excelsalesdata[[#This Row],[Quantity]]*excelsalesdata[[#This Row],[Unit_Price]]</f>
        <v>18330</v>
      </c>
      <c r="X668">
        <f>excelsalesdata[[#This Row],[Gross_sales]]*excelsalesdata[[#This Row],[Discount_%]]</f>
        <v>3666</v>
      </c>
      <c r="Y668">
        <f>excelsalesdata[[#This Row],[Gross_sales]]-excelsalesdata[[#This Row],[Discount_amt]]</f>
        <v>14664</v>
      </c>
      <c r="Z668" s="4">
        <f>excelsalesdata[[#This Row],[Net_sales]]-excelsalesdata[[#This Row],[Cost]]</f>
        <v>2594</v>
      </c>
      <c r="AA668" s="5">
        <f>excelsalesdata[[#This Row],[Profit]]/excelsalesdata[[#This Row],[Net_sales]]</f>
        <v>0.17689579923622475</v>
      </c>
      <c r="AB668" s="4">
        <f>YEAR(excelsalesdata[[#This Row],[Order_Date]])</f>
        <v>2027</v>
      </c>
      <c r="AC668" s="4" t="str">
        <f>TEXT(excelsalesdata[[#This Row],[Order_Date]],"mmm")</f>
        <v>Feb</v>
      </c>
      <c r="AD668" s="4" t="str">
        <f>"Q"&amp;ROUNDUP(MONTH(excelsalesdata[[#This Row],[Order_Date]])/3,0)</f>
        <v>Q1</v>
      </c>
    </row>
    <row r="669" spans="1:30" x14ac:dyDescent="0.35">
      <c r="A669" t="s">
        <v>1360</v>
      </c>
      <c r="B669" s="3">
        <v>46427</v>
      </c>
      <c r="C669" t="s">
        <v>354</v>
      </c>
      <c r="D669" t="s">
        <v>1197</v>
      </c>
      <c r="E669" t="str">
        <f>TRIM(excelsalesdata[[#This Row],[Customer_Name]])</f>
        <v>Rahul Rao</v>
      </c>
      <c r="F669" t="s">
        <v>44</v>
      </c>
      <c r="G669">
        <v>56</v>
      </c>
      <c r="H669" t="s">
        <v>109</v>
      </c>
      <c r="I669" t="str">
        <f>TRIM(excelsalesdata[[#This Row],[City]])</f>
        <v>Mysuru</v>
      </c>
      <c r="J669" t="s">
        <v>53</v>
      </c>
      <c r="K669" t="s">
        <v>47</v>
      </c>
      <c r="L669" t="s">
        <v>54</v>
      </c>
      <c r="M669" t="s">
        <v>157</v>
      </c>
      <c r="N669" t="s">
        <v>157</v>
      </c>
      <c r="O669">
        <v>2</v>
      </c>
      <c r="P669">
        <v>51370</v>
      </c>
      <c r="Q669">
        <v>0.2</v>
      </c>
      <c r="R669">
        <v>41530</v>
      </c>
      <c r="S669" t="s">
        <v>80</v>
      </c>
      <c r="T669" t="s">
        <v>30</v>
      </c>
      <c r="U669">
        <v>3</v>
      </c>
      <c r="V669" t="s">
        <v>31</v>
      </c>
      <c r="W669">
        <f>excelsalesdata[[#This Row],[Quantity]]*excelsalesdata[[#This Row],[Unit_Price]]</f>
        <v>102740</v>
      </c>
      <c r="X669">
        <f>excelsalesdata[[#This Row],[Gross_sales]]*excelsalesdata[[#This Row],[Discount_%]]</f>
        <v>20548</v>
      </c>
      <c r="Y669">
        <f>excelsalesdata[[#This Row],[Gross_sales]]-excelsalesdata[[#This Row],[Discount_amt]]</f>
        <v>82192</v>
      </c>
      <c r="Z669" s="4">
        <f>excelsalesdata[[#This Row],[Net_sales]]-excelsalesdata[[#This Row],[Cost]]</f>
        <v>40662</v>
      </c>
      <c r="AA669" s="5">
        <f>excelsalesdata[[#This Row],[Profit]]/excelsalesdata[[#This Row],[Net_sales]]</f>
        <v>0.49471968074751799</v>
      </c>
      <c r="AB669" s="4">
        <f>YEAR(excelsalesdata[[#This Row],[Order_Date]])</f>
        <v>2027</v>
      </c>
      <c r="AC669" s="4" t="str">
        <f>TEXT(excelsalesdata[[#This Row],[Order_Date]],"mmm")</f>
        <v>Feb</v>
      </c>
      <c r="AD669" s="4" t="str">
        <f>"Q"&amp;ROUNDUP(MONTH(excelsalesdata[[#This Row],[Order_Date]])/3,0)</f>
        <v>Q1</v>
      </c>
    </row>
    <row r="670" spans="1:30" x14ac:dyDescent="0.35">
      <c r="A670" t="s">
        <v>1361</v>
      </c>
      <c r="B670" s="3">
        <v>46428</v>
      </c>
      <c r="C670" t="s">
        <v>1362</v>
      </c>
      <c r="D670" t="s">
        <v>755</v>
      </c>
      <c r="E670" t="str">
        <f>TRIM(excelsalesdata[[#This Row],[Customer_Name]])</f>
        <v>Rahul Singh</v>
      </c>
      <c r="F670" t="s">
        <v>44</v>
      </c>
      <c r="G670">
        <v>39</v>
      </c>
      <c r="H670" t="s">
        <v>45</v>
      </c>
      <c r="I670" t="str">
        <f>TRIM(excelsalesdata[[#This Row],[City]])</f>
        <v>Kochi</v>
      </c>
      <c r="J670" t="s">
        <v>46</v>
      </c>
      <c r="K670" t="s">
        <v>47</v>
      </c>
      <c r="L670" t="s">
        <v>85</v>
      </c>
      <c r="M670" t="s">
        <v>172</v>
      </c>
      <c r="N670" t="s">
        <v>172</v>
      </c>
      <c r="O670">
        <v>2</v>
      </c>
      <c r="P670">
        <v>4340</v>
      </c>
      <c r="Q670">
        <v>0.1</v>
      </c>
      <c r="R670">
        <v>2710</v>
      </c>
      <c r="S670" t="s">
        <v>151</v>
      </c>
      <c r="T670" t="s">
        <v>30</v>
      </c>
      <c r="U670">
        <v>6</v>
      </c>
      <c r="V670" t="s">
        <v>31</v>
      </c>
      <c r="W670">
        <f>excelsalesdata[[#This Row],[Quantity]]*excelsalesdata[[#This Row],[Unit_Price]]</f>
        <v>8680</v>
      </c>
      <c r="X670">
        <f>excelsalesdata[[#This Row],[Gross_sales]]*excelsalesdata[[#This Row],[Discount_%]]</f>
        <v>868</v>
      </c>
      <c r="Y670">
        <f>excelsalesdata[[#This Row],[Gross_sales]]-excelsalesdata[[#This Row],[Discount_amt]]</f>
        <v>7812</v>
      </c>
      <c r="Z670" s="4">
        <f>excelsalesdata[[#This Row],[Net_sales]]-excelsalesdata[[#This Row],[Cost]]</f>
        <v>5102</v>
      </c>
      <c r="AA670" s="5">
        <f>excelsalesdata[[#This Row],[Profit]]/excelsalesdata[[#This Row],[Net_sales]]</f>
        <v>0.65309779825908854</v>
      </c>
      <c r="AB670" s="4">
        <f>YEAR(excelsalesdata[[#This Row],[Order_Date]])</f>
        <v>2027</v>
      </c>
      <c r="AC670" s="4" t="str">
        <f>TEXT(excelsalesdata[[#This Row],[Order_Date]],"mmm")</f>
        <v>Feb</v>
      </c>
      <c r="AD670" s="4" t="str">
        <f>"Q"&amp;ROUNDUP(MONTH(excelsalesdata[[#This Row],[Order_Date]])/3,0)</f>
        <v>Q1</v>
      </c>
    </row>
    <row r="671" spans="1:30" x14ac:dyDescent="0.35">
      <c r="A671" t="s">
        <v>1363</v>
      </c>
      <c r="B671" s="3">
        <v>46429</v>
      </c>
      <c r="C671" t="s">
        <v>180</v>
      </c>
      <c r="D671" t="s">
        <v>84</v>
      </c>
      <c r="E671" t="str">
        <f>TRIM(excelsalesdata[[#This Row],[Customer_Name]])</f>
        <v>Arjun Verma</v>
      </c>
      <c r="F671" t="s">
        <v>44</v>
      </c>
      <c r="G671">
        <v>59</v>
      </c>
      <c r="H671" t="s">
        <v>24</v>
      </c>
      <c r="I671" t="str">
        <f>TRIM(excelsalesdata[[#This Row],[City]])</f>
        <v>Pune</v>
      </c>
      <c r="J671" t="s">
        <v>25</v>
      </c>
      <c r="K671" t="s">
        <v>26</v>
      </c>
      <c r="L671" t="s">
        <v>103</v>
      </c>
      <c r="M671" t="s">
        <v>178</v>
      </c>
      <c r="N671" t="s">
        <v>178</v>
      </c>
      <c r="O671">
        <v>2</v>
      </c>
      <c r="P671">
        <v>1660</v>
      </c>
      <c r="Q671">
        <v>0.1</v>
      </c>
      <c r="R671">
        <v>970</v>
      </c>
      <c r="S671" t="s">
        <v>105</v>
      </c>
      <c r="T671" t="s">
        <v>30</v>
      </c>
      <c r="U671">
        <v>4</v>
      </c>
      <c r="V671" t="s">
        <v>40</v>
      </c>
      <c r="W671">
        <f>excelsalesdata[[#This Row],[Quantity]]*excelsalesdata[[#This Row],[Unit_Price]]</f>
        <v>3320</v>
      </c>
      <c r="X671">
        <f>excelsalesdata[[#This Row],[Gross_sales]]*excelsalesdata[[#This Row],[Discount_%]]</f>
        <v>332</v>
      </c>
      <c r="Y671">
        <f>excelsalesdata[[#This Row],[Gross_sales]]-excelsalesdata[[#This Row],[Discount_amt]]</f>
        <v>2988</v>
      </c>
      <c r="Z671" s="4">
        <f>excelsalesdata[[#This Row],[Net_sales]]-excelsalesdata[[#This Row],[Cost]]</f>
        <v>2018</v>
      </c>
      <c r="AA671" s="5">
        <f>excelsalesdata[[#This Row],[Profit]]/excelsalesdata[[#This Row],[Net_sales]]</f>
        <v>0.67536813922356087</v>
      </c>
      <c r="AB671" s="4">
        <f>YEAR(excelsalesdata[[#This Row],[Order_Date]])</f>
        <v>2027</v>
      </c>
      <c r="AC671" s="4" t="str">
        <f>TEXT(excelsalesdata[[#This Row],[Order_Date]],"mmm")</f>
        <v>Feb</v>
      </c>
      <c r="AD671" s="4" t="str">
        <f>"Q"&amp;ROUNDUP(MONTH(excelsalesdata[[#This Row],[Order_Date]])/3,0)</f>
        <v>Q1</v>
      </c>
    </row>
    <row r="672" spans="1:30" x14ac:dyDescent="0.35">
      <c r="A672" t="s">
        <v>1364</v>
      </c>
      <c r="B672" s="3">
        <v>46430</v>
      </c>
      <c r="C672" t="s">
        <v>1365</v>
      </c>
      <c r="D672" t="s">
        <v>365</v>
      </c>
      <c r="E672" t="str">
        <f>TRIM(excelsalesdata[[#This Row],[Customer_Name]])</f>
        <v>Meera Bhat</v>
      </c>
      <c r="F672" t="s">
        <v>23</v>
      </c>
      <c r="G672">
        <v>47</v>
      </c>
      <c r="H672" t="s">
        <v>35</v>
      </c>
      <c r="I672" t="str">
        <f>TRIM(excelsalesdata[[#This Row],[City]])</f>
        <v>Kolkata</v>
      </c>
      <c r="J672" t="s">
        <v>36</v>
      </c>
      <c r="K672" t="s">
        <v>37</v>
      </c>
      <c r="L672" t="s">
        <v>38</v>
      </c>
      <c r="M672" t="s">
        <v>39</v>
      </c>
      <c r="N672" t="s">
        <v>39</v>
      </c>
      <c r="O672">
        <v>2</v>
      </c>
      <c r="P672">
        <v>6650</v>
      </c>
      <c r="Q672">
        <v>0.15</v>
      </c>
      <c r="R672">
        <v>4150</v>
      </c>
      <c r="S672" t="s">
        <v>29</v>
      </c>
      <c r="T672" t="s">
        <v>30</v>
      </c>
      <c r="U672">
        <v>5</v>
      </c>
      <c r="V672" t="s">
        <v>31</v>
      </c>
      <c r="W672">
        <f>excelsalesdata[[#This Row],[Quantity]]*excelsalesdata[[#This Row],[Unit_Price]]</f>
        <v>13300</v>
      </c>
      <c r="X672">
        <f>excelsalesdata[[#This Row],[Gross_sales]]*excelsalesdata[[#This Row],[Discount_%]]</f>
        <v>1995</v>
      </c>
      <c r="Y672">
        <f>excelsalesdata[[#This Row],[Gross_sales]]-excelsalesdata[[#This Row],[Discount_amt]]</f>
        <v>11305</v>
      </c>
      <c r="Z672" s="4">
        <f>excelsalesdata[[#This Row],[Net_sales]]-excelsalesdata[[#This Row],[Cost]]</f>
        <v>7155</v>
      </c>
      <c r="AA672" s="5">
        <f>excelsalesdata[[#This Row],[Profit]]/excelsalesdata[[#This Row],[Net_sales]]</f>
        <v>0.63290579389650592</v>
      </c>
      <c r="AB672" s="4">
        <f>YEAR(excelsalesdata[[#This Row],[Order_Date]])</f>
        <v>2027</v>
      </c>
      <c r="AC672" s="4" t="str">
        <f>TEXT(excelsalesdata[[#This Row],[Order_Date]],"mmm")</f>
        <v>Feb</v>
      </c>
      <c r="AD672" s="4" t="str">
        <f>"Q"&amp;ROUNDUP(MONTH(excelsalesdata[[#This Row],[Order_Date]])/3,0)</f>
        <v>Q1</v>
      </c>
    </row>
    <row r="673" spans="1:30" x14ac:dyDescent="0.35">
      <c r="A673" t="s">
        <v>1366</v>
      </c>
      <c r="B673" s="3">
        <v>46431</v>
      </c>
      <c r="C673" t="s">
        <v>1367</v>
      </c>
      <c r="D673" t="s">
        <v>637</v>
      </c>
      <c r="E673" t="str">
        <f>TRIM(excelsalesdata[[#This Row],[Customer_Name]])</f>
        <v>Vikram Verma</v>
      </c>
      <c r="F673" t="s">
        <v>44</v>
      </c>
      <c r="G673">
        <v>48</v>
      </c>
      <c r="H673" t="s">
        <v>71</v>
      </c>
      <c r="I673" t="str">
        <f>TRIM(excelsalesdata[[#This Row],[City]])</f>
        <v>Bhubaneswar</v>
      </c>
      <c r="J673" t="s">
        <v>72</v>
      </c>
      <c r="K673" t="s">
        <v>37</v>
      </c>
      <c r="L673" t="s">
        <v>103</v>
      </c>
      <c r="M673" t="s">
        <v>312</v>
      </c>
      <c r="N673" t="s">
        <v>312</v>
      </c>
      <c r="O673">
        <v>2</v>
      </c>
      <c r="P673">
        <v>6460</v>
      </c>
      <c r="Q673">
        <v>0.15</v>
      </c>
      <c r="R673">
        <v>4280</v>
      </c>
      <c r="S673" t="s">
        <v>105</v>
      </c>
      <c r="T673" t="s">
        <v>30</v>
      </c>
      <c r="U673">
        <v>2</v>
      </c>
      <c r="V673" t="s">
        <v>40</v>
      </c>
      <c r="W673">
        <f>excelsalesdata[[#This Row],[Quantity]]*excelsalesdata[[#This Row],[Unit_Price]]</f>
        <v>12920</v>
      </c>
      <c r="X673">
        <f>excelsalesdata[[#This Row],[Gross_sales]]*excelsalesdata[[#This Row],[Discount_%]]</f>
        <v>1938</v>
      </c>
      <c r="Y673">
        <f>excelsalesdata[[#This Row],[Gross_sales]]-excelsalesdata[[#This Row],[Discount_amt]]</f>
        <v>10982</v>
      </c>
      <c r="Z673" s="4">
        <f>excelsalesdata[[#This Row],[Net_sales]]-excelsalesdata[[#This Row],[Cost]]</f>
        <v>6702</v>
      </c>
      <c r="AA673" s="5">
        <f>excelsalesdata[[#This Row],[Profit]]/excelsalesdata[[#This Row],[Net_sales]]</f>
        <v>0.61027135312329261</v>
      </c>
      <c r="AB673" s="4">
        <f>YEAR(excelsalesdata[[#This Row],[Order_Date]])</f>
        <v>2027</v>
      </c>
      <c r="AC673" s="4" t="str">
        <f>TEXT(excelsalesdata[[#This Row],[Order_Date]],"mmm")</f>
        <v>Feb</v>
      </c>
      <c r="AD673" s="4" t="str">
        <f>"Q"&amp;ROUNDUP(MONTH(excelsalesdata[[#This Row],[Order_Date]])/3,0)</f>
        <v>Q1</v>
      </c>
    </row>
    <row r="674" spans="1:30" x14ac:dyDescent="0.35">
      <c r="A674" t="s">
        <v>1368</v>
      </c>
      <c r="B674" s="3">
        <v>46432</v>
      </c>
      <c r="C674" t="s">
        <v>775</v>
      </c>
      <c r="D674" t="s">
        <v>629</v>
      </c>
      <c r="E674" t="str">
        <f>TRIM(excelsalesdata[[#This Row],[Customer_Name]])</f>
        <v>Vikram Shah</v>
      </c>
      <c r="F674" t="s">
        <v>23</v>
      </c>
      <c r="G674">
        <v>49</v>
      </c>
      <c r="H674" t="s">
        <v>45</v>
      </c>
      <c r="I674" t="str">
        <f>TRIM(excelsalesdata[[#This Row],[City]])</f>
        <v>Kochi</v>
      </c>
      <c r="J674" t="s">
        <v>46</v>
      </c>
      <c r="K674" t="s">
        <v>47</v>
      </c>
      <c r="L674" t="s">
        <v>54</v>
      </c>
      <c r="M674" t="s">
        <v>55</v>
      </c>
      <c r="N674" t="s">
        <v>55</v>
      </c>
      <c r="O674">
        <v>2</v>
      </c>
      <c r="P674">
        <v>6930</v>
      </c>
      <c r="Q674">
        <v>0.15</v>
      </c>
      <c r="R674">
        <v>4430</v>
      </c>
      <c r="S674" t="s">
        <v>80</v>
      </c>
      <c r="T674" t="s">
        <v>30</v>
      </c>
      <c r="U674">
        <v>3</v>
      </c>
      <c r="V674" t="s">
        <v>40</v>
      </c>
      <c r="W674">
        <f>excelsalesdata[[#This Row],[Quantity]]*excelsalesdata[[#This Row],[Unit_Price]]</f>
        <v>13860</v>
      </c>
      <c r="X674">
        <f>excelsalesdata[[#This Row],[Gross_sales]]*excelsalesdata[[#This Row],[Discount_%]]</f>
        <v>2079</v>
      </c>
      <c r="Y674">
        <f>excelsalesdata[[#This Row],[Gross_sales]]-excelsalesdata[[#This Row],[Discount_amt]]</f>
        <v>11781</v>
      </c>
      <c r="Z674" s="4">
        <f>excelsalesdata[[#This Row],[Net_sales]]-excelsalesdata[[#This Row],[Cost]]</f>
        <v>7351</v>
      </c>
      <c r="AA674" s="5">
        <f>excelsalesdata[[#This Row],[Profit]]/excelsalesdata[[#This Row],[Net_sales]]</f>
        <v>0.62397080044138864</v>
      </c>
      <c r="AB674" s="4">
        <f>YEAR(excelsalesdata[[#This Row],[Order_Date]])</f>
        <v>2027</v>
      </c>
      <c r="AC674" s="4" t="str">
        <f>TEXT(excelsalesdata[[#This Row],[Order_Date]],"mmm")</f>
        <v>Feb</v>
      </c>
      <c r="AD674" s="4" t="str">
        <f>"Q"&amp;ROUNDUP(MONTH(excelsalesdata[[#This Row],[Order_Date]])/3,0)</f>
        <v>Q1</v>
      </c>
    </row>
    <row r="675" spans="1:30" x14ac:dyDescent="0.35">
      <c r="A675" t="s">
        <v>1369</v>
      </c>
      <c r="B675" s="3">
        <v>46433</v>
      </c>
      <c r="C675" t="s">
        <v>1161</v>
      </c>
      <c r="D675" t="s">
        <v>1371</v>
      </c>
      <c r="E675" t="str">
        <f>TRIM(excelsalesdata[[#This Row],[Customer_Name]])</f>
        <v>Aditya Das</v>
      </c>
      <c r="F675" t="s">
        <v>44</v>
      </c>
      <c r="G675">
        <v>36</v>
      </c>
      <c r="H675" t="s">
        <v>52</v>
      </c>
      <c r="I675" t="str">
        <f>TRIM(excelsalesdata[[#This Row],[City]])</f>
        <v>Bengaluru</v>
      </c>
      <c r="J675" t="s">
        <v>53</v>
      </c>
      <c r="K675" t="s">
        <v>47</v>
      </c>
      <c r="L675" t="s">
        <v>85</v>
      </c>
      <c r="M675" t="s">
        <v>202</v>
      </c>
      <c r="N675" t="s">
        <v>202</v>
      </c>
      <c r="O675">
        <v>3</v>
      </c>
      <c r="P675">
        <v>920</v>
      </c>
      <c r="Q675">
        <v>0.1</v>
      </c>
      <c r="R675">
        <v>390</v>
      </c>
      <c r="S675" t="s">
        <v>105</v>
      </c>
      <c r="T675" t="s">
        <v>30</v>
      </c>
      <c r="U675">
        <v>2</v>
      </c>
      <c r="V675" t="s">
        <v>40</v>
      </c>
      <c r="W675">
        <f>excelsalesdata[[#This Row],[Quantity]]*excelsalesdata[[#This Row],[Unit_Price]]</f>
        <v>2760</v>
      </c>
      <c r="X675">
        <f>excelsalesdata[[#This Row],[Gross_sales]]*excelsalesdata[[#This Row],[Discount_%]]</f>
        <v>276</v>
      </c>
      <c r="Y675">
        <f>excelsalesdata[[#This Row],[Gross_sales]]-excelsalesdata[[#This Row],[Discount_amt]]</f>
        <v>2484</v>
      </c>
      <c r="Z675" s="4">
        <f>excelsalesdata[[#This Row],[Net_sales]]-excelsalesdata[[#This Row],[Cost]]</f>
        <v>2094</v>
      </c>
      <c r="AA675" s="5">
        <f>excelsalesdata[[#This Row],[Profit]]/excelsalesdata[[#This Row],[Net_sales]]</f>
        <v>0.84299516908212557</v>
      </c>
      <c r="AB675" s="4">
        <f>YEAR(excelsalesdata[[#This Row],[Order_Date]])</f>
        <v>2027</v>
      </c>
      <c r="AC675" s="4" t="str">
        <f>TEXT(excelsalesdata[[#This Row],[Order_Date]],"mmm")</f>
        <v>Feb</v>
      </c>
      <c r="AD675" s="4" t="str">
        <f>"Q"&amp;ROUNDUP(MONTH(excelsalesdata[[#This Row],[Order_Date]])/3,0)</f>
        <v>Q1</v>
      </c>
    </row>
    <row r="676" spans="1:30" x14ac:dyDescent="0.35">
      <c r="A676" t="s">
        <v>1370</v>
      </c>
      <c r="B676" s="3">
        <v>46434</v>
      </c>
      <c r="C676" t="s">
        <v>999</v>
      </c>
      <c r="D676" t="s">
        <v>891</v>
      </c>
      <c r="E676" t="str">
        <f>TRIM(excelsalesdata[[#This Row],[Customer_Name]])</f>
        <v>Rahul Verma</v>
      </c>
      <c r="F676" t="s">
        <v>23</v>
      </c>
      <c r="G676">
        <v>51</v>
      </c>
      <c r="H676" t="s">
        <v>155</v>
      </c>
      <c r="I676" t="str">
        <f>TRIM(excelsalesdata[[#This Row],[City]])</f>
        <v>Chennai</v>
      </c>
      <c r="J676" t="s">
        <v>156</v>
      </c>
      <c r="K676" t="s">
        <v>47</v>
      </c>
      <c r="L676" t="s">
        <v>103</v>
      </c>
      <c r="M676" t="s">
        <v>347</v>
      </c>
      <c r="N676" t="s">
        <v>347</v>
      </c>
      <c r="O676">
        <v>1</v>
      </c>
      <c r="P676">
        <v>11580</v>
      </c>
      <c r="Q676">
        <v>0.05</v>
      </c>
      <c r="R676">
        <v>8250</v>
      </c>
      <c r="S676" t="s">
        <v>29</v>
      </c>
      <c r="T676" t="s">
        <v>30</v>
      </c>
      <c r="U676">
        <v>3</v>
      </c>
      <c r="V676" t="s">
        <v>40</v>
      </c>
      <c r="W676">
        <f>excelsalesdata[[#This Row],[Quantity]]*excelsalesdata[[#This Row],[Unit_Price]]</f>
        <v>11580</v>
      </c>
      <c r="X676">
        <f>excelsalesdata[[#This Row],[Gross_sales]]*excelsalesdata[[#This Row],[Discount_%]]</f>
        <v>579</v>
      </c>
      <c r="Y676">
        <f>excelsalesdata[[#This Row],[Gross_sales]]-excelsalesdata[[#This Row],[Discount_amt]]</f>
        <v>11001</v>
      </c>
      <c r="Z676" s="4">
        <f>excelsalesdata[[#This Row],[Net_sales]]-excelsalesdata[[#This Row],[Cost]]</f>
        <v>2751</v>
      </c>
      <c r="AA676" s="5">
        <f>excelsalesdata[[#This Row],[Profit]]/excelsalesdata[[#This Row],[Net_sales]]</f>
        <v>0.25006817562039813</v>
      </c>
      <c r="AB676" s="4">
        <f>YEAR(excelsalesdata[[#This Row],[Order_Date]])</f>
        <v>2027</v>
      </c>
      <c r="AC676" s="4" t="str">
        <f>TEXT(excelsalesdata[[#This Row],[Order_Date]],"mmm")</f>
        <v>Feb</v>
      </c>
      <c r="AD676" s="4" t="str">
        <f>"Q"&amp;ROUNDUP(MONTH(excelsalesdata[[#This Row],[Order_Date]])/3,0)</f>
        <v>Q1</v>
      </c>
    </row>
    <row r="677" spans="1:30" x14ac:dyDescent="0.35">
      <c r="A677" t="s">
        <v>1372</v>
      </c>
      <c r="B677" s="3">
        <v>46435</v>
      </c>
      <c r="C677" t="s">
        <v>903</v>
      </c>
      <c r="D677" t="s">
        <v>1374</v>
      </c>
      <c r="E677" t="str">
        <f>TRIM(excelsalesdata[[#This Row],[Customer_Name]])</f>
        <v>Karan Joshi</v>
      </c>
      <c r="F677" t="s">
        <v>23</v>
      </c>
      <c r="G677">
        <v>18</v>
      </c>
      <c r="H677" t="s">
        <v>71</v>
      </c>
      <c r="I677" t="str">
        <f>TRIM(excelsalesdata[[#This Row],[City]])</f>
        <v>Bhubaneswar</v>
      </c>
      <c r="J677" t="s">
        <v>72</v>
      </c>
      <c r="K677" t="s">
        <v>37</v>
      </c>
      <c r="L677" t="s">
        <v>38</v>
      </c>
      <c r="M677" t="s">
        <v>119</v>
      </c>
      <c r="N677" t="s">
        <v>119</v>
      </c>
      <c r="O677">
        <v>1</v>
      </c>
      <c r="P677">
        <v>8440</v>
      </c>
      <c r="Q677">
        <v>0</v>
      </c>
      <c r="R677">
        <v>5540</v>
      </c>
      <c r="S677" t="s">
        <v>105</v>
      </c>
      <c r="T677" t="s">
        <v>81</v>
      </c>
      <c r="U677">
        <v>0</v>
      </c>
      <c r="V677" t="s">
        <v>40</v>
      </c>
      <c r="W677">
        <f>excelsalesdata[[#This Row],[Quantity]]*excelsalesdata[[#This Row],[Unit_Price]]</f>
        <v>8440</v>
      </c>
      <c r="X677">
        <f>excelsalesdata[[#This Row],[Gross_sales]]*excelsalesdata[[#This Row],[Discount_%]]</f>
        <v>0</v>
      </c>
      <c r="Y677">
        <f>excelsalesdata[[#This Row],[Gross_sales]]-excelsalesdata[[#This Row],[Discount_amt]]</f>
        <v>8440</v>
      </c>
      <c r="Z677" s="4">
        <f>excelsalesdata[[#This Row],[Net_sales]]-excelsalesdata[[#This Row],[Cost]]</f>
        <v>2900</v>
      </c>
      <c r="AA677" s="5">
        <f>excelsalesdata[[#This Row],[Profit]]/excelsalesdata[[#This Row],[Net_sales]]</f>
        <v>0.34360189573459715</v>
      </c>
      <c r="AB677" s="4">
        <f>YEAR(excelsalesdata[[#This Row],[Order_Date]])</f>
        <v>2027</v>
      </c>
      <c r="AC677" s="4" t="str">
        <f>TEXT(excelsalesdata[[#This Row],[Order_Date]],"mmm")</f>
        <v>Feb</v>
      </c>
      <c r="AD677" s="4" t="str">
        <f>"Q"&amp;ROUNDUP(MONTH(excelsalesdata[[#This Row],[Order_Date]])/3,0)</f>
        <v>Q1</v>
      </c>
    </row>
    <row r="678" spans="1:30" x14ac:dyDescent="0.35">
      <c r="A678" t="s">
        <v>1373</v>
      </c>
      <c r="B678" s="3">
        <v>46436</v>
      </c>
      <c r="C678" t="s">
        <v>599</v>
      </c>
      <c r="D678" t="s">
        <v>92</v>
      </c>
      <c r="E678" t="str">
        <f>TRIM(excelsalesdata[[#This Row],[Customer_Name]])</f>
        <v>Nisha Iyer</v>
      </c>
      <c r="F678" t="s">
        <v>44</v>
      </c>
      <c r="G678">
        <v>31</v>
      </c>
      <c r="H678" t="s">
        <v>190</v>
      </c>
      <c r="I678" t="str">
        <f>TRIM(excelsalesdata[[#This Row],[City]])</f>
        <v>Ahmedabad</v>
      </c>
      <c r="J678" t="s">
        <v>191</v>
      </c>
      <c r="K678" t="s">
        <v>26</v>
      </c>
      <c r="L678" t="s">
        <v>27</v>
      </c>
      <c r="M678" t="s">
        <v>195</v>
      </c>
      <c r="N678" t="s">
        <v>195</v>
      </c>
      <c r="O678">
        <v>1</v>
      </c>
      <c r="P678">
        <v>2360</v>
      </c>
      <c r="Q678">
        <v>0.15</v>
      </c>
      <c r="R678">
        <v>1180</v>
      </c>
      <c r="S678" t="s">
        <v>105</v>
      </c>
      <c r="T678" t="s">
        <v>81</v>
      </c>
      <c r="U678">
        <v>0</v>
      </c>
      <c r="V678" t="s">
        <v>31</v>
      </c>
      <c r="W678">
        <f>excelsalesdata[[#This Row],[Quantity]]*excelsalesdata[[#This Row],[Unit_Price]]</f>
        <v>2360</v>
      </c>
      <c r="X678">
        <f>excelsalesdata[[#This Row],[Gross_sales]]*excelsalesdata[[#This Row],[Discount_%]]</f>
        <v>354</v>
      </c>
      <c r="Y678">
        <f>excelsalesdata[[#This Row],[Gross_sales]]-excelsalesdata[[#This Row],[Discount_amt]]</f>
        <v>2006</v>
      </c>
      <c r="Z678" s="4">
        <f>excelsalesdata[[#This Row],[Net_sales]]-excelsalesdata[[#This Row],[Cost]]</f>
        <v>826</v>
      </c>
      <c r="AA678" s="5">
        <f>excelsalesdata[[#This Row],[Profit]]/excelsalesdata[[#This Row],[Net_sales]]</f>
        <v>0.41176470588235292</v>
      </c>
      <c r="AB678" s="4">
        <f>YEAR(excelsalesdata[[#This Row],[Order_Date]])</f>
        <v>2027</v>
      </c>
      <c r="AC678" s="4" t="str">
        <f>TEXT(excelsalesdata[[#This Row],[Order_Date]],"mmm")</f>
        <v>Feb</v>
      </c>
      <c r="AD678" s="4" t="str">
        <f>"Q"&amp;ROUNDUP(MONTH(excelsalesdata[[#This Row],[Order_Date]])/3,0)</f>
        <v>Q1</v>
      </c>
    </row>
    <row r="679" spans="1:30" x14ac:dyDescent="0.35">
      <c r="A679" t="s">
        <v>1375</v>
      </c>
      <c r="B679" s="3">
        <v>46437</v>
      </c>
      <c r="C679" t="s">
        <v>384</v>
      </c>
      <c r="D679" t="s">
        <v>770</v>
      </c>
      <c r="E679" t="str">
        <f>TRIM(excelsalesdata[[#This Row],[Customer_Name]])</f>
        <v>Karan Naidu</v>
      </c>
      <c r="F679" t="s">
        <v>44</v>
      </c>
      <c r="G679">
        <v>19</v>
      </c>
      <c r="H679" t="s">
        <v>98</v>
      </c>
      <c r="I679" t="str">
        <f>TRIM(excelsalesdata[[#This Row],[City]])</f>
        <v>Mumbai</v>
      </c>
      <c r="J679" t="s">
        <v>25</v>
      </c>
      <c r="K679" t="s">
        <v>26</v>
      </c>
      <c r="L679" t="s">
        <v>27</v>
      </c>
      <c r="M679" t="s">
        <v>28</v>
      </c>
      <c r="N679" t="s">
        <v>28</v>
      </c>
      <c r="O679">
        <v>1</v>
      </c>
      <c r="P679">
        <v>3720</v>
      </c>
      <c r="Q679">
        <v>0.15</v>
      </c>
      <c r="R679">
        <v>2080</v>
      </c>
      <c r="S679" t="s">
        <v>80</v>
      </c>
      <c r="T679" t="s">
        <v>30</v>
      </c>
      <c r="U679">
        <v>5</v>
      </c>
      <c r="V679" t="s">
        <v>40</v>
      </c>
      <c r="W679">
        <f>excelsalesdata[[#This Row],[Quantity]]*excelsalesdata[[#This Row],[Unit_Price]]</f>
        <v>3720</v>
      </c>
      <c r="X679">
        <f>excelsalesdata[[#This Row],[Gross_sales]]*excelsalesdata[[#This Row],[Discount_%]]</f>
        <v>558</v>
      </c>
      <c r="Y679">
        <f>excelsalesdata[[#This Row],[Gross_sales]]-excelsalesdata[[#This Row],[Discount_amt]]</f>
        <v>3162</v>
      </c>
      <c r="Z679" s="4">
        <f>excelsalesdata[[#This Row],[Net_sales]]-excelsalesdata[[#This Row],[Cost]]</f>
        <v>1082</v>
      </c>
      <c r="AA679" s="5">
        <f>excelsalesdata[[#This Row],[Profit]]/excelsalesdata[[#This Row],[Net_sales]]</f>
        <v>0.3421884882985452</v>
      </c>
      <c r="AB679" s="4">
        <f>YEAR(excelsalesdata[[#This Row],[Order_Date]])</f>
        <v>2027</v>
      </c>
      <c r="AC679" s="4" t="str">
        <f>TEXT(excelsalesdata[[#This Row],[Order_Date]],"mmm")</f>
        <v>Feb</v>
      </c>
      <c r="AD679" s="4" t="str">
        <f>"Q"&amp;ROUNDUP(MONTH(excelsalesdata[[#This Row],[Order_Date]])/3,0)</f>
        <v>Q1</v>
      </c>
    </row>
    <row r="680" spans="1:30" x14ac:dyDescent="0.35">
      <c r="A680" t="s">
        <v>1376</v>
      </c>
      <c r="B680" s="3">
        <v>46438</v>
      </c>
      <c r="C680" t="s">
        <v>824</v>
      </c>
      <c r="D680" t="s">
        <v>448</v>
      </c>
      <c r="E680" t="str">
        <f>TRIM(excelsalesdata[[#This Row],[Customer_Name]])</f>
        <v>Nisha Mehta</v>
      </c>
      <c r="F680" t="s">
        <v>23</v>
      </c>
      <c r="G680">
        <v>30</v>
      </c>
      <c r="H680" t="s">
        <v>24</v>
      </c>
      <c r="I680" t="str">
        <f>TRIM(excelsalesdata[[#This Row],[City]])</f>
        <v>Pune</v>
      </c>
      <c r="J680" t="s">
        <v>25</v>
      </c>
      <c r="K680" t="s">
        <v>26</v>
      </c>
      <c r="L680" t="s">
        <v>93</v>
      </c>
      <c r="M680" t="s">
        <v>135</v>
      </c>
      <c r="N680" t="s">
        <v>135</v>
      </c>
      <c r="O680">
        <v>1</v>
      </c>
      <c r="P680">
        <v>1870</v>
      </c>
      <c r="Q680">
        <v>0.05</v>
      </c>
      <c r="R680">
        <v>960</v>
      </c>
      <c r="S680" t="s">
        <v>80</v>
      </c>
      <c r="T680" t="s">
        <v>99</v>
      </c>
      <c r="U680">
        <v>2</v>
      </c>
      <c r="V680" t="s">
        <v>40</v>
      </c>
      <c r="W680">
        <f>excelsalesdata[[#This Row],[Quantity]]*excelsalesdata[[#This Row],[Unit_Price]]</f>
        <v>1870</v>
      </c>
      <c r="X680">
        <f>excelsalesdata[[#This Row],[Gross_sales]]*excelsalesdata[[#This Row],[Discount_%]]</f>
        <v>93.5</v>
      </c>
      <c r="Y680">
        <f>excelsalesdata[[#This Row],[Gross_sales]]-excelsalesdata[[#This Row],[Discount_amt]]</f>
        <v>1776.5</v>
      </c>
      <c r="Z680" s="4">
        <f>excelsalesdata[[#This Row],[Net_sales]]-excelsalesdata[[#This Row],[Cost]]</f>
        <v>816.5</v>
      </c>
      <c r="AA680" s="5">
        <f>excelsalesdata[[#This Row],[Profit]]/excelsalesdata[[#This Row],[Net_sales]]</f>
        <v>0.45961159583450606</v>
      </c>
      <c r="AB680" s="4">
        <f>YEAR(excelsalesdata[[#This Row],[Order_Date]])</f>
        <v>2027</v>
      </c>
      <c r="AC680" s="4" t="str">
        <f>TEXT(excelsalesdata[[#This Row],[Order_Date]],"mmm")</f>
        <v>Feb</v>
      </c>
      <c r="AD680" s="4" t="str">
        <f>"Q"&amp;ROUNDUP(MONTH(excelsalesdata[[#This Row],[Order_Date]])/3,0)</f>
        <v>Q1</v>
      </c>
    </row>
    <row r="681" spans="1:30" x14ac:dyDescent="0.35">
      <c r="A681" t="s">
        <v>1377</v>
      </c>
      <c r="B681" s="3">
        <v>46439</v>
      </c>
      <c r="C681" t="s">
        <v>1378</v>
      </c>
      <c r="D681" t="s">
        <v>315</v>
      </c>
      <c r="E681" t="str">
        <f>TRIM(excelsalesdata[[#This Row],[Customer_Name]])</f>
        <v>Diya Rao</v>
      </c>
      <c r="F681" t="s">
        <v>44</v>
      </c>
      <c r="G681">
        <v>27</v>
      </c>
      <c r="H681" t="s">
        <v>190</v>
      </c>
      <c r="I681" t="str">
        <f>TRIM(excelsalesdata[[#This Row],[City]])</f>
        <v>Ahmedabad</v>
      </c>
      <c r="J681" t="s">
        <v>191</v>
      </c>
      <c r="K681" t="s">
        <v>26</v>
      </c>
      <c r="L681" t="s">
        <v>103</v>
      </c>
      <c r="M681" t="s">
        <v>347</v>
      </c>
      <c r="N681" t="s">
        <v>347</v>
      </c>
      <c r="O681">
        <v>3</v>
      </c>
      <c r="P681">
        <v>11590</v>
      </c>
      <c r="Q681">
        <v>0</v>
      </c>
      <c r="R681">
        <v>8560</v>
      </c>
      <c r="S681" t="s">
        <v>80</v>
      </c>
      <c r="T681" t="s">
        <v>30</v>
      </c>
      <c r="U681">
        <v>5</v>
      </c>
      <c r="V681" t="s">
        <v>40</v>
      </c>
      <c r="W681">
        <f>excelsalesdata[[#This Row],[Quantity]]*excelsalesdata[[#This Row],[Unit_Price]]</f>
        <v>34770</v>
      </c>
      <c r="X681">
        <f>excelsalesdata[[#This Row],[Gross_sales]]*excelsalesdata[[#This Row],[Discount_%]]</f>
        <v>0</v>
      </c>
      <c r="Y681">
        <f>excelsalesdata[[#This Row],[Gross_sales]]-excelsalesdata[[#This Row],[Discount_amt]]</f>
        <v>34770</v>
      </c>
      <c r="Z681" s="4">
        <f>excelsalesdata[[#This Row],[Net_sales]]-excelsalesdata[[#This Row],[Cost]]</f>
        <v>26210</v>
      </c>
      <c r="AA681" s="5">
        <f>excelsalesdata[[#This Row],[Profit]]/excelsalesdata[[#This Row],[Net_sales]]</f>
        <v>0.7538107563991947</v>
      </c>
      <c r="AB681" s="4">
        <f>YEAR(excelsalesdata[[#This Row],[Order_Date]])</f>
        <v>2027</v>
      </c>
      <c r="AC681" s="4" t="str">
        <f>TEXT(excelsalesdata[[#This Row],[Order_Date]],"mmm")</f>
        <v>Feb</v>
      </c>
      <c r="AD681" s="4" t="str">
        <f>"Q"&amp;ROUNDUP(MONTH(excelsalesdata[[#This Row],[Order_Date]])/3,0)</f>
        <v>Q1</v>
      </c>
    </row>
    <row r="682" spans="1:30" x14ac:dyDescent="0.35">
      <c r="A682" t="s">
        <v>1379</v>
      </c>
      <c r="B682" s="3">
        <v>46440</v>
      </c>
      <c r="C682" t="s">
        <v>504</v>
      </c>
      <c r="D682" t="s">
        <v>1381</v>
      </c>
      <c r="E682" t="str">
        <f>TRIM(excelsalesdata[[#This Row],[Customer_Name]])</f>
        <v>Aditya Joshi</v>
      </c>
      <c r="F682" t="s">
        <v>44</v>
      </c>
      <c r="G682">
        <v>19</v>
      </c>
      <c r="H682" t="s">
        <v>190</v>
      </c>
      <c r="I682" t="str">
        <f>TRIM(excelsalesdata[[#This Row],[City]])</f>
        <v>Ahmedabad</v>
      </c>
      <c r="J682" t="s">
        <v>191</v>
      </c>
      <c r="K682" t="s">
        <v>26</v>
      </c>
      <c r="L682" t="s">
        <v>54</v>
      </c>
      <c r="M682" t="s">
        <v>129</v>
      </c>
      <c r="N682" t="s">
        <v>129</v>
      </c>
      <c r="O682">
        <v>2</v>
      </c>
      <c r="P682">
        <v>17980</v>
      </c>
      <c r="Q682">
        <v>0.05</v>
      </c>
      <c r="R682">
        <v>12760</v>
      </c>
      <c r="S682" t="s">
        <v>151</v>
      </c>
      <c r="T682" t="s">
        <v>30</v>
      </c>
      <c r="U682">
        <v>1</v>
      </c>
      <c r="V682" t="s">
        <v>40</v>
      </c>
      <c r="W682">
        <f>excelsalesdata[[#This Row],[Quantity]]*excelsalesdata[[#This Row],[Unit_Price]]</f>
        <v>35960</v>
      </c>
      <c r="X682">
        <f>excelsalesdata[[#This Row],[Gross_sales]]*excelsalesdata[[#This Row],[Discount_%]]</f>
        <v>1798</v>
      </c>
      <c r="Y682">
        <f>excelsalesdata[[#This Row],[Gross_sales]]-excelsalesdata[[#This Row],[Discount_amt]]</f>
        <v>34162</v>
      </c>
      <c r="Z682" s="4">
        <f>excelsalesdata[[#This Row],[Net_sales]]-excelsalesdata[[#This Row],[Cost]]</f>
        <v>21402</v>
      </c>
      <c r="AA682" s="5">
        <f>excelsalesdata[[#This Row],[Profit]]/excelsalesdata[[#This Row],[Net_sales]]</f>
        <v>0.62648556876061123</v>
      </c>
      <c r="AB682" s="4">
        <f>YEAR(excelsalesdata[[#This Row],[Order_Date]])</f>
        <v>2027</v>
      </c>
      <c r="AC682" s="4" t="str">
        <f>TEXT(excelsalesdata[[#This Row],[Order_Date]],"mmm")</f>
        <v>Feb</v>
      </c>
      <c r="AD682" s="4" t="str">
        <f>"Q"&amp;ROUNDUP(MONTH(excelsalesdata[[#This Row],[Order_Date]])/3,0)</f>
        <v>Q1</v>
      </c>
    </row>
    <row r="683" spans="1:30" x14ac:dyDescent="0.35">
      <c r="A683" t="s">
        <v>1380</v>
      </c>
      <c r="B683" s="3">
        <v>46441</v>
      </c>
      <c r="C683" t="s">
        <v>963</v>
      </c>
      <c r="D683" t="s">
        <v>833</v>
      </c>
      <c r="E683" t="str">
        <f>TRIM(excelsalesdata[[#This Row],[Customer_Name]])</f>
        <v>Rohan Mehta</v>
      </c>
      <c r="F683" t="s">
        <v>23</v>
      </c>
      <c r="G683">
        <v>19</v>
      </c>
      <c r="H683" t="s">
        <v>35</v>
      </c>
      <c r="I683" t="str">
        <f>TRIM(excelsalesdata[[#This Row],[City]])</f>
        <v>Kolkata</v>
      </c>
      <c r="J683" t="s">
        <v>36</v>
      </c>
      <c r="K683" t="s">
        <v>37</v>
      </c>
      <c r="L683" t="s">
        <v>27</v>
      </c>
      <c r="M683" t="s">
        <v>195</v>
      </c>
      <c r="N683" t="s">
        <v>195</v>
      </c>
      <c r="O683">
        <v>3</v>
      </c>
      <c r="P683">
        <v>2360</v>
      </c>
      <c r="Q683">
        <v>0.2</v>
      </c>
      <c r="R683">
        <v>1230</v>
      </c>
      <c r="S683" t="s">
        <v>105</v>
      </c>
      <c r="T683" t="s">
        <v>30</v>
      </c>
      <c r="U683">
        <v>7</v>
      </c>
      <c r="V683" t="s">
        <v>40</v>
      </c>
      <c r="W683">
        <f>excelsalesdata[[#This Row],[Quantity]]*excelsalesdata[[#This Row],[Unit_Price]]</f>
        <v>7080</v>
      </c>
      <c r="X683">
        <f>excelsalesdata[[#This Row],[Gross_sales]]*excelsalesdata[[#This Row],[Discount_%]]</f>
        <v>1416</v>
      </c>
      <c r="Y683">
        <f>excelsalesdata[[#This Row],[Gross_sales]]-excelsalesdata[[#This Row],[Discount_amt]]</f>
        <v>5664</v>
      </c>
      <c r="Z683" s="4">
        <f>excelsalesdata[[#This Row],[Net_sales]]-excelsalesdata[[#This Row],[Cost]]</f>
        <v>4434</v>
      </c>
      <c r="AA683" s="5">
        <f>excelsalesdata[[#This Row],[Profit]]/excelsalesdata[[#This Row],[Net_sales]]</f>
        <v>0.78283898305084743</v>
      </c>
      <c r="AB683" s="4">
        <f>YEAR(excelsalesdata[[#This Row],[Order_Date]])</f>
        <v>2027</v>
      </c>
      <c r="AC683" s="4" t="str">
        <f>TEXT(excelsalesdata[[#This Row],[Order_Date]],"mmm")</f>
        <v>Feb</v>
      </c>
      <c r="AD683" s="4" t="str">
        <f>"Q"&amp;ROUNDUP(MONTH(excelsalesdata[[#This Row],[Order_Date]])/3,0)</f>
        <v>Q1</v>
      </c>
    </row>
    <row r="684" spans="1:30" x14ac:dyDescent="0.35">
      <c r="A684" t="s">
        <v>1382</v>
      </c>
      <c r="B684" s="3">
        <v>46442</v>
      </c>
      <c r="C684" t="s">
        <v>1023</v>
      </c>
      <c r="D684" t="s">
        <v>844</v>
      </c>
      <c r="E684" t="str">
        <f>TRIM(excelsalesdata[[#This Row],[Customer_Name]])</f>
        <v>Vikram Gupta</v>
      </c>
      <c r="F684" t="s">
        <v>23</v>
      </c>
      <c r="G684">
        <v>27</v>
      </c>
      <c r="H684" t="s">
        <v>71</v>
      </c>
      <c r="I684" t="str">
        <f>TRIM(excelsalesdata[[#This Row],[City]])</f>
        <v>Bhubaneswar</v>
      </c>
      <c r="J684" t="s">
        <v>72</v>
      </c>
      <c r="K684" t="s">
        <v>37</v>
      </c>
      <c r="L684" t="s">
        <v>27</v>
      </c>
      <c r="M684" t="s">
        <v>28</v>
      </c>
      <c r="N684" t="s">
        <v>28</v>
      </c>
      <c r="O684">
        <v>2</v>
      </c>
      <c r="P684">
        <v>3400</v>
      </c>
      <c r="Q684">
        <v>0.1</v>
      </c>
      <c r="R684">
        <v>2120</v>
      </c>
      <c r="S684" t="s">
        <v>80</v>
      </c>
      <c r="T684" t="s">
        <v>30</v>
      </c>
      <c r="U684">
        <v>8</v>
      </c>
      <c r="V684" t="s">
        <v>40</v>
      </c>
      <c r="W684">
        <f>excelsalesdata[[#This Row],[Quantity]]*excelsalesdata[[#This Row],[Unit_Price]]</f>
        <v>6800</v>
      </c>
      <c r="X684">
        <f>excelsalesdata[[#This Row],[Gross_sales]]*excelsalesdata[[#This Row],[Discount_%]]</f>
        <v>680</v>
      </c>
      <c r="Y684">
        <f>excelsalesdata[[#This Row],[Gross_sales]]-excelsalesdata[[#This Row],[Discount_amt]]</f>
        <v>6120</v>
      </c>
      <c r="Z684" s="4">
        <f>excelsalesdata[[#This Row],[Net_sales]]-excelsalesdata[[#This Row],[Cost]]</f>
        <v>4000</v>
      </c>
      <c r="AA684" s="5">
        <f>excelsalesdata[[#This Row],[Profit]]/excelsalesdata[[#This Row],[Net_sales]]</f>
        <v>0.65359477124183007</v>
      </c>
      <c r="AB684" s="4">
        <f>YEAR(excelsalesdata[[#This Row],[Order_Date]])</f>
        <v>2027</v>
      </c>
      <c r="AC684" s="4" t="str">
        <f>TEXT(excelsalesdata[[#This Row],[Order_Date]],"mmm")</f>
        <v>Feb</v>
      </c>
      <c r="AD684" s="4" t="str">
        <f>"Q"&amp;ROUNDUP(MONTH(excelsalesdata[[#This Row],[Order_Date]])/3,0)</f>
        <v>Q1</v>
      </c>
    </row>
    <row r="685" spans="1:30" x14ac:dyDescent="0.35">
      <c r="A685" t="s">
        <v>1383</v>
      </c>
      <c r="B685" s="3">
        <v>46443</v>
      </c>
      <c r="C685" t="s">
        <v>1384</v>
      </c>
      <c r="D685" t="s">
        <v>713</v>
      </c>
      <c r="E685" t="str">
        <f>TRIM(excelsalesdata[[#This Row],[Customer_Name]])</f>
        <v>Meera Singh</v>
      </c>
      <c r="F685" t="s">
        <v>44</v>
      </c>
      <c r="G685">
        <v>48</v>
      </c>
      <c r="H685" t="s">
        <v>71</v>
      </c>
      <c r="I685" t="str">
        <f>TRIM(excelsalesdata[[#This Row],[City]])</f>
        <v>Bhubaneswar</v>
      </c>
      <c r="J685" t="s">
        <v>72</v>
      </c>
      <c r="K685" t="s">
        <v>37</v>
      </c>
      <c r="L685" t="s">
        <v>38</v>
      </c>
      <c r="M685" t="s">
        <v>255</v>
      </c>
      <c r="N685" t="s">
        <v>255</v>
      </c>
      <c r="O685">
        <v>3</v>
      </c>
      <c r="P685">
        <v>4700</v>
      </c>
      <c r="Q685">
        <v>0.05</v>
      </c>
      <c r="R685">
        <v>2940</v>
      </c>
      <c r="S685" t="s">
        <v>151</v>
      </c>
      <c r="T685" t="s">
        <v>30</v>
      </c>
      <c r="U685">
        <v>3</v>
      </c>
      <c r="V685" t="s">
        <v>40</v>
      </c>
      <c r="W685">
        <f>excelsalesdata[[#This Row],[Quantity]]*excelsalesdata[[#This Row],[Unit_Price]]</f>
        <v>14100</v>
      </c>
      <c r="X685">
        <f>excelsalesdata[[#This Row],[Gross_sales]]*excelsalesdata[[#This Row],[Discount_%]]</f>
        <v>705</v>
      </c>
      <c r="Y685">
        <f>excelsalesdata[[#This Row],[Gross_sales]]-excelsalesdata[[#This Row],[Discount_amt]]</f>
        <v>13395</v>
      </c>
      <c r="Z685" s="4">
        <f>excelsalesdata[[#This Row],[Net_sales]]-excelsalesdata[[#This Row],[Cost]]</f>
        <v>10455</v>
      </c>
      <c r="AA685" s="5">
        <f>excelsalesdata[[#This Row],[Profit]]/excelsalesdata[[#This Row],[Net_sales]]</f>
        <v>0.78051511758118697</v>
      </c>
      <c r="AB685" s="4">
        <f>YEAR(excelsalesdata[[#This Row],[Order_Date]])</f>
        <v>2027</v>
      </c>
      <c r="AC685" s="4" t="str">
        <f>TEXT(excelsalesdata[[#This Row],[Order_Date]],"mmm")</f>
        <v>Feb</v>
      </c>
      <c r="AD685" s="4" t="str">
        <f>"Q"&amp;ROUNDUP(MONTH(excelsalesdata[[#This Row],[Order_Date]])/3,0)</f>
        <v>Q1</v>
      </c>
    </row>
    <row r="686" spans="1:30" x14ac:dyDescent="0.35">
      <c r="A686" t="s">
        <v>1385</v>
      </c>
      <c r="B686" s="3">
        <v>46444</v>
      </c>
      <c r="C686" t="s">
        <v>180</v>
      </c>
      <c r="D686" t="s">
        <v>442</v>
      </c>
      <c r="E686" t="str">
        <f>TRIM(excelsalesdata[[#This Row],[Customer_Name]])</f>
        <v>Arjun Rao</v>
      </c>
      <c r="F686" t="s">
        <v>44</v>
      </c>
      <c r="G686">
        <v>54</v>
      </c>
      <c r="H686" t="s">
        <v>109</v>
      </c>
      <c r="I686" t="str">
        <f>TRIM(excelsalesdata[[#This Row],[City]])</f>
        <v>Mysuru</v>
      </c>
      <c r="J686" t="s">
        <v>53</v>
      </c>
      <c r="K686" t="s">
        <v>47</v>
      </c>
      <c r="L686" t="s">
        <v>85</v>
      </c>
      <c r="M686" t="s">
        <v>110</v>
      </c>
      <c r="N686" t="s">
        <v>110</v>
      </c>
      <c r="O686">
        <v>4</v>
      </c>
      <c r="P686">
        <v>1170</v>
      </c>
      <c r="Q686">
        <v>0.05</v>
      </c>
      <c r="R686">
        <v>600</v>
      </c>
      <c r="S686" t="s">
        <v>29</v>
      </c>
      <c r="T686" t="s">
        <v>30</v>
      </c>
      <c r="U686">
        <v>3</v>
      </c>
      <c r="V686" t="s">
        <v>40</v>
      </c>
      <c r="W686">
        <f>excelsalesdata[[#This Row],[Quantity]]*excelsalesdata[[#This Row],[Unit_Price]]</f>
        <v>4680</v>
      </c>
      <c r="X686">
        <f>excelsalesdata[[#This Row],[Gross_sales]]*excelsalesdata[[#This Row],[Discount_%]]</f>
        <v>234</v>
      </c>
      <c r="Y686">
        <f>excelsalesdata[[#This Row],[Gross_sales]]-excelsalesdata[[#This Row],[Discount_amt]]</f>
        <v>4446</v>
      </c>
      <c r="Z686" s="4">
        <f>excelsalesdata[[#This Row],[Net_sales]]-excelsalesdata[[#This Row],[Cost]]</f>
        <v>3846</v>
      </c>
      <c r="AA686" s="5">
        <f>excelsalesdata[[#This Row],[Profit]]/excelsalesdata[[#This Row],[Net_sales]]</f>
        <v>0.86504723346828605</v>
      </c>
      <c r="AB686" s="4">
        <f>YEAR(excelsalesdata[[#This Row],[Order_Date]])</f>
        <v>2027</v>
      </c>
      <c r="AC686" s="4" t="str">
        <f>TEXT(excelsalesdata[[#This Row],[Order_Date]],"mmm")</f>
        <v>Feb</v>
      </c>
      <c r="AD686" s="4" t="str">
        <f>"Q"&amp;ROUNDUP(MONTH(excelsalesdata[[#This Row],[Order_Date]])/3,0)</f>
        <v>Q1</v>
      </c>
    </row>
    <row r="687" spans="1:30" x14ac:dyDescent="0.35">
      <c r="A687" t="s">
        <v>1386</v>
      </c>
      <c r="B687" s="3">
        <v>46445</v>
      </c>
      <c r="C687" t="s">
        <v>370</v>
      </c>
      <c r="D687" t="s">
        <v>1238</v>
      </c>
      <c r="E687" t="str">
        <f>TRIM(excelsalesdata[[#This Row],[Customer_Name]])</f>
        <v>Rahul Das</v>
      </c>
      <c r="F687" t="s">
        <v>44</v>
      </c>
      <c r="G687">
        <v>41</v>
      </c>
      <c r="H687" t="s">
        <v>60</v>
      </c>
      <c r="I687" t="str">
        <f>TRIM(excelsalesdata[[#This Row],[City]])</f>
        <v>Chandigarh</v>
      </c>
      <c r="J687" t="s">
        <v>60</v>
      </c>
      <c r="K687" t="s">
        <v>61</v>
      </c>
      <c r="L687" t="s">
        <v>103</v>
      </c>
      <c r="M687" t="s">
        <v>238</v>
      </c>
      <c r="N687" t="s">
        <v>238</v>
      </c>
      <c r="O687">
        <v>1</v>
      </c>
      <c r="P687">
        <v>4000</v>
      </c>
      <c r="Q687">
        <v>0.05</v>
      </c>
      <c r="R687">
        <v>2780</v>
      </c>
      <c r="S687" t="s">
        <v>105</v>
      </c>
      <c r="T687" t="s">
        <v>30</v>
      </c>
      <c r="U687">
        <v>3</v>
      </c>
      <c r="V687" t="s">
        <v>31</v>
      </c>
      <c r="W687">
        <f>excelsalesdata[[#This Row],[Quantity]]*excelsalesdata[[#This Row],[Unit_Price]]</f>
        <v>4000</v>
      </c>
      <c r="X687">
        <f>excelsalesdata[[#This Row],[Gross_sales]]*excelsalesdata[[#This Row],[Discount_%]]</f>
        <v>200</v>
      </c>
      <c r="Y687">
        <f>excelsalesdata[[#This Row],[Gross_sales]]-excelsalesdata[[#This Row],[Discount_amt]]</f>
        <v>3800</v>
      </c>
      <c r="Z687" s="4">
        <f>excelsalesdata[[#This Row],[Net_sales]]-excelsalesdata[[#This Row],[Cost]]</f>
        <v>1020</v>
      </c>
      <c r="AA687" s="5">
        <f>excelsalesdata[[#This Row],[Profit]]/excelsalesdata[[#This Row],[Net_sales]]</f>
        <v>0.26842105263157895</v>
      </c>
      <c r="AB687" s="4">
        <f>YEAR(excelsalesdata[[#This Row],[Order_Date]])</f>
        <v>2027</v>
      </c>
      <c r="AC687" s="4" t="str">
        <f>TEXT(excelsalesdata[[#This Row],[Order_Date]],"mmm")</f>
        <v>Feb</v>
      </c>
      <c r="AD687" s="4" t="str">
        <f>"Q"&amp;ROUNDUP(MONTH(excelsalesdata[[#This Row],[Order_Date]])/3,0)</f>
        <v>Q1</v>
      </c>
    </row>
    <row r="688" spans="1:30" x14ac:dyDescent="0.35">
      <c r="A688" t="s">
        <v>1387</v>
      </c>
      <c r="B688" s="3">
        <v>46446</v>
      </c>
      <c r="C688" t="s">
        <v>1388</v>
      </c>
      <c r="D688" t="s">
        <v>469</v>
      </c>
      <c r="E688" t="str">
        <f>TRIM(excelsalesdata[[#This Row],[Customer_Name]])</f>
        <v>Rahul Joshi</v>
      </c>
      <c r="F688" t="s">
        <v>23</v>
      </c>
      <c r="G688">
        <v>51</v>
      </c>
      <c r="H688" t="s">
        <v>133</v>
      </c>
      <c r="I688" t="str">
        <f>TRIM(excelsalesdata[[#This Row],[City]])</f>
        <v>Jaipur</v>
      </c>
      <c r="J688" t="s">
        <v>134</v>
      </c>
      <c r="K688" t="s">
        <v>61</v>
      </c>
      <c r="L688" t="s">
        <v>93</v>
      </c>
      <c r="M688" t="s">
        <v>94</v>
      </c>
      <c r="N688" t="s">
        <v>94</v>
      </c>
      <c r="O688">
        <v>1</v>
      </c>
      <c r="P688">
        <v>480</v>
      </c>
      <c r="Q688">
        <v>0.3</v>
      </c>
      <c r="R688">
        <v>240</v>
      </c>
      <c r="S688" t="s">
        <v>80</v>
      </c>
      <c r="T688" t="s">
        <v>30</v>
      </c>
      <c r="U688">
        <v>6</v>
      </c>
      <c r="V688" t="s">
        <v>31</v>
      </c>
      <c r="W688">
        <f>excelsalesdata[[#This Row],[Quantity]]*excelsalesdata[[#This Row],[Unit_Price]]</f>
        <v>480</v>
      </c>
      <c r="X688">
        <f>excelsalesdata[[#This Row],[Gross_sales]]*excelsalesdata[[#This Row],[Discount_%]]</f>
        <v>144</v>
      </c>
      <c r="Y688">
        <f>excelsalesdata[[#This Row],[Gross_sales]]-excelsalesdata[[#This Row],[Discount_amt]]</f>
        <v>336</v>
      </c>
      <c r="Z688" s="4">
        <f>excelsalesdata[[#This Row],[Net_sales]]-excelsalesdata[[#This Row],[Cost]]</f>
        <v>96</v>
      </c>
      <c r="AA688" s="5">
        <f>excelsalesdata[[#This Row],[Profit]]/excelsalesdata[[#This Row],[Net_sales]]</f>
        <v>0.2857142857142857</v>
      </c>
      <c r="AB688" s="4">
        <f>YEAR(excelsalesdata[[#This Row],[Order_Date]])</f>
        <v>2027</v>
      </c>
      <c r="AC688" s="4" t="str">
        <f>TEXT(excelsalesdata[[#This Row],[Order_Date]],"mmm")</f>
        <v>Feb</v>
      </c>
      <c r="AD688" s="4" t="str">
        <f>"Q"&amp;ROUNDUP(MONTH(excelsalesdata[[#This Row],[Order_Date]])/3,0)</f>
        <v>Q1</v>
      </c>
    </row>
    <row r="689" spans="1:30" x14ac:dyDescent="0.35">
      <c r="A689" t="s">
        <v>1389</v>
      </c>
      <c r="B689" s="3">
        <v>46447</v>
      </c>
      <c r="C689" t="s">
        <v>1390</v>
      </c>
      <c r="D689" t="s">
        <v>1392</v>
      </c>
      <c r="E689" t="str">
        <f>TRIM(excelsalesdata[[#This Row],[Customer_Name]])</f>
        <v>Rohan Das</v>
      </c>
      <c r="F689" t="s">
        <v>23</v>
      </c>
      <c r="G689">
        <v>20</v>
      </c>
      <c r="H689" t="s">
        <v>71</v>
      </c>
      <c r="I689" t="str">
        <f>TRIM(excelsalesdata[[#This Row],[City]])</f>
        <v>Bhubaneswar</v>
      </c>
      <c r="J689" t="s">
        <v>72</v>
      </c>
      <c r="K689" t="s">
        <v>37</v>
      </c>
      <c r="L689" t="s">
        <v>27</v>
      </c>
      <c r="M689" t="s">
        <v>295</v>
      </c>
      <c r="N689" t="s">
        <v>295</v>
      </c>
      <c r="O689">
        <v>2</v>
      </c>
      <c r="P689">
        <v>4180</v>
      </c>
      <c r="Q689">
        <v>0.25</v>
      </c>
      <c r="R689">
        <v>2490</v>
      </c>
      <c r="S689" t="s">
        <v>80</v>
      </c>
      <c r="T689" t="s">
        <v>30</v>
      </c>
      <c r="U689">
        <v>5</v>
      </c>
      <c r="V689" t="s">
        <v>40</v>
      </c>
      <c r="W689">
        <f>excelsalesdata[[#This Row],[Quantity]]*excelsalesdata[[#This Row],[Unit_Price]]</f>
        <v>8360</v>
      </c>
      <c r="X689">
        <f>excelsalesdata[[#This Row],[Gross_sales]]*excelsalesdata[[#This Row],[Discount_%]]</f>
        <v>2090</v>
      </c>
      <c r="Y689">
        <f>excelsalesdata[[#This Row],[Gross_sales]]-excelsalesdata[[#This Row],[Discount_amt]]</f>
        <v>6270</v>
      </c>
      <c r="Z689" s="4">
        <f>excelsalesdata[[#This Row],[Net_sales]]-excelsalesdata[[#This Row],[Cost]]</f>
        <v>3780</v>
      </c>
      <c r="AA689" s="5">
        <f>excelsalesdata[[#This Row],[Profit]]/excelsalesdata[[#This Row],[Net_sales]]</f>
        <v>0.60287081339712922</v>
      </c>
      <c r="AB689" s="4">
        <f>YEAR(excelsalesdata[[#This Row],[Order_Date]])</f>
        <v>2027</v>
      </c>
      <c r="AC689" s="4" t="str">
        <f>TEXT(excelsalesdata[[#This Row],[Order_Date]],"mmm")</f>
        <v>Mar</v>
      </c>
      <c r="AD689" s="4" t="str">
        <f>"Q"&amp;ROUNDUP(MONTH(excelsalesdata[[#This Row],[Order_Date]])/3,0)</f>
        <v>Q1</v>
      </c>
    </row>
    <row r="690" spans="1:30" x14ac:dyDescent="0.35">
      <c r="A690" t="s">
        <v>1391</v>
      </c>
      <c r="B690" s="3">
        <v>46448</v>
      </c>
      <c r="C690" t="s">
        <v>633</v>
      </c>
      <c r="D690" t="s">
        <v>1394</v>
      </c>
      <c r="E690" t="str">
        <f>TRIM(excelsalesdata[[#This Row],[Customer_Name]])</f>
        <v>Vikram Kumar</v>
      </c>
      <c r="F690" t="s">
        <v>23</v>
      </c>
      <c r="G690">
        <v>30</v>
      </c>
      <c r="H690" t="s">
        <v>114</v>
      </c>
      <c r="I690" t="str">
        <f>TRIM(excelsalesdata[[#This Row],[City]])</f>
        <v>Hyderabad</v>
      </c>
      <c r="J690" t="s">
        <v>115</v>
      </c>
      <c r="K690" t="s">
        <v>47</v>
      </c>
      <c r="L690" t="s">
        <v>27</v>
      </c>
      <c r="M690" t="s">
        <v>28</v>
      </c>
      <c r="N690" t="s">
        <v>28</v>
      </c>
      <c r="O690">
        <v>1</v>
      </c>
      <c r="P690">
        <v>3520</v>
      </c>
      <c r="Q690">
        <v>0.25</v>
      </c>
      <c r="R690">
        <v>2170</v>
      </c>
      <c r="S690" t="s">
        <v>29</v>
      </c>
      <c r="T690" t="s">
        <v>30</v>
      </c>
      <c r="U690">
        <v>4</v>
      </c>
      <c r="V690" t="s">
        <v>31</v>
      </c>
      <c r="W690">
        <f>excelsalesdata[[#This Row],[Quantity]]*excelsalesdata[[#This Row],[Unit_Price]]</f>
        <v>3520</v>
      </c>
      <c r="X690">
        <f>excelsalesdata[[#This Row],[Gross_sales]]*excelsalesdata[[#This Row],[Discount_%]]</f>
        <v>880</v>
      </c>
      <c r="Y690">
        <f>excelsalesdata[[#This Row],[Gross_sales]]-excelsalesdata[[#This Row],[Discount_amt]]</f>
        <v>2640</v>
      </c>
      <c r="Z690" s="4">
        <f>excelsalesdata[[#This Row],[Net_sales]]-excelsalesdata[[#This Row],[Cost]]</f>
        <v>470</v>
      </c>
      <c r="AA690" s="5">
        <f>excelsalesdata[[#This Row],[Profit]]/excelsalesdata[[#This Row],[Net_sales]]</f>
        <v>0.17803030303030304</v>
      </c>
      <c r="AB690" s="4">
        <f>YEAR(excelsalesdata[[#This Row],[Order_Date]])</f>
        <v>2027</v>
      </c>
      <c r="AC690" s="4" t="str">
        <f>TEXT(excelsalesdata[[#This Row],[Order_Date]],"mmm")</f>
        <v>Mar</v>
      </c>
      <c r="AD690" s="4" t="str">
        <f>"Q"&amp;ROUNDUP(MONTH(excelsalesdata[[#This Row],[Order_Date]])/3,0)</f>
        <v>Q1</v>
      </c>
    </row>
    <row r="691" spans="1:30" x14ac:dyDescent="0.35">
      <c r="A691" t="s">
        <v>1393</v>
      </c>
      <c r="B691" s="3">
        <v>46449</v>
      </c>
      <c r="C691" t="s">
        <v>590</v>
      </c>
      <c r="D691" t="s">
        <v>262</v>
      </c>
      <c r="E691" t="str">
        <f>TRIM(excelsalesdata[[#This Row],[Customer_Name]])</f>
        <v>Arjun Joshi</v>
      </c>
      <c r="F691" t="s">
        <v>23</v>
      </c>
      <c r="G691">
        <v>36</v>
      </c>
      <c r="H691" t="s">
        <v>185</v>
      </c>
      <c r="I691" t="str">
        <f>TRIM(excelsalesdata[[#This Row],[City]])</f>
        <v>Lucknow</v>
      </c>
      <c r="J691" t="s">
        <v>186</v>
      </c>
      <c r="K691" t="s">
        <v>61</v>
      </c>
      <c r="L691" t="s">
        <v>38</v>
      </c>
      <c r="M691" t="s">
        <v>161</v>
      </c>
      <c r="N691" t="s">
        <v>161</v>
      </c>
      <c r="O691">
        <v>1</v>
      </c>
      <c r="P691">
        <v>26300</v>
      </c>
      <c r="Q691">
        <v>0</v>
      </c>
      <c r="R691">
        <v>21030</v>
      </c>
      <c r="S691" t="s">
        <v>29</v>
      </c>
      <c r="T691" t="s">
        <v>30</v>
      </c>
      <c r="U691">
        <v>5</v>
      </c>
      <c r="V691" t="s">
        <v>40</v>
      </c>
      <c r="W691">
        <f>excelsalesdata[[#This Row],[Quantity]]*excelsalesdata[[#This Row],[Unit_Price]]</f>
        <v>26300</v>
      </c>
      <c r="X691">
        <f>excelsalesdata[[#This Row],[Gross_sales]]*excelsalesdata[[#This Row],[Discount_%]]</f>
        <v>0</v>
      </c>
      <c r="Y691">
        <f>excelsalesdata[[#This Row],[Gross_sales]]-excelsalesdata[[#This Row],[Discount_amt]]</f>
        <v>26300</v>
      </c>
      <c r="Z691" s="4">
        <f>excelsalesdata[[#This Row],[Net_sales]]-excelsalesdata[[#This Row],[Cost]]</f>
        <v>5270</v>
      </c>
      <c r="AA691" s="5">
        <f>excelsalesdata[[#This Row],[Profit]]/excelsalesdata[[#This Row],[Net_sales]]</f>
        <v>0.20038022813688214</v>
      </c>
      <c r="AB691" s="4">
        <f>YEAR(excelsalesdata[[#This Row],[Order_Date]])</f>
        <v>2027</v>
      </c>
      <c r="AC691" s="4" t="str">
        <f>TEXT(excelsalesdata[[#This Row],[Order_Date]],"mmm")</f>
        <v>Mar</v>
      </c>
      <c r="AD691" s="4" t="str">
        <f>"Q"&amp;ROUNDUP(MONTH(excelsalesdata[[#This Row],[Order_Date]])/3,0)</f>
        <v>Q1</v>
      </c>
    </row>
    <row r="692" spans="1:30" x14ac:dyDescent="0.35">
      <c r="A692" t="s">
        <v>1395</v>
      </c>
      <c r="B692" s="3">
        <v>46450</v>
      </c>
      <c r="C692" t="s">
        <v>434</v>
      </c>
      <c r="D692" t="s">
        <v>325</v>
      </c>
      <c r="E692" t="str">
        <f>TRIM(excelsalesdata[[#This Row],[Customer_Name]])</f>
        <v>Ishita Iyer</v>
      </c>
      <c r="F692" t="s">
        <v>44</v>
      </c>
      <c r="G692">
        <v>44</v>
      </c>
      <c r="H692" t="s">
        <v>45</v>
      </c>
      <c r="I692" t="str">
        <f>TRIM(excelsalesdata[[#This Row],[City]])</f>
        <v>Kochi</v>
      </c>
      <c r="J692" t="s">
        <v>46</v>
      </c>
      <c r="K692" t="s">
        <v>47</v>
      </c>
      <c r="L692" t="s">
        <v>38</v>
      </c>
      <c r="M692" t="s">
        <v>119</v>
      </c>
      <c r="N692" t="s">
        <v>119</v>
      </c>
      <c r="O692">
        <v>2</v>
      </c>
      <c r="P692">
        <v>8770</v>
      </c>
      <c r="Q692">
        <v>0.15</v>
      </c>
      <c r="R692">
        <v>5600</v>
      </c>
      <c r="S692" t="s">
        <v>67</v>
      </c>
      <c r="T692" t="s">
        <v>30</v>
      </c>
      <c r="U692">
        <v>3</v>
      </c>
      <c r="V692" t="s">
        <v>40</v>
      </c>
      <c r="W692">
        <f>excelsalesdata[[#This Row],[Quantity]]*excelsalesdata[[#This Row],[Unit_Price]]</f>
        <v>17540</v>
      </c>
      <c r="X692">
        <f>excelsalesdata[[#This Row],[Gross_sales]]*excelsalesdata[[#This Row],[Discount_%]]</f>
        <v>2631</v>
      </c>
      <c r="Y692">
        <f>excelsalesdata[[#This Row],[Gross_sales]]-excelsalesdata[[#This Row],[Discount_amt]]</f>
        <v>14909</v>
      </c>
      <c r="Z692" s="4">
        <f>excelsalesdata[[#This Row],[Net_sales]]-excelsalesdata[[#This Row],[Cost]]</f>
        <v>9309</v>
      </c>
      <c r="AA692" s="5">
        <f>excelsalesdata[[#This Row],[Profit]]/excelsalesdata[[#This Row],[Net_sales]]</f>
        <v>0.62438795358508281</v>
      </c>
      <c r="AB692" s="4">
        <f>YEAR(excelsalesdata[[#This Row],[Order_Date]])</f>
        <v>2027</v>
      </c>
      <c r="AC692" s="4" t="str">
        <f>TEXT(excelsalesdata[[#This Row],[Order_Date]],"mmm")</f>
        <v>Mar</v>
      </c>
      <c r="AD692" s="4" t="str">
        <f>"Q"&amp;ROUNDUP(MONTH(excelsalesdata[[#This Row],[Order_Date]])/3,0)</f>
        <v>Q1</v>
      </c>
    </row>
    <row r="693" spans="1:30" x14ac:dyDescent="0.35">
      <c r="A693" t="s">
        <v>1396</v>
      </c>
      <c r="B693" s="3">
        <v>46451</v>
      </c>
      <c r="C693" t="s">
        <v>88</v>
      </c>
      <c r="D693" t="s">
        <v>1371</v>
      </c>
      <c r="E693" t="str">
        <f>TRIM(excelsalesdata[[#This Row],[Customer_Name]])</f>
        <v>Aditya Das</v>
      </c>
      <c r="F693" t="s">
        <v>44</v>
      </c>
      <c r="G693">
        <v>40</v>
      </c>
      <c r="H693" t="s">
        <v>78</v>
      </c>
      <c r="I693" t="str">
        <f>TRIM(excelsalesdata[[#This Row],[City]])</f>
        <v>Guwahati</v>
      </c>
      <c r="J693" t="s">
        <v>79</v>
      </c>
      <c r="K693" t="s">
        <v>37</v>
      </c>
      <c r="L693" t="s">
        <v>103</v>
      </c>
      <c r="M693" t="s">
        <v>347</v>
      </c>
      <c r="N693" t="s">
        <v>347</v>
      </c>
      <c r="O693">
        <v>3</v>
      </c>
      <c r="P693">
        <v>11670</v>
      </c>
      <c r="Q693">
        <v>0.05</v>
      </c>
      <c r="R693">
        <v>7930</v>
      </c>
      <c r="S693" t="s">
        <v>151</v>
      </c>
      <c r="T693" t="s">
        <v>30</v>
      </c>
      <c r="U693">
        <v>3</v>
      </c>
      <c r="V693" t="s">
        <v>31</v>
      </c>
      <c r="W693">
        <f>excelsalesdata[[#This Row],[Quantity]]*excelsalesdata[[#This Row],[Unit_Price]]</f>
        <v>35010</v>
      </c>
      <c r="X693">
        <f>excelsalesdata[[#This Row],[Gross_sales]]*excelsalesdata[[#This Row],[Discount_%]]</f>
        <v>1750.5</v>
      </c>
      <c r="Y693">
        <f>excelsalesdata[[#This Row],[Gross_sales]]-excelsalesdata[[#This Row],[Discount_amt]]</f>
        <v>33259.5</v>
      </c>
      <c r="Z693" s="4">
        <f>excelsalesdata[[#This Row],[Net_sales]]-excelsalesdata[[#This Row],[Cost]]</f>
        <v>25329.5</v>
      </c>
      <c r="AA693" s="5">
        <f>excelsalesdata[[#This Row],[Profit]]/excelsalesdata[[#This Row],[Net_sales]]</f>
        <v>0.76157188171800538</v>
      </c>
      <c r="AB693" s="4">
        <f>YEAR(excelsalesdata[[#This Row],[Order_Date]])</f>
        <v>2027</v>
      </c>
      <c r="AC693" s="4" t="str">
        <f>TEXT(excelsalesdata[[#This Row],[Order_Date]],"mmm")</f>
        <v>Mar</v>
      </c>
      <c r="AD693" s="4" t="str">
        <f>"Q"&amp;ROUNDUP(MONTH(excelsalesdata[[#This Row],[Order_Date]])/3,0)</f>
        <v>Q1</v>
      </c>
    </row>
    <row r="694" spans="1:30" x14ac:dyDescent="0.35">
      <c r="A694" t="s">
        <v>1397</v>
      </c>
      <c r="B694" s="3">
        <v>46452</v>
      </c>
      <c r="C694" t="s">
        <v>726</v>
      </c>
      <c r="D694" t="s">
        <v>922</v>
      </c>
      <c r="E694" t="str">
        <f>TRIM(excelsalesdata[[#This Row],[Customer_Name]])</f>
        <v>Arjun Kumar</v>
      </c>
      <c r="F694" t="s">
        <v>23</v>
      </c>
      <c r="G694">
        <v>33</v>
      </c>
      <c r="H694" t="s">
        <v>52</v>
      </c>
      <c r="I694" t="str">
        <f>TRIM(excelsalesdata[[#This Row],[City]])</f>
        <v>Bengaluru</v>
      </c>
      <c r="J694" t="s">
        <v>53</v>
      </c>
      <c r="K694" t="s">
        <v>47</v>
      </c>
      <c r="L694" t="s">
        <v>54</v>
      </c>
      <c r="M694" t="s">
        <v>66</v>
      </c>
      <c r="N694" t="s">
        <v>66</v>
      </c>
      <c r="O694">
        <v>2</v>
      </c>
      <c r="P694">
        <v>2680</v>
      </c>
      <c r="Q694">
        <v>0.05</v>
      </c>
      <c r="R694">
        <v>1460</v>
      </c>
      <c r="S694" t="s">
        <v>105</v>
      </c>
      <c r="T694" t="s">
        <v>30</v>
      </c>
      <c r="U694">
        <v>2</v>
      </c>
      <c r="V694" t="s">
        <v>31</v>
      </c>
      <c r="W694">
        <f>excelsalesdata[[#This Row],[Quantity]]*excelsalesdata[[#This Row],[Unit_Price]]</f>
        <v>5360</v>
      </c>
      <c r="X694">
        <f>excelsalesdata[[#This Row],[Gross_sales]]*excelsalesdata[[#This Row],[Discount_%]]</f>
        <v>268</v>
      </c>
      <c r="Y694">
        <f>excelsalesdata[[#This Row],[Gross_sales]]-excelsalesdata[[#This Row],[Discount_amt]]</f>
        <v>5092</v>
      </c>
      <c r="Z694" s="4">
        <f>excelsalesdata[[#This Row],[Net_sales]]-excelsalesdata[[#This Row],[Cost]]</f>
        <v>3632</v>
      </c>
      <c r="AA694" s="5">
        <f>excelsalesdata[[#This Row],[Profit]]/excelsalesdata[[#This Row],[Net_sales]]</f>
        <v>0.71327572663000782</v>
      </c>
      <c r="AB694" s="4">
        <f>YEAR(excelsalesdata[[#This Row],[Order_Date]])</f>
        <v>2027</v>
      </c>
      <c r="AC694" s="4" t="str">
        <f>TEXT(excelsalesdata[[#This Row],[Order_Date]],"mmm")</f>
        <v>Mar</v>
      </c>
      <c r="AD694" s="4" t="str">
        <f>"Q"&amp;ROUNDUP(MONTH(excelsalesdata[[#This Row],[Order_Date]])/3,0)</f>
        <v>Q1</v>
      </c>
    </row>
    <row r="695" spans="1:30" x14ac:dyDescent="0.35">
      <c r="A695" t="s">
        <v>1398</v>
      </c>
      <c r="B695" s="3">
        <v>46453</v>
      </c>
      <c r="C695" t="s">
        <v>1399</v>
      </c>
      <c r="D695" t="s">
        <v>1401</v>
      </c>
      <c r="E695" t="str">
        <f>TRIM(excelsalesdata[[#This Row],[Customer_Name]])</f>
        <v>Meera Kumar</v>
      </c>
      <c r="F695" t="s">
        <v>23</v>
      </c>
      <c r="G695">
        <v>34</v>
      </c>
      <c r="H695" t="s">
        <v>78</v>
      </c>
      <c r="I695" t="str">
        <f>TRIM(excelsalesdata[[#This Row],[City]])</f>
        <v>Guwahati</v>
      </c>
      <c r="J695" t="s">
        <v>79</v>
      </c>
      <c r="K695" t="s">
        <v>37</v>
      </c>
      <c r="L695" t="s">
        <v>85</v>
      </c>
      <c r="M695" t="s">
        <v>86</v>
      </c>
      <c r="N695" t="s">
        <v>86</v>
      </c>
      <c r="O695">
        <v>2</v>
      </c>
      <c r="P695">
        <v>2630</v>
      </c>
      <c r="Q695">
        <v>0.2</v>
      </c>
      <c r="R695">
        <v>1570</v>
      </c>
      <c r="S695" t="s">
        <v>67</v>
      </c>
      <c r="T695" t="s">
        <v>30</v>
      </c>
      <c r="U695">
        <v>4</v>
      </c>
      <c r="V695" t="s">
        <v>40</v>
      </c>
      <c r="W695">
        <f>excelsalesdata[[#This Row],[Quantity]]*excelsalesdata[[#This Row],[Unit_Price]]</f>
        <v>5260</v>
      </c>
      <c r="X695">
        <f>excelsalesdata[[#This Row],[Gross_sales]]*excelsalesdata[[#This Row],[Discount_%]]</f>
        <v>1052</v>
      </c>
      <c r="Y695">
        <f>excelsalesdata[[#This Row],[Gross_sales]]-excelsalesdata[[#This Row],[Discount_amt]]</f>
        <v>4208</v>
      </c>
      <c r="Z695" s="4">
        <f>excelsalesdata[[#This Row],[Net_sales]]-excelsalesdata[[#This Row],[Cost]]</f>
        <v>2638</v>
      </c>
      <c r="AA695" s="5">
        <f>excelsalesdata[[#This Row],[Profit]]/excelsalesdata[[#This Row],[Net_sales]]</f>
        <v>0.62690114068441061</v>
      </c>
      <c r="AB695" s="4">
        <f>YEAR(excelsalesdata[[#This Row],[Order_Date]])</f>
        <v>2027</v>
      </c>
      <c r="AC695" s="4" t="str">
        <f>TEXT(excelsalesdata[[#This Row],[Order_Date]],"mmm")</f>
        <v>Mar</v>
      </c>
      <c r="AD695" s="4" t="str">
        <f>"Q"&amp;ROUNDUP(MONTH(excelsalesdata[[#This Row],[Order_Date]])/3,0)</f>
        <v>Q1</v>
      </c>
    </row>
    <row r="696" spans="1:30" x14ac:dyDescent="0.35">
      <c r="A696" t="s">
        <v>1400</v>
      </c>
      <c r="B696" s="3">
        <v>46454</v>
      </c>
      <c r="C696" t="s">
        <v>913</v>
      </c>
      <c r="D696" t="s">
        <v>713</v>
      </c>
      <c r="E696" t="str">
        <f>TRIM(excelsalesdata[[#This Row],[Customer_Name]])</f>
        <v>Meera Singh</v>
      </c>
      <c r="F696" t="s">
        <v>23</v>
      </c>
      <c r="G696">
        <v>30</v>
      </c>
      <c r="H696" t="s">
        <v>71</v>
      </c>
      <c r="I696" t="str">
        <f>TRIM(excelsalesdata[[#This Row],[City]])</f>
        <v>Bhubaneswar</v>
      </c>
      <c r="J696" t="s">
        <v>72</v>
      </c>
      <c r="K696" t="s">
        <v>37</v>
      </c>
      <c r="L696" t="s">
        <v>27</v>
      </c>
      <c r="M696" t="s">
        <v>195</v>
      </c>
      <c r="N696" t="s">
        <v>195</v>
      </c>
      <c r="O696">
        <v>2</v>
      </c>
      <c r="P696">
        <v>2360</v>
      </c>
      <c r="Q696">
        <v>0.2</v>
      </c>
      <c r="R696">
        <v>1250</v>
      </c>
      <c r="S696" t="s">
        <v>151</v>
      </c>
      <c r="T696" t="s">
        <v>81</v>
      </c>
      <c r="U696">
        <v>0</v>
      </c>
      <c r="V696" t="s">
        <v>40</v>
      </c>
      <c r="W696">
        <f>excelsalesdata[[#This Row],[Quantity]]*excelsalesdata[[#This Row],[Unit_Price]]</f>
        <v>4720</v>
      </c>
      <c r="X696">
        <f>excelsalesdata[[#This Row],[Gross_sales]]*excelsalesdata[[#This Row],[Discount_%]]</f>
        <v>944</v>
      </c>
      <c r="Y696">
        <f>excelsalesdata[[#This Row],[Gross_sales]]-excelsalesdata[[#This Row],[Discount_amt]]</f>
        <v>3776</v>
      </c>
      <c r="Z696" s="4">
        <f>excelsalesdata[[#This Row],[Net_sales]]-excelsalesdata[[#This Row],[Cost]]</f>
        <v>2526</v>
      </c>
      <c r="AA696" s="5">
        <f>excelsalesdata[[#This Row],[Profit]]/excelsalesdata[[#This Row],[Net_sales]]</f>
        <v>0.66896186440677963</v>
      </c>
      <c r="AB696" s="4">
        <f>YEAR(excelsalesdata[[#This Row],[Order_Date]])</f>
        <v>2027</v>
      </c>
      <c r="AC696" s="4" t="str">
        <f>TEXT(excelsalesdata[[#This Row],[Order_Date]],"mmm")</f>
        <v>Mar</v>
      </c>
      <c r="AD696" s="4" t="str">
        <f>"Q"&amp;ROUNDUP(MONTH(excelsalesdata[[#This Row],[Order_Date]])/3,0)</f>
        <v>Q1</v>
      </c>
    </row>
    <row r="697" spans="1:30" x14ac:dyDescent="0.35">
      <c r="A697" t="s">
        <v>1402</v>
      </c>
      <c r="B697" s="3">
        <v>46455</v>
      </c>
      <c r="C697" t="s">
        <v>514</v>
      </c>
      <c r="D697" t="s">
        <v>1404</v>
      </c>
      <c r="E697" t="str">
        <f>TRIM(excelsalesdata[[#This Row],[Customer_Name]])</f>
        <v>Rohan Joshi</v>
      </c>
      <c r="F697" t="s">
        <v>23</v>
      </c>
      <c r="G697">
        <v>25</v>
      </c>
      <c r="H697" t="s">
        <v>190</v>
      </c>
      <c r="I697" t="str">
        <f>TRIM(excelsalesdata[[#This Row],[City]])</f>
        <v>Ahmedabad</v>
      </c>
      <c r="J697" t="s">
        <v>191</v>
      </c>
      <c r="K697" t="s">
        <v>26</v>
      </c>
      <c r="L697" t="s">
        <v>93</v>
      </c>
      <c r="M697" t="s">
        <v>718</v>
      </c>
      <c r="N697" t="s">
        <v>718</v>
      </c>
      <c r="O697">
        <v>2</v>
      </c>
      <c r="P697">
        <v>1910</v>
      </c>
      <c r="Q697">
        <v>0.1</v>
      </c>
      <c r="R697">
        <v>880</v>
      </c>
      <c r="S697" t="s">
        <v>80</v>
      </c>
      <c r="T697" t="s">
        <v>30</v>
      </c>
      <c r="U697">
        <v>4</v>
      </c>
      <c r="V697" t="s">
        <v>31</v>
      </c>
      <c r="W697">
        <f>excelsalesdata[[#This Row],[Quantity]]*excelsalesdata[[#This Row],[Unit_Price]]</f>
        <v>3820</v>
      </c>
      <c r="X697">
        <f>excelsalesdata[[#This Row],[Gross_sales]]*excelsalesdata[[#This Row],[Discount_%]]</f>
        <v>382</v>
      </c>
      <c r="Y697">
        <f>excelsalesdata[[#This Row],[Gross_sales]]-excelsalesdata[[#This Row],[Discount_amt]]</f>
        <v>3438</v>
      </c>
      <c r="Z697" s="4">
        <f>excelsalesdata[[#This Row],[Net_sales]]-excelsalesdata[[#This Row],[Cost]]</f>
        <v>2558</v>
      </c>
      <c r="AA697" s="5">
        <f>excelsalesdata[[#This Row],[Profit]]/excelsalesdata[[#This Row],[Net_sales]]</f>
        <v>0.74403723094822571</v>
      </c>
      <c r="AB697" s="4">
        <f>YEAR(excelsalesdata[[#This Row],[Order_Date]])</f>
        <v>2027</v>
      </c>
      <c r="AC697" s="4" t="str">
        <f>TEXT(excelsalesdata[[#This Row],[Order_Date]],"mmm")</f>
        <v>Mar</v>
      </c>
      <c r="AD697" s="4" t="str">
        <f>"Q"&amp;ROUNDUP(MONTH(excelsalesdata[[#This Row],[Order_Date]])/3,0)</f>
        <v>Q1</v>
      </c>
    </row>
    <row r="698" spans="1:30" x14ac:dyDescent="0.35">
      <c r="A698" t="s">
        <v>1403</v>
      </c>
      <c r="B698" s="3">
        <v>46456</v>
      </c>
      <c r="C698" t="s">
        <v>746</v>
      </c>
      <c r="D698" t="s">
        <v>677</v>
      </c>
      <c r="E698" t="str">
        <f>TRIM(excelsalesdata[[#This Row],[Customer_Name]])</f>
        <v>Vivaan Shah</v>
      </c>
      <c r="F698" t="s">
        <v>23</v>
      </c>
      <c r="G698">
        <v>34</v>
      </c>
      <c r="H698" t="s">
        <v>190</v>
      </c>
      <c r="I698" t="str">
        <f>TRIM(excelsalesdata[[#This Row],[City]])</f>
        <v>Ahmedabad</v>
      </c>
      <c r="J698" t="s">
        <v>191</v>
      </c>
      <c r="K698" t="s">
        <v>26</v>
      </c>
      <c r="L698" t="s">
        <v>93</v>
      </c>
      <c r="M698" t="s">
        <v>94</v>
      </c>
      <c r="N698" t="s">
        <v>94</v>
      </c>
      <c r="O698">
        <v>1</v>
      </c>
      <c r="P698">
        <v>510</v>
      </c>
      <c r="Q698">
        <v>0.1</v>
      </c>
      <c r="R698">
        <v>240</v>
      </c>
      <c r="S698" t="s">
        <v>80</v>
      </c>
      <c r="T698" t="s">
        <v>30</v>
      </c>
      <c r="U698">
        <v>8</v>
      </c>
      <c r="V698" t="s">
        <v>31</v>
      </c>
      <c r="W698">
        <f>excelsalesdata[[#This Row],[Quantity]]*excelsalesdata[[#This Row],[Unit_Price]]</f>
        <v>510</v>
      </c>
      <c r="X698">
        <f>excelsalesdata[[#This Row],[Gross_sales]]*excelsalesdata[[#This Row],[Discount_%]]</f>
        <v>51</v>
      </c>
      <c r="Y698">
        <f>excelsalesdata[[#This Row],[Gross_sales]]-excelsalesdata[[#This Row],[Discount_amt]]</f>
        <v>459</v>
      </c>
      <c r="Z698" s="4">
        <f>excelsalesdata[[#This Row],[Net_sales]]-excelsalesdata[[#This Row],[Cost]]</f>
        <v>219</v>
      </c>
      <c r="AA698" s="5">
        <f>excelsalesdata[[#This Row],[Profit]]/excelsalesdata[[#This Row],[Net_sales]]</f>
        <v>0.47712418300653597</v>
      </c>
      <c r="AB698" s="4">
        <f>YEAR(excelsalesdata[[#This Row],[Order_Date]])</f>
        <v>2027</v>
      </c>
      <c r="AC698" s="4" t="str">
        <f>TEXT(excelsalesdata[[#This Row],[Order_Date]],"mmm")</f>
        <v>Mar</v>
      </c>
      <c r="AD698" s="4" t="str">
        <f>"Q"&amp;ROUNDUP(MONTH(excelsalesdata[[#This Row],[Order_Date]])/3,0)</f>
        <v>Q1</v>
      </c>
    </row>
    <row r="699" spans="1:30" x14ac:dyDescent="0.35">
      <c r="A699" t="s">
        <v>1405</v>
      </c>
      <c r="B699" s="3">
        <v>46457</v>
      </c>
      <c r="C699" t="s">
        <v>893</v>
      </c>
      <c r="D699" t="s">
        <v>896</v>
      </c>
      <c r="E699" t="str">
        <f>TRIM(excelsalesdata[[#This Row],[Customer_Name]])</f>
        <v>Arjun Iyer</v>
      </c>
      <c r="F699" t="s">
        <v>23</v>
      </c>
      <c r="G699">
        <v>32</v>
      </c>
      <c r="H699" t="s">
        <v>78</v>
      </c>
      <c r="I699" t="str">
        <f>TRIM(excelsalesdata[[#This Row],[City]])</f>
        <v>Guwahati</v>
      </c>
      <c r="J699" t="s">
        <v>79</v>
      </c>
      <c r="K699" t="s">
        <v>37</v>
      </c>
      <c r="L699" t="s">
        <v>38</v>
      </c>
      <c r="M699" t="s">
        <v>39</v>
      </c>
      <c r="N699" t="s">
        <v>39</v>
      </c>
      <c r="O699">
        <v>2</v>
      </c>
      <c r="P699">
        <v>6730</v>
      </c>
      <c r="Q699">
        <v>0.1</v>
      </c>
      <c r="R699">
        <v>4080</v>
      </c>
      <c r="S699" t="s">
        <v>105</v>
      </c>
      <c r="T699" t="s">
        <v>99</v>
      </c>
      <c r="U699">
        <v>3</v>
      </c>
      <c r="V699" t="s">
        <v>40</v>
      </c>
      <c r="W699">
        <f>excelsalesdata[[#This Row],[Quantity]]*excelsalesdata[[#This Row],[Unit_Price]]</f>
        <v>13460</v>
      </c>
      <c r="X699">
        <f>excelsalesdata[[#This Row],[Gross_sales]]*excelsalesdata[[#This Row],[Discount_%]]</f>
        <v>1346</v>
      </c>
      <c r="Y699">
        <f>excelsalesdata[[#This Row],[Gross_sales]]-excelsalesdata[[#This Row],[Discount_amt]]</f>
        <v>12114</v>
      </c>
      <c r="Z699" s="4">
        <f>excelsalesdata[[#This Row],[Net_sales]]-excelsalesdata[[#This Row],[Cost]]</f>
        <v>8034</v>
      </c>
      <c r="AA699" s="5">
        <f>excelsalesdata[[#This Row],[Profit]]/excelsalesdata[[#This Row],[Net_sales]]</f>
        <v>0.6631996037642397</v>
      </c>
      <c r="AB699" s="4">
        <f>YEAR(excelsalesdata[[#This Row],[Order_Date]])</f>
        <v>2027</v>
      </c>
      <c r="AC699" s="4" t="str">
        <f>TEXT(excelsalesdata[[#This Row],[Order_Date]],"mmm")</f>
        <v>Mar</v>
      </c>
      <c r="AD699" s="4" t="str">
        <f>"Q"&amp;ROUNDUP(MONTH(excelsalesdata[[#This Row],[Order_Date]])/3,0)</f>
        <v>Q1</v>
      </c>
    </row>
    <row r="700" spans="1:30" x14ac:dyDescent="0.35">
      <c r="A700" t="s">
        <v>1406</v>
      </c>
      <c r="B700" s="3">
        <v>46458</v>
      </c>
      <c r="C700" t="s">
        <v>1407</v>
      </c>
      <c r="D700" t="s">
        <v>1409</v>
      </c>
      <c r="E700" t="str">
        <f>TRIM(excelsalesdata[[#This Row],[Customer_Name]])</f>
        <v>Karan Sharma</v>
      </c>
      <c r="F700" t="s">
        <v>23</v>
      </c>
      <c r="G700">
        <v>42</v>
      </c>
      <c r="H700" t="s">
        <v>133</v>
      </c>
      <c r="I700" t="str">
        <f>TRIM(excelsalesdata[[#This Row],[City]])</f>
        <v>Jaipur</v>
      </c>
      <c r="J700" t="s">
        <v>134</v>
      </c>
      <c r="K700" t="s">
        <v>61</v>
      </c>
      <c r="L700" t="s">
        <v>103</v>
      </c>
      <c r="M700" t="s">
        <v>312</v>
      </c>
      <c r="N700" t="s">
        <v>312</v>
      </c>
      <c r="O700">
        <v>1</v>
      </c>
      <c r="P700">
        <v>6610</v>
      </c>
      <c r="Q700">
        <v>0.2</v>
      </c>
      <c r="R700">
        <v>4130</v>
      </c>
      <c r="S700" t="s">
        <v>80</v>
      </c>
      <c r="T700" t="s">
        <v>30</v>
      </c>
      <c r="U700">
        <v>4</v>
      </c>
      <c r="V700" t="s">
        <v>31</v>
      </c>
      <c r="W700">
        <f>excelsalesdata[[#This Row],[Quantity]]*excelsalesdata[[#This Row],[Unit_Price]]</f>
        <v>6610</v>
      </c>
      <c r="X700">
        <f>excelsalesdata[[#This Row],[Gross_sales]]*excelsalesdata[[#This Row],[Discount_%]]</f>
        <v>1322</v>
      </c>
      <c r="Y700">
        <f>excelsalesdata[[#This Row],[Gross_sales]]-excelsalesdata[[#This Row],[Discount_amt]]</f>
        <v>5288</v>
      </c>
      <c r="Z700" s="4">
        <f>excelsalesdata[[#This Row],[Net_sales]]-excelsalesdata[[#This Row],[Cost]]</f>
        <v>1158</v>
      </c>
      <c r="AA700" s="5">
        <f>excelsalesdata[[#This Row],[Profit]]/excelsalesdata[[#This Row],[Net_sales]]</f>
        <v>0.21898638426626324</v>
      </c>
      <c r="AB700" s="4">
        <f>YEAR(excelsalesdata[[#This Row],[Order_Date]])</f>
        <v>2027</v>
      </c>
      <c r="AC700" s="4" t="str">
        <f>TEXT(excelsalesdata[[#This Row],[Order_Date]],"mmm")</f>
        <v>Mar</v>
      </c>
      <c r="AD700" s="4" t="str">
        <f>"Q"&amp;ROUNDUP(MONTH(excelsalesdata[[#This Row],[Order_Date]])/3,0)</f>
        <v>Q1</v>
      </c>
    </row>
    <row r="701" spans="1:30" x14ac:dyDescent="0.35">
      <c r="A701" t="s">
        <v>1408</v>
      </c>
      <c r="B701" s="3">
        <v>46459</v>
      </c>
      <c r="C701" t="s">
        <v>367</v>
      </c>
      <c r="D701" t="s">
        <v>830</v>
      </c>
      <c r="E701" t="str">
        <f>TRIM(excelsalesdata[[#This Row],[Customer_Name]])</f>
        <v>Rohan Bhat</v>
      </c>
      <c r="F701" t="s">
        <v>44</v>
      </c>
      <c r="G701">
        <v>26</v>
      </c>
      <c r="H701" t="s">
        <v>60</v>
      </c>
      <c r="I701" t="str">
        <f>TRIM(excelsalesdata[[#This Row],[City]])</f>
        <v>Chandigarh</v>
      </c>
      <c r="J701" t="s">
        <v>60</v>
      </c>
      <c r="K701" t="s">
        <v>61</v>
      </c>
      <c r="L701" t="s">
        <v>27</v>
      </c>
      <c r="M701" t="s">
        <v>48</v>
      </c>
      <c r="N701" t="s">
        <v>48</v>
      </c>
      <c r="O701">
        <v>2</v>
      </c>
      <c r="P701">
        <v>900</v>
      </c>
      <c r="Q701">
        <v>0.2</v>
      </c>
      <c r="R701">
        <v>450</v>
      </c>
      <c r="S701" t="s">
        <v>29</v>
      </c>
      <c r="T701" t="s">
        <v>30</v>
      </c>
      <c r="U701">
        <v>3</v>
      </c>
      <c r="V701" t="s">
        <v>31</v>
      </c>
      <c r="W701">
        <f>excelsalesdata[[#This Row],[Quantity]]*excelsalesdata[[#This Row],[Unit_Price]]</f>
        <v>1800</v>
      </c>
      <c r="X701">
        <f>excelsalesdata[[#This Row],[Gross_sales]]*excelsalesdata[[#This Row],[Discount_%]]</f>
        <v>360</v>
      </c>
      <c r="Y701">
        <f>excelsalesdata[[#This Row],[Gross_sales]]-excelsalesdata[[#This Row],[Discount_amt]]</f>
        <v>1440</v>
      </c>
      <c r="Z701" s="4">
        <f>excelsalesdata[[#This Row],[Net_sales]]-excelsalesdata[[#This Row],[Cost]]</f>
        <v>990</v>
      </c>
      <c r="AA701" s="5">
        <f>excelsalesdata[[#This Row],[Profit]]/excelsalesdata[[#This Row],[Net_sales]]</f>
        <v>0.6875</v>
      </c>
      <c r="AB701" s="4">
        <f>YEAR(excelsalesdata[[#This Row],[Order_Date]])</f>
        <v>2027</v>
      </c>
      <c r="AC701" s="4" t="str">
        <f>TEXT(excelsalesdata[[#This Row],[Order_Date]],"mmm")</f>
        <v>Mar</v>
      </c>
      <c r="AD701" s="4" t="str">
        <f>"Q"&amp;ROUNDUP(MONTH(excelsalesdata[[#This Row],[Order_Date]])/3,0)</f>
        <v>Q1</v>
      </c>
    </row>
    <row r="702" spans="1:30" x14ac:dyDescent="0.35">
      <c r="A702" t="s">
        <v>1410</v>
      </c>
      <c r="B702" s="3">
        <v>46460</v>
      </c>
      <c r="C702" t="s">
        <v>552</v>
      </c>
      <c r="D702" t="s">
        <v>925</v>
      </c>
      <c r="E702" t="str">
        <f>TRIM(excelsalesdata[[#This Row],[Customer_Name]])</f>
        <v>Ananya Rao</v>
      </c>
      <c r="F702" t="s">
        <v>23</v>
      </c>
      <c r="G702">
        <v>45</v>
      </c>
      <c r="H702" t="s">
        <v>24</v>
      </c>
      <c r="I702" t="str">
        <f>TRIM(excelsalesdata[[#This Row],[City]])</f>
        <v>Pune</v>
      </c>
      <c r="J702" t="s">
        <v>25</v>
      </c>
      <c r="K702" t="s">
        <v>26</v>
      </c>
      <c r="L702" t="s">
        <v>54</v>
      </c>
      <c r="M702" t="s">
        <v>62</v>
      </c>
      <c r="N702" t="s">
        <v>62</v>
      </c>
      <c r="O702">
        <v>3</v>
      </c>
      <c r="P702">
        <v>21980</v>
      </c>
      <c r="Q702">
        <v>0.1</v>
      </c>
      <c r="R702">
        <v>15740</v>
      </c>
      <c r="S702" t="s">
        <v>67</v>
      </c>
      <c r="T702" t="s">
        <v>30</v>
      </c>
      <c r="U702">
        <v>1</v>
      </c>
      <c r="V702" t="s">
        <v>31</v>
      </c>
      <c r="W702">
        <f>excelsalesdata[[#This Row],[Quantity]]*excelsalesdata[[#This Row],[Unit_Price]]</f>
        <v>65940</v>
      </c>
      <c r="X702">
        <f>excelsalesdata[[#This Row],[Gross_sales]]*excelsalesdata[[#This Row],[Discount_%]]</f>
        <v>6594</v>
      </c>
      <c r="Y702">
        <f>excelsalesdata[[#This Row],[Gross_sales]]-excelsalesdata[[#This Row],[Discount_amt]]</f>
        <v>59346</v>
      </c>
      <c r="Z702" s="4">
        <f>excelsalesdata[[#This Row],[Net_sales]]-excelsalesdata[[#This Row],[Cost]]</f>
        <v>43606</v>
      </c>
      <c r="AA702" s="5">
        <f>excelsalesdata[[#This Row],[Profit]]/excelsalesdata[[#This Row],[Net_sales]]</f>
        <v>0.73477572203686858</v>
      </c>
      <c r="AB702" s="4">
        <f>YEAR(excelsalesdata[[#This Row],[Order_Date]])</f>
        <v>2027</v>
      </c>
      <c r="AC702" s="4" t="str">
        <f>TEXT(excelsalesdata[[#This Row],[Order_Date]],"mmm")</f>
        <v>Mar</v>
      </c>
      <c r="AD702" s="4" t="str">
        <f>"Q"&amp;ROUNDUP(MONTH(excelsalesdata[[#This Row],[Order_Date]])/3,0)</f>
        <v>Q1</v>
      </c>
    </row>
    <row r="703" spans="1:30" x14ac:dyDescent="0.35">
      <c r="A703" t="s">
        <v>1411</v>
      </c>
      <c r="B703" s="3">
        <v>46461</v>
      </c>
      <c r="C703" t="s">
        <v>444</v>
      </c>
      <c r="D703" t="s">
        <v>318</v>
      </c>
      <c r="E703" t="str">
        <f>TRIM(excelsalesdata[[#This Row],[Customer_Name]])</f>
        <v>Kavya Joshi</v>
      </c>
      <c r="F703" t="s">
        <v>23</v>
      </c>
      <c r="G703">
        <v>24</v>
      </c>
      <c r="H703" t="s">
        <v>168</v>
      </c>
      <c r="I703" t="str">
        <f>TRIM(excelsalesdata[[#This Row],[City]])</f>
        <v>Delhi</v>
      </c>
      <c r="J703" t="s">
        <v>168</v>
      </c>
      <c r="K703" t="s">
        <v>61</v>
      </c>
      <c r="L703" t="s">
        <v>54</v>
      </c>
      <c r="M703" t="s">
        <v>66</v>
      </c>
      <c r="N703" t="s">
        <v>66</v>
      </c>
      <c r="O703">
        <v>2</v>
      </c>
      <c r="P703">
        <v>2440</v>
      </c>
      <c r="Q703">
        <v>0</v>
      </c>
      <c r="R703">
        <v>1510</v>
      </c>
      <c r="S703" t="s">
        <v>151</v>
      </c>
      <c r="T703" t="s">
        <v>30</v>
      </c>
      <c r="U703">
        <v>4</v>
      </c>
      <c r="V703" t="s">
        <v>40</v>
      </c>
      <c r="W703">
        <f>excelsalesdata[[#This Row],[Quantity]]*excelsalesdata[[#This Row],[Unit_Price]]</f>
        <v>4880</v>
      </c>
      <c r="X703">
        <f>excelsalesdata[[#This Row],[Gross_sales]]*excelsalesdata[[#This Row],[Discount_%]]</f>
        <v>0</v>
      </c>
      <c r="Y703">
        <f>excelsalesdata[[#This Row],[Gross_sales]]-excelsalesdata[[#This Row],[Discount_amt]]</f>
        <v>4880</v>
      </c>
      <c r="Z703" s="4">
        <f>excelsalesdata[[#This Row],[Net_sales]]-excelsalesdata[[#This Row],[Cost]]</f>
        <v>3370</v>
      </c>
      <c r="AA703" s="5">
        <f>excelsalesdata[[#This Row],[Profit]]/excelsalesdata[[#This Row],[Net_sales]]</f>
        <v>0.69057377049180324</v>
      </c>
      <c r="AB703" s="4">
        <f>YEAR(excelsalesdata[[#This Row],[Order_Date]])</f>
        <v>2027</v>
      </c>
      <c r="AC703" s="4" t="str">
        <f>TEXT(excelsalesdata[[#This Row],[Order_Date]],"mmm")</f>
        <v>Mar</v>
      </c>
      <c r="AD703" s="4" t="str">
        <f>"Q"&amp;ROUNDUP(MONTH(excelsalesdata[[#This Row],[Order_Date]])/3,0)</f>
        <v>Q1</v>
      </c>
    </row>
    <row r="704" spans="1:30" x14ac:dyDescent="0.35">
      <c r="A704" t="s">
        <v>1412</v>
      </c>
      <c r="B704" s="3">
        <v>46462</v>
      </c>
      <c r="C704" t="s">
        <v>1186</v>
      </c>
      <c r="D704" t="s">
        <v>413</v>
      </c>
      <c r="E704" t="str">
        <f>TRIM(excelsalesdata[[#This Row],[Customer_Name]])</f>
        <v>Rahul Mehta</v>
      </c>
      <c r="F704" t="s">
        <v>23</v>
      </c>
      <c r="G704">
        <v>21</v>
      </c>
      <c r="H704" t="s">
        <v>190</v>
      </c>
      <c r="I704" t="str">
        <f>TRIM(excelsalesdata[[#This Row],[City]])</f>
        <v>Ahmedabad</v>
      </c>
      <c r="J704" t="s">
        <v>191</v>
      </c>
      <c r="K704" t="s">
        <v>26</v>
      </c>
      <c r="L704" t="s">
        <v>27</v>
      </c>
      <c r="M704" t="s">
        <v>28</v>
      </c>
      <c r="N704" t="s">
        <v>28</v>
      </c>
      <c r="O704">
        <v>2</v>
      </c>
      <c r="P704">
        <v>3380</v>
      </c>
      <c r="Q704">
        <v>0.1</v>
      </c>
      <c r="R704">
        <v>2060</v>
      </c>
      <c r="S704" t="s">
        <v>29</v>
      </c>
      <c r="T704" t="s">
        <v>30</v>
      </c>
      <c r="U704">
        <v>2</v>
      </c>
      <c r="V704" t="s">
        <v>40</v>
      </c>
      <c r="W704">
        <f>excelsalesdata[[#This Row],[Quantity]]*excelsalesdata[[#This Row],[Unit_Price]]</f>
        <v>6760</v>
      </c>
      <c r="X704">
        <f>excelsalesdata[[#This Row],[Gross_sales]]*excelsalesdata[[#This Row],[Discount_%]]</f>
        <v>676</v>
      </c>
      <c r="Y704">
        <f>excelsalesdata[[#This Row],[Gross_sales]]-excelsalesdata[[#This Row],[Discount_amt]]</f>
        <v>6084</v>
      </c>
      <c r="Z704" s="4">
        <f>excelsalesdata[[#This Row],[Net_sales]]-excelsalesdata[[#This Row],[Cost]]</f>
        <v>4024</v>
      </c>
      <c r="AA704" s="5">
        <f>excelsalesdata[[#This Row],[Profit]]/excelsalesdata[[#This Row],[Net_sales]]</f>
        <v>0.66140696909927676</v>
      </c>
      <c r="AB704" s="4">
        <f>YEAR(excelsalesdata[[#This Row],[Order_Date]])</f>
        <v>2027</v>
      </c>
      <c r="AC704" s="4" t="str">
        <f>TEXT(excelsalesdata[[#This Row],[Order_Date]],"mmm")</f>
        <v>Mar</v>
      </c>
      <c r="AD704" s="4" t="str">
        <f>"Q"&amp;ROUNDUP(MONTH(excelsalesdata[[#This Row],[Order_Date]])/3,0)</f>
        <v>Q1</v>
      </c>
    </row>
    <row r="705" spans="1:30" x14ac:dyDescent="0.35">
      <c r="A705" t="s">
        <v>1413</v>
      </c>
      <c r="B705" s="3">
        <v>46463</v>
      </c>
      <c r="C705" t="s">
        <v>1414</v>
      </c>
      <c r="D705" t="s">
        <v>102</v>
      </c>
      <c r="E705" t="str">
        <f>TRIM(excelsalesdata[[#This Row],[Customer_Name]])</f>
        <v>Nisha Sharma</v>
      </c>
      <c r="F705" t="s">
        <v>44</v>
      </c>
      <c r="G705">
        <v>37</v>
      </c>
      <c r="H705" t="s">
        <v>52</v>
      </c>
      <c r="I705" t="str">
        <f>TRIM(excelsalesdata[[#This Row],[City]])</f>
        <v>Bengaluru</v>
      </c>
      <c r="J705" t="s">
        <v>53</v>
      </c>
      <c r="K705" t="s">
        <v>47</v>
      </c>
      <c r="L705" t="s">
        <v>54</v>
      </c>
      <c r="M705" t="s">
        <v>62</v>
      </c>
      <c r="N705" t="s">
        <v>62</v>
      </c>
      <c r="O705">
        <v>4</v>
      </c>
      <c r="P705">
        <v>22500</v>
      </c>
      <c r="Q705">
        <v>0.15</v>
      </c>
      <c r="R705">
        <v>14940</v>
      </c>
      <c r="S705" t="s">
        <v>67</v>
      </c>
      <c r="T705" t="s">
        <v>30</v>
      </c>
      <c r="U705">
        <v>2</v>
      </c>
      <c r="V705" t="s">
        <v>31</v>
      </c>
      <c r="W705">
        <f>excelsalesdata[[#This Row],[Quantity]]*excelsalesdata[[#This Row],[Unit_Price]]</f>
        <v>90000</v>
      </c>
      <c r="X705">
        <f>excelsalesdata[[#This Row],[Gross_sales]]*excelsalesdata[[#This Row],[Discount_%]]</f>
        <v>13500</v>
      </c>
      <c r="Y705">
        <f>excelsalesdata[[#This Row],[Gross_sales]]-excelsalesdata[[#This Row],[Discount_amt]]</f>
        <v>76500</v>
      </c>
      <c r="Z705" s="4">
        <f>excelsalesdata[[#This Row],[Net_sales]]-excelsalesdata[[#This Row],[Cost]]</f>
        <v>61560</v>
      </c>
      <c r="AA705" s="5">
        <f>excelsalesdata[[#This Row],[Profit]]/excelsalesdata[[#This Row],[Net_sales]]</f>
        <v>0.80470588235294116</v>
      </c>
      <c r="AB705" s="4">
        <f>YEAR(excelsalesdata[[#This Row],[Order_Date]])</f>
        <v>2027</v>
      </c>
      <c r="AC705" s="4" t="str">
        <f>TEXT(excelsalesdata[[#This Row],[Order_Date]],"mmm")</f>
        <v>Mar</v>
      </c>
      <c r="AD705" s="4" t="str">
        <f>"Q"&amp;ROUNDUP(MONTH(excelsalesdata[[#This Row],[Order_Date]])/3,0)</f>
        <v>Q1</v>
      </c>
    </row>
    <row r="706" spans="1:30" x14ac:dyDescent="0.35">
      <c r="A706" t="s">
        <v>1415</v>
      </c>
      <c r="B706" s="3">
        <v>46464</v>
      </c>
      <c r="C706" t="s">
        <v>367</v>
      </c>
      <c r="D706" t="s">
        <v>755</v>
      </c>
      <c r="E706" t="str">
        <f>TRIM(excelsalesdata[[#This Row],[Customer_Name]])</f>
        <v>Rahul Singh</v>
      </c>
      <c r="F706" t="s">
        <v>23</v>
      </c>
      <c r="G706">
        <v>42</v>
      </c>
      <c r="H706" t="s">
        <v>45</v>
      </c>
      <c r="I706" t="str">
        <f>TRIM(excelsalesdata[[#This Row],[City]])</f>
        <v>Kochi</v>
      </c>
      <c r="J706" t="s">
        <v>46</v>
      </c>
      <c r="K706" t="s">
        <v>47</v>
      </c>
      <c r="L706" t="s">
        <v>85</v>
      </c>
      <c r="M706" t="s">
        <v>86</v>
      </c>
      <c r="N706" t="s">
        <v>86</v>
      </c>
      <c r="O706">
        <v>3</v>
      </c>
      <c r="P706">
        <v>2470</v>
      </c>
      <c r="Q706">
        <v>0.2</v>
      </c>
      <c r="R706">
        <v>1550</v>
      </c>
      <c r="S706" t="s">
        <v>29</v>
      </c>
      <c r="T706" t="s">
        <v>30</v>
      </c>
      <c r="U706">
        <v>3</v>
      </c>
      <c r="V706" t="s">
        <v>31</v>
      </c>
      <c r="W706">
        <f>excelsalesdata[[#This Row],[Quantity]]*excelsalesdata[[#This Row],[Unit_Price]]</f>
        <v>7410</v>
      </c>
      <c r="X706">
        <f>excelsalesdata[[#This Row],[Gross_sales]]*excelsalesdata[[#This Row],[Discount_%]]</f>
        <v>1482</v>
      </c>
      <c r="Y706">
        <f>excelsalesdata[[#This Row],[Gross_sales]]-excelsalesdata[[#This Row],[Discount_amt]]</f>
        <v>5928</v>
      </c>
      <c r="Z706" s="4">
        <f>excelsalesdata[[#This Row],[Net_sales]]-excelsalesdata[[#This Row],[Cost]]</f>
        <v>4378</v>
      </c>
      <c r="AA706" s="5">
        <f>excelsalesdata[[#This Row],[Profit]]/excelsalesdata[[#This Row],[Net_sales]]</f>
        <v>0.73852901484480427</v>
      </c>
      <c r="AB706" s="4">
        <f>YEAR(excelsalesdata[[#This Row],[Order_Date]])</f>
        <v>2027</v>
      </c>
      <c r="AC706" s="4" t="str">
        <f>TEXT(excelsalesdata[[#This Row],[Order_Date]],"mmm")</f>
        <v>Mar</v>
      </c>
      <c r="AD706" s="4" t="str">
        <f>"Q"&amp;ROUNDUP(MONTH(excelsalesdata[[#This Row],[Order_Date]])/3,0)</f>
        <v>Q1</v>
      </c>
    </row>
    <row r="707" spans="1:30" x14ac:dyDescent="0.35">
      <c r="A707" t="s">
        <v>1416</v>
      </c>
      <c r="B707" s="3">
        <v>46465</v>
      </c>
      <c r="C707" t="s">
        <v>1417</v>
      </c>
      <c r="D707" t="s">
        <v>113</v>
      </c>
      <c r="E707" t="str">
        <f>TRIM(excelsalesdata[[#This Row],[Customer_Name]])</f>
        <v>Nisha Joshi</v>
      </c>
      <c r="F707" t="s">
        <v>23</v>
      </c>
      <c r="G707">
        <v>23</v>
      </c>
      <c r="H707" t="s">
        <v>109</v>
      </c>
      <c r="I707" t="str">
        <f>TRIM(excelsalesdata[[#This Row],[City]])</f>
        <v>Mysuru</v>
      </c>
      <c r="J707" t="s">
        <v>53</v>
      </c>
      <c r="K707" t="s">
        <v>47</v>
      </c>
      <c r="L707" t="s">
        <v>93</v>
      </c>
      <c r="M707" t="s">
        <v>375</v>
      </c>
      <c r="N707" t="s">
        <v>375</v>
      </c>
      <c r="O707">
        <v>1</v>
      </c>
      <c r="P707">
        <v>2240</v>
      </c>
      <c r="Q707">
        <v>0.1</v>
      </c>
      <c r="R707">
        <v>1160</v>
      </c>
      <c r="S707" t="s">
        <v>29</v>
      </c>
      <c r="T707" t="s">
        <v>30</v>
      </c>
      <c r="U707">
        <v>6</v>
      </c>
      <c r="V707" t="s">
        <v>31</v>
      </c>
      <c r="W707">
        <f>excelsalesdata[[#This Row],[Quantity]]*excelsalesdata[[#This Row],[Unit_Price]]</f>
        <v>2240</v>
      </c>
      <c r="X707">
        <f>excelsalesdata[[#This Row],[Gross_sales]]*excelsalesdata[[#This Row],[Discount_%]]</f>
        <v>224</v>
      </c>
      <c r="Y707">
        <f>excelsalesdata[[#This Row],[Gross_sales]]-excelsalesdata[[#This Row],[Discount_amt]]</f>
        <v>2016</v>
      </c>
      <c r="Z707" s="4">
        <f>excelsalesdata[[#This Row],[Net_sales]]-excelsalesdata[[#This Row],[Cost]]</f>
        <v>856</v>
      </c>
      <c r="AA707" s="5">
        <f>excelsalesdata[[#This Row],[Profit]]/excelsalesdata[[#This Row],[Net_sales]]</f>
        <v>0.42460317460317459</v>
      </c>
      <c r="AB707" s="4">
        <f>YEAR(excelsalesdata[[#This Row],[Order_Date]])</f>
        <v>2027</v>
      </c>
      <c r="AC707" s="4" t="str">
        <f>TEXT(excelsalesdata[[#This Row],[Order_Date]],"mmm")</f>
        <v>Mar</v>
      </c>
      <c r="AD707" s="4" t="str">
        <f>"Q"&amp;ROUNDUP(MONTH(excelsalesdata[[#This Row],[Order_Date]])/3,0)</f>
        <v>Q1</v>
      </c>
    </row>
    <row r="708" spans="1:30" x14ac:dyDescent="0.35">
      <c r="A708" t="s">
        <v>1418</v>
      </c>
      <c r="B708" s="3">
        <v>46466</v>
      </c>
      <c r="C708" t="s">
        <v>846</v>
      </c>
      <c r="D708" t="s">
        <v>184</v>
      </c>
      <c r="E708" t="str">
        <f>TRIM(excelsalesdata[[#This Row],[Customer_Name]])</f>
        <v>Aditya Verma</v>
      </c>
      <c r="F708" t="s">
        <v>44</v>
      </c>
      <c r="G708">
        <v>27</v>
      </c>
      <c r="H708" t="s">
        <v>133</v>
      </c>
      <c r="I708" t="str">
        <f>TRIM(excelsalesdata[[#This Row],[City]])</f>
        <v>Jaipur</v>
      </c>
      <c r="J708" t="s">
        <v>134</v>
      </c>
      <c r="K708" t="s">
        <v>61</v>
      </c>
      <c r="L708" t="s">
        <v>103</v>
      </c>
      <c r="M708" t="s">
        <v>178</v>
      </c>
      <c r="N708" t="s">
        <v>178</v>
      </c>
      <c r="O708">
        <v>2</v>
      </c>
      <c r="P708">
        <v>1750</v>
      </c>
      <c r="Q708">
        <v>0.15</v>
      </c>
      <c r="R708">
        <v>900</v>
      </c>
      <c r="S708" t="s">
        <v>151</v>
      </c>
      <c r="T708" t="s">
        <v>30</v>
      </c>
      <c r="U708">
        <v>5</v>
      </c>
      <c r="V708" t="s">
        <v>40</v>
      </c>
      <c r="W708">
        <f>excelsalesdata[[#This Row],[Quantity]]*excelsalesdata[[#This Row],[Unit_Price]]</f>
        <v>3500</v>
      </c>
      <c r="X708">
        <f>excelsalesdata[[#This Row],[Gross_sales]]*excelsalesdata[[#This Row],[Discount_%]]</f>
        <v>525</v>
      </c>
      <c r="Y708">
        <f>excelsalesdata[[#This Row],[Gross_sales]]-excelsalesdata[[#This Row],[Discount_amt]]</f>
        <v>2975</v>
      </c>
      <c r="Z708" s="4">
        <f>excelsalesdata[[#This Row],[Net_sales]]-excelsalesdata[[#This Row],[Cost]]</f>
        <v>2075</v>
      </c>
      <c r="AA708" s="5">
        <f>excelsalesdata[[#This Row],[Profit]]/excelsalesdata[[#This Row],[Net_sales]]</f>
        <v>0.69747899159663862</v>
      </c>
      <c r="AB708" s="4">
        <f>YEAR(excelsalesdata[[#This Row],[Order_Date]])</f>
        <v>2027</v>
      </c>
      <c r="AC708" s="4" t="str">
        <f>TEXT(excelsalesdata[[#This Row],[Order_Date]],"mmm")</f>
        <v>Mar</v>
      </c>
      <c r="AD708" s="4" t="str">
        <f>"Q"&amp;ROUNDUP(MONTH(excelsalesdata[[#This Row],[Order_Date]])/3,0)</f>
        <v>Q1</v>
      </c>
    </row>
    <row r="709" spans="1:30" x14ac:dyDescent="0.35">
      <c r="A709" t="s">
        <v>1419</v>
      </c>
      <c r="B709" s="3">
        <v>46467</v>
      </c>
      <c r="C709" t="s">
        <v>556</v>
      </c>
      <c r="D709" t="s">
        <v>658</v>
      </c>
      <c r="E709" t="str">
        <f>TRIM(excelsalesdata[[#This Row],[Customer_Name]])</f>
        <v>Vikram Mehta</v>
      </c>
      <c r="F709" t="s">
        <v>23</v>
      </c>
      <c r="G709">
        <v>40</v>
      </c>
      <c r="H709" t="s">
        <v>98</v>
      </c>
      <c r="I709" t="str">
        <f>TRIM(excelsalesdata[[#This Row],[City]])</f>
        <v>Mumbai</v>
      </c>
      <c r="J709" t="s">
        <v>25</v>
      </c>
      <c r="K709" t="s">
        <v>26</v>
      </c>
      <c r="L709" t="s">
        <v>93</v>
      </c>
      <c r="M709" t="s">
        <v>206</v>
      </c>
      <c r="N709" t="s">
        <v>206</v>
      </c>
      <c r="O709">
        <v>1</v>
      </c>
      <c r="P709">
        <v>690</v>
      </c>
      <c r="Q709">
        <v>0.2</v>
      </c>
      <c r="R709">
        <v>310</v>
      </c>
      <c r="S709" t="s">
        <v>67</v>
      </c>
      <c r="T709" t="s">
        <v>30</v>
      </c>
      <c r="U709">
        <v>2</v>
      </c>
      <c r="V709" t="s">
        <v>40</v>
      </c>
      <c r="W709">
        <f>excelsalesdata[[#This Row],[Quantity]]*excelsalesdata[[#This Row],[Unit_Price]]</f>
        <v>690</v>
      </c>
      <c r="X709">
        <f>excelsalesdata[[#This Row],[Gross_sales]]*excelsalesdata[[#This Row],[Discount_%]]</f>
        <v>138</v>
      </c>
      <c r="Y709">
        <f>excelsalesdata[[#This Row],[Gross_sales]]-excelsalesdata[[#This Row],[Discount_amt]]</f>
        <v>552</v>
      </c>
      <c r="Z709" s="4">
        <f>excelsalesdata[[#This Row],[Net_sales]]-excelsalesdata[[#This Row],[Cost]]</f>
        <v>242</v>
      </c>
      <c r="AA709" s="5">
        <f>excelsalesdata[[#This Row],[Profit]]/excelsalesdata[[#This Row],[Net_sales]]</f>
        <v>0.43840579710144928</v>
      </c>
      <c r="AB709" s="4">
        <f>YEAR(excelsalesdata[[#This Row],[Order_Date]])</f>
        <v>2027</v>
      </c>
      <c r="AC709" s="4" t="str">
        <f>TEXT(excelsalesdata[[#This Row],[Order_Date]],"mmm")</f>
        <v>Mar</v>
      </c>
      <c r="AD709" s="4" t="str">
        <f>"Q"&amp;ROUNDUP(MONTH(excelsalesdata[[#This Row],[Order_Date]])/3,0)</f>
        <v>Q1</v>
      </c>
    </row>
    <row r="710" spans="1:30" x14ac:dyDescent="0.35">
      <c r="A710" t="s">
        <v>1420</v>
      </c>
      <c r="B710" s="3">
        <v>46468</v>
      </c>
      <c r="C710" t="s">
        <v>696</v>
      </c>
      <c r="D710" t="s">
        <v>147</v>
      </c>
      <c r="E710" t="str">
        <f>TRIM(excelsalesdata[[#This Row],[Customer_Name]])</f>
        <v>Rohan Sharma</v>
      </c>
      <c r="F710" t="s">
        <v>23</v>
      </c>
      <c r="G710">
        <v>30</v>
      </c>
      <c r="H710" t="s">
        <v>114</v>
      </c>
      <c r="I710" t="str">
        <f>TRIM(excelsalesdata[[#This Row],[City]])</f>
        <v>Hyderabad</v>
      </c>
      <c r="J710" t="s">
        <v>115</v>
      </c>
      <c r="K710" t="s">
        <v>47</v>
      </c>
      <c r="L710" t="s">
        <v>54</v>
      </c>
      <c r="M710" t="s">
        <v>129</v>
      </c>
      <c r="N710" t="s">
        <v>129</v>
      </c>
      <c r="O710">
        <v>1</v>
      </c>
      <c r="P710">
        <v>17810</v>
      </c>
      <c r="Q710">
        <v>0.1</v>
      </c>
      <c r="R710">
        <v>12670</v>
      </c>
      <c r="S710" t="s">
        <v>29</v>
      </c>
      <c r="T710" t="s">
        <v>30</v>
      </c>
      <c r="U710">
        <v>2</v>
      </c>
      <c r="V710" t="s">
        <v>31</v>
      </c>
      <c r="W710">
        <f>excelsalesdata[[#This Row],[Quantity]]*excelsalesdata[[#This Row],[Unit_Price]]</f>
        <v>17810</v>
      </c>
      <c r="X710">
        <f>excelsalesdata[[#This Row],[Gross_sales]]*excelsalesdata[[#This Row],[Discount_%]]</f>
        <v>1781</v>
      </c>
      <c r="Y710">
        <f>excelsalesdata[[#This Row],[Gross_sales]]-excelsalesdata[[#This Row],[Discount_amt]]</f>
        <v>16029</v>
      </c>
      <c r="Z710" s="4">
        <f>excelsalesdata[[#This Row],[Net_sales]]-excelsalesdata[[#This Row],[Cost]]</f>
        <v>3359</v>
      </c>
      <c r="AA710" s="5">
        <f>excelsalesdata[[#This Row],[Profit]]/excelsalesdata[[#This Row],[Net_sales]]</f>
        <v>0.20955767671096137</v>
      </c>
      <c r="AB710" s="4">
        <f>YEAR(excelsalesdata[[#This Row],[Order_Date]])</f>
        <v>2027</v>
      </c>
      <c r="AC710" s="4" t="str">
        <f>TEXT(excelsalesdata[[#This Row],[Order_Date]],"mmm")</f>
        <v>Mar</v>
      </c>
      <c r="AD710" s="4" t="str">
        <f>"Q"&amp;ROUNDUP(MONTH(excelsalesdata[[#This Row],[Order_Date]])/3,0)</f>
        <v>Q1</v>
      </c>
    </row>
    <row r="711" spans="1:30" x14ac:dyDescent="0.35">
      <c r="A711" t="s">
        <v>1421</v>
      </c>
      <c r="B711" s="3">
        <v>46469</v>
      </c>
      <c r="C711" t="s">
        <v>1303</v>
      </c>
      <c r="D711" t="s">
        <v>1032</v>
      </c>
      <c r="E711" t="str">
        <f>TRIM(excelsalesdata[[#This Row],[Customer_Name]])</f>
        <v>Aarav Gupta</v>
      </c>
      <c r="F711" t="s">
        <v>44</v>
      </c>
      <c r="G711">
        <v>19</v>
      </c>
      <c r="H711" t="s">
        <v>185</v>
      </c>
      <c r="I711" t="str">
        <f>TRIM(excelsalesdata[[#This Row],[City]])</f>
        <v>Lucknow</v>
      </c>
      <c r="J711" t="s">
        <v>186</v>
      </c>
      <c r="K711" t="s">
        <v>61</v>
      </c>
      <c r="L711" t="s">
        <v>85</v>
      </c>
      <c r="M711" t="s">
        <v>86</v>
      </c>
      <c r="N711" t="s">
        <v>86</v>
      </c>
      <c r="O711">
        <v>2</v>
      </c>
      <c r="P711">
        <v>2340</v>
      </c>
      <c r="Q711">
        <v>0.25</v>
      </c>
      <c r="R711">
        <v>1570</v>
      </c>
      <c r="S711" t="s">
        <v>80</v>
      </c>
      <c r="T711" t="s">
        <v>81</v>
      </c>
      <c r="U711">
        <v>0</v>
      </c>
      <c r="V711" t="s">
        <v>40</v>
      </c>
      <c r="W711">
        <f>excelsalesdata[[#This Row],[Quantity]]*excelsalesdata[[#This Row],[Unit_Price]]</f>
        <v>4680</v>
      </c>
      <c r="X711">
        <f>excelsalesdata[[#This Row],[Gross_sales]]*excelsalesdata[[#This Row],[Discount_%]]</f>
        <v>1170</v>
      </c>
      <c r="Y711">
        <f>excelsalesdata[[#This Row],[Gross_sales]]-excelsalesdata[[#This Row],[Discount_amt]]</f>
        <v>3510</v>
      </c>
      <c r="Z711" s="4">
        <f>excelsalesdata[[#This Row],[Net_sales]]-excelsalesdata[[#This Row],[Cost]]</f>
        <v>1940</v>
      </c>
      <c r="AA711" s="5">
        <f>excelsalesdata[[#This Row],[Profit]]/excelsalesdata[[#This Row],[Net_sales]]</f>
        <v>0.55270655270655267</v>
      </c>
      <c r="AB711" s="4">
        <f>YEAR(excelsalesdata[[#This Row],[Order_Date]])</f>
        <v>2027</v>
      </c>
      <c r="AC711" s="4" t="str">
        <f>TEXT(excelsalesdata[[#This Row],[Order_Date]],"mmm")</f>
        <v>Mar</v>
      </c>
      <c r="AD711" s="4" t="str">
        <f>"Q"&amp;ROUNDUP(MONTH(excelsalesdata[[#This Row],[Order_Date]])/3,0)</f>
        <v>Q1</v>
      </c>
    </row>
    <row r="712" spans="1:30" x14ac:dyDescent="0.35">
      <c r="A712" t="s">
        <v>1422</v>
      </c>
      <c r="B712" s="3">
        <v>46470</v>
      </c>
      <c r="C712" t="s">
        <v>754</v>
      </c>
      <c r="D712" t="s">
        <v>164</v>
      </c>
      <c r="E712" t="str">
        <f>TRIM(excelsalesdata[[#This Row],[Customer_Name]])</f>
        <v>Priya Naidu</v>
      </c>
      <c r="F712" t="s">
        <v>23</v>
      </c>
      <c r="G712">
        <v>48</v>
      </c>
      <c r="H712" t="s">
        <v>185</v>
      </c>
      <c r="I712" t="str">
        <f>TRIM(excelsalesdata[[#This Row],[City]])</f>
        <v>Lucknow</v>
      </c>
      <c r="J712" t="s">
        <v>186</v>
      </c>
      <c r="K712" t="s">
        <v>61</v>
      </c>
      <c r="L712" t="s">
        <v>27</v>
      </c>
      <c r="M712" t="s">
        <v>48</v>
      </c>
      <c r="N712" t="s">
        <v>48</v>
      </c>
      <c r="O712">
        <v>2</v>
      </c>
      <c r="P712">
        <v>920</v>
      </c>
      <c r="Q712">
        <v>0.05</v>
      </c>
      <c r="R712">
        <v>450</v>
      </c>
      <c r="S712" t="s">
        <v>151</v>
      </c>
      <c r="T712" t="s">
        <v>30</v>
      </c>
      <c r="U712">
        <v>3</v>
      </c>
      <c r="V712" t="s">
        <v>31</v>
      </c>
      <c r="W712">
        <f>excelsalesdata[[#This Row],[Quantity]]*excelsalesdata[[#This Row],[Unit_Price]]</f>
        <v>1840</v>
      </c>
      <c r="X712">
        <f>excelsalesdata[[#This Row],[Gross_sales]]*excelsalesdata[[#This Row],[Discount_%]]</f>
        <v>92</v>
      </c>
      <c r="Y712">
        <f>excelsalesdata[[#This Row],[Gross_sales]]-excelsalesdata[[#This Row],[Discount_amt]]</f>
        <v>1748</v>
      </c>
      <c r="Z712" s="4">
        <f>excelsalesdata[[#This Row],[Net_sales]]-excelsalesdata[[#This Row],[Cost]]</f>
        <v>1298</v>
      </c>
      <c r="AA712" s="5">
        <f>excelsalesdata[[#This Row],[Profit]]/excelsalesdata[[#This Row],[Net_sales]]</f>
        <v>0.74256292906178489</v>
      </c>
      <c r="AB712" s="4">
        <f>YEAR(excelsalesdata[[#This Row],[Order_Date]])</f>
        <v>2027</v>
      </c>
      <c r="AC712" s="4" t="str">
        <f>TEXT(excelsalesdata[[#This Row],[Order_Date]],"mmm")</f>
        <v>Mar</v>
      </c>
      <c r="AD712" s="4" t="str">
        <f>"Q"&amp;ROUNDUP(MONTH(excelsalesdata[[#This Row],[Order_Date]])/3,0)</f>
        <v>Q1</v>
      </c>
    </row>
    <row r="713" spans="1:30" x14ac:dyDescent="0.35">
      <c r="A713" t="s">
        <v>1423</v>
      </c>
      <c r="B713" s="3">
        <v>46471</v>
      </c>
      <c r="C713" t="s">
        <v>982</v>
      </c>
      <c r="D713" t="s">
        <v>102</v>
      </c>
      <c r="E713" t="str">
        <f>TRIM(excelsalesdata[[#This Row],[Customer_Name]])</f>
        <v>Nisha Sharma</v>
      </c>
      <c r="F713" t="s">
        <v>23</v>
      </c>
      <c r="G713">
        <v>44</v>
      </c>
      <c r="H713" t="s">
        <v>98</v>
      </c>
      <c r="I713" t="str">
        <f>TRIM(excelsalesdata[[#This Row],[City]])</f>
        <v>Mumbai</v>
      </c>
      <c r="J713" t="s">
        <v>25</v>
      </c>
      <c r="K713" t="s">
        <v>26</v>
      </c>
      <c r="L713" t="s">
        <v>54</v>
      </c>
      <c r="M713" t="s">
        <v>55</v>
      </c>
      <c r="N713" t="s">
        <v>55</v>
      </c>
      <c r="O713">
        <v>2</v>
      </c>
      <c r="P713">
        <v>7540</v>
      </c>
      <c r="Q713">
        <v>0.05</v>
      </c>
      <c r="R713">
        <v>4440</v>
      </c>
      <c r="S713" t="s">
        <v>151</v>
      </c>
      <c r="T713" t="s">
        <v>99</v>
      </c>
      <c r="U713">
        <v>2</v>
      </c>
      <c r="V713" t="s">
        <v>40</v>
      </c>
      <c r="W713">
        <f>excelsalesdata[[#This Row],[Quantity]]*excelsalesdata[[#This Row],[Unit_Price]]</f>
        <v>15080</v>
      </c>
      <c r="X713">
        <f>excelsalesdata[[#This Row],[Gross_sales]]*excelsalesdata[[#This Row],[Discount_%]]</f>
        <v>754</v>
      </c>
      <c r="Y713">
        <f>excelsalesdata[[#This Row],[Gross_sales]]-excelsalesdata[[#This Row],[Discount_amt]]</f>
        <v>14326</v>
      </c>
      <c r="Z713" s="4">
        <f>excelsalesdata[[#This Row],[Net_sales]]-excelsalesdata[[#This Row],[Cost]]</f>
        <v>9886</v>
      </c>
      <c r="AA713" s="5">
        <f>excelsalesdata[[#This Row],[Profit]]/excelsalesdata[[#This Row],[Net_sales]]</f>
        <v>0.69007399134440872</v>
      </c>
      <c r="AB713" s="4">
        <f>YEAR(excelsalesdata[[#This Row],[Order_Date]])</f>
        <v>2027</v>
      </c>
      <c r="AC713" s="4" t="str">
        <f>TEXT(excelsalesdata[[#This Row],[Order_Date]],"mmm")</f>
        <v>Mar</v>
      </c>
      <c r="AD713" s="4" t="str">
        <f>"Q"&amp;ROUNDUP(MONTH(excelsalesdata[[#This Row],[Order_Date]])/3,0)</f>
        <v>Q1</v>
      </c>
    </row>
    <row r="714" spans="1:30" x14ac:dyDescent="0.35">
      <c r="A714" t="s">
        <v>1424</v>
      </c>
      <c r="B714" s="3">
        <v>46472</v>
      </c>
      <c r="C714" t="s">
        <v>1063</v>
      </c>
      <c r="D714" t="s">
        <v>1427</v>
      </c>
      <c r="E714" t="str">
        <f>TRIM(excelsalesdata[[#This Row],[Customer_Name]])</f>
        <v>Diya Das</v>
      </c>
      <c r="F714" t="s">
        <v>44</v>
      </c>
      <c r="G714">
        <v>26</v>
      </c>
      <c r="H714" t="s">
        <v>71</v>
      </c>
      <c r="I714" t="str">
        <f>TRIM(excelsalesdata[[#This Row],[City]])</f>
        <v>Bhubaneswar</v>
      </c>
      <c r="J714" t="s">
        <v>72</v>
      </c>
      <c r="K714" t="s">
        <v>37</v>
      </c>
      <c r="L714" t="s">
        <v>103</v>
      </c>
      <c r="M714" t="s">
        <v>178</v>
      </c>
      <c r="N714" t="s">
        <v>178</v>
      </c>
      <c r="O714">
        <v>1</v>
      </c>
      <c r="P714">
        <v>1720</v>
      </c>
      <c r="Q714">
        <v>0.05</v>
      </c>
      <c r="R714">
        <v>980</v>
      </c>
      <c r="S714" t="s">
        <v>29</v>
      </c>
      <c r="T714" t="s">
        <v>30</v>
      </c>
      <c r="U714">
        <v>3</v>
      </c>
      <c r="V714" t="s">
        <v>40</v>
      </c>
      <c r="W714">
        <f>excelsalesdata[[#This Row],[Quantity]]*excelsalesdata[[#This Row],[Unit_Price]]</f>
        <v>1720</v>
      </c>
      <c r="X714">
        <f>excelsalesdata[[#This Row],[Gross_sales]]*excelsalesdata[[#This Row],[Discount_%]]</f>
        <v>86</v>
      </c>
      <c r="Y714">
        <f>excelsalesdata[[#This Row],[Gross_sales]]-excelsalesdata[[#This Row],[Discount_amt]]</f>
        <v>1634</v>
      </c>
      <c r="Z714" s="4">
        <f>excelsalesdata[[#This Row],[Net_sales]]-excelsalesdata[[#This Row],[Cost]]</f>
        <v>654</v>
      </c>
      <c r="AA714" s="5">
        <f>excelsalesdata[[#This Row],[Profit]]/excelsalesdata[[#This Row],[Net_sales]]</f>
        <v>0.40024479804161567</v>
      </c>
      <c r="AB714" s="4">
        <f>YEAR(excelsalesdata[[#This Row],[Order_Date]])</f>
        <v>2027</v>
      </c>
      <c r="AC714" s="4" t="str">
        <f>TEXT(excelsalesdata[[#This Row],[Order_Date]],"mmm")</f>
        <v>Mar</v>
      </c>
      <c r="AD714" s="4" t="str">
        <f>"Q"&amp;ROUNDUP(MONTH(excelsalesdata[[#This Row],[Order_Date]])/3,0)</f>
        <v>Q1</v>
      </c>
    </row>
    <row r="715" spans="1:30" x14ac:dyDescent="0.35">
      <c r="A715" t="s">
        <v>1425</v>
      </c>
      <c r="B715" s="3">
        <v>46473</v>
      </c>
      <c r="C715" t="s">
        <v>1426</v>
      </c>
      <c r="D715" t="s">
        <v>1401</v>
      </c>
      <c r="E715" t="str">
        <f>TRIM(excelsalesdata[[#This Row],[Customer_Name]])</f>
        <v>Meera Kumar</v>
      </c>
      <c r="F715" t="s">
        <v>23</v>
      </c>
      <c r="G715">
        <v>36</v>
      </c>
      <c r="H715" t="s">
        <v>78</v>
      </c>
      <c r="I715" t="str">
        <f>TRIM(excelsalesdata[[#This Row],[City]])</f>
        <v>Guwahati</v>
      </c>
      <c r="J715" t="s">
        <v>79</v>
      </c>
      <c r="K715" t="s">
        <v>37</v>
      </c>
      <c r="L715" t="s">
        <v>93</v>
      </c>
      <c r="M715" t="s">
        <v>94</v>
      </c>
      <c r="N715" t="s">
        <v>94</v>
      </c>
      <c r="O715">
        <v>3</v>
      </c>
      <c r="P715">
        <v>510</v>
      </c>
      <c r="Q715">
        <v>0.15</v>
      </c>
      <c r="R715">
        <v>240</v>
      </c>
      <c r="S715" t="s">
        <v>29</v>
      </c>
      <c r="T715" t="s">
        <v>30</v>
      </c>
      <c r="U715">
        <v>4</v>
      </c>
      <c r="V715" t="s">
        <v>40</v>
      </c>
      <c r="W715">
        <f>excelsalesdata[[#This Row],[Quantity]]*excelsalesdata[[#This Row],[Unit_Price]]</f>
        <v>1530</v>
      </c>
      <c r="X715">
        <f>excelsalesdata[[#This Row],[Gross_sales]]*excelsalesdata[[#This Row],[Discount_%]]</f>
        <v>229.5</v>
      </c>
      <c r="Y715">
        <f>excelsalesdata[[#This Row],[Gross_sales]]-excelsalesdata[[#This Row],[Discount_amt]]</f>
        <v>1300.5</v>
      </c>
      <c r="Z715" s="4">
        <f>excelsalesdata[[#This Row],[Net_sales]]-excelsalesdata[[#This Row],[Cost]]</f>
        <v>1060.5</v>
      </c>
      <c r="AA715" s="5">
        <f>excelsalesdata[[#This Row],[Profit]]/excelsalesdata[[#This Row],[Net_sales]]</f>
        <v>0.81545559400230683</v>
      </c>
      <c r="AB715" s="4">
        <f>YEAR(excelsalesdata[[#This Row],[Order_Date]])</f>
        <v>2027</v>
      </c>
      <c r="AC715" s="4" t="str">
        <f>TEXT(excelsalesdata[[#This Row],[Order_Date]],"mmm")</f>
        <v>Mar</v>
      </c>
      <c r="AD715" s="4" t="str">
        <f>"Q"&amp;ROUNDUP(MONTH(excelsalesdata[[#This Row],[Order_Date]])/3,0)</f>
        <v>Q1</v>
      </c>
    </row>
    <row r="716" spans="1:30" x14ac:dyDescent="0.35">
      <c r="A716" t="s">
        <v>1428</v>
      </c>
      <c r="B716" s="3">
        <v>46474</v>
      </c>
      <c r="C716" t="s">
        <v>812</v>
      </c>
      <c r="D716" t="s">
        <v>282</v>
      </c>
      <c r="E716" t="str">
        <f>TRIM(excelsalesdata[[#This Row],[Customer_Name]])</f>
        <v>Priya Bhat</v>
      </c>
      <c r="F716" t="s">
        <v>44</v>
      </c>
      <c r="G716">
        <v>48</v>
      </c>
      <c r="H716" t="s">
        <v>60</v>
      </c>
      <c r="I716" t="str">
        <f>TRIM(excelsalesdata[[#This Row],[City]])</f>
        <v>Chandigarh</v>
      </c>
      <c r="J716" t="s">
        <v>60</v>
      </c>
      <c r="K716" t="s">
        <v>61</v>
      </c>
      <c r="L716" t="s">
        <v>27</v>
      </c>
      <c r="M716" t="s">
        <v>28</v>
      </c>
      <c r="N716" t="s">
        <v>28</v>
      </c>
      <c r="O716">
        <v>1</v>
      </c>
      <c r="P716">
        <v>3570</v>
      </c>
      <c r="Q716">
        <v>0.2</v>
      </c>
      <c r="R716">
        <v>2100</v>
      </c>
      <c r="S716" t="s">
        <v>151</v>
      </c>
      <c r="T716" t="s">
        <v>30</v>
      </c>
      <c r="U716">
        <v>2</v>
      </c>
      <c r="V716" t="s">
        <v>31</v>
      </c>
      <c r="W716">
        <f>excelsalesdata[[#This Row],[Quantity]]*excelsalesdata[[#This Row],[Unit_Price]]</f>
        <v>3570</v>
      </c>
      <c r="X716">
        <f>excelsalesdata[[#This Row],[Gross_sales]]*excelsalesdata[[#This Row],[Discount_%]]</f>
        <v>714</v>
      </c>
      <c r="Y716">
        <f>excelsalesdata[[#This Row],[Gross_sales]]-excelsalesdata[[#This Row],[Discount_amt]]</f>
        <v>2856</v>
      </c>
      <c r="Z716" s="4">
        <f>excelsalesdata[[#This Row],[Net_sales]]-excelsalesdata[[#This Row],[Cost]]</f>
        <v>756</v>
      </c>
      <c r="AA716" s="5">
        <f>excelsalesdata[[#This Row],[Profit]]/excelsalesdata[[#This Row],[Net_sales]]</f>
        <v>0.26470588235294118</v>
      </c>
      <c r="AB716" s="4">
        <f>YEAR(excelsalesdata[[#This Row],[Order_Date]])</f>
        <v>2027</v>
      </c>
      <c r="AC716" s="4" t="str">
        <f>TEXT(excelsalesdata[[#This Row],[Order_Date]],"mmm")</f>
        <v>Mar</v>
      </c>
      <c r="AD716" s="4" t="str">
        <f>"Q"&amp;ROUNDUP(MONTH(excelsalesdata[[#This Row],[Order_Date]])/3,0)</f>
        <v>Q1</v>
      </c>
    </row>
    <row r="717" spans="1:30" x14ac:dyDescent="0.35">
      <c r="A717" t="s">
        <v>1429</v>
      </c>
      <c r="B717" s="3">
        <v>46475</v>
      </c>
      <c r="C717" t="s">
        <v>750</v>
      </c>
      <c r="D717" t="s">
        <v>583</v>
      </c>
      <c r="E717" t="str">
        <f>TRIM(excelsalesdata[[#This Row],[Customer_Name]])</f>
        <v>Ishita Gupta</v>
      </c>
      <c r="F717" t="s">
        <v>44</v>
      </c>
      <c r="G717">
        <v>59</v>
      </c>
      <c r="H717" t="s">
        <v>109</v>
      </c>
      <c r="I717" t="str">
        <f>TRIM(excelsalesdata[[#This Row],[City]])</f>
        <v>Mysuru</v>
      </c>
      <c r="J717" t="s">
        <v>53</v>
      </c>
      <c r="K717" t="s">
        <v>47</v>
      </c>
      <c r="L717" t="s">
        <v>54</v>
      </c>
      <c r="M717" t="s">
        <v>157</v>
      </c>
      <c r="N717" t="s">
        <v>157</v>
      </c>
      <c r="O717">
        <v>1</v>
      </c>
      <c r="P717">
        <v>58990</v>
      </c>
      <c r="Q717">
        <v>0.1</v>
      </c>
      <c r="R717">
        <v>41320</v>
      </c>
      <c r="S717" t="s">
        <v>29</v>
      </c>
      <c r="T717" t="s">
        <v>30</v>
      </c>
      <c r="U717">
        <v>3</v>
      </c>
      <c r="V717" t="s">
        <v>31</v>
      </c>
      <c r="W717">
        <f>excelsalesdata[[#This Row],[Quantity]]*excelsalesdata[[#This Row],[Unit_Price]]</f>
        <v>58990</v>
      </c>
      <c r="X717">
        <f>excelsalesdata[[#This Row],[Gross_sales]]*excelsalesdata[[#This Row],[Discount_%]]</f>
        <v>5899</v>
      </c>
      <c r="Y717">
        <f>excelsalesdata[[#This Row],[Gross_sales]]-excelsalesdata[[#This Row],[Discount_amt]]</f>
        <v>53091</v>
      </c>
      <c r="Z717" s="4">
        <f>excelsalesdata[[#This Row],[Net_sales]]-excelsalesdata[[#This Row],[Cost]]</f>
        <v>11771</v>
      </c>
      <c r="AA717" s="5">
        <f>excelsalesdata[[#This Row],[Profit]]/excelsalesdata[[#This Row],[Net_sales]]</f>
        <v>0.22171366144920984</v>
      </c>
      <c r="AB717" s="4">
        <f>YEAR(excelsalesdata[[#This Row],[Order_Date]])</f>
        <v>2027</v>
      </c>
      <c r="AC717" s="4" t="str">
        <f>TEXT(excelsalesdata[[#This Row],[Order_Date]],"mmm")</f>
        <v>Mar</v>
      </c>
      <c r="AD717" s="4" t="str">
        <f>"Q"&amp;ROUNDUP(MONTH(excelsalesdata[[#This Row],[Order_Date]])/3,0)</f>
        <v>Q1</v>
      </c>
    </row>
    <row r="718" spans="1:30" x14ac:dyDescent="0.35">
      <c r="A718" t="s">
        <v>1430</v>
      </c>
      <c r="B718" s="3">
        <v>46476</v>
      </c>
      <c r="C718" t="s">
        <v>1431</v>
      </c>
      <c r="D718" t="s">
        <v>1292</v>
      </c>
      <c r="E718" t="str">
        <f>TRIM(excelsalesdata[[#This Row],[Customer_Name]])</f>
        <v>Sneha Mehta</v>
      </c>
      <c r="F718" t="s">
        <v>44</v>
      </c>
      <c r="G718">
        <v>41</v>
      </c>
      <c r="H718" t="s">
        <v>190</v>
      </c>
      <c r="I718" t="str">
        <f>TRIM(excelsalesdata[[#This Row],[City]])</f>
        <v>Ahmedabad</v>
      </c>
      <c r="J718" t="s">
        <v>191</v>
      </c>
      <c r="K718" t="s">
        <v>26</v>
      </c>
      <c r="L718" t="s">
        <v>93</v>
      </c>
      <c r="M718" t="s">
        <v>718</v>
      </c>
      <c r="N718" t="s">
        <v>718</v>
      </c>
      <c r="O718">
        <v>1</v>
      </c>
      <c r="P718">
        <v>1870</v>
      </c>
      <c r="Q718">
        <v>0.1</v>
      </c>
      <c r="R718">
        <v>880</v>
      </c>
      <c r="S718" t="s">
        <v>80</v>
      </c>
      <c r="T718" t="s">
        <v>30</v>
      </c>
      <c r="U718">
        <v>3</v>
      </c>
      <c r="V718" t="s">
        <v>40</v>
      </c>
      <c r="W718">
        <f>excelsalesdata[[#This Row],[Quantity]]*excelsalesdata[[#This Row],[Unit_Price]]</f>
        <v>1870</v>
      </c>
      <c r="X718">
        <f>excelsalesdata[[#This Row],[Gross_sales]]*excelsalesdata[[#This Row],[Discount_%]]</f>
        <v>187</v>
      </c>
      <c r="Y718">
        <f>excelsalesdata[[#This Row],[Gross_sales]]-excelsalesdata[[#This Row],[Discount_amt]]</f>
        <v>1683</v>
      </c>
      <c r="Z718" s="4">
        <f>excelsalesdata[[#This Row],[Net_sales]]-excelsalesdata[[#This Row],[Cost]]</f>
        <v>803</v>
      </c>
      <c r="AA718" s="5">
        <f>excelsalesdata[[#This Row],[Profit]]/excelsalesdata[[#This Row],[Net_sales]]</f>
        <v>0.47712418300653597</v>
      </c>
      <c r="AB718" s="4">
        <f>YEAR(excelsalesdata[[#This Row],[Order_Date]])</f>
        <v>2027</v>
      </c>
      <c r="AC718" s="4" t="str">
        <f>TEXT(excelsalesdata[[#This Row],[Order_Date]],"mmm")</f>
        <v>Mar</v>
      </c>
      <c r="AD718" s="4" t="str">
        <f>"Q"&amp;ROUNDUP(MONTH(excelsalesdata[[#This Row],[Order_Date]])/3,0)</f>
        <v>Q1</v>
      </c>
    </row>
    <row r="719" spans="1:30" x14ac:dyDescent="0.35">
      <c r="A719" t="s">
        <v>1432</v>
      </c>
      <c r="B719" s="3">
        <v>46477</v>
      </c>
      <c r="C719" t="s">
        <v>929</v>
      </c>
      <c r="D719" t="s">
        <v>833</v>
      </c>
      <c r="E719" t="str">
        <f>TRIM(excelsalesdata[[#This Row],[Customer_Name]])</f>
        <v>Rohan Mehta</v>
      </c>
      <c r="F719" t="s">
        <v>44</v>
      </c>
      <c r="G719">
        <v>56</v>
      </c>
      <c r="H719" t="s">
        <v>190</v>
      </c>
      <c r="I719" t="str">
        <f>TRIM(excelsalesdata[[#This Row],[City]])</f>
        <v>Ahmedabad</v>
      </c>
      <c r="J719" t="s">
        <v>191</v>
      </c>
      <c r="K719" t="s">
        <v>26</v>
      </c>
      <c r="L719" t="s">
        <v>54</v>
      </c>
      <c r="M719" t="s">
        <v>157</v>
      </c>
      <c r="N719" t="s">
        <v>157</v>
      </c>
      <c r="O719">
        <v>2</v>
      </c>
      <c r="P719">
        <v>53750</v>
      </c>
      <c r="Q719">
        <v>0.2</v>
      </c>
      <c r="R719">
        <v>39990</v>
      </c>
      <c r="S719" t="s">
        <v>29</v>
      </c>
      <c r="T719" t="s">
        <v>30</v>
      </c>
      <c r="U719">
        <v>6</v>
      </c>
      <c r="V719" t="s">
        <v>40</v>
      </c>
      <c r="W719">
        <f>excelsalesdata[[#This Row],[Quantity]]*excelsalesdata[[#This Row],[Unit_Price]]</f>
        <v>107500</v>
      </c>
      <c r="X719">
        <f>excelsalesdata[[#This Row],[Gross_sales]]*excelsalesdata[[#This Row],[Discount_%]]</f>
        <v>21500</v>
      </c>
      <c r="Y719">
        <f>excelsalesdata[[#This Row],[Gross_sales]]-excelsalesdata[[#This Row],[Discount_amt]]</f>
        <v>86000</v>
      </c>
      <c r="Z719" s="4">
        <f>excelsalesdata[[#This Row],[Net_sales]]-excelsalesdata[[#This Row],[Cost]]</f>
        <v>46010</v>
      </c>
      <c r="AA719" s="5">
        <f>excelsalesdata[[#This Row],[Profit]]/excelsalesdata[[#This Row],[Net_sales]]</f>
        <v>0.53500000000000003</v>
      </c>
      <c r="AB719" s="4">
        <f>YEAR(excelsalesdata[[#This Row],[Order_Date]])</f>
        <v>2027</v>
      </c>
      <c r="AC719" s="4" t="str">
        <f>TEXT(excelsalesdata[[#This Row],[Order_Date]],"mmm")</f>
        <v>Mar</v>
      </c>
      <c r="AD719" s="4" t="str">
        <f>"Q"&amp;ROUNDUP(MONTH(excelsalesdata[[#This Row],[Order_Date]])/3,0)</f>
        <v>Q1</v>
      </c>
    </row>
    <row r="720" spans="1:30" x14ac:dyDescent="0.35">
      <c r="A720" t="s">
        <v>1433</v>
      </c>
      <c r="B720" s="3">
        <v>46478</v>
      </c>
      <c r="C720" t="s">
        <v>272</v>
      </c>
      <c r="D720" t="s">
        <v>285</v>
      </c>
      <c r="E720" t="str">
        <f>TRIM(excelsalesdata[[#This Row],[Customer_Name]])</f>
        <v>Aditya Bhat</v>
      </c>
      <c r="F720" t="s">
        <v>44</v>
      </c>
      <c r="G720">
        <v>44</v>
      </c>
      <c r="H720" t="s">
        <v>52</v>
      </c>
      <c r="I720" t="str">
        <f>TRIM(excelsalesdata[[#This Row],[City]])</f>
        <v>Bengaluru</v>
      </c>
      <c r="J720" t="s">
        <v>53</v>
      </c>
      <c r="K720" t="s">
        <v>47</v>
      </c>
      <c r="L720" t="s">
        <v>103</v>
      </c>
      <c r="M720" t="s">
        <v>347</v>
      </c>
      <c r="N720" t="s">
        <v>347</v>
      </c>
      <c r="O720">
        <v>2</v>
      </c>
      <c r="P720">
        <v>12840</v>
      </c>
      <c r="Q720">
        <v>0.15</v>
      </c>
      <c r="R720">
        <v>7950</v>
      </c>
      <c r="S720" t="s">
        <v>80</v>
      </c>
      <c r="T720" t="s">
        <v>30</v>
      </c>
      <c r="U720">
        <v>3</v>
      </c>
      <c r="V720" t="s">
        <v>31</v>
      </c>
      <c r="W720">
        <f>excelsalesdata[[#This Row],[Quantity]]*excelsalesdata[[#This Row],[Unit_Price]]</f>
        <v>25680</v>
      </c>
      <c r="X720">
        <f>excelsalesdata[[#This Row],[Gross_sales]]*excelsalesdata[[#This Row],[Discount_%]]</f>
        <v>3852</v>
      </c>
      <c r="Y720">
        <f>excelsalesdata[[#This Row],[Gross_sales]]-excelsalesdata[[#This Row],[Discount_amt]]</f>
        <v>21828</v>
      </c>
      <c r="Z720" s="4">
        <f>excelsalesdata[[#This Row],[Net_sales]]-excelsalesdata[[#This Row],[Cost]]</f>
        <v>13878</v>
      </c>
      <c r="AA720" s="5">
        <f>excelsalesdata[[#This Row],[Profit]]/excelsalesdata[[#This Row],[Net_sales]]</f>
        <v>0.63578889499725122</v>
      </c>
      <c r="AB720" s="4">
        <f>YEAR(excelsalesdata[[#This Row],[Order_Date]])</f>
        <v>2027</v>
      </c>
      <c r="AC720" s="4" t="str">
        <f>TEXT(excelsalesdata[[#This Row],[Order_Date]],"mmm")</f>
        <v>Apr</v>
      </c>
      <c r="AD720" s="4" t="str">
        <f>"Q"&amp;ROUNDUP(MONTH(excelsalesdata[[#This Row],[Order_Date]])/3,0)</f>
        <v>Q2</v>
      </c>
    </row>
    <row r="721" spans="1:30" x14ac:dyDescent="0.35">
      <c r="A721" t="s">
        <v>1434</v>
      </c>
      <c r="B721" s="3">
        <v>46479</v>
      </c>
      <c r="C721" t="s">
        <v>512</v>
      </c>
      <c r="D721" t="s">
        <v>980</v>
      </c>
      <c r="E721" t="str">
        <f>TRIM(excelsalesdata[[#This Row],[Customer_Name]])</f>
        <v>Sneha Das</v>
      </c>
      <c r="F721" t="s">
        <v>44</v>
      </c>
      <c r="G721">
        <v>31</v>
      </c>
      <c r="H721" t="s">
        <v>98</v>
      </c>
      <c r="I721" t="str">
        <f>TRIM(excelsalesdata[[#This Row],[City]])</f>
        <v>Mumbai</v>
      </c>
      <c r="J721" t="s">
        <v>25</v>
      </c>
      <c r="K721" t="s">
        <v>26</v>
      </c>
      <c r="L721" t="s">
        <v>54</v>
      </c>
      <c r="M721" t="s">
        <v>55</v>
      </c>
      <c r="N721" t="s">
        <v>55</v>
      </c>
      <c r="O721">
        <v>1</v>
      </c>
      <c r="P721">
        <v>6620</v>
      </c>
      <c r="Q721">
        <v>0.15</v>
      </c>
      <c r="R721">
        <v>4320</v>
      </c>
      <c r="S721" t="s">
        <v>105</v>
      </c>
      <c r="T721" t="s">
        <v>30</v>
      </c>
      <c r="U721">
        <v>2</v>
      </c>
      <c r="V721" t="s">
        <v>31</v>
      </c>
      <c r="W721">
        <f>excelsalesdata[[#This Row],[Quantity]]*excelsalesdata[[#This Row],[Unit_Price]]</f>
        <v>6620</v>
      </c>
      <c r="X721">
        <f>excelsalesdata[[#This Row],[Gross_sales]]*excelsalesdata[[#This Row],[Discount_%]]</f>
        <v>993</v>
      </c>
      <c r="Y721">
        <f>excelsalesdata[[#This Row],[Gross_sales]]-excelsalesdata[[#This Row],[Discount_amt]]</f>
        <v>5627</v>
      </c>
      <c r="Z721" s="4">
        <f>excelsalesdata[[#This Row],[Net_sales]]-excelsalesdata[[#This Row],[Cost]]</f>
        <v>1307</v>
      </c>
      <c r="AA721" s="5">
        <f>excelsalesdata[[#This Row],[Profit]]/excelsalesdata[[#This Row],[Net_sales]]</f>
        <v>0.23227296961080504</v>
      </c>
      <c r="AB721" s="4">
        <f>YEAR(excelsalesdata[[#This Row],[Order_Date]])</f>
        <v>2027</v>
      </c>
      <c r="AC721" s="4" t="str">
        <f>TEXT(excelsalesdata[[#This Row],[Order_Date]],"mmm")</f>
        <v>Apr</v>
      </c>
      <c r="AD721" s="4" t="str">
        <f>"Q"&amp;ROUNDUP(MONTH(excelsalesdata[[#This Row],[Order_Date]])/3,0)</f>
        <v>Q2</v>
      </c>
    </row>
    <row r="722" spans="1:30" x14ac:dyDescent="0.35">
      <c r="A722" t="s">
        <v>1435</v>
      </c>
      <c r="B722" s="3">
        <v>46480</v>
      </c>
      <c r="C722" t="s">
        <v>1436</v>
      </c>
      <c r="D722" t="s">
        <v>1354</v>
      </c>
      <c r="E722" t="str">
        <f>TRIM(excelsalesdata[[#This Row],[Customer_Name]])</f>
        <v>Priya Shah</v>
      </c>
      <c r="F722" t="s">
        <v>44</v>
      </c>
      <c r="G722">
        <v>52</v>
      </c>
      <c r="H722" t="s">
        <v>190</v>
      </c>
      <c r="I722" t="str">
        <f>TRIM(excelsalesdata[[#This Row],[City]])</f>
        <v>Ahmedabad</v>
      </c>
      <c r="J722" t="s">
        <v>191</v>
      </c>
      <c r="K722" t="s">
        <v>26</v>
      </c>
      <c r="L722" t="s">
        <v>54</v>
      </c>
      <c r="M722" t="s">
        <v>157</v>
      </c>
      <c r="N722" t="s">
        <v>157</v>
      </c>
      <c r="O722">
        <v>1</v>
      </c>
      <c r="P722">
        <v>55070</v>
      </c>
      <c r="Q722">
        <v>0.05</v>
      </c>
      <c r="R722">
        <v>41650</v>
      </c>
      <c r="S722" t="s">
        <v>67</v>
      </c>
      <c r="T722" t="s">
        <v>99</v>
      </c>
      <c r="U722">
        <v>3</v>
      </c>
      <c r="V722" t="s">
        <v>31</v>
      </c>
      <c r="W722">
        <f>excelsalesdata[[#This Row],[Quantity]]*excelsalesdata[[#This Row],[Unit_Price]]</f>
        <v>55070</v>
      </c>
      <c r="X722">
        <f>excelsalesdata[[#This Row],[Gross_sales]]*excelsalesdata[[#This Row],[Discount_%]]</f>
        <v>2753.5</v>
      </c>
      <c r="Y722">
        <f>excelsalesdata[[#This Row],[Gross_sales]]-excelsalesdata[[#This Row],[Discount_amt]]</f>
        <v>52316.5</v>
      </c>
      <c r="Z722" s="4">
        <f>excelsalesdata[[#This Row],[Net_sales]]-excelsalesdata[[#This Row],[Cost]]</f>
        <v>10666.5</v>
      </c>
      <c r="AA722" s="5">
        <f>excelsalesdata[[#This Row],[Profit]]/excelsalesdata[[#This Row],[Net_sales]]</f>
        <v>0.20388405187655903</v>
      </c>
      <c r="AB722" s="4">
        <f>YEAR(excelsalesdata[[#This Row],[Order_Date]])</f>
        <v>2027</v>
      </c>
      <c r="AC722" s="4" t="str">
        <f>TEXT(excelsalesdata[[#This Row],[Order_Date]],"mmm")</f>
        <v>Apr</v>
      </c>
      <c r="AD722" s="4" t="str">
        <f>"Q"&amp;ROUNDUP(MONTH(excelsalesdata[[#This Row],[Order_Date]])/3,0)</f>
        <v>Q2</v>
      </c>
    </row>
    <row r="723" spans="1:30" x14ac:dyDescent="0.35">
      <c r="A723" t="s">
        <v>1437</v>
      </c>
      <c r="B723" s="3">
        <v>46481</v>
      </c>
      <c r="C723" t="s">
        <v>585</v>
      </c>
      <c r="D723" t="s">
        <v>385</v>
      </c>
      <c r="E723" t="str">
        <f>TRIM(excelsalesdata[[#This Row],[Customer_Name]])</f>
        <v>Diya Verma</v>
      </c>
      <c r="F723" t="s">
        <v>44</v>
      </c>
      <c r="G723">
        <v>32</v>
      </c>
      <c r="H723" t="s">
        <v>45</v>
      </c>
      <c r="I723" t="str">
        <f>TRIM(excelsalesdata[[#This Row],[City]])</f>
        <v>Kochi</v>
      </c>
      <c r="J723" t="s">
        <v>46</v>
      </c>
      <c r="K723" t="s">
        <v>47</v>
      </c>
      <c r="L723" t="s">
        <v>85</v>
      </c>
      <c r="M723" t="s">
        <v>110</v>
      </c>
      <c r="N723" t="s">
        <v>110</v>
      </c>
      <c r="O723">
        <v>4</v>
      </c>
      <c r="P723">
        <v>1280</v>
      </c>
      <c r="Q723">
        <v>0.25</v>
      </c>
      <c r="R723">
        <v>590</v>
      </c>
      <c r="S723" t="s">
        <v>80</v>
      </c>
      <c r="T723" t="s">
        <v>74</v>
      </c>
      <c r="U723">
        <v>3</v>
      </c>
      <c r="V723" t="s">
        <v>31</v>
      </c>
      <c r="W723">
        <f>excelsalesdata[[#This Row],[Quantity]]*excelsalesdata[[#This Row],[Unit_Price]]</f>
        <v>5120</v>
      </c>
      <c r="X723">
        <f>excelsalesdata[[#This Row],[Gross_sales]]*excelsalesdata[[#This Row],[Discount_%]]</f>
        <v>1280</v>
      </c>
      <c r="Y723">
        <f>excelsalesdata[[#This Row],[Gross_sales]]-excelsalesdata[[#This Row],[Discount_amt]]</f>
        <v>3840</v>
      </c>
      <c r="Z723" s="4">
        <f>excelsalesdata[[#This Row],[Net_sales]]-excelsalesdata[[#This Row],[Cost]]</f>
        <v>3250</v>
      </c>
      <c r="AA723" s="5">
        <f>excelsalesdata[[#This Row],[Profit]]/excelsalesdata[[#This Row],[Net_sales]]</f>
        <v>0.84635416666666663</v>
      </c>
      <c r="AB723" s="4">
        <f>YEAR(excelsalesdata[[#This Row],[Order_Date]])</f>
        <v>2027</v>
      </c>
      <c r="AC723" s="4" t="str">
        <f>TEXT(excelsalesdata[[#This Row],[Order_Date]],"mmm")</f>
        <v>Apr</v>
      </c>
      <c r="AD723" s="4" t="str">
        <f>"Q"&amp;ROUNDUP(MONTH(excelsalesdata[[#This Row],[Order_Date]])/3,0)</f>
        <v>Q2</v>
      </c>
    </row>
    <row r="724" spans="1:30" x14ac:dyDescent="0.35">
      <c r="A724" t="s">
        <v>1438</v>
      </c>
      <c r="B724" s="3">
        <v>46482</v>
      </c>
      <c r="C724" t="s">
        <v>1314</v>
      </c>
      <c r="D724" t="s">
        <v>479</v>
      </c>
      <c r="E724" t="str">
        <f>TRIM(excelsalesdata[[#This Row],[Customer_Name]])</f>
        <v>Karan Kumar</v>
      </c>
      <c r="F724" t="s">
        <v>44</v>
      </c>
      <c r="G724">
        <v>50</v>
      </c>
      <c r="H724" t="s">
        <v>60</v>
      </c>
      <c r="I724" t="str">
        <f>TRIM(excelsalesdata[[#This Row],[City]])</f>
        <v>Chandigarh</v>
      </c>
      <c r="J724" t="s">
        <v>60</v>
      </c>
      <c r="K724" t="s">
        <v>61</v>
      </c>
      <c r="L724" t="s">
        <v>38</v>
      </c>
      <c r="M724" t="s">
        <v>73</v>
      </c>
      <c r="N724" t="s">
        <v>73</v>
      </c>
      <c r="O724">
        <v>2</v>
      </c>
      <c r="P724">
        <v>5160</v>
      </c>
      <c r="Q724">
        <v>0.1</v>
      </c>
      <c r="R724">
        <v>3090</v>
      </c>
      <c r="S724" t="s">
        <v>80</v>
      </c>
      <c r="T724" t="s">
        <v>30</v>
      </c>
      <c r="U724">
        <v>7</v>
      </c>
      <c r="V724" t="s">
        <v>40</v>
      </c>
      <c r="W724">
        <f>excelsalesdata[[#This Row],[Quantity]]*excelsalesdata[[#This Row],[Unit_Price]]</f>
        <v>10320</v>
      </c>
      <c r="X724">
        <f>excelsalesdata[[#This Row],[Gross_sales]]*excelsalesdata[[#This Row],[Discount_%]]</f>
        <v>1032</v>
      </c>
      <c r="Y724">
        <f>excelsalesdata[[#This Row],[Gross_sales]]-excelsalesdata[[#This Row],[Discount_amt]]</f>
        <v>9288</v>
      </c>
      <c r="Z724" s="4">
        <f>excelsalesdata[[#This Row],[Net_sales]]-excelsalesdata[[#This Row],[Cost]]</f>
        <v>6198</v>
      </c>
      <c r="AA724" s="5">
        <f>excelsalesdata[[#This Row],[Profit]]/excelsalesdata[[#This Row],[Net_sales]]</f>
        <v>0.66731266149870805</v>
      </c>
      <c r="AB724" s="4">
        <f>YEAR(excelsalesdata[[#This Row],[Order_Date]])</f>
        <v>2027</v>
      </c>
      <c r="AC724" s="4" t="str">
        <f>TEXT(excelsalesdata[[#This Row],[Order_Date]],"mmm")</f>
        <v>Apr</v>
      </c>
      <c r="AD724" s="4" t="str">
        <f>"Q"&amp;ROUNDUP(MONTH(excelsalesdata[[#This Row],[Order_Date]])/3,0)</f>
        <v>Q2</v>
      </c>
    </row>
    <row r="725" spans="1:30" x14ac:dyDescent="0.35">
      <c r="A725" t="s">
        <v>1439</v>
      </c>
      <c r="B725" s="3">
        <v>46483</v>
      </c>
      <c r="C725" t="s">
        <v>1440</v>
      </c>
      <c r="D725" t="s">
        <v>1029</v>
      </c>
      <c r="E725" t="str">
        <f>TRIM(excelsalesdata[[#This Row],[Customer_Name]])</f>
        <v>Kavya Reddy</v>
      </c>
      <c r="F725" t="s">
        <v>44</v>
      </c>
      <c r="G725">
        <v>40</v>
      </c>
      <c r="H725" t="s">
        <v>35</v>
      </c>
      <c r="I725" t="str">
        <f>TRIM(excelsalesdata[[#This Row],[City]])</f>
        <v>Kolkata</v>
      </c>
      <c r="J725" t="s">
        <v>36</v>
      </c>
      <c r="K725" t="s">
        <v>37</v>
      </c>
      <c r="L725" t="s">
        <v>54</v>
      </c>
      <c r="M725" t="s">
        <v>129</v>
      </c>
      <c r="N725" t="s">
        <v>129</v>
      </c>
      <c r="O725">
        <v>4</v>
      </c>
      <c r="P725">
        <v>16620</v>
      </c>
      <c r="Q725">
        <v>0.25</v>
      </c>
      <c r="R725">
        <v>12450</v>
      </c>
      <c r="S725" t="s">
        <v>80</v>
      </c>
      <c r="T725" t="s">
        <v>30</v>
      </c>
      <c r="U725">
        <v>1</v>
      </c>
      <c r="V725" t="s">
        <v>40</v>
      </c>
      <c r="W725">
        <f>excelsalesdata[[#This Row],[Quantity]]*excelsalesdata[[#This Row],[Unit_Price]]</f>
        <v>66480</v>
      </c>
      <c r="X725">
        <f>excelsalesdata[[#This Row],[Gross_sales]]*excelsalesdata[[#This Row],[Discount_%]]</f>
        <v>16620</v>
      </c>
      <c r="Y725">
        <f>excelsalesdata[[#This Row],[Gross_sales]]-excelsalesdata[[#This Row],[Discount_amt]]</f>
        <v>49860</v>
      </c>
      <c r="Z725" s="4">
        <f>excelsalesdata[[#This Row],[Net_sales]]-excelsalesdata[[#This Row],[Cost]]</f>
        <v>37410</v>
      </c>
      <c r="AA725" s="5">
        <f>excelsalesdata[[#This Row],[Profit]]/excelsalesdata[[#This Row],[Net_sales]]</f>
        <v>0.75030084235860406</v>
      </c>
      <c r="AB725" s="4">
        <f>YEAR(excelsalesdata[[#This Row],[Order_Date]])</f>
        <v>2027</v>
      </c>
      <c r="AC725" s="4" t="str">
        <f>TEXT(excelsalesdata[[#This Row],[Order_Date]],"mmm")</f>
        <v>Apr</v>
      </c>
      <c r="AD725" s="4" t="str">
        <f>"Q"&amp;ROUNDUP(MONTH(excelsalesdata[[#This Row],[Order_Date]])/3,0)</f>
        <v>Q2</v>
      </c>
    </row>
    <row r="726" spans="1:30" x14ac:dyDescent="0.35">
      <c r="A726" t="s">
        <v>1441</v>
      </c>
      <c r="B726" s="3">
        <v>46484</v>
      </c>
      <c r="C726" t="s">
        <v>125</v>
      </c>
      <c r="D726" t="s">
        <v>650</v>
      </c>
      <c r="E726" t="str">
        <f>TRIM(excelsalesdata[[#This Row],[Customer_Name]])</f>
        <v>Sneha Shah</v>
      </c>
      <c r="F726" t="s">
        <v>44</v>
      </c>
      <c r="G726">
        <v>31</v>
      </c>
      <c r="H726" t="s">
        <v>45</v>
      </c>
      <c r="I726" t="str">
        <f>TRIM(excelsalesdata[[#This Row],[City]])</f>
        <v>Kochi</v>
      </c>
      <c r="J726" t="s">
        <v>46</v>
      </c>
      <c r="K726" t="s">
        <v>47</v>
      </c>
      <c r="L726" t="s">
        <v>54</v>
      </c>
      <c r="M726" t="s">
        <v>66</v>
      </c>
      <c r="N726" t="s">
        <v>66</v>
      </c>
      <c r="O726">
        <v>1</v>
      </c>
      <c r="P726">
        <v>2600</v>
      </c>
      <c r="Q726">
        <v>0.1</v>
      </c>
      <c r="R726">
        <v>1550</v>
      </c>
      <c r="S726" t="s">
        <v>151</v>
      </c>
      <c r="T726" t="s">
        <v>30</v>
      </c>
      <c r="U726">
        <v>5</v>
      </c>
      <c r="V726" t="s">
        <v>40</v>
      </c>
      <c r="W726">
        <f>excelsalesdata[[#This Row],[Quantity]]*excelsalesdata[[#This Row],[Unit_Price]]</f>
        <v>2600</v>
      </c>
      <c r="X726">
        <f>excelsalesdata[[#This Row],[Gross_sales]]*excelsalesdata[[#This Row],[Discount_%]]</f>
        <v>260</v>
      </c>
      <c r="Y726">
        <f>excelsalesdata[[#This Row],[Gross_sales]]-excelsalesdata[[#This Row],[Discount_amt]]</f>
        <v>2340</v>
      </c>
      <c r="Z726" s="4">
        <f>excelsalesdata[[#This Row],[Net_sales]]-excelsalesdata[[#This Row],[Cost]]</f>
        <v>790</v>
      </c>
      <c r="AA726" s="5">
        <f>excelsalesdata[[#This Row],[Profit]]/excelsalesdata[[#This Row],[Net_sales]]</f>
        <v>0.33760683760683763</v>
      </c>
      <c r="AB726" s="4">
        <f>YEAR(excelsalesdata[[#This Row],[Order_Date]])</f>
        <v>2027</v>
      </c>
      <c r="AC726" s="4" t="str">
        <f>TEXT(excelsalesdata[[#This Row],[Order_Date]],"mmm")</f>
        <v>Apr</v>
      </c>
      <c r="AD726" s="4" t="str">
        <f>"Q"&amp;ROUNDUP(MONTH(excelsalesdata[[#This Row],[Order_Date]])/3,0)</f>
        <v>Q2</v>
      </c>
    </row>
    <row r="727" spans="1:30" x14ac:dyDescent="0.35">
      <c r="A727" t="s">
        <v>1442</v>
      </c>
      <c r="B727" s="3">
        <v>46485</v>
      </c>
      <c r="C727" t="s">
        <v>621</v>
      </c>
      <c r="D727" t="s">
        <v>479</v>
      </c>
      <c r="E727" t="str">
        <f>TRIM(excelsalesdata[[#This Row],[Customer_Name]])</f>
        <v>Karan Kumar</v>
      </c>
      <c r="F727" t="s">
        <v>44</v>
      </c>
      <c r="G727">
        <v>29</v>
      </c>
      <c r="H727" t="s">
        <v>52</v>
      </c>
      <c r="I727" t="str">
        <f>TRIM(excelsalesdata[[#This Row],[City]])</f>
        <v>Bengaluru</v>
      </c>
      <c r="J727" t="s">
        <v>53</v>
      </c>
      <c r="K727" t="s">
        <v>47</v>
      </c>
      <c r="L727" t="s">
        <v>103</v>
      </c>
      <c r="M727" t="s">
        <v>347</v>
      </c>
      <c r="N727" t="s">
        <v>347</v>
      </c>
      <c r="O727">
        <v>1</v>
      </c>
      <c r="P727">
        <v>11460</v>
      </c>
      <c r="Q727">
        <v>0.15</v>
      </c>
      <c r="R727">
        <v>8140</v>
      </c>
      <c r="S727" t="s">
        <v>29</v>
      </c>
      <c r="T727" t="s">
        <v>30</v>
      </c>
      <c r="U727">
        <v>1</v>
      </c>
      <c r="V727" t="s">
        <v>31</v>
      </c>
      <c r="W727">
        <f>excelsalesdata[[#This Row],[Quantity]]*excelsalesdata[[#This Row],[Unit_Price]]</f>
        <v>11460</v>
      </c>
      <c r="X727">
        <f>excelsalesdata[[#This Row],[Gross_sales]]*excelsalesdata[[#This Row],[Discount_%]]</f>
        <v>1719</v>
      </c>
      <c r="Y727">
        <f>excelsalesdata[[#This Row],[Gross_sales]]-excelsalesdata[[#This Row],[Discount_amt]]</f>
        <v>9741</v>
      </c>
      <c r="Z727" s="4">
        <f>excelsalesdata[[#This Row],[Net_sales]]-excelsalesdata[[#This Row],[Cost]]</f>
        <v>1601</v>
      </c>
      <c r="AA727" s="5">
        <f>excelsalesdata[[#This Row],[Profit]]/excelsalesdata[[#This Row],[Net_sales]]</f>
        <v>0.16435684221332511</v>
      </c>
      <c r="AB727" s="4">
        <f>YEAR(excelsalesdata[[#This Row],[Order_Date]])</f>
        <v>2027</v>
      </c>
      <c r="AC727" s="4" t="str">
        <f>TEXT(excelsalesdata[[#This Row],[Order_Date]],"mmm")</f>
        <v>Apr</v>
      </c>
      <c r="AD727" s="4" t="str">
        <f>"Q"&amp;ROUNDUP(MONTH(excelsalesdata[[#This Row],[Order_Date]])/3,0)</f>
        <v>Q2</v>
      </c>
    </row>
    <row r="728" spans="1:30" x14ac:dyDescent="0.35">
      <c r="A728" t="s">
        <v>1443</v>
      </c>
      <c r="B728" s="3">
        <v>46486</v>
      </c>
      <c r="C728" t="s">
        <v>1444</v>
      </c>
      <c r="D728" t="s">
        <v>352</v>
      </c>
      <c r="E728" t="str">
        <f>TRIM(excelsalesdata[[#This Row],[Customer_Name]])</f>
        <v>Meera Mehta</v>
      </c>
      <c r="F728" t="s">
        <v>23</v>
      </c>
      <c r="G728">
        <v>31</v>
      </c>
      <c r="H728" t="s">
        <v>35</v>
      </c>
      <c r="I728" t="str">
        <f>TRIM(excelsalesdata[[#This Row],[City]])</f>
        <v>Kolkata</v>
      </c>
      <c r="J728" t="s">
        <v>36</v>
      </c>
      <c r="K728" t="s">
        <v>37</v>
      </c>
      <c r="L728" t="s">
        <v>27</v>
      </c>
      <c r="M728" t="s">
        <v>48</v>
      </c>
      <c r="N728" t="s">
        <v>48</v>
      </c>
      <c r="O728">
        <v>3</v>
      </c>
      <c r="P728">
        <v>870</v>
      </c>
      <c r="Q728">
        <v>0.05</v>
      </c>
      <c r="R728">
        <v>440</v>
      </c>
      <c r="S728" t="s">
        <v>105</v>
      </c>
      <c r="T728" t="s">
        <v>30</v>
      </c>
      <c r="U728">
        <v>2</v>
      </c>
      <c r="V728" t="s">
        <v>40</v>
      </c>
      <c r="W728">
        <f>excelsalesdata[[#This Row],[Quantity]]*excelsalesdata[[#This Row],[Unit_Price]]</f>
        <v>2610</v>
      </c>
      <c r="X728">
        <f>excelsalesdata[[#This Row],[Gross_sales]]*excelsalesdata[[#This Row],[Discount_%]]</f>
        <v>130.5</v>
      </c>
      <c r="Y728">
        <f>excelsalesdata[[#This Row],[Gross_sales]]-excelsalesdata[[#This Row],[Discount_amt]]</f>
        <v>2479.5</v>
      </c>
      <c r="Z728" s="4">
        <f>excelsalesdata[[#This Row],[Net_sales]]-excelsalesdata[[#This Row],[Cost]]</f>
        <v>2039.5</v>
      </c>
      <c r="AA728" s="5">
        <f>excelsalesdata[[#This Row],[Profit]]/excelsalesdata[[#This Row],[Net_sales]]</f>
        <v>0.82254486791691872</v>
      </c>
      <c r="AB728" s="4">
        <f>YEAR(excelsalesdata[[#This Row],[Order_Date]])</f>
        <v>2027</v>
      </c>
      <c r="AC728" s="4" t="str">
        <f>TEXT(excelsalesdata[[#This Row],[Order_Date]],"mmm")</f>
        <v>Apr</v>
      </c>
      <c r="AD728" s="4" t="str">
        <f>"Q"&amp;ROUNDUP(MONTH(excelsalesdata[[#This Row],[Order_Date]])/3,0)</f>
        <v>Q2</v>
      </c>
    </row>
    <row r="729" spans="1:30" x14ac:dyDescent="0.35">
      <c r="A729" t="s">
        <v>1445</v>
      </c>
      <c r="B729" s="3">
        <v>46487</v>
      </c>
      <c r="C729" t="s">
        <v>1446</v>
      </c>
      <c r="D729" t="s">
        <v>731</v>
      </c>
      <c r="E729" t="str">
        <f>TRIM(excelsalesdata[[#This Row],[Customer_Name]])</f>
        <v>Diya Bhat</v>
      </c>
      <c r="F729" t="s">
        <v>44</v>
      </c>
      <c r="G729">
        <v>54</v>
      </c>
      <c r="H729" t="s">
        <v>98</v>
      </c>
      <c r="I729" t="str">
        <f>TRIM(excelsalesdata[[#This Row],[City]])</f>
        <v>Mumbai</v>
      </c>
      <c r="J729" t="s">
        <v>25</v>
      </c>
      <c r="K729" t="s">
        <v>26</v>
      </c>
      <c r="L729" t="s">
        <v>38</v>
      </c>
      <c r="M729" t="s">
        <v>73</v>
      </c>
      <c r="N729" t="s">
        <v>73</v>
      </c>
      <c r="O729">
        <v>1</v>
      </c>
      <c r="P729">
        <v>4850</v>
      </c>
      <c r="Q729">
        <v>0.15</v>
      </c>
      <c r="R729">
        <v>3040</v>
      </c>
      <c r="S729" t="s">
        <v>29</v>
      </c>
      <c r="T729" t="s">
        <v>74</v>
      </c>
      <c r="U729">
        <v>4</v>
      </c>
      <c r="V729" t="s">
        <v>40</v>
      </c>
      <c r="W729">
        <f>excelsalesdata[[#This Row],[Quantity]]*excelsalesdata[[#This Row],[Unit_Price]]</f>
        <v>4850</v>
      </c>
      <c r="X729">
        <f>excelsalesdata[[#This Row],[Gross_sales]]*excelsalesdata[[#This Row],[Discount_%]]</f>
        <v>727.5</v>
      </c>
      <c r="Y729">
        <f>excelsalesdata[[#This Row],[Gross_sales]]-excelsalesdata[[#This Row],[Discount_amt]]</f>
        <v>4122.5</v>
      </c>
      <c r="Z729" s="4">
        <f>excelsalesdata[[#This Row],[Net_sales]]-excelsalesdata[[#This Row],[Cost]]</f>
        <v>1082.5</v>
      </c>
      <c r="AA729" s="5">
        <f>excelsalesdata[[#This Row],[Profit]]/excelsalesdata[[#This Row],[Net_sales]]</f>
        <v>0.26258338386901153</v>
      </c>
      <c r="AB729" s="4">
        <f>YEAR(excelsalesdata[[#This Row],[Order_Date]])</f>
        <v>2027</v>
      </c>
      <c r="AC729" s="4" t="str">
        <f>TEXT(excelsalesdata[[#This Row],[Order_Date]],"mmm")</f>
        <v>Apr</v>
      </c>
      <c r="AD729" s="4" t="str">
        <f>"Q"&amp;ROUNDUP(MONTH(excelsalesdata[[#This Row],[Order_Date]])/3,0)</f>
        <v>Q2</v>
      </c>
    </row>
    <row r="730" spans="1:30" x14ac:dyDescent="0.35">
      <c r="A730" t="s">
        <v>1447</v>
      </c>
      <c r="B730" s="3">
        <v>46488</v>
      </c>
      <c r="C730" t="s">
        <v>127</v>
      </c>
      <c r="D730" t="s">
        <v>1449</v>
      </c>
      <c r="E730" t="str">
        <f>TRIM(excelsalesdata[[#This Row],[Customer_Name]])</f>
        <v>Ananya Nair</v>
      </c>
      <c r="F730" t="s">
        <v>23</v>
      </c>
      <c r="G730">
        <v>30</v>
      </c>
      <c r="H730" t="s">
        <v>133</v>
      </c>
      <c r="I730" t="str">
        <f>TRIM(excelsalesdata[[#This Row],[City]])</f>
        <v>Jaipur</v>
      </c>
      <c r="J730" t="s">
        <v>134</v>
      </c>
      <c r="K730" t="s">
        <v>61</v>
      </c>
      <c r="L730" t="s">
        <v>85</v>
      </c>
      <c r="M730" t="s">
        <v>86</v>
      </c>
      <c r="N730" t="s">
        <v>86</v>
      </c>
      <c r="O730">
        <v>2</v>
      </c>
      <c r="P730">
        <v>2440</v>
      </c>
      <c r="Q730">
        <v>0.15</v>
      </c>
      <c r="R730">
        <v>1510</v>
      </c>
      <c r="S730" t="s">
        <v>56</v>
      </c>
      <c r="T730" t="s">
        <v>30</v>
      </c>
      <c r="U730">
        <v>1</v>
      </c>
      <c r="V730" t="s">
        <v>40</v>
      </c>
      <c r="W730">
        <f>excelsalesdata[[#This Row],[Quantity]]*excelsalesdata[[#This Row],[Unit_Price]]</f>
        <v>4880</v>
      </c>
      <c r="X730">
        <f>excelsalesdata[[#This Row],[Gross_sales]]*excelsalesdata[[#This Row],[Discount_%]]</f>
        <v>732</v>
      </c>
      <c r="Y730">
        <f>excelsalesdata[[#This Row],[Gross_sales]]-excelsalesdata[[#This Row],[Discount_amt]]</f>
        <v>4148</v>
      </c>
      <c r="Z730" s="4">
        <f>excelsalesdata[[#This Row],[Net_sales]]-excelsalesdata[[#This Row],[Cost]]</f>
        <v>2638</v>
      </c>
      <c r="AA730" s="5">
        <f>excelsalesdata[[#This Row],[Profit]]/excelsalesdata[[#This Row],[Net_sales]]</f>
        <v>0.63596914175506269</v>
      </c>
      <c r="AB730" s="4">
        <f>YEAR(excelsalesdata[[#This Row],[Order_Date]])</f>
        <v>2027</v>
      </c>
      <c r="AC730" s="4" t="str">
        <f>TEXT(excelsalesdata[[#This Row],[Order_Date]],"mmm")</f>
        <v>Apr</v>
      </c>
      <c r="AD730" s="4" t="str">
        <f>"Q"&amp;ROUNDUP(MONTH(excelsalesdata[[#This Row],[Order_Date]])/3,0)</f>
        <v>Q2</v>
      </c>
    </row>
    <row r="731" spans="1:30" x14ac:dyDescent="0.35">
      <c r="A731" t="s">
        <v>1448</v>
      </c>
      <c r="B731" s="3">
        <v>46489</v>
      </c>
      <c r="C731" t="s">
        <v>1287</v>
      </c>
      <c r="D731" t="s">
        <v>1404</v>
      </c>
      <c r="E731" t="str">
        <f>TRIM(excelsalesdata[[#This Row],[Customer_Name]])</f>
        <v>Rohan Joshi</v>
      </c>
      <c r="F731" t="s">
        <v>23</v>
      </c>
      <c r="G731">
        <v>26</v>
      </c>
      <c r="H731" t="s">
        <v>60</v>
      </c>
      <c r="I731" t="str">
        <f>TRIM(excelsalesdata[[#This Row],[City]])</f>
        <v>Chandigarh</v>
      </c>
      <c r="J731" t="s">
        <v>60</v>
      </c>
      <c r="K731" t="s">
        <v>61</v>
      </c>
      <c r="L731" t="s">
        <v>93</v>
      </c>
      <c r="M731" t="s">
        <v>718</v>
      </c>
      <c r="N731" t="s">
        <v>718</v>
      </c>
      <c r="O731">
        <v>1</v>
      </c>
      <c r="P731">
        <v>1890</v>
      </c>
      <c r="Q731">
        <v>0</v>
      </c>
      <c r="R731">
        <v>920</v>
      </c>
      <c r="S731" t="s">
        <v>29</v>
      </c>
      <c r="T731" t="s">
        <v>30</v>
      </c>
      <c r="U731">
        <v>5</v>
      </c>
      <c r="V731" t="s">
        <v>40</v>
      </c>
      <c r="W731">
        <f>excelsalesdata[[#This Row],[Quantity]]*excelsalesdata[[#This Row],[Unit_Price]]</f>
        <v>1890</v>
      </c>
      <c r="X731">
        <f>excelsalesdata[[#This Row],[Gross_sales]]*excelsalesdata[[#This Row],[Discount_%]]</f>
        <v>0</v>
      </c>
      <c r="Y731">
        <f>excelsalesdata[[#This Row],[Gross_sales]]-excelsalesdata[[#This Row],[Discount_amt]]</f>
        <v>1890</v>
      </c>
      <c r="Z731" s="4">
        <f>excelsalesdata[[#This Row],[Net_sales]]-excelsalesdata[[#This Row],[Cost]]</f>
        <v>970</v>
      </c>
      <c r="AA731" s="5">
        <f>excelsalesdata[[#This Row],[Profit]]/excelsalesdata[[#This Row],[Net_sales]]</f>
        <v>0.51322751322751325</v>
      </c>
      <c r="AB731" s="4">
        <f>YEAR(excelsalesdata[[#This Row],[Order_Date]])</f>
        <v>2027</v>
      </c>
      <c r="AC731" s="4" t="str">
        <f>TEXT(excelsalesdata[[#This Row],[Order_Date]],"mmm")</f>
        <v>Apr</v>
      </c>
      <c r="AD731" s="4" t="str">
        <f>"Q"&amp;ROUNDUP(MONTH(excelsalesdata[[#This Row],[Order_Date]])/3,0)</f>
        <v>Q2</v>
      </c>
    </row>
    <row r="732" spans="1:30" x14ac:dyDescent="0.35">
      <c r="A732" t="s">
        <v>1450</v>
      </c>
      <c r="B732" s="3">
        <v>46490</v>
      </c>
      <c r="C732" t="s">
        <v>911</v>
      </c>
      <c r="D732" t="s">
        <v>1404</v>
      </c>
      <c r="E732" t="str">
        <f>TRIM(excelsalesdata[[#This Row],[Customer_Name]])</f>
        <v>Rohan Joshi</v>
      </c>
      <c r="F732" t="s">
        <v>23</v>
      </c>
      <c r="G732">
        <v>24</v>
      </c>
      <c r="H732" t="s">
        <v>78</v>
      </c>
      <c r="I732" t="str">
        <f>TRIM(excelsalesdata[[#This Row],[City]])</f>
        <v>Guwahati</v>
      </c>
      <c r="J732" t="s">
        <v>79</v>
      </c>
      <c r="K732" t="s">
        <v>37</v>
      </c>
      <c r="L732" t="s">
        <v>27</v>
      </c>
      <c r="M732" t="s">
        <v>295</v>
      </c>
      <c r="N732" t="s">
        <v>295</v>
      </c>
      <c r="O732">
        <v>1</v>
      </c>
      <c r="P732">
        <v>4280</v>
      </c>
      <c r="Q732">
        <v>0.1</v>
      </c>
      <c r="R732">
        <v>2570</v>
      </c>
      <c r="S732" t="s">
        <v>105</v>
      </c>
      <c r="T732" t="s">
        <v>81</v>
      </c>
      <c r="U732">
        <v>0</v>
      </c>
      <c r="V732" t="s">
        <v>31</v>
      </c>
      <c r="W732">
        <f>excelsalesdata[[#This Row],[Quantity]]*excelsalesdata[[#This Row],[Unit_Price]]</f>
        <v>4280</v>
      </c>
      <c r="X732">
        <f>excelsalesdata[[#This Row],[Gross_sales]]*excelsalesdata[[#This Row],[Discount_%]]</f>
        <v>428</v>
      </c>
      <c r="Y732">
        <f>excelsalesdata[[#This Row],[Gross_sales]]-excelsalesdata[[#This Row],[Discount_amt]]</f>
        <v>3852</v>
      </c>
      <c r="Z732" s="4">
        <f>excelsalesdata[[#This Row],[Net_sales]]-excelsalesdata[[#This Row],[Cost]]</f>
        <v>1282</v>
      </c>
      <c r="AA732" s="5">
        <f>excelsalesdata[[#This Row],[Profit]]/excelsalesdata[[#This Row],[Net_sales]]</f>
        <v>0.3328141225337487</v>
      </c>
      <c r="AB732" s="4">
        <f>YEAR(excelsalesdata[[#This Row],[Order_Date]])</f>
        <v>2027</v>
      </c>
      <c r="AC732" s="4" t="str">
        <f>TEXT(excelsalesdata[[#This Row],[Order_Date]],"mmm")</f>
        <v>Apr</v>
      </c>
      <c r="AD732" s="4" t="str">
        <f>"Q"&amp;ROUNDUP(MONTH(excelsalesdata[[#This Row],[Order_Date]])/3,0)</f>
        <v>Q2</v>
      </c>
    </row>
    <row r="733" spans="1:30" x14ac:dyDescent="0.35">
      <c r="A733" t="s">
        <v>1451</v>
      </c>
      <c r="B733" s="3">
        <v>46491</v>
      </c>
      <c r="C733" t="s">
        <v>1452</v>
      </c>
      <c r="D733" t="s">
        <v>1271</v>
      </c>
      <c r="E733" t="str">
        <f>TRIM(excelsalesdata[[#This Row],[Customer_Name]])</f>
        <v>Arjun Sharma</v>
      </c>
      <c r="F733" t="s">
        <v>44</v>
      </c>
      <c r="G733">
        <v>18</v>
      </c>
      <c r="H733" t="s">
        <v>52</v>
      </c>
      <c r="I733" t="str">
        <f>TRIM(excelsalesdata[[#This Row],[City]])</f>
        <v>Bengaluru</v>
      </c>
      <c r="J733" t="s">
        <v>53</v>
      </c>
      <c r="K733" t="s">
        <v>47</v>
      </c>
      <c r="L733" t="s">
        <v>54</v>
      </c>
      <c r="M733" t="s">
        <v>55</v>
      </c>
      <c r="N733" t="s">
        <v>55</v>
      </c>
      <c r="O733">
        <v>2</v>
      </c>
      <c r="P733">
        <v>6460</v>
      </c>
      <c r="Q733">
        <v>0.05</v>
      </c>
      <c r="R733">
        <v>4510</v>
      </c>
      <c r="S733" t="s">
        <v>105</v>
      </c>
      <c r="T733" t="s">
        <v>81</v>
      </c>
      <c r="U733">
        <v>0</v>
      </c>
      <c r="V733" t="s">
        <v>31</v>
      </c>
      <c r="W733">
        <f>excelsalesdata[[#This Row],[Quantity]]*excelsalesdata[[#This Row],[Unit_Price]]</f>
        <v>12920</v>
      </c>
      <c r="X733">
        <f>excelsalesdata[[#This Row],[Gross_sales]]*excelsalesdata[[#This Row],[Discount_%]]</f>
        <v>646</v>
      </c>
      <c r="Y733">
        <f>excelsalesdata[[#This Row],[Gross_sales]]-excelsalesdata[[#This Row],[Discount_amt]]</f>
        <v>12274</v>
      </c>
      <c r="Z733" s="4">
        <f>excelsalesdata[[#This Row],[Net_sales]]-excelsalesdata[[#This Row],[Cost]]</f>
        <v>7764</v>
      </c>
      <c r="AA733" s="5">
        <f>excelsalesdata[[#This Row],[Profit]]/excelsalesdata[[#This Row],[Net_sales]]</f>
        <v>0.6325566237575363</v>
      </c>
      <c r="AB733" s="4">
        <f>YEAR(excelsalesdata[[#This Row],[Order_Date]])</f>
        <v>2027</v>
      </c>
      <c r="AC733" s="4" t="str">
        <f>TEXT(excelsalesdata[[#This Row],[Order_Date]],"mmm")</f>
        <v>Apr</v>
      </c>
      <c r="AD733" s="4" t="str">
        <f>"Q"&amp;ROUNDUP(MONTH(excelsalesdata[[#This Row],[Order_Date]])/3,0)</f>
        <v>Q2</v>
      </c>
    </row>
    <row r="734" spans="1:30" x14ac:dyDescent="0.35">
      <c r="A734" t="s">
        <v>1453</v>
      </c>
      <c r="B734" s="3">
        <v>46492</v>
      </c>
      <c r="C734" t="s">
        <v>1163</v>
      </c>
      <c r="D734" t="s">
        <v>138</v>
      </c>
      <c r="E734" t="str">
        <f>TRIM(excelsalesdata[[#This Row],[Customer_Name]])</f>
        <v>Vikram Bhat</v>
      </c>
      <c r="F734" t="s">
        <v>23</v>
      </c>
      <c r="G734">
        <v>47</v>
      </c>
      <c r="H734" t="s">
        <v>190</v>
      </c>
      <c r="I734" t="str">
        <f>TRIM(excelsalesdata[[#This Row],[City]])</f>
        <v>Ahmedabad</v>
      </c>
      <c r="J734" t="s">
        <v>191</v>
      </c>
      <c r="K734" t="s">
        <v>26</v>
      </c>
      <c r="L734" t="s">
        <v>54</v>
      </c>
      <c r="M734" t="s">
        <v>129</v>
      </c>
      <c r="N734" t="s">
        <v>129</v>
      </c>
      <c r="O734">
        <v>2</v>
      </c>
      <c r="P734">
        <v>18830</v>
      </c>
      <c r="Q734">
        <v>0.15</v>
      </c>
      <c r="R734">
        <v>12660</v>
      </c>
      <c r="S734" t="s">
        <v>56</v>
      </c>
      <c r="T734" t="s">
        <v>30</v>
      </c>
      <c r="U734">
        <v>2</v>
      </c>
      <c r="V734" t="s">
        <v>31</v>
      </c>
      <c r="W734">
        <f>excelsalesdata[[#This Row],[Quantity]]*excelsalesdata[[#This Row],[Unit_Price]]</f>
        <v>37660</v>
      </c>
      <c r="X734">
        <f>excelsalesdata[[#This Row],[Gross_sales]]*excelsalesdata[[#This Row],[Discount_%]]</f>
        <v>5649</v>
      </c>
      <c r="Y734">
        <f>excelsalesdata[[#This Row],[Gross_sales]]-excelsalesdata[[#This Row],[Discount_amt]]</f>
        <v>32011</v>
      </c>
      <c r="Z734" s="4">
        <f>excelsalesdata[[#This Row],[Net_sales]]-excelsalesdata[[#This Row],[Cost]]</f>
        <v>19351</v>
      </c>
      <c r="AA734" s="5">
        <f>excelsalesdata[[#This Row],[Profit]]/excelsalesdata[[#This Row],[Net_sales]]</f>
        <v>0.60451094936115712</v>
      </c>
      <c r="AB734" s="4">
        <f>YEAR(excelsalesdata[[#This Row],[Order_Date]])</f>
        <v>2027</v>
      </c>
      <c r="AC734" s="4" t="str">
        <f>TEXT(excelsalesdata[[#This Row],[Order_Date]],"mmm")</f>
        <v>Apr</v>
      </c>
      <c r="AD734" s="4" t="str">
        <f>"Q"&amp;ROUNDUP(MONTH(excelsalesdata[[#This Row],[Order_Date]])/3,0)</f>
        <v>Q2</v>
      </c>
    </row>
    <row r="735" spans="1:30" x14ac:dyDescent="0.35">
      <c r="A735" t="s">
        <v>1454</v>
      </c>
      <c r="B735" s="3">
        <v>46493</v>
      </c>
      <c r="C735" t="s">
        <v>526</v>
      </c>
      <c r="D735" t="s">
        <v>685</v>
      </c>
      <c r="E735" t="str">
        <f>TRIM(excelsalesdata[[#This Row],[Customer_Name]])</f>
        <v>Arjun Reddy</v>
      </c>
      <c r="F735" t="s">
        <v>23</v>
      </c>
      <c r="G735">
        <v>59</v>
      </c>
      <c r="H735" t="s">
        <v>45</v>
      </c>
      <c r="I735" t="str">
        <f>TRIM(excelsalesdata[[#This Row],[City]])</f>
        <v>Kochi</v>
      </c>
      <c r="J735" t="s">
        <v>46</v>
      </c>
      <c r="K735" t="s">
        <v>47</v>
      </c>
      <c r="L735" t="s">
        <v>93</v>
      </c>
      <c r="M735" t="s">
        <v>375</v>
      </c>
      <c r="N735" t="s">
        <v>375</v>
      </c>
      <c r="O735">
        <v>1</v>
      </c>
      <c r="P735">
        <v>2200</v>
      </c>
      <c r="Q735">
        <v>0.05</v>
      </c>
      <c r="R735">
        <v>1220</v>
      </c>
      <c r="S735" t="s">
        <v>151</v>
      </c>
      <c r="T735" t="s">
        <v>74</v>
      </c>
      <c r="U735">
        <v>3</v>
      </c>
      <c r="V735" t="s">
        <v>40</v>
      </c>
      <c r="W735">
        <f>excelsalesdata[[#This Row],[Quantity]]*excelsalesdata[[#This Row],[Unit_Price]]</f>
        <v>2200</v>
      </c>
      <c r="X735">
        <f>excelsalesdata[[#This Row],[Gross_sales]]*excelsalesdata[[#This Row],[Discount_%]]</f>
        <v>110</v>
      </c>
      <c r="Y735">
        <f>excelsalesdata[[#This Row],[Gross_sales]]-excelsalesdata[[#This Row],[Discount_amt]]</f>
        <v>2090</v>
      </c>
      <c r="Z735" s="4">
        <f>excelsalesdata[[#This Row],[Net_sales]]-excelsalesdata[[#This Row],[Cost]]</f>
        <v>870</v>
      </c>
      <c r="AA735" s="5">
        <f>excelsalesdata[[#This Row],[Profit]]/excelsalesdata[[#This Row],[Net_sales]]</f>
        <v>0.41626794258373206</v>
      </c>
      <c r="AB735" s="4">
        <f>YEAR(excelsalesdata[[#This Row],[Order_Date]])</f>
        <v>2027</v>
      </c>
      <c r="AC735" s="4" t="str">
        <f>TEXT(excelsalesdata[[#This Row],[Order_Date]],"mmm")</f>
        <v>Apr</v>
      </c>
      <c r="AD735" s="4" t="str">
        <f>"Q"&amp;ROUNDUP(MONTH(excelsalesdata[[#This Row],[Order_Date]])/3,0)</f>
        <v>Q2</v>
      </c>
    </row>
    <row r="736" spans="1:30" x14ac:dyDescent="0.35">
      <c r="A736" t="s">
        <v>1455</v>
      </c>
      <c r="B736" s="3">
        <v>46494</v>
      </c>
      <c r="C736" t="s">
        <v>1456</v>
      </c>
      <c r="D736" t="s">
        <v>368</v>
      </c>
      <c r="E736" t="str">
        <f>TRIM(excelsalesdata[[#This Row],[Customer_Name]])</f>
        <v>Aditya Naidu</v>
      </c>
      <c r="F736" t="s">
        <v>44</v>
      </c>
      <c r="G736">
        <v>33</v>
      </c>
      <c r="H736" t="s">
        <v>52</v>
      </c>
      <c r="I736" t="str">
        <f>TRIM(excelsalesdata[[#This Row],[City]])</f>
        <v>Bengaluru</v>
      </c>
      <c r="J736" t="s">
        <v>53</v>
      </c>
      <c r="K736" t="s">
        <v>47</v>
      </c>
      <c r="L736" t="s">
        <v>93</v>
      </c>
      <c r="M736" t="s">
        <v>375</v>
      </c>
      <c r="N736" t="s">
        <v>375</v>
      </c>
      <c r="O736">
        <v>1</v>
      </c>
      <c r="P736">
        <v>2370</v>
      </c>
      <c r="Q736">
        <v>0</v>
      </c>
      <c r="R736">
        <v>1140</v>
      </c>
      <c r="S736" t="s">
        <v>67</v>
      </c>
      <c r="T736" t="s">
        <v>30</v>
      </c>
      <c r="U736">
        <v>5</v>
      </c>
      <c r="V736" t="s">
        <v>40</v>
      </c>
      <c r="W736">
        <f>excelsalesdata[[#This Row],[Quantity]]*excelsalesdata[[#This Row],[Unit_Price]]</f>
        <v>2370</v>
      </c>
      <c r="X736">
        <f>excelsalesdata[[#This Row],[Gross_sales]]*excelsalesdata[[#This Row],[Discount_%]]</f>
        <v>0</v>
      </c>
      <c r="Y736">
        <f>excelsalesdata[[#This Row],[Gross_sales]]-excelsalesdata[[#This Row],[Discount_amt]]</f>
        <v>2370</v>
      </c>
      <c r="Z736" s="4">
        <f>excelsalesdata[[#This Row],[Net_sales]]-excelsalesdata[[#This Row],[Cost]]</f>
        <v>1230</v>
      </c>
      <c r="AA736" s="5">
        <f>excelsalesdata[[#This Row],[Profit]]/excelsalesdata[[#This Row],[Net_sales]]</f>
        <v>0.51898734177215189</v>
      </c>
      <c r="AB736" s="4">
        <f>YEAR(excelsalesdata[[#This Row],[Order_Date]])</f>
        <v>2027</v>
      </c>
      <c r="AC736" s="4" t="str">
        <f>TEXT(excelsalesdata[[#This Row],[Order_Date]],"mmm")</f>
        <v>Apr</v>
      </c>
      <c r="AD736" s="4" t="str">
        <f>"Q"&amp;ROUNDUP(MONTH(excelsalesdata[[#This Row],[Order_Date]])/3,0)</f>
        <v>Q2</v>
      </c>
    </row>
    <row r="737" spans="1:30" x14ac:dyDescent="0.35">
      <c r="A737" t="s">
        <v>1457</v>
      </c>
      <c r="B737" s="3">
        <v>46495</v>
      </c>
      <c r="C737" t="s">
        <v>1458</v>
      </c>
      <c r="D737" t="s">
        <v>214</v>
      </c>
      <c r="E737" t="str">
        <f>TRIM(excelsalesdata[[#This Row],[Customer_Name]])</f>
        <v>Meera Naidu</v>
      </c>
      <c r="F737" t="s">
        <v>23</v>
      </c>
      <c r="G737">
        <v>59</v>
      </c>
      <c r="H737" t="s">
        <v>45</v>
      </c>
      <c r="I737" t="str">
        <f>TRIM(excelsalesdata[[#This Row],[City]])</f>
        <v>Kochi</v>
      </c>
      <c r="J737" t="s">
        <v>46</v>
      </c>
      <c r="K737" t="s">
        <v>47</v>
      </c>
      <c r="L737" t="s">
        <v>93</v>
      </c>
      <c r="M737" t="s">
        <v>375</v>
      </c>
      <c r="N737" t="s">
        <v>375</v>
      </c>
      <c r="O737">
        <v>1</v>
      </c>
      <c r="P737">
        <v>2320</v>
      </c>
      <c r="Q737">
        <v>0.1</v>
      </c>
      <c r="R737">
        <v>1210</v>
      </c>
      <c r="S737" t="s">
        <v>80</v>
      </c>
      <c r="T737" t="s">
        <v>30</v>
      </c>
      <c r="U737">
        <v>8</v>
      </c>
      <c r="V737" t="s">
        <v>31</v>
      </c>
      <c r="W737">
        <f>excelsalesdata[[#This Row],[Quantity]]*excelsalesdata[[#This Row],[Unit_Price]]</f>
        <v>2320</v>
      </c>
      <c r="X737">
        <f>excelsalesdata[[#This Row],[Gross_sales]]*excelsalesdata[[#This Row],[Discount_%]]</f>
        <v>232</v>
      </c>
      <c r="Y737">
        <f>excelsalesdata[[#This Row],[Gross_sales]]-excelsalesdata[[#This Row],[Discount_amt]]</f>
        <v>2088</v>
      </c>
      <c r="Z737" s="4">
        <f>excelsalesdata[[#This Row],[Net_sales]]-excelsalesdata[[#This Row],[Cost]]</f>
        <v>878</v>
      </c>
      <c r="AA737" s="5">
        <f>excelsalesdata[[#This Row],[Profit]]/excelsalesdata[[#This Row],[Net_sales]]</f>
        <v>0.42049808429118773</v>
      </c>
      <c r="AB737" s="4">
        <f>YEAR(excelsalesdata[[#This Row],[Order_Date]])</f>
        <v>2027</v>
      </c>
      <c r="AC737" s="4" t="str">
        <f>TEXT(excelsalesdata[[#This Row],[Order_Date]],"mmm")</f>
        <v>Apr</v>
      </c>
      <c r="AD737" s="4" t="str">
        <f>"Q"&amp;ROUNDUP(MONTH(excelsalesdata[[#This Row],[Order_Date]])/3,0)</f>
        <v>Q2</v>
      </c>
    </row>
    <row r="738" spans="1:30" x14ac:dyDescent="0.35">
      <c r="A738" t="s">
        <v>1459</v>
      </c>
      <c r="B738" s="3">
        <v>46496</v>
      </c>
      <c r="C738" t="s">
        <v>223</v>
      </c>
      <c r="D738" t="s">
        <v>198</v>
      </c>
      <c r="E738" t="str">
        <f>TRIM(excelsalesdata[[#This Row],[Customer_Name]])</f>
        <v>Rohan Iyer</v>
      </c>
      <c r="F738" t="s">
        <v>44</v>
      </c>
      <c r="G738">
        <v>31</v>
      </c>
      <c r="H738" t="s">
        <v>109</v>
      </c>
      <c r="I738" t="str">
        <f>TRIM(excelsalesdata[[#This Row],[City]])</f>
        <v>Mysuru</v>
      </c>
      <c r="J738" t="s">
        <v>53</v>
      </c>
      <c r="K738" t="s">
        <v>47</v>
      </c>
      <c r="L738" t="s">
        <v>27</v>
      </c>
      <c r="M738" t="s">
        <v>123</v>
      </c>
      <c r="N738" t="s">
        <v>123</v>
      </c>
      <c r="O738">
        <v>1</v>
      </c>
      <c r="P738">
        <v>2760</v>
      </c>
      <c r="Q738">
        <v>0.1</v>
      </c>
      <c r="R738">
        <v>1610</v>
      </c>
      <c r="S738" t="s">
        <v>105</v>
      </c>
      <c r="T738" t="s">
        <v>99</v>
      </c>
      <c r="U738">
        <v>5</v>
      </c>
      <c r="V738" t="s">
        <v>40</v>
      </c>
      <c r="W738">
        <f>excelsalesdata[[#This Row],[Quantity]]*excelsalesdata[[#This Row],[Unit_Price]]</f>
        <v>2760</v>
      </c>
      <c r="X738">
        <f>excelsalesdata[[#This Row],[Gross_sales]]*excelsalesdata[[#This Row],[Discount_%]]</f>
        <v>276</v>
      </c>
      <c r="Y738">
        <f>excelsalesdata[[#This Row],[Gross_sales]]-excelsalesdata[[#This Row],[Discount_amt]]</f>
        <v>2484</v>
      </c>
      <c r="Z738" s="4">
        <f>excelsalesdata[[#This Row],[Net_sales]]-excelsalesdata[[#This Row],[Cost]]</f>
        <v>874</v>
      </c>
      <c r="AA738" s="5">
        <f>excelsalesdata[[#This Row],[Profit]]/excelsalesdata[[#This Row],[Net_sales]]</f>
        <v>0.35185185185185186</v>
      </c>
      <c r="AB738" s="4">
        <f>YEAR(excelsalesdata[[#This Row],[Order_Date]])</f>
        <v>2027</v>
      </c>
      <c r="AC738" s="4" t="str">
        <f>TEXT(excelsalesdata[[#This Row],[Order_Date]],"mmm")</f>
        <v>Apr</v>
      </c>
      <c r="AD738" s="4" t="str">
        <f>"Q"&amp;ROUNDUP(MONTH(excelsalesdata[[#This Row],[Order_Date]])/3,0)</f>
        <v>Q2</v>
      </c>
    </row>
    <row r="739" spans="1:30" x14ac:dyDescent="0.35">
      <c r="A739" t="s">
        <v>1460</v>
      </c>
      <c r="B739" s="3">
        <v>46497</v>
      </c>
      <c r="C739" t="s">
        <v>722</v>
      </c>
      <c r="D739" t="s">
        <v>463</v>
      </c>
      <c r="E739" t="str">
        <f>TRIM(excelsalesdata[[#This Row],[Customer_Name]])</f>
        <v>Kavya Sharma</v>
      </c>
      <c r="F739" t="s">
        <v>44</v>
      </c>
      <c r="G739">
        <v>30</v>
      </c>
      <c r="H739" t="s">
        <v>190</v>
      </c>
      <c r="I739" t="str">
        <f>TRIM(excelsalesdata[[#This Row],[City]])</f>
        <v>Ahmedabad</v>
      </c>
      <c r="J739" t="s">
        <v>191</v>
      </c>
      <c r="K739" t="s">
        <v>26</v>
      </c>
      <c r="L739" t="s">
        <v>103</v>
      </c>
      <c r="M739" t="s">
        <v>312</v>
      </c>
      <c r="N739" t="s">
        <v>312</v>
      </c>
      <c r="O739">
        <v>2</v>
      </c>
      <c r="P739">
        <v>6250</v>
      </c>
      <c r="Q739">
        <v>0.05</v>
      </c>
      <c r="R739">
        <v>4240</v>
      </c>
      <c r="S739" t="s">
        <v>29</v>
      </c>
      <c r="T739" t="s">
        <v>30</v>
      </c>
      <c r="U739">
        <v>3</v>
      </c>
      <c r="V739" t="s">
        <v>40</v>
      </c>
      <c r="W739">
        <f>excelsalesdata[[#This Row],[Quantity]]*excelsalesdata[[#This Row],[Unit_Price]]</f>
        <v>12500</v>
      </c>
      <c r="X739">
        <f>excelsalesdata[[#This Row],[Gross_sales]]*excelsalesdata[[#This Row],[Discount_%]]</f>
        <v>625</v>
      </c>
      <c r="Y739">
        <f>excelsalesdata[[#This Row],[Gross_sales]]-excelsalesdata[[#This Row],[Discount_amt]]</f>
        <v>11875</v>
      </c>
      <c r="Z739" s="4">
        <f>excelsalesdata[[#This Row],[Net_sales]]-excelsalesdata[[#This Row],[Cost]]</f>
        <v>7635</v>
      </c>
      <c r="AA739" s="5">
        <f>excelsalesdata[[#This Row],[Profit]]/excelsalesdata[[#This Row],[Net_sales]]</f>
        <v>0.6429473684210526</v>
      </c>
      <c r="AB739" s="4">
        <f>YEAR(excelsalesdata[[#This Row],[Order_Date]])</f>
        <v>2027</v>
      </c>
      <c r="AC739" s="4" t="str">
        <f>TEXT(excelsalesdata[[#This Row],[Order_Date]],"mmm")</f>
        <v>Apr</v>
      </c>
      <c r="AD739" s="4" t="str">
        <f>"Q"&amp;ROUNDUP(MONTH(excelsalesdata[[#This Row],[Order_Date]])/3,0)</f>
        <v>Q2</v>
      </c>
    </row>
    <row r="740" spans="1:30" x14ac:dyDescent="0.35">
      <c r="A740" t="s">
        <v>1461</v>
      </c>
      <c r="B740" s="3">
        <v>46498</v>
      </c>
      <c r="C740" t="s">
        <v>579</v>
      </c>
      <c r="D740" t="s">
        <v>205</v>
      </c>
      <c r="E740" t="str">
        <f>TRIM(excelsalesdata[[#This Row],[Customer_Name]])</f>
        <v>Vivaan Bhat</v>
      </c>
      <c r="F740" t="s">
        <v>23</v>
      </c>
      <c r="G740">
        <v>55</v>
      </c>
      <c r="H740" t="s">
        <v>78</v>
      </c>
      <c r="I740" t="str">
        <f>TRIM(excelsalesdata[[#This Row],[City]])</f>
        <v>Guwahati</v>
      </c>
      <c r="J740" t="s">
        <v>79</v>
      </c>
      <c r="K740" t="s">
        <v>37</v>
      </c>
      <c r="L740" t="s">
        <v>85</v>
      </c>
      <c r="M740" t="s">
        <v>202</v>
      </c>
      <c r="N740" t="s">
        <v>202</v>
      </c>
      <c r="O740">
        <v>2</v>
      </c>
      <c r="P740">
        <v>960</v>
      </c>
      <c r="Q740">
        <v>0.2</v>
      </c>
      <c r="R740">
        <v>390</v>
      </c>
      <c r="S740" t="s">
        <v>29</v>
      </c>
      <c r="T740" t="s">
        <v>30</v>
      </c>
      <c r="U740">
        <v>2</v>
      </c>
      <c r="V740" t="s">
        <v>40</v>
      </c>
      <c r="W740">
        <f>excelsalesdata[[#This Row],[Quantity]]*excelsalesdata[[#This Row],[Unit_Price]]</f>
        <v>1920</v>
      </c>
      <c r="X740">
        <f>excelsalesdata[[#This Row],[Gross_sales]]*excelsalesdata[[#This Row],[Discount_%]]</f>
        <v>384</v>
      </c>
      <c r="Y740">
        <f>excelsalesdata[[#This Row],[Gross_sales]]-excelsalesdata[[#This Row],[Discount_amt]]</f>
        <v>1536</v>
      </c>
      <c r="Z740" s="4">
        <f>excelsalesdata[[#This Row],[Net_sales]]-excelsalesdata[[#This Row],[Cost]]</f>
        <v>1146</v>
      </c>
      <c r="AA740" s="5">
        <f>excelsalesdata[[#This Row],[Profit]]/excelsalesdata[[#This Row],[Net_sales]]</f>
        <v>0.74609375</v>
      </c>
      <c r="AB740" s="4">
        <f>YEAR(excelsalesdata[[#This Row],[Order_Date]])</f>
        <v>2027</v>
      </c>
      <c r="AC740" s="4" t="str">
        <f>TEXT(excelsalesdata[[#This Row],[Order_Date]],"mmm")</f>
        <v>Apr</v>
      </c>
      <c r="AD740" s="4" t="str">
        <f>"Q"&amp;ROUNDUP(MONTH(excelsalesdata[[#This Row],[Order_Date]])/3,0)</f>
        <v>Q2</v>
      </c>
    </row>
    <row r="741" spans="1:30" x14ac:dyDescent="0.35">
      <c r="A741" t="s">
        <v>1462</v>
      </c>
      <c r="B741" s="3">
        <v>46499</v>
      </c>
      <c r="C741" t="s">
        <v>174</v>
      </c>
      <c r="D741" t="s">
        <v>265</v>
      </c>
      <c r="E741" t="str">
        <f>TRIM(excelsalesdata[[#This Row],[Customer_Name]])</f>
        <v>Arjun Bhat</v>
      </c>
      <c r="F741" t="s">
        <v>23</v>
      </c>
      <c r="G741">
        <v>30</v>
      </c>
      <c r="H741" t="s">
        <v>168</v>
      </c>
      <c r="I741" t="str">
        <f>TRIM(excelsalesdata[[#This Row],[City]])</f>
        <v>Delhi</v>
      </c>
      <c r="J741" t="s">
        <v>168</v>
      </c>
      <c r="K741" t="s">
        <v>61</v>
      </c>
      <c r="L741" t="s">
        <v>27</v>
      </c>
      <c r="M741" t="s">
        <v>48</v>
      </c>
      <c r="N741" t="s">
        <v>48</v>
      </c>
      <c r="O741">
        <v>3</v>
      </c>
      <c r="P741">
        <v>830</v>
      </c>
      <c r="Q741">
        <v>0</v>
      </c>
      <c r="R741">
        <v>440</v>
      </c>
      <c r="S741" t="s">
        <v>29</v>
      </c>
      <c r="T741" t="s">
        <v>30</v>
      </c>
      <c r="U741">
        <v>6</v>
      </c>
      <c r="V741" t="s">
        <v>40</v>
      </c>
      <c r="W741">
        <f>excelsalesdata[[#This Row],[Quantity]]*excelsalesdata[[#This Row],[Unit_Price]]</f>
        <v>2490</v>
      </c>
      <c r="X741">
        <f>excelsalesdata[[#This Row],[Gross_sales]]*excelsalesdata[[#This Row],[Discount_%]]</f>
        <v>0</v>
      </c>
      <c r="Y741">
        <f>excelsalesdata[[#This Row],[Gross_sales]]-excelsalesdata[[#This Row],[Discount_amt]]</f>
        <v>2490</v>
      </c>
      <c r="Z741" s="4">
        <f>excelsalesdata[[#This Row],[Net_sales]]-excelsalesdata[[#This Row],[Cost]]</f>
        <v>2050</v>
      </c>
      <c r="AA741" s="5">
        <f>excelsalesdata[[#This Row],[Profit]]/excelsalesdata[[#This Row],[Net_sales]]</f>
        <v>0.82329317269076308</v>
      </c>
      <c r="AB741" s="4">
        <f>YEAR(excelsalesdata[[#This Row],[Order_Date]])</f>
        <v>2027</v>
      </c>
      <c r="AC741" s="4" t="str">
        <f>TEXT(excelsalesdata[[#This Row],[Order_Date]],"mmm")</f>
        <v>Apr</v>
      </c>
      <c r="AD741" s="4" t="str">
        <f>"Q"&amp;ROUNDUP(MONTH(excelsalesdata[[#This Row],[Order_Date]])/3,0)</f>
        <v>Q2</v>
      </c>
    </row>
    <row r="742" spans="1:30" x14ac:dyDescent="0.35">
      <c r="A742" t="s">
        <v>1463</v>
      </c>
      <c r="B742" s="3">
        <v>46500</v>
      </c>
      <c r="C742" t="s">
        <v>1464</v>
      </c>
      <c r="D742" t="s">
        <v>211</v>
      </c>
      <c r="E742" t="str">
        <f>TRIM(excelsalesdata[[#This Row],[Customer_Name]])</f>
        <v>Aarav Iyer</v>
      </c>
      <c r="F742" t="s">
        <v>23</v>
      </c>
      <c r="G742">
        <v>49</v>
      </c>
      <c r="H742" t="s">
        <v>190</v>
      </c>
      <c r="I742" t="str">
        <f>TRIM(excelsalesdata[[#This Row],[City]])</f>
        <v>Ahmedabad</v>
      </c>
      <c r="J742" t="s">
        <v>191</v>
      </c>
      <c r="K742" t="s">
        <v>26</v>
      </c>
      <c r="L742" t="s">
        <v>54</v>
      </c>
      <c r="M742" t="s">
        <v>66</v>
      </c>
      <c r="N742" t="s">
        <v>66</v>
      </c>
      <c r="O742">
        <v>2</v>
      </c>
      <c r="P742">
        <v>2360</v>
      </c>
      <c r="Q742">
        <v>0.05</v>
      </c>
      <c r="R742">
        <v>1570</v>
      </c>
      <c r="S742" t="s">
        <v>80</v>
      </c>
      <c r="T742" t="s">
        <v>81</v>
      </c>
      <c r="U742">
        <v>0</v>
      </c>
      <c r="V742" t="s">
        <v>31</v>
      </c>
      <c r="W742">
        <f>excelsalesdata[[#This Row],[Quantity]]*excelsalesdata[[#This Row],[Unit_Price]]</f>
        <v>4720</v>
      </c>
      <c r="X742">
        <f>excelsalesdata[[#This Row],[Gross_sales]]*excelsalesdata[[#This Row],[Discount_%]]</f>
        <v>236</v>
      </c>
      <c r="Y742">
        <f>excelsalesdata[[#This Row],[Gross_sales]]-excelsalesdata[[#This Row],[Discount_amt]]</f>
        <v>4484</v>
      </c>
      <c r="Z742" s="4">
        <f>excelsalesdata[[#This Row],[Net_sales]]-excelsalesdata[[#This Row],[Cost]]</f>
        <v>2914</v>
      </c>
      <c r="AA742" s="5">
        <f>excelsalesdata[[#This Row],[Profit]]/excelsalesdata[[#This Row],[Net_sales]]</f>
        <v>0.6498661909009813</v>
      </c>
      <c r="AB742" s="4">
        <f>YEAR(excelsalesdata[[#This Row],[Order_Date]])</f>
        <v>2027</v>
      </c>
      <c r="AC742" s="4" t="str">
        <f>TEXT(excelsalesdata[[#This Row],[Order_Date]],"mmm")</f>
        <v>Apr</v>
      </c>
      <c r="AD742" s="4" t="str">
        <f>"Q"&amp;ROUNDUP(MONTH(excelsalesdata[[#This Row],[Order_Date]])/3,0)</f>
        <v>Q2</v>
      </c>
    </row>
    <row r="743" spans="1:30" x14ac:dyDescent="0.35">
      <c r="A743" t="s">
        <v>1465</v>
      </c>
      <c r="B743" s="3">
        <v>46501</v>
      </c>
      <c r="C743" t="s">
        <v>1466</v>
      </c>
      <c r="D743" t="s">
        <v>268</v>
      </c>
      <c r="E743" t="str">
        <f>TRIM(excelsalesdata[[#This Row],[Customer_Name]])</f>
        <v>Diya Shah</v>
      </c>
      <c r="F743" t="s">
        <v>23</v>
      </c>
      <c r="G743">
        <v>44</v>
      </c>
      <c r="H743" t="s">
        <v>114</v>
      </c>
      <c r="I743" t="str">
        <f>TRIM(excelsalesdata[[#This Row],[City]])</f>
        <v>Hyderabad</v>
      </c>
      <c r="J743" t="s">
        <v>115</v>
      </c>
      <c r="K743" t="s">
        <v>47</v>
      </c>
      <c r="L743" t="s">
        <v>27</v>
      </c>
      <c r="M743" t="s">
        <v>48</v>
      </c>
      <c r="N743" t="s">
        <v>48</v>
      </c>
      <c r="O743">
        <v>5</v>
      </c>
      <c r="P743">
        <v>950</v>
      </c>
      <c r="Q743">
        <v>0.2</v>
      </c>
      <c r="R743">
        <v>460</v>
      </c>
      <c r="S743" t="s">
        <v>29</v>
      </c>
      <c r="T743" t="s">
        <v>30</v>
      </c>
      <c r="U743">
        <v>1</v>
      </c>
      <c r="V743" t="s">
        <v>31</v>
      </c>
      <c r="W743">
        <f>excelsalesdata[[#This Row],[Quantity]]*excelsalesdata[[#This Row],[Unit_Price]]</f>
        <v>4750</v>
      </c>
      <c r="X743">
        <f>excelsalesdata[[#This Row],[Gross_sales]]*excelsalesdata[[#This Row],[Discount_%]]</f>
        <v>950</v>
      </c>
      <c r="Y743">
        <f>excelsalesdata[[#This Row],[Gross_sales]]-excelsalesdata[[#This Row],[Discount_amt]]</f>
        <v>3800</v>
      </c>
      <c r="Z743" s="4">
        <f>excelsalesdata[[#This Row],[Net_sales]]-excelsalesdata[[#This Row],[Cost]]</f>
        <v>3340</v>
      </c>
      <c r="AA743" s="5">
        <f>excelsalesdata[[#This Row],[Profit]]/excelsalesdata[[#This Row],[Net_sales]]</f>
        <v>0.87894736842105259</v>
      </c>
      <c r="AB743" s="4">
        <f>YEAR(excelsalesdata[[#This Row],[Order_Date]])</f>
        <v>2027</v>
      </c>
      <c r="AC743" s="4" t="str">
        <f>TEXT(excelsalesdata[[#This Row],[Order_Date]],"mmm")</f>
        <v>Apr</v>
      </c>
      <c r="AD743" s="4" t="str">
        <f>"Q"&amp;ROUNDUP(MONTH(excelsalesdata[[#This Row],[Order_Date]])/3,0)</f>
        <v>Q2</v>
      </c>
    </row>
    <row r="744" spans="1:30" x14ac:dyDescent="0.35">
      <c r="A744" t="s">
        <v>1467</v>
      </c>
      <c r="B744" s="3">
        <v>46502</v>
      </c>
      <c r="C744" t="s">
        <v>1068</v>
      </c>
      <c r="D744" t="s">
        <v>279</v>
      </c>
      <c r="E744" t="str">
        <f>TRIM(excelsalesdata[[#This Row],[Customer_Name]])</f>
        <v>Vivaan Patel</v>
      </c>
      <c r="F744" t="s">
        <v>23</v>
      </c>
      <c r="G744">
        <v>33</v>
      </c>
      <c r="H744" t="s">
        <v>24</v>
      </c>
      <c r="I744" t="str">
        <f>TRIM(excelsalesdata[[#This Row],[City]])</f>
        <v>Pune</v>
      </c>
      <c r="J744" t="s">
        <v>25</v>
      </c>
      <c r="K744" t="s">
        <v>26</v>
      </c>
      <c r="L744" t="s">
        <v>103</v>
      </c>
      <c r="M744" t="s">
        <v>238</v>
      </c>
      <c r="N744" t="s">
        <v>238</v>
      </c>
      <c r="O744">
        <v>1</v>
      </c>
      <c r="P744">
        <v>3920</v>
      </c>
      <c r="Q744">
        <v>0.2</v>
      </c>
      <c r="R744">
        <v>2590</v>
      </c>
      <c r="S744" t="s">
        <v>29</v>
      </c>
      <c r="T744" t="s">
        <v>30</v>
      </c>
      <c r="U744">
        <v>2</v>
      </c>
      <c r="V744" t="s">
        <v>31</v>
      </c>
      <c r="W744">
        <f>excelsalesdata[[#This Row],[Quantity]]*excelsalesdata[[#This Row],[Unit_Price]]</f>
        <v>3920</v>
      </c>
      <c r="X744">
        <f>excelsalesdata[[#This Row],[Gross_sales]]*excelsalesdata[[#This Row],[Discount_%]]</f>
        <v>784</v>
      </c>
      <c r="Y744">
        <f>excelsalesdata[[#This Row],[Gross_sales]]-excelsalesdata[[#This Row],[Discount_amt]]</f>
        <v>3136</v>
      </c>
      <c r="Z744" s="4">
        <f>excelsalesdata[[#This Row],[Net_sales]]-excelsalesdata[[#This Row],[Cost]]</f>
        <v>546</v>
      </c>
      <c r="AA744" s="5">
        <f>excelsalesdata[[#This Row],[Profit]]/excelsalesdata[[#This Row],[Net_sales]]</f>
        <v>0.17410714285714285</v>
      </c>
      <c r="AB744" s="4">
        <f>YEAR(excelsalesdata[[#This Row],[Order_Date]])</f>
        <v>2027</v>
      </c>
      <c r="AC744" s="4" t="str">
        <f>TEXT(excelsalesdata[[#This Row],[Order_Date]],"mmm")</f>
        <v>Apr</v>
      </c>
      <c r="AD744" s="4" t="str">
        <f>"Q"&amp;ROUNDUP(MONTH(excelsalesdata[[#This Row],[Order_Date]])/3,0)</f>
        <v>Q2</v>
      </c>
    </row>
    <row r="745" spans="1:30" x14ac:dyDescent="0.35">
      <c r="A745" t="s">
        <v>1468</v>
      </c>
      <c r="B745" s="3">
        <v>46503</v>
      </c>
      <c r="C745" t="s">
        <v>174</v>
      </c>
      <c r="D745" t="s">
        <v>299</v>
      </c>
      <c r="E745" t="str">
        <f>TRIM(excelsalesdata[[#This Row],[Customer_Name]])</f>
        <v>Aarav Joshi</v>
      </c>
      <c r="F745" t="s">
        <v>23</v>
      </c>
      <c r="G745">
        <v>47</v>
      </c>
      <c r="H745" t="s">
        <v>168</v>
      </c>
      <c r="I745" t="str">
        <f>TRIM(excelsalesdata[[#This Row],[City]])</f>
        <v>Delhi</v>
      </c>
      <c r="J745" t="s">
        <v>168</v>
      </c>
      <c r="K745" t="s">
        <v>61</v>
      </c>
      <c r="L745" t="s">
        <v>27</v>
      </c>
      <c r="M745" t="s">
        <v>48</v>
      </c>
      <c r="N745" t="s">
        <v>48</v>
      </c>
      <c r="O745">
        <v>1</v>
      </c>
      <c r="P745">
        <v>850</v>
      </c>
      <c r="Q745">
        <v>0.05</v>
      </c>
      <c r="R745">
        <v>460</v>
      </c>
      <c r="S745" t="s">
        <v>151</v>
      </c>
      <c r="T745" t="s">
        <v>30</v>
      </c>
      <c r="U745">
        <v>2</v>
      </c>
      <c r="V745" t="s">
        <v>40</v>
      </c>
      <c r="W745">
        <f>excelsalesdata[[#This Row],[Quantity]]*excelsalesdata[[#This Row],[Unit_Price]]</f>
        <v>850</v>
      </c>
      <c r="X745">
        <f>excelsalesdata[[#This Row],[Gross_sales]]*excelsalesdata[[#This Row],[Discount_%]]</f>
        <v>42.5</v>
      </c>
      <c r="Y745">
        <f>excelsalesdata[[#This Row],[Gross_sales]]-excelsalesdata[[#This Row],[Discount_amt]]</f>
        <v>807.5</v>
      </c>
      <c r="Z745" s="4">
        <f>excelsalesdata[[#This Row],[Net_sales]]-excelsalesdata[[#This Row],[Cost]]</f>
        <v>347.5</v>
      </c>
      <c r="AA745" s="5">
        <f>excelsalesdata[[#This Row],[Profit]]/excelsalesdata[[#This Row],[Net_sales]]</f>
        <v>0.43034055727554177</v>
      </c>
      <c r="AB745" s="4">
        <f>YEAR(excelsalesdata[[#This Row],[Order_Date]])</f>
        <v>2027</v>
      </c>
      <c r="AC745" s="4" t="str">
        <f>TEXT(excelsalesdata[[#This Row],[Order_Date]],"mmm")</f>
        <v>Apr</v>
      </c>
      <c r="AD745" s="4" t="str">
        <f>"Q"&amp;ROUNDUP(MONTH(excelsalesdata[[#This Row],[Order_Date]])/3,0)</f>
        <v>Q2</v>
      </c>
    </row>
    <row r="746" spans="1:30" x14ac:dyDescent="0.35">
      <c r="A746" t="s">
        <v>1469</v>
      </c>
      <c r="B746" s="3">
        <v>46504</v>
      </c>
      <c r="C746" t="s">
        <v>107</v>
      </c>
      <c r="D746" t="s">
        <v>984</v>
      </c>
      <c r="E746" t="str">
        <f>TRIM(excelsalesdata[[#This Row],[Customer_Name]])</f>
        <v>Ananya Singh</v>
      </c>
      <c r="F746" t="s">
        <v>44</v>
      </c>
      <c r="G746">
        <v>19</v>
      </c>
      <c r="H746" t="s">
        <v>190</v>
      </c>
      <c r="I746" t="str">
        <f>TRIM(excelsalesdata[[#This Row],[City]])</f>
        <v>Ahmedabad</v>
      </c>
      <c r="J746" t="s">
        <v>191</v>
      </c>
      <c r="K746" t="s">
        <v>26</v>
      </c>
      <c r="L746" t="s">
        <v>27</v>
      </c>
      <c r="M746" t="s">
        <v>295</v>
      </c>
      <c r="N746" t="s">
        <v>295</v>
      </c>
      <c r="O746">
        <v>3</v>
      </c>
      <c r="P746">
        <v>4270</v>
      </c>
      <c r="Q746">
        <v>0.05</v>
      </c>
      <c r="R746">
        <v>2550</v>
      </c>
      <c r="S746" t="s">
        <v>80</v>
      </c>
      <c r="T746" t="s">
        <v>30</v>
      </c>
      <c r="U746">
        <v>5</v>
      </c>
      <c r="V746" t="s">
        <v>31</v>
      </c>
      <c r="W746">
        <f>excelsalesdata[[#This Row],[Quantity]]*excelsalesdata[[#This Row],[Unit_Price]]</f>
        <v>12810</v>
      </c>
      <c r="X746">
        <f>excelsalesdata[[#This Row],[Gross_sales]]*excelsalesdata[[#This Row],[Discount_%]]</f>
        <v>640.5</v>
      </c>
      <c r="Y746">
        <f>excelsalesdata[[#This Row],[Gross_sales]]-excelsalesdata[[#This Row],[Discount_amt]]</f>
        <v>12169.5</v>
      </c>
      <c r="Z746" s="4">
        <f>excelsalesdata[[#This Row],[Net_sales]]-excelsalesdata[[#This Row],[Cost]]</f>
        <v>9619.5</v>
      </c>
      <c r="AA746" s="5">
        <f>excelsalesdata[[#This Row],[Profit]]/excelsalesdata[[#This Row],[Net_sales]]</f>
        <v>0.79045975594724516</v>
      </c>
      <c r="AB746" s="4">
        <f>YEAR(excelsalesdata[[#This Row],[Order_Date]])</f>
        <v>2027</v>
      </c>
      <c r="AC746" s="4" t="str">
        <f>TEXT(excelsalesdata[[#This Row],[Order_Date]],"mmm")</f>
        <v>Apr</v>
      </c>
      <c r="AD746" s="4" t="str">
        <f>"Q"&amp;ROUNDUP(MONTH(excelsalesdata[[#This Row],[Order_Date]])/3,0)</f>
        <v>Q2</v>
      </c>
    </row>
    <row r="747" spans="1:30" x14ac:dyDescent="0.35">
      <c r="A747" t="s">
        <v>1470</v>
      </c>
      <c r="B747" s="3">
        <v>46505</v>
      </c>
      <c r="C747" t="s">
        <v>381</v>
      </c>
      <c r="D747" t="s">
        <v>160</v>
      </c>
      <c r="E747" t="str">
        <f>TRIM(excelsalesdata[[#This Row],[Customer_Name]])</f>
        <v>Nisha Bhat</v>
      </c>
      <c r="F747" t="s">
        <v>23</v>
      </c>
      <c r="G747">
        <v>51</v>
      </c>
      <c r="H747" t="s">
        <v>114</v>
      </c>
      <c r="I747" t="str">
        <f>TRIM(excelsalesdata[[#This Row],[City]])</f>
        <v>Hyderabad</v>
      </c>
      <c r="J747" t="s">
        <v>115</v>
      </c>
      <c r="K747" t="s">
        <v>47</v>
      </c>
      <c r="L747" t="s">
        <v>38</v>
      </c>
      <c r="M747" t="s">
        <v>73</v>
      </c>
      <c r="N747" t="s">
        <v>73</v>
      </c>
      <c r="O747">
        <v>1</v>
      </c>
      <c r="P747">
        <v>5080</v>
      </c>
      <c r="Q747">
        <v>0.05</v>
      </c>
      <c r="R747">
        <v>3330</v>
      </c>
      <c r="S747" t="s">
        <v>67</v>
      </c>
      <c r="T747" t="s">
        <v>30</v>
      </c>
      <c r="U747">
        <v>3</v>
      </c>
      <c r="V747" t="s">
        <v>40</v>
      </c>
      <c r="W747">
        <f>excelsalesdata[[#This Row],[Quantity]]*excelsalesdata[[#This Row],[Unit_Price]]</f>
        <v>5080</v>
      </c>
      <c r="X747">
        <f>excelsalesdata[[#This Row],[Gross_sales]]*excelsalesdata[[#This Row],[Discount_%]]</f>
        <v>254</v>
      </c>
      <c r="Y747">
        <f>excelsalesdata[[#This Row],[Gross_sales]]-excelsalesdata[[#This Row],[Discount_amt]]</f>
        <v>4826</v>
      </c>
      <c r="Z747" s="4">
        <f>excelsalesdata[[#This Row],[Net_sales]]-excelsalesdata[[#This Row],[Cost]]</f>
        <v>1496</v>
      </c>
      <c r="AA747" s="5">
        <f>excelsalesdata[[#This Row],[Profit]]/excelsalesdata[[#This Row],[Net_sales]]</f>
        <v>0.30998756734355576</v>
      </c>
      <c r="AB747" s="4">
        <f>YEAR(excelsalesdata[[#This Row],[Order_Date]])</f>
        <v>2027</v>
      </c>
      <c r="AC747" s="4" t="str">
        <f>TEXT(excelsalesdata[[#This Row],[Order_Date]],"mmm")</f>
        <v>Apr</v>
      </c>
      <c r="AD747" s="4" t="str">
        <f>"Q"&amp;ROUNDUP(MONTH(excelsalesdata[[#This Row],[Order_Date]])/3,0)</f>
        <v>Q2</v>
      </c>
    </row>
    <row r="748" spans="1:30" x14ac:dyDescent="0.35">
      <c r="A748" t="s">
        <v>1471</v>
      </c>
      <c r="B748" s="3">
        <v>46506</v>
      </c>
      <c r="C748" t="s">
        <v>829</v>
      </c>
      <c r="D748" t="s">
        <v>830</v>
      </c>
      <c r="E748" t="str">
        <f>TRIM(excelsalesdata[[#This Row],[Customer_Name]])</f>
        <v>Rohan Bhat</v>
      </c>
      <c r="F748" t="s">
        <v>23</v>
      </c>
      <c r="G748">
        <v>52</v>
      </c>
      <c r="H748" t="s">
        <v>71</v>
      </c>
      <c r="I748" t="str">
        <f>TRIM(excelsalesdata[[#This Row],[City]])</f>
        <v>Bhubaneswar</v>
      </c>
      <c r="J748" t="s">
        <v>72</v>
      </c>
      <c r="K748" t="s">
        <v>37</v>
      </c>
      <c r="L748" t="s">
        <v>85</v>
      </c>
      <c r="M748" t="s">
        <v>86</v>
      </c>
      <c r="N748" t="s">
        <v>86</v>
      </c>
      <c r="O748">
        <v>4</v>
      </c>
      <c r="P748">
        <v>2630</v>
      </c>
      <c r="Q748">
        <v>0</v>
      </c>
      <c r="R748">
        <v>1530</v>
      </c>
      <c r="S748" t="s">
        <v>80</v>
      </c>
      <c r="T748" t="s">
        <v>30</v>
      </c>
      <c r="U748">
        <v>4</v>
      </c>
      <c r="V748" t="s">
        <v>40</v>
      </c>
      <c r="W748">
        <f>excelsalesdata[[#This Row],[Quantity]]*excelsalesdata[[#This Row],[Unit_Price]]</f>
        <v>10520</v>
      </c>
      <c r="X748">
        <f>excelsalesdata[[#This Row],[Gross_sales]]*excelsalesdata[[#This Row],[Discount_%]]</f>
        <v>0</v>
      </c>
      <c r="Y748">
        <f>excelsalesdata[[#This Row],[Gross_sales]]-excelsalesdata[[#This Row],[Discount_amt]]</f>
        <v>10520</v>
      </c>
      <c r="Z748" s="4">
        <f>excelsalesdata[[#This Row],[Net_sales]]-excelsalesdata[[#This Row],[Cost]]</f>
        <v>8990</v>
      </c>
      <c r="AA748" s="5">
        <f>excelsalesdata[[#This Row],[Profit]]/excelsalesdata[[#This Row],[Net_sales]]</f>
        <v>0.8545627376425855</v>
      </c>
      <c r="AB748" s="4">
        <f>YEAR(excelsalesdata[[#This Row],[Order_Date]])</f>
        <v>2027</v>
      </c>
      <c r="AC748" s="4" t="str">
        <f>TEXT(excelsalesdata[[#This Row],[Order_Date]],"mmm")</f>
        <v>Apr</v>
      </c>
      <c r="AD748" s="4" t="str">
        <f>"Q"&amp;ROUNDUP(MONTH(excelsalesdata[[#This Row],[Order_Date]])/3,0)</f>
        <v>Q2</v>
      </c>
    </row>
    <row r="749" spans="1:30" x14ac:dyDescent="0.35">
      <c r="A749" t="s">
        <v>1472</v>
      </c>
      <c r="B749" s="3">
        <v>46507</v>
      </c>
      <c r="C749" t="s">
        <v>1473</v>
      </c>
      <c r="D749" t="s">
        <v>871</v>
      </c>
      <c r="E749" t="str">
        <f>TRIM(excelsalesdata[[#This Row],[Customer_Name]])</f>
        <v>Rahul Iyer</v>
      </c>
      <c r="F749" t="s">
        <v>23</v>
      </c>
      <c r="G749">
        <v>36</v>
      </c>
      <c r="H749" t="s">
        <v>78</v>
      </c>
      <c r="I749" t="str">
        <f>TRIM(excelsalesdata[[#This Row],[City]])</f>
        <v>Guwahati</v>
      </c>
      <c r="J749" t="s">
        <v>79</v>
      </c>
      <c r="K749" t="s">
        <v>37</v>
      </c>
      <c r="L749" t="s">
        <v>38</v>
      </c>
      <c r="M749" t="s">
        <v>39</v>
      </c>
      <c r="N749" t="s">
        <v>39</v>
      </c>
      <c r="O749">
        <v>1</v>
      </c>
      <c r="P749">
        <v>6040</v>
      </c>
      <c r="Q749">
        <v>0.15</v>
      </c>
      <c r="R749">
        <v>4290</v>
      </c>
      <c r="S749" t="s">
        <v>105</v>
      </c>
      <c r="T749" t="s">
        <v>30</v>
      </c>
      <c r="U749">
        <v>1</v>
      </c>
      <c r="V749" t="s">
        <v>31</v>
      </c>
      <c r="W749">
        <f>excelsalesdata[[#This Row],[Quantity]]*excelsalesdata[[#This Row],[Unit_Price]]</f>
        <v>6040</v>
      </c>
      <c r="X749">
        <f>excelsalesdata[[#This Row],[Gross_sales]]*excelsalesdata[[#This Row],[Discount_%]]</f>
        <v>906</v>
      </c>
      <c r="Y749">
        <f>excelsalesdata[[#This Row],[Gross_sales]]-excelsalesdata[[#This Row],[Discount_amt]]</f>
        <v>5134</v>
      </c>
      <c r="Z749" s="4">
        <f>excelsalesdata[[#This Row],[Net_sales]]-excelsalesdata[[#This Row],[Cost]]</f>
        <v>844</v>
      </c>
      <c r="AA749" s="5">
        <f>excelsalesdata[[#This Row],[Profit]]/excelsalesdata[[#This Row],[Net_sales]]</f>
        <v>0.16439423451499804</v>
      </c>
      <c r="AB749" s="4">
        <f>YEAR(excelsalesdata[[#This Row],[Order_Date]])</f>
        <v>2027</v>
      </c>
      <c r="AC749" s="4" t="str">
        <f>TEXT(excelsalesdata[[#This Row],[Order_Date]],"mmm")</f>
        <v>Apr</v>
      </c>
      <c r="AD749" s="4" t="str">
        <f>"Q"&amp;ROUNDUP(MONTH(excelsalesdata[[#This Row],[Order_Date]])/3,0)</f>
        <v>Q2</v>
      </c>
    </row>
    <row r="750" spans="1:30" x14ac:dyDescent="0.35">
      <c r="A750" t="s">
        <v>1474</v>
      </c>
      <c r="B750" s="3">
        <v>46508</v>
      </c>
      <c r="C750" t="s">
        <v>698</v>
      </c>
      <c r="D750" t="s">
        <v>43</v>
      </c>
      <c r="E750" t="str">
        <f>TRIM(excelsalesdata[[#This Row],[Customer_Name]])</f>
        <v>Nisha Nair</v>
      </c>
      <c r="F750" t="s">
        <v>44</v>
      </c>
      <c r="G750">
        <v>38</v>
      </c>
      <c r="H750" t="s">
        <v>71</v>
      </c>
      <c r="I750" t="str">
        <f>TRIM(excelsalesdata[[#This Row],[City]])</f>
        <v>Bhubaneswar</v>
      </c>
      <c r="J750" t="s">
        <v>72</v>
      </c>
      <c r="K750" t="s">
        <v>37</v>
      </c>
      <c r="L750" t="s">
        <v>54</v>
      </c>
      <c r="M750" t="s">
        <v>157</v>
      </c>
      <c r="N750" t="s">
        <v>157</v>
      </c>
      <c r="O750">
        <v>3</v>
      </c>
      <c r="P750">
        <v>58840</v>
      </c>
      <c r="Q750">
        <v>0.1</v>
      </c>
      <c r="R750">
        <v>39950</v>
      </c>
      <c r="S750" t="s">
        <v>29</v>
      </c>
      <c r="T750" t="s">
        <v>30</v>
      </c>
      <c r="U750">
        <v>3</v>
      </c>
      <c r="V750" t="s">
        <v>40</v>
      </c>
      <c r="W750">
        <f>excelsalesdata[[#This Row],[Quantity]]*excelsalesdata[[#This Row],[Unit_Price]]</f>
        <v>176520</v>
      </c>
      <c r="X750">
        <f>excelsalesdata[[#This Row],[Gross_sales]]*excelsalesdata[[#This Row],[Discount_%]]</f>
        <v>17652</v>
      </c>
      <c r="Y750">
        <f>excelsalesdata[[#This Row],[Gross_sales]]-excelsalesdata[[#This Row],[Discount_amt]]</f>
        <v>158868</v>
      </c>
      <c r="Z750" s="4">
        <f>excelsalesdata[[#This Row],[Net_sales]]-excelsalesdata[[#This Row],[Cost]]</f>
        <v>118918</v>
      </c>
      <c r="AA750" s="5">
        <f>excelsalesdata[[#This Row],[Profit]]/excelsalesdata[[#This Row],[Net_sales]]</f>
        <v>0.74853337361834982</v>
      </c>
      <c r="AB750" s="4">
        <f>YEAR(excelsalesdata[[#This Row],[Order_Date]])</f>
        <v>2027</v>
      </c>
      <c r="AC750" s="4" t="str">
        <f>TEXT(excelsalesdata[[#This Row],[Order_Date]],"mmm")</f>
        <v>May</v>
      </c>
      <c r="AD750" s="4" t="str">
        <f>"Q"&amp;ROUNDUP(MONTH(excelsalesdata[[#This Row],[Order_Date]])/3,0)</f>
        <v>Q2</v>
      </c>
    </row>
    <row r="751" spans="1:30" x14ac:dyDescent="0.35">
      <c r="A751" t="s">
        <v>1475</v>
      </c>
      <c r="B751" s="3">
        <v>46509</v>
      </c>
      <c r="C751" t="s">
        <v>1476</v>
      </c>
      <c r="D751" t="s">
        <v>519</v>
      </c>
      <c r="E751" t="str">
        <f>TRIM(excelsalesdata[[#This Row],[Customer_Name]])</f>
        <v>Kavya Das</v>
      </c>
      <c r="F751" t="s">
        <v>44</v>
      </c>
      <c r="G751">
        <v>44</v>
      </c>
      <c r="H751" t="s">
        <v>109</v>
      </c>
      <c r="I751" t="str">
        <f>TRIM(excelsalesdata[[#This Row],[City]])</f>
        <v>Mysuru</v>
      </c>
      <c r="J751" t="s">
        <v>53</v>
      </c>
      <c r="K751" t="s">
        <v>47</v>
      </c>
      <c r="L751" t="s">
        <v>103</v>
      </c>
      <c r="M751" t="s">
        <v>238</v>
      </c>
      <c r="N751" t="s">
        <v>238</v>
      </c>
      <c r="O751">
        <v>4</v>
      </c>
      <c r="P751">
        <v>4000</v>
      </c>
      <c r="Q751">
        <v>0.05</v>
      </c>
      <c r="R751">
        <v>2770</v>
      </c>
      <c r="S751" t="s">
        <v>67</v>
      </c>
      <c r="T751" t="s">
        <v>30</v>
      </c>
      <c r="U751">
        <v>10</v>
      </c>
      <c r="V751" t="s">
        <v>31</v>
      </c>
      <c r="W751">
        <f>excelsalesdata[[#This Row],[Quantity]]*excelsalesdata[[#This Row],[Unit_Price]]</f>
        <v>16000</v>
      </c>
      <c r="X751">
        <f>excelsalesdata[[#This Row],[Gross_sales]]*excelsalesdata[[#This Row],[Discount_%]]</f>
        <v>800</v>
      </c>
      <c r="Y751">
        <f>excelsalesdata[[#This Row],[Gross_sales]]-excelsalesdata[[#This Row],[Discount_amt]]</f>
        <v>15200</v>
      </c>
      <c r="Z751" s="4">
        <f>excelsalesdata[[#This Row],[Net_sales]]-excelsalesdata[[#This Row],[Cost]]</f>
        <v>12430</v>
      </c>
      <c r="AA751" s="5">
        <f>excelsalesdata[[#This Row],[Profit]]/excelsalesdata[[#This Row],[Net_sales]]</f>
        <v>0.81776315789473686</v>
      </c>
      <c r="AB751" s="4">
        <f>YEAR(excelsalesdata[[#This Row],[Order_Date]])</f>
        <v>2027</v>
      </c>
      <c r="AC751" s="4" t="str">
        <f>TEXT(excelsalesdata[[#This Row],[Order_Date]],"mmm")</f>
        <v>May</v>
      </c>
      <c r="AD751" s="4" t="str">
        <f>"Q"&amp;ROUNDUP(MONTH(excelsalesdata[[#This Row],[Order_Date]])/3,0)</f>
        <v>Q2</v>
      </c>
    </row>
    <row r="752" spans="1:30" x14ac:dyDescent="0.35">
      <c r="A752" t="s">
        <v>1477</v>
      </c>
      <c r="B752" s="3">
        <v>46510</v>
      </c>
      <c r="C752" t="s">
        <v>230</v>
      </c>
      <c r="D752" t="s">
        <v>132</v>
      </c>
      <c r="E752" t="str">
        <f>TRIM(excelsalesdata[[#This Row],[Customer_Name]])</f>
        <v>Vivaan Das</v>
      </c>
      <c r="F752" t="s">
        <v>23</v>
      </c>
      <c r="G752">
        <v>60</v>
      </c>
      <c r="H752" t="s">
        <v>185</v>
      </c>
      <c r="I752" t="str">
        <f>TRIM(excelsalesdata[[#This Row],[City]])</f>
        <v>Lucknow</v>
      </c>
      <c r="J752" t="s">
        <v>186</v>
      </c>
      <c r="K752" t="s">
        <v>61</v>
      </c>
      <c r="L752" t="s">
        <v>54</v>
      </c>
      <c r="M752" t="s">
        <v>62</v>
      </c>
      <c r="N752" t="s">
        <v>62</v>
      </c>
      <c r="O752">
        <v>1</v>
      </c>
      <c r="P752">
        <v>22910</v>
      </c>
      <c r="Q752">
        <v>0.3</v>
      </c>
      <c r="R752">
        <v>15980</v>
      </c>
      <c r="S752" t="s">
        <v>80</v>
      </c>
      <c r="T752" t="s">
        <v>81</v>
      </c>
      <c r="U752">
        <v>0</v>
      </c>
      <c r="V752" t="s">
        <v>40</v>
      </c>
      <c r="W752">
        <f>excelsalesdata[[#This Row],[Quantity]]*excelsalesdata[[#This Row],[Unit_Price]]</f>
        <v>22910</v>
      </c>
      <c r="X752">
        <f>excelsalesdata[[#This Row],[Gross_sales]]*excelsalesdata[[#This Row],[Discount_%]]</f>
        <v>6873</v>
      </c>
      <c r="Y752">
        <f>excelsalesdata[[#This Row],[Gross_sales]]-excelsalesdata[[#This Row],[Discount_amt]]</f>
        <v>16037</v>
      </c>
      <c r="Z752" s="4">
        <f>excelsalesdata[[#This Row],[Net_sales]]-excelsalesdata[[#This Row],[Cost]]</f>
        <v>57</v>
      </c>
      <c r="AA752" s="5">
        <f>excelsalesdata[[#This Row],[Profit]]/excelsalesdata[[#This Row],[Net_sales]]</f>
        <v>3.5542807258215378E-3</v>
      </c>
      <c r="AB752" s="4">
        <f>YEAR(excelsalesdata[[#This Row],[Order_Date]])</f>
        <v>2027</v>
      </c>
      <c r="AC752" s="4" t="str">
        <f>TEXT(excelsalesdata[[#This Row],[Order_Date]],"mmm")</f>
        <v>May</v>
      </c>
      <c r="AD752" s="4" t="str">
        <f>"Q"&amp;ROUNDUP(MONTH(excelsalesdata[[#This Row],[Order_Date]])/3,0)</f>
        <v>Q2</v>
      </c>
    </row>
    <row r="753" spans="1:30" x14ac:dyDescent="0.35">
      <c r="A753" t="s">
        <v>1478</v>
      </c>
      <c r="B753" s="3">
        <v>46511</v>
      </c>
      <c r="C753" t="s">
        <v>193</v>
      </c>
      <c r="D753" t="s">
        <v>368</v>
      </c>
      <c r="E753" t="str">
        <f>TRIM(excelsalesdata[[#This Row],[Customer_Name]])</f>
        <v>Aditya Naidu</v>
      </c>
      <c r="F753" t="s">
        <v>44</v>
      </c>
      <c r="G753">
        <v>51</v>
      </c>
      <c r="H753" t="s">
        <v>114</v>
      </c>
      <c r="I753" t="str">
        <f>TRIM(excelsalesdata[[#This Row],[City]])</f>
        <v>Hyderabad</v>
      </c>
      <c r="J753" t="s">
        <v>115</v>
      </c>
      <c r="K753" t="s">
        <v>47</v>
      </c>
      <c r="L753" t="s">
        <v>38</v>
      </c>
      <c r="M753" t="s">
        <v>39</v>
      </c>
      <c r="N753" t="s">
        <v>39</v>
      </c>
      <c r="O753">
        <v>2</v>
      </c>
      <c r="P753">
        <v>6110</v>
      </c>
      <c r="Q753">
        <v>0.1</v>
      </c>
      <c r="R753">
        <v>4290</v>
      </c>
      <c r="S753" t="s">
        <v>80</v>
      </c>
      <c r="T753" t="s">
        <v>30</v>
      </c>
      <c r="U753">
        <v>6</v>
      </c>
      <c r="V753" t="s">
        <v>40</v>
      </c>
      <c r="W753">
        <f>excelsalesdata[[#This Row],[Quantity]]*excelsalesdata[[#This Row],[Unit_Price]]</f>
        <v>12220</v>
      </c>
      <c r="X753">
        <f>excelsalesdata[[#This Row],[Gross_sales]]*excelsalesdata[[#This Row],[Discount_%]]</f>
        <v>1222</v>
      </c>
      <c r="Y753">
        <f>excelsalesdata[[#This Row],[Gross_sales]]-excelsalesdata[[#This Row],[Discount_amt]]</f>
        <v>10998</v>
      </c>
      <c r="Z753" s="4">
        <f>excelsalesdata[[#This Row],[Net_sales]]-excelsalesdata[[#This Row],[Cost]]</f>
        <v>6708</v>
      </c>
      <c r="AA753" s="5">
        <f>excelsalesdata[[#This Row],[Profit]]/excelsalesdata[[#This Row],[Net_sales]]</f>
        <v>0.60992907801418439</v>
      </c>
      <c r="AB753" s="4">
        <f>YEAR(excelsalesdata[[#This Row],[Order_Date]])</f>
        <v>2027</v>
      </c>
      <c r="AC753" s="4" t="str">
        <f>TEXT(excelsalesdata[[#This Row],[Order_Date]],"mmm")</f>
        <v>May</v>
      </c>
      <c r="AD753" s="4" t="str">
        <f>"Q"&amp;ROUNDUP(MONTH(excelsalesdata[[#This Row],[Order_Date]])/3,0)</f>
        <v>Q2</v>
      </c>
    </row>
    <row r="754" spans="1:30" x14ac:dyDescent="0.35">
      <c r="A754" t="s">
        <v>1479</v>
      </c>
      <c r="B754" s="3">
        <v>46512</v>
      </c>
      <c r="C754" t="s">
        <v>1278</v>
      </c>
      <c r="D754" t="s">
        <v>580</v>
      </c>
      <c r="E754" t="str">
        <f>TRIM(excelsalesdata[[#This Row],[Customer_Name]])</f>
        <v>Meera Iyer</v>
      </c>
      <c r="F754" t="s">
        <v>23</v>
      </c>
      <c r="G754">
        <v>54</v>
      </c>
      <c r="H754" t="s">
        <v>168</v>
      </c>
      <c r="I754" t="str">
        <f>TRIM(excelsalesdata[[#This Row],[City]])</f>
        <v>Delhi</v>
      </c>
      <c r="J754" t="s">
        <v>168</v>
      </c>
      <c r="K754" t="s">
        <v>61</v>
      </c>
      <c r="L754" t="s">
        <v>27</v>
      </c>
      <c r="M754" t="s">
        <v>295</v>
      </c>
      <c r="N754" t="s">
        <v>295</v>
      </c>
      <c r="O754">
        <v>5</v>
      </c>
      <c r="P754">
        <v>4050</v>
      </c>
      <c r="Q754">
        <v>0.05</v>
      </c>
      <c r="R754">
        <v>2580</v>
      </c>
      <c r="S754" t="s">
        <v>29</v>
      </c>
      <c r="T754" t="s">
        <v>99</v>
      </c>
      <c r="U754">
        <v>4</v>
      </c>
      <c r="V754" t="s">
        <v>40</v>
      </c>
      <c r="W754">
        <f>excelsalesdata[[#This Row],[Quantity]]*excelsalesdata[[#This Row],[Unit_Price]]</f>
        <v>20250</v>
      </c>
      <c r="X754">
        <f>excelsalesdata[[#This Row],[Gross_sales]]*excelsalesdata[[#This Row],[Discount_%]]</f>
        <v>1012.5</v>
      </c>
      <c r="Y754">
        <f>excelsalesdata[[#This Row],[Gross_sales]]-excelsalesdata[[#This Row],[Discount_amt]]</f>
        <v>19237.5</v>
      </c>
      <c r="Z754" s="4">
        <f>excelsalesdata[[#This Row],[Net_sales]]-excelsalesdata[[#This Row],[Cost]]</f>
        <v>16657.5</v>
      </c>
      <c r="AA754" s="5">
        <f>excelsalesdata[[#This Row],[Profit]]/excelsalesdata[[#This Row],[Net_sales]]</f>
        <v>0.86588693957115015</v>
      </c>
      <c r="AB754" s="4">
        <f>YEAR(excelsalesdata[[#This Row],[Order_Date]])</f>
        <v>2027</v>
      </c>
      <c r="AC754" s="4" t="str">
        <f>TEXT(excelsalesdata[[#This Row],[Order_Date]],"mmm")</f>
        <v>May</v>
      </c>
      <c r="AD754" s="4" t="str">
        <f>"Q"&amp;ROUNDUP(MONTH(excelsalesdata[[#This Row],[Order_Date]])/3,0)</f>
        <v>Q2</v>
      </c>
    </row>
    <row r="755" spans="1:30" x14ac:dyDescent="0.35">
      <c r="A755" t="s">
        <v>1480</v>
      </c>
      <c r="B755" s="3">
        <v>46513</v>
      </c>
      <c r="C755" t="s">
        <v>354</v>
      </c>
      <c r="D755" t="s">
        <v>495</v>
      </c>
      <c r="E755" t="str">
        <f>TRIM(excelsalesdata[[#This Row],[Customer_Name]])</f>
        <v>Meera Das</v>
      </c>
      <c r="F755" t="s">
        <v>44</v>
      </c>
      <c r="G755">
        <v>31</v>
      </c>
      <c r="H755" t="s">
        <v>98</v>
      </c>
      <c r="I755" t="str">
        <f>TRIM(excelsalesdata[[#This Row],[City]])</f>
        <v>Mumbai</v>
      </c>
      <c r="J755" t="s">
        <v>25</v>
      </c>
      <c r="K755" t="s">
        <v>26</v>
      </c>
      <c r="L755" t="s">
        <v>27</v>
      </c>
      <c r="M755" t="s">
        <v>195</v>
      </c>
      <c r="N755" t="s">
        <v>195</v>
      </c>
      <c r="O755">
        <v>1</v>
      </c>
      <c r="P755">
        <v>2290</v>
      </c>
      <c r="Q755">
        <v>0.05</v>
      </c>
      <c r="R755">
        <v>1170</v>
      </c>
      <c r="S755" t="s">
        <v>29</v>
      </c>
      <c r="T755" t="s">
        <v>30</v>
      </c>
      <c r="U755">
        <v>6</v>
      </c>
      <c r="V755" t="s">
        <v>31</v>
      </c>
      <c r="W755">
        <f>excelsalesdata[[#This Row],[Quantity]]*excelsalesdata[[#This Row],[Unit_Price]]</f>
        <v>2290</v>
      </c>
      <c r="X755">
        <f>excelsalesdata[[#This Row],[Gross_sales]]*excelsalesdata[[#This Row],[Discount_%]]</f>
        <v>114.5</v>
      </c>
      <c r="Y755">
        <f>excelsalesdata[[#This Row],[Gross_sales]]-excelsalesdata[[#This Row],[Discount_amt]]</f>
        <v>2175.5</v>
      </c>
      <c r="Z755" s="4">
        <f>excelsalesdata[[#This Row],[Net_sales]]-excelsalesdata[[#This Row],[Cost]]</f>
        <v>1005.5</v>
      </c>
      <c r="AA755" s="5">
        <f>excelsalesdata[[#This Row],[Profit]]/excelsalesdata[[#This Row],[Net_sales]]</f>
        <v>0.46219259940243623</v>
      </c>
      <c r="AB755" s="4">
        <f>YEAR(excelsalesdata[[#This Row],[Order_Date]])</f>
        <v>2027</v>
      </c>
      <c r="AC755" s="4" t="str">
        <f>TEXT(excelsalesdata[[#This Row],[Order_Date]],"mmm")</f>
        <v>May</v>
      </c>
      <c r="AD755" s="4" t="str">
        <f>"Q"&amp;ROUNDUP(MONTH(excelsalesdata[[#This Row],[Order_Date]])/3,0)</f>
        <v>Q2</v>
      </c>
    </row>
    <row r="756" spans="1:30" x14ac:dyDescent="0.35">
      <c r="A756" t="s">
        <v>1481</v>
      </c>
      <c r="B756" s="3">
        <v>46514</v>
      </c>
      <c r="C756" t="s">
        <v>509</v>
      </c>
      <c r="D756" t="s">
        <v>566</v>
      </c>
      <c r="E756" t="str">
        <f>TRIM(excelsalesdata[[#This Row],[Customer_Name]])</f>
        <v>Sneha Reddy</v>
      </c>
      <c r="F756" t="s">
        <v>44</v>
      </c>
      <c r="G756">
        <v>53</v>
      </c>
      <c r="H756" t="s">
        <v>52</v>
      </c>
      <c r="I756" t="str">
        <f>TRIM(excelsalesdata[[#This Row],[City]])</f>
        <v>Bengaluru</v>
      </c>
      <c r="J756" t="s">
        <v>53</v>
      </c>
      <c r="K756" t="s">
        <v>47</v>
      </c>
      <c r="L756" t="s">
        <v>27</v>
      </c>
      <c r="M756" t="s">
        <v>48</v>
      </c>
      <c r="N756" t="s">
        <v>48</v>
      </c>
      <c r="O756">
        <v>2</v>
      </c>
      <c r="P756">
        <v>890</v>
      </c>
      <c r="Q756">
        <v>0.05</v>
      </c>
      <c r="R756">
        <v>450</v>
      </c>
      <c r="S756" t="s">
        <v>80</v>
      </c>
      <c r="T756" t="s">
        <v>30</v>
      </c>
      <c r="U756">
        <v>4</v>
      </c>
      <c r="V756" t="s">
        <v>40</v>
      </c>
      <c r="W756">
        <f>excelsalesdata[[#This Row],[Quantity]]*excelsalesdata[[#This Row],[Unit_Price]]</f>
        <v>1780</v>
      </c>
      <c r="X756">
        <f>excelsalesdata[[#This Row],[Gross_sales]]*excelsalesdata[[#This Row],[Discount_%]]</f>
        <v>89</v>
      </c>
      <c r="Y756">
        <f>excelsalesdata[[#This Row],[Gross_sales]]-excelsalesdata[[#This Row],[Discount_amt]]</f>
        <v>1691</v>
      </c>
      <c r="Z756" s="4">
        <f>excelsalesdata[[#This Row],[Net_sales]]-excelsalesdata[[#This Row],[Cost]]</f>
        <v>1241</v>
      </c>
      <c r="AA756" s="5">
        <f>excelsalesdata[[#This Row],[Profit]]/excelsalesdata[[#This Row],[Net_sales]]</f>
        <v>0.73388527498521583</v>
      </c>
      <c r="AB756" s="4">
        <f>YEAR(excelsalesdata[[#This Row],[Order_Date]])</f>
        <v>2027</v>
      </c>
      <c r="AC756" s="4" t="str">
        <f>TEXT(excelsalesdata[[#This Row],[Order_Date]],"mmm")</f>
        <v>May</v>
      </c>
      <c r="AD756" s="4" t="str">
        <f>"Q"&amp;ROUNDUP(MONTH(excelsalesdata[[#This Row],[Order_Date]])/3,0)</f>
        <v>Q2</v>
      </c>
    </row>
    <row r="757" spans="1:30" x14ac:dyDescent="0.35">
      <c r="A757" t="s">
        <v>1482</v>
      </c>
      <c r="B757" s="3">
        <v>46515</v>
      </c>
      <c r="C757" t="s">
        <v>903</v>
      </c>
      <c r="D757" t="s">
        <v>344</v>
      </c>
      <c r="E757" t="str">
        <f>TRIM(excelsalesdata[[#This Row],[Customer_Name]])</f>
        <v>Meera Verma</v>
      </c>
      <c r="F757" t="s">
        <v>44</v>
      </c>
      <c r="G757">
        <v>32</v>
      </c>
      <c r="H757" t="s">
        <v>185</v>
      </c>
      <c r="I757" t="str">
        <f>TRIM(excelsalesdata[[#This Row],[City]])</f>
        <v>Lucknow</v>
      </c>
      <c r="J757" t="s">
        <v>186</v>
      </c>
      <c r="K757" t="s">
        <v>61</v>
      </c>
      <c r="L757" t="s">
        <v>27</v>
      </c>
      <c r="M757" t="s">
        <v>48</v>
      </c>
      <c r="N757" t="s">
        <v>48</v>
      </c>
      <c r="O757">
        <v>1</v>
      </c>
      <c r="P757">
        <v>840</v>
      </c>
      <c r="Q757">
        <v>0.15</v>
      </c>
      <c r="R757">
        <v>430</v>
      </c>
      <c r="S757" t="s">
        <v>151</v>
      </c>
      <c r="T757" t="s">
        <v>30</v>
      </c>
      <c r="U757">
        <v>2</v>
      </c>
      <c r="V757" t="s">
        <v>40</v>
      </c>
      <c r="W757">
        <f>excelsalesdata[[#This Row],[Quantity]]*excelsalesdata[[#This Row],[Unit_Price]]</f>
        <v>840</v>
      </c>
      <c r="X757">
        <f>excelsalesdata[[#This Row],[Gross_sales]]*excelsalesdata[[#This Row],[Discount_%]]</f>
        <v>126</v>
      </c>
      <c r="Y757">
        <f>excelsalesdata[[#This Row],[Gross_sales]]-excelsalesdata[[#This Row],[Discount_amt]]</f>
        <v>714</v>
      </c>
      <c r="Z757" s="4">
        <f>excelsalesdata[[#This Row],[Net_sales]]-excelsalesdata[[#This Row],[Cost]]</f>
        <v>284</v>
      </c>
      <c r="AA757" s="5">
        <f>excelsalesdata[[#This Row],[Profit]]/excelsalesdata[[#This Row],[Net_sales]]</f>
        <v>0.39775910364145656</v>
      </c>
      <c r="AB757" s="4">
        <f>YEAR(excelsalesdata[[#This Row],[Order_Date]])</f>
        <v>2027</v>
      </c>
      <c r="AC757" s="4" t="str">
        <f>TEXT(excelsalesdata[[#This Row],[Order_Date]],"mmm")</f>
        <v>May</v>
      </c>
      <c r="AD757" s="4" t="str">
        <f>"Q"&amp;ROUNDUP(MONTH(excelsalesdata[[#This Row],[Order_Date]])/3,0)</f>
        <v>Q2</v>
      </c>
    </row>
    <row r="758" spans="1:30" x14ac:dyDescent="0.35">
      <c r="A758" t="s">
        <v>1483</v>
      </c>
      <c r="B758" s="3">
        <v>46516</v>
      </c>
      <c r="C758" t="s">
        <v>367</v>
      </c>
      <c r="D758" t="s">
        <v>918</v>
      </c>
      <c r="E758" t="str">
        <f>TRIM(excelsalesdata[[#This Row],[Customer_Name]])</f>
        <v>Vikram Naidu</v>
      </c>
      <c r="F758" t="s">
        <v>44</v>
      </c>
      <c r="G758">
        <v>19</v>
      </c>
      <c r="H758" t="s">
        <v>71</v>
      </c>
      <c r="I758" t="str">
        <f>TRIM(excelsalesdata[[#This Row],[City]])</f>
        <v>Bhubaneswar</v>
      </c>
      <c r="J758" t="s">
        <v>72</v>
      </c>
      <c r="K758" t="s">
        <v>37</v>
      </c>
      <c r="L758" t="s">
        <v>54</v>
      </c>
      <c r="M758" t="s">
        <v>129</v>
      </c>
      <c r="N758" t="s">
        <v>129</v>
      </c>
      <c r="O758">
        <v>2</v>
      </c>
      <c r="P758">
        <v>19420</v>
      </c>
      <c r="Q758">
        <v>0.05</v>
      </c>
      <c r="R758">
        <v>12650</v>
      </c>
      <c r="S758" t="s">
        <v>80</v>
      </c>
      <c r="T758" t="s">
        <v>30</v>
      </c>
      <c r="U758">
        <v>1</v>
      </c>
      <c r="V758" t="s">
        <v>31</v>
      </c>
      <c r="W758">
        <f>excelsalesdata[[#This Row],[Quantity]]*excelsalesdata[[#This Row],[Unit_Price]]</f>
        <v>38840</v>
      </c>
      <c r="X758">
        <f>excelsalesdata[[#This Row],[Gross_sales]]*excelsalesdata[[#This Row],[Discount_%]]</f>
        <v>1942</v>
      </c>
      <c r="Y758">
        <f>excelsalesdata[[#This Row],[Gross_sales]]-excelsalesdata[[#This Row],[Discount_amt]]</f>
        <v>36898</v>
      </c>
      <c r="Z758" s="4">
        <f>excelsalesdata[[#This Row],[Net_sales]]-excelsalesdata[[#This Row],[Cost]]</f>
        <v>24248</v>
      </c>
      <c r="AA758" s="5">
        <f>excelsalesdata[[#This Row],[Profit]]/excelsalesdata[[#This Row],[Net_sales]]</f>
        <v>0.65716298986394928</v>
      </c>
      <c r="AB758" s="4">
        <f>YEAR(excelsalesdata[[#This Row],[Order_Date]])</f>
        <v>2027</v>
      </c>
      <c r="AC758" s="4" t="str">
        <f>TEXT(excelsalesdata[[#This Row],[Order_Date]],"mmm")</f>
        <v>May</v>
      </c>
      <c r="AD758" s="4" t="str">
        <f>"Q"&amp;ROUNDUP(MONTH(excelsalesdata[[#This Row],[Order_Date]])/3,0)</f>
        <v>Q2</v>
      </c>
    </row>
    <row r="759" spans="1:30" x14ac:dyDescent="0.35">
      <c r="A759" t="s">
        <v>1484</v>
      </c>
      <c r="B759" s="3">
        <v>46517</v>
      </c>
      <c r="C759" t="s">
        <v>223</v>
      </c>
      <c r="D759" t="s">
        <v>713</v>
      </c>
      <c r="E759" t="str">
        <f>TRIM(excelsalesdata[[#This Row],[Customer_Name]])</f>
        <v>Meera Singh</v>
      </c>
      <c r="F759" t="s">
        <v>23</v>
      </c>
      <c r="G759">
        <v>43</v>
      </c>
      <c r="H759" t="s">
        <v>35</v>
      </c>
      <c r="I759" t="str">
        <f>TRIM(excelsalesdata[[#This Row],[City]])</f>
        <v>Kolkata</v>
      </c>
      <c r="J759" t="s">
        <v>36</v>
      </c>
      <c r="K759" t="s">
        <v>37</v>
      </c>
      <c r="L759" t="s">
        <v>27</v>
      </c>
      <c r="M759" t="s">
        <v>123</v>
      </c>
      <c r="N759" t="s">
        <v>123</v>
      </c>
      <c r="O759">
        <v>1</v>
      </c>
      <c r="P759">
        <v>2860</v>
      </c>
      <c r="Q759">
        <v>0.15</v>
      </c>
      <c r="R759">
        <v>1650</v>
      </c>
      <c r="S759" t="s">
        <v>80</v>
      </c>
      <c r="T759" t="s">
        <v>74</v>
      </c>
      <c r="U759">
        <v>3</v>
      </c>
      <c r="V759" t="s">
        <v>40</v>
      </c>
      <c r="W759">
        <f>excelsalesdata[[#This Row],[Quantity]]*excelsalesdata[[#This Row],[Unit_Price]]</f>
        <v>2860</v>
      </c>
      <c r="X759">
        <f>excelsalesdata[[#This Row],[Gross_sales]]*excelsalesdata[[#This Row],[Discount_%]]</f>
        <v>429</v>
      </c>
      <c r="Y759">
        <f>excelsalesdata[[#This Row],[Gross_sales]]-excelsalesdata[[#This Row],[Discount_amt]]</f>
        <v>2431</v>
      </c>
      <c r="Z759" s="4">
        <f>excelsalesdata[[#This Row],[Net_sales]]-excelsalesdata[[#This Row],[Cost]]</f>
        <v>781</v>
      </c>
      <c r="AA759" s="5">
        <f>excelsalesdata[[#This Row],[Profit]]/excelsalesdata[[#This Row],[Net_sales]]</f>
        <v>0.32126696832579188</v>
      </c>
      <c r="AB759" s="4">
        <f>YEAR(excelsalesdata[[#This Row],[Order_Date]])</f>
        <v>2027</v>
      </c>
      <c r="AC759" s="4" t="str">
        <f>TEXT(excelsalesdata[[#This Row],[Order_Date]],"mmm")</f>
        <v>May</v>
      </c>
      <c r="AD759" s="4" t="str">
        <f>"Q"&amp;ROUNDUP(MONTH(excelsalesdata[[#This Row],[Order_Date]])/3,0)</f>
        <v>Q2</v>
      </c>
    </row>
    <row r="760" spans="1:30" x14ac:dyDescent="0.35">
      <c r="A760" t="s">
        <v>1485</v>
      </c>
      <c r="B760" s="3">
        <v>46518</v>
      </c>
      <c r="C760" t="s">
        <v>1123</v>
      </c>
      <c r="D760" t="s">
        <v>254</v>
      </c>
      <c r="E760" t="str">
        <f>TRIM(excelsalesdata[[#This Row],[Customer_Name]])</f>
        <v>Meera Sharma</v>
      </c>
      <c r="F760" t="s">
        <v>44</v>
      </c>
      <c r="G760">
        <v>41</v>
      </c>
      <c r="H760" t="s">
        <v>190</v>
      </c>
      <c r="I760" t="str">
        <f>TRIM(excelsalesdata[[#This Row],[City]])</f>
        <v>Ahmedabad</v>
      </c>
      <c r="J760" t="s">
        <v>191</v>
      </c>
      <c r="K760" t="s">
        <v>26</v>
      </c>
      <c r="L760" t="s">
        <v>27</v>
      </c>
      <c r="M760" t="s">
        <v>295</v>
      </c>
      <c r="N760" t="s">
        <v>295</v>
      </c>
      <c r="O760">
        <v>1</v>
      </c>
      <c r="P760">
        <v>4160</v>
      </c>
      <c r="Q760">
        <v>0</v>
      </c>
      <c r="R760">
        <v>2590</v>
      </c>
      <c r="S760" t="s">
        <v>151</v>
      </c>
      <c r="T760" t="s">
        <v>74</v>
      </c>
      <c r="U760">
        <v>3</v>
      </c>
      <c r="V760" t="s">
        <v>40</v>
      </c>
      <c r="W760">
        <f>excelsalesdata[[#This Row],[Quantity]]*excelsalesdata[[#This Row],[Unit_Price]]</f>
        <v>4160</v>
      </c>
      <c r="X760">
        <f>excelsalesdata[[#This Row],[Gross_sales]]*excelsalesdata[[#This Row],[Discount_%]]</f>
        <v>0</v>
      </c>
      <c r="Y760">
        <f>excelsalesdata[[#This Row],[Gross_sales]]-excelsalesdata[[#This Row],[Discount_amt]]</f>
        <v>4160</v>
      </c>
      <c r="Z760" s="4">
        <f>excelsalesdata[[#This Row],[Net_sales]]-excelsalesdata[[#This Row],[Cost]]</f>
        <v>1570</v>
      </c>
      <c r="AA760" s="5">
        <f>excelsalesdata[[#This Row],[Profit]]/excelsalesdata[[#This Row],[Net_sales]]</f>
        <v>0.37740384615384615</v>
      </c>
      <c r="AB760" s="4">
        <f>YEAR(excelsalesdata[[#This Row],[Order_Date]])</f>
        <v>2027</v>
      </c>
      <c r="AC760" s="4" t="str">
        <f>TEXT(excelsalesdata[[#This Row],[Order_Date]],"mmm")</f>
        <v>May</v>
      </c>
      <c r="AD760" s="4" t="str">
        <f>"Q"&amp;ROUNDUP(MONTH(excelsalesdata[[#This Row],[Order_Date]])/3,0)</f>
        <v>Q2</v>
      </c>
    </row>
    <row r="761" spans="1:30" x14ac:dyDescent="0.35">
      <c r="A761" t="s">
        <v>1486</v>
      </c>
      <c r="B761" s="3">
        <v>46519</v>
      </c>
      <c r="C761" t="s">
        <v>1487</v>
      </c>
      <c r="D761" t="s">
        <v>844</v>
      </c>
      <c r="E761" t="str">
        <f>TRIM(excelsalesdata[[#This Row],[Customer_Name]])</f>
        <v>Vikram Gupta</v>
      </c>
      <c r="F761" t="s">
        <v>44</v>
      </c>
      <c r="G761">
        <v>18</v>
      </c>
      <c r="H761" t="s">
        <v>109</v>
      </c>
      <c r="I761" t="str">
        <f>TRIM(excelsalesdata[[#This Row],[City]])</f>
        <v>Mysuru</v>
      </c>
      <c r="J761" t="s">
        <v>53</v>
      </c>
      <c r="K761" t="s">
        <v>47</v>
      </c>
      <c r="L761" t="s">
        <v>27</v>
      </c>
      <c r="M761" t="s">
        <v>195</v>
      </c>
      <c r="N761" t="s">
        <v>195</v>
      </c>
      <c r="O761">
        <v>2</v>
      </c>
      <c r="P761">
        <v>2070</v>
      </c>
      <c r="Q761">
        <v>0.1</v>
      </c>
      <c r="R761">
        <v>1170</v>
      </c>
      <c r="S761" t="s">
        <v>29</v>
      </c>
      <c r="T761" t="s">
        <v>30</v>
      </c>
      <c r="U761">
        <v>5</v>
      </c>
      <c r="V761" t="s">
        <v>40</v>
      </c>
      <c r="W761">
        <f>excelsalesdata[[#This Row],[Quantity]]*excelsalesdata[[#This Row],[Unit_Price]]</f>
        <v>4140</v>
      </c>
      <c r="X761">
        <f>excelsalesdata[[#This Row],[Gross_sales]]*excelsalesdata[[#This Row],[Discount_%]]</f>
        <v>414</v>
      </c>
      <c r="Y761">
        <f>excelsalesdata[[#This Row],[Gross_sales]]-excelsalesdata[[#This Row],[Discount_amt]]</f>
        <v>3726</v>
      </c>
      <c r="Z761" s="4">
        <f>excelsalesdata[[#This Row],[Net_sales]]-excelsalesdata[[#This Row],[Cost]]</f>
        <v>2556</v>
      </c>
      <c r="AA761" s="5">
        <f>excelsalesdata[[#This Row],[Profit]]/excelsalesdata[[#This Row],[Net_sales]]</f>
        <v>0.68599033816425126</v>
      </c>
      <c r="AB761" s="4">
        <f>YEAR(excelsalesdata[[#This Row],[Order_Date]])</f>
        <v>2027</v>
      </c>
      <c r="AC761" s="4" t="str">
        <f>TEXT(excelsalesdata[[#This Row],[Order_Date]],"mmm")</f>
        <v>May</v>
      </c>
      <c r="AD761" s="4" t="str">
        <f>"Q"&amp;ROUNDUP(MONTH(excelsalesdata[[#This Row],[Order_Date]])/3,0)</f>
        <v>Q2</v>
      </c>
    </row>
    <row r="762" spans="1:30" x14ac:dyDescent="0.35">
      <c r="A762" t="s">
        <v>1488</v>
      </c>
      <c r="B762" s="3">
        <v>46520</v>
      </c>
      <c r="C762" t="s">
        <v>1063</v>
      </c>
      <c r="D762" t="s">
        <v>488</v>
      </c>
      <c r="E762" t="str">
        <f>TRIM(excelsalesdata[[#This Row],[Customer_Name]])</f>
        <v>Nisha Singh</v>
      </c>
      <c r="F762" t="s">
        <v>23</v>
      </c>
      <c r="G762">
        <v>56</v>
      </c>
      <c r="H762" t="s">
        <v>168</v>
      </c>
      <c r="I762" t="str">
        <f>TRIM(excelsalesdata[[#This Row],[City]])</f>
        <v>Delhi</v>
      </c>
      <c r="J762" t="s">
        <v>168</v>
      </c>
      <c r="K762" t="s">
        <v>61</v>
      </c>
      <c r="L762" t="s">
        <v>38</v>
      </c>
      <c r="M762" t="s">
        <v>161</v>
      </c>
      <c r="N762" t="s">
        <v>161</v>
      </c>
      <c r="O762">
        <v>1</v>
      </c>
      <c r="P762">
        <v>26190</v>
      </c>
      <c r="Q762">
        <v>0</v>
      </c>
      <c r="R762">
        <v>20340</v>
      </c>
      <c r="S762" t="s">
        <v>29</v>
      </c>
      <c r="T762" t="s">
        <v>30</v>
      </c>
      <c r="U762">
        <v>4</v>
      </c>
      <c r="V762" t="s">
        <v>40</v>
      </c>
      <c r="W762">
        <f>excelsalesdata[[#This Row],[Quantity]]*excelsalesdata[[#This Row],[Unit_Price]]</f>
        <v>26190</v>
      </c>
      <c r="X762">
        <f>excelsalesdata[[#This Row],[Gross_sales]]*excelsalesdata[[#This Row],[Discount_%]]</f>
        <v>0</v>
      </c>
      <c r="Y762">
        <f>excelsalesdata[[#This Row],[Gross_sales]]-excelsalesdata[[#This Row],[Discount_amt]]</f>
        <v>26190</v>
      </c>
      <c r="Z762" s="4">
        <f>excelsalesdata[[#This Row],[Net_sales]]-excelsalesdata[[#This Row],[Cost]]</f>
        <v>5850</v>
      </c>
      <c r="AA762" s="5">
        <f>excelsalesdata[[#This Row],[Profit]]/excelsalesdata[[#This Row],[Net_sales]]</f>
        <v>0.22336769759450173</v>
      </c>
      <c r="AB762" s="4">
        <f>YEAR(excelsalesdata[[#This Row],[Order_Date]])</f>
        <v>2027</v>
      </c>
      <c r="AC762" s="4" t="str">
        <f>TEXT(excelsalesdata[[#This Row],[Order_Date]],"mmm")</f>
        <v>May</v>
      </c>
      <c r="AD762" s="4" t="str">
        <f>"Q"&amp;ROUNDUP(MONTH(excelsalesdata[[#This Row],[Order_Date]])/3,0)</f>
        <v>Q2</v>
      </c>
    </row>
    <row r="763" spans="1:30" x14ac:dyDescent="0.35">
      <c r="A763" t="s">
        <v>1489</v>
      </c>
      <c r="B763" s="3">
        <v>46521</v>
      </c>
      <c r="C763" t="s">
        <v>473</v>
      </c>
      <c r="D763" t="s">
        <v>637</v>
      </c>
      <c r="E763" t="str">
        <f>TRIM(excelsalesdata[[#This Row],[Customer_Name]])</f>
        <v>Vikram Verma</v>
      </c>
      <c r="F763" t="s">
        <v>23</v>
      </c>
      <c r="G763">
        <v>38</v>
      </c>
      <c r="H763" t="s">
        <v>185</v>
      </c>
      <c r="I763" t="str">
        <f>TRIM(excelsalesdata[[#This Row],[City]])</f>
        <v>Lucknow</v>
      </c>
      <c r="J763" t="s">
        <v>186</v>
      </c>
      <c r="K763" t="s">
        <v>61</v>
      </c>
      <c r="L763" t="s">
        <v>54</v>
      </c>
      <c r="M763" t="s">
        <v>66</v>
      </c>
      <c r="N763" t="s">
        <v>66</v>
      </c>
      <c r="O763">
        <v>2</v>
      </c>
      <c r="P763">
        <v>2540</v>
      </c>
      <c r="Q763">
        <v>0.05</v>
      </c>
      <c r="R763">
        <v>1550</v>
      </c>
      <c r="S763" t="s">
        <v>80</v>
      </c>
      <c r="T763" t="s">
        <v>99</v>
      </c>
      <c r="U763">
        <v>5</v>
      </c>
      <c r="V763" t="s">
        <v>31</v>
      </c>
      <c r="W763">
        <f>excelsalesdata[[#This Row],[Quantity]]*excelsalesdata[[#This Row],[Unit_Price]]</f>
        <v>5080</v>
      </c>
      <c r="X763">
        <f>excelsalesdata[[#This Row],[Gross_sales]]*excelsalesdata[[#This Row],[Discount_%]]</f>
        <v>254</v>
      </c>
      <c r="Y763">
        <f>excelsalesdata[[#This Row],[Gross_sales]]-excelsalesdata[[#This Row],[Discount_amt]]</f>
        <v>4826</v>
      </c>
      <c r="Z763" s="4">
        <f>excelsalesdata[[#This Row],[Net_sales]]-excelsalesdata[[#This Row],[Cost]]</f>
        <v>3276</v>
      </c>
      <c r="AA763" s="5">
        <f>excelsalesdata[[#This Row],[Profit]]/excelsalesdata[[#This Row],[Net_sales]]</f>
        <v>0.67882304185661002</v>
      </c>
      <c r="AB763" s="4">
        <f>YEAR(excelsalesdata[[#This Row],[Order_Date]])</f>
        <v>2027</v>
      </c>
      <c r="AC763" s="4" t="str">
        <f>TEXT(excelsalesdata[[#This Row],[Order_Date]],"mmm")</f>
        <v>May</v>
      </c>
      <c r="AD763" s="4" t="str">
        <f>"Q"&amp;ROUNDUP(MONTH(excelsalesdata[[#This Row],[Order_Date]])/3,0)</f>
        <v>Q2</v>
      </c>
    </row>
    <row r="764" spans="1:30" x14ac:dyDescent="0.35">
      <c r="A764" t="s">
        <v>1490</v>
      </c>
      <c r="B764" s="3">
        <v>46522</v>
      </c>
      <c r="C764" t="s">
        <v>791</v>
      </c>
      <c r="D764" t="s">
        <v>198</v>
      </c>
      <c r="E764" t="str">
        <f>TRIM(excelsalesdata[[#This Row],[Customer_Name]])</f>
        <v>Rohan Iyer</v>
      </c>
      <c r="F764" t="s">
        <v>23</v>
      </c>
      <c r="G764">
        <v>40</v>
      </c>
      <c r="H764" t="s">
        <v>52</v>
      </c>
      <c r="I764" t="str">
        <f>TRIM(excelsalesdata[[#This Row],[City]])</f>
        <v>Bengaluru</v>
      </c>
      <c r="J764" t="s">
        <v>53</v>
      </c>
      <c r="K764" t="s">
        <v>47</v>
      </c>
      <c r="L764" t="s">
        <v>38</v>
      </c>
      <c r="M764" t="s">
        <v>119</v>
      </c>
      <c r="N764" t="s">
        <v>119</v>
      </c>
      <c r="O764">
        <v>4</v>
      </c>
      <c r="P764">
        <v>9150</v>
      </c>
      <c r="Q764">
        <v>0.15</v>
      </c>
      <c r="R764">
        <v>5600</v>
      </c>
      <c r="S764" t="s">
        <v>2848</v>
      </c>
      <c r="T764" t="s">
        <v>30</v>
      </c>
      <c r="U764">
        <v>3</v>
      </c>
      <c r="V764" t="s">
        <v>40</v>
      </c>
      <c r="W764">
        <f>excelsalesdata[[#This Row],[Quantity]]*excelsalesdata[[#This Row],[Unit_Price]]</f>
        <v>36600</v>
      </c>
      <c r="X764">
        <f>excelsalesdata[[#This Row],[Gross_sales]]*excelsalesdata[[#This Row],[Discount_%]]</f>
        <v>5490</v>
      </c>
      <c r="Y764">
        <f>excelsalesdata[[#This Row],[Gross_sales]]-excelsalesdata[[#This Row],[Discount_amt]]</f>
        <v>31110</v>
      </c>
      <c r="Z764" s="4">
        <f>excelsalesdata[[#This Row],[Net_sales]]-excelsalesdata[[#This Row],[Cost]]</f>
        <v>25510</v>
      </c>
      <c r="AA764" s="5">
        <f>excelsalesdata[[#This Row],[Profit]]/excelsalesdata[[#This Row],[Net_sales]]</f>
        <v>0.81999357119897143</v>
      </c>
      <c r="AB764" s="4">
        <f>YEAR(excelsalesdata[[#This Row],[Order_Date]])</f>
        <v>2027</v>
      </c>
      <c r="AC764" s="4" t="str">
        <f>TEXT(excelsalesdata[[#This Row],[Order_Date]],"mmm")</f>
        <v>May</v>
      </c>
      <c r="AD764" s="4" t="str">
        <f>"Q"&amp;ROUNDUP(MONTH(excelsalesdata[[#This Row],[Order_Date]])/3,0)</f>
        <v>Q2</v>
      </c>
    </row>
    <row r="765" spans="1:30" x14ac:dyDescent="0.35">
      <c r="A765" t="s">
        <v>1491</v>
      </c>
      <c r="B765" s="3">
        <v>46523</v>
      </c>
      <c r="C765" t="s">
        <v>1492</v>
      </c>
      <c r="D765" t="s">
        <v>413</v>
      </c>
      <c r="E765" t="str">
        <f>TRIM(excelsalesdata[[#This Row],[Customer_Name]])</f>
        <v>Rahul Mehta</v>
      </c>
      <c r="F765" t="s">
        <v>23</v>
      </c>
      <c r="G765">
        <v>25</v>
      </c>
      <c r="H765" t="s">
        <v>98</v>
      </c>
      <c r="I765" t="str">
        <f>TRIM(excelsalesdata[[#This Row],[City]])</f>
        <v>Mumbai</v>
      </c>
      <c r="J765" t="s">
        <v>25</v>
      </c>
      <c r="K765" t="s">
        <v>26</v>
      </c>
      <c r="L765" t="s">
        <v>27</v>
      </c>
      <c r="M765" t="s">
        <v>48</v>
      </c>
      <c r="N765" t="s">
        <v>48</v>
      </c>
      <c r="O765">
        <v>2</v>
      </c>
      <c r="P765">
        <v>940</v>
      </c>
      <c r="Q765">
        <v>0.05</v>
      </c>
      <c r="R765">
        <v>440</v>
      </c>
      <c r="S765" t="s">
        <v>80</v>
      </c>
      <c r="T765" t="s">
        <v>30</v>
      </c>
      <c r="U765">
        <v>6</v>
      </c>
      <c r="V765" t="s">
        <v>40</v>
      </c>
      <c r="W765">
        <f>excelsalesdata[[#This Row],[Quantity]]*excelsalesdata[[#This Row],[Unit_Price]]</f>
        <v>1880</v>
      </c>
      <c r="X765">
        <f>excelsalesdata[[#This Row],[Gross_sales]]*excelsalesdata[[#This Row],[Discount_%]]</f>
        <v>94</v>
      </c>
      <c r="Y765">
        <f>excelsalesdata[[#This Row],[Gross_sales]]-excelsalesdata[[#This Row],[Discount_amt]]</f>
        <v>1786</v>
      </c>
      <c r="Z765" s="4">
        <f>excelsalesdata[[#This Row],[Net_sales]]-excelsalesdata[[#This Row],[Cost]]</f>
        <v>1346</v>
      </c>
      <c r="AA765" s="5">
        <f>excelsalesdata[[#This Row],[Profit]]/excelsalesdata[[#This Row],[Net_sales]]</f>
        <v>0.75363941769316911</v>
      </c>
      <c r="AB765" s="4">
        <f>YEAR(excelsalesdata[[#This Row],[Order_Date]])</f>
        <v>2027</v>
      </c>
      <c r="AC765" s="4" t="str">
        <f>TEXT(excelsalesdata[[#This Row],[Order_Date]],"mmm")</f>
        <v>May</v>
      </c>
      <c r="AD765" s="4" t="str">
        <f>"Q"&amp;ROUNDUP(MONTH(excelsalesdata[[#This Row],[Order_Date]])/3,0)</f>
        <v>Q2</v>
      </c>
    </row>
    <row r="766" spans="1:30" x14ac:dyDescent="0.35">
      <c r="A766" t="s">
        <v>1493</v>
      </c>
      <c r="B766" s="3">
        <v>46524</v>
      </c>
      <c r="C766" t="s">
        <v>117</v>
      </c>
      <c r="D766" t="s">
        <v>1496</v>
      </c>
      <c r="E766" t="str">
        <f>TRIM(excelsalesdata[[#This Row],[Customer_Name]])</f>
        <v>Diya Singh</v>
      </c>
      <c r="F766" t="s">
        <v>23</v>
      </c>
      <c r="G766">
        <v>36</v>
      </c>
      <c r="H766" t="s">
        <v>35</v>
      </c>
      <c r="I766" t="str">
        <f>TRIM(excelsalesdata[[#This Row],[City]])</f>
        <v>Kolkata</v>
      </c>
      <c r="J766" t="s">
        <v>36</v>
      </c>
      <c r="K766" t="s">
        <v>37</v>
      </c>
      <c r="L766" t="s">
        <v>38</v>
      </c>
      <c r="M766" t="s">
        <v>39</v>
      </c>
      <c r="N766" t="s">
        <v>39</v>
      </c>
      <c r="O766">
        <v>1</v>
      </c>
      <c r="P766">
        <v>6360</v>
      </c>
      <c r="Q766">
        <v>0.05</v>
      </c>
      <c r="R766">
        <v>4200</v>
      </c>
      <c r="S766" t="s">
        <v>80</v>
      </c>
      <c r="T766" t="s">
        <v>30</v>
      </c>
      <c r="U766">
        <v>3</v>
      </c>
      <c r="V766" t="s">
        <v>40</v>
      </c>
      <c r="W766">
        <f>excelsalesdata[[#This Row],[Quantity]]*excelsalesdata[[#This Row],[Unit_Price]]</f>
        <v>6360</v>
      </c>
      <c r="X766">
        <f>excelsalesdata[[#This Row],[Gross_sales]]*excelsalesdata[[#This Row],[Discount_%]]</f>
        <v>318</v>
      </c>
      <c r="Y766">
        <f>excelsalesdata[[#This Row],[Gross_sales]]-excelsalesdata[[#This Row],[Discount_amt]]</f>
        <v>6042</v>
      </c>
      <c r="Z766" s="4">
        <f>excelsalesdata[[#This Row],[Net_sales]]-excelsalesdata[[#This Row],[Cost]]</f>
        <v>1842</v>
      </c>
      <c r="AA766" s="5">
        <f>excelsalesdata[[#This Row],[Profit]]/excelsalesdata[[#This Row],[Net_sales]]</f>
        <v>0.30486593843098314</v>
      </c>
      <c r="AB766" s="4">
        <f>YEAR(excelsalesdata[[#This Row],[Order_Date]])</f>
        <v>2027</v>
      </c>
      <c r="AC766" s="4" t="str">
        <f>TEXT(excelsalesdata[[#This Row],[Order_Date]],"mmm")</f>
        <v>May</v>
      </c>
      <c r="AD766" s="4" t="str">
        <f>"Q"&amp;ROUNDUP(MONTH(excelsalesdata[[#This Row],[Order_Date]])/3,0)</f>
        <v>Q2</v>
      </c>
    </row>
    <row r="767" spans="1:30" x14ac:dyDescent="0.35">
      <c r="A767" t="s">
        <v>1494</v>
      </c>
      <c r="B767" s="3">
        <v>46525</v>
      </c>
      <c r="C767" t="s">
        <v>1495</v>
      </c>
      <c r="D767" t="s">
        <v>171</v>
      </c>
      <c r="E767" t="str">
        <f>TRIM(excelsalesdata[[#This Row],[Customer_Name]])</f>
        <v>Sneha Rao</v>
      </c>
      <c r="F767" t="s">
        <v>44</v>
      </c>
      <c r="G767">
        <v>58</v>
      </c>
      <c r="H767" t="s">
        <v>109</v>
      </c>
      <c r="I767" t="str">
        <f>TRIM(excelsalesdata[[#This Row],[City]])</f>
        <v>Mysuru</v>
      </c>
      <c r="J767" t="s">
        <v>53</v>
      </c>
      <c r="K767" t="s">
        <v>47</v>
      </c>
      <c r="L767" t="s">
        <v>93</v>
      </c>
      <c r="M767" t="s">
        <v>206</v>
      </c>
      <c r="N767" t="s">
        <v>206</v>
      </c>
      <c r="O767">
        <v>4</v>
      </c>
      <c r="P767">
        <v>680</v>
      </c>
      <c r="Q767">
        <v>0.25</v>
      </c>
      <c r="R767">
        <v>300</v>
      </c>
      <c r="S767" t="s">
        <v>29</v>
      </c>
      <c r="T767" t="s">
        <v>74</v>
      </c>
      <c r="U767">
        <v>2</v>
      </c>
      <c r="V767" t="s">
        <v>31</v>
      </c>
      <c r="W767">
        <f>excelsalesdata[[#This Row],[Quantity]]*excelsalesdata[[#This Row],[Unit_Price]]</f>
        <v>2720</v>
      </c>
      <c r="X767">
        <f>excelsalesdata[[#This Row],[Gross_sales]]*excelsalesdata[[#This Row],[Discount_%]]</f>
        <v>680</v>
      </c>
      <c r="Y767">
        <f>excelsalesdata[[#This Row],[Gross_sales]]-excelsalesdata[[#This Row],[Discount_amt]]</f>
        <v>2040</v>
      </c>
      <c r="Z767" s="4">
        <f>excelsalesdata[[#This Row],[Net_sales]]-excelsalesdata[[#This Row],[Cost]]</f>
        <v>1740</v>
      </c>
      <c r="AA767" s="5">
        <f>excelsalesdata[[#This Row],[Profit]]/excelsalesdata[[#This Row],[Net_sales]]</f>
        <v>0.8529411764705882</v>
      </c>
      <c r="AB767" s="4">
        <f>YEAR(excelsalesdata[[#This Row],[Order_Date]])</f>
        <v>2027</v>
      </c>
      <c r="AC767" s="4" t="str">
        <f>TEXT(excelsalesdata[[#This Row],[Order_Date]],"mmm")</f>
        <v>May</v>
      </c>
      <c r="AD767" s="4" t="str">
        <f>"Q"&amp;ROUNDUP(MONTH(excelsalesdata[[#This Row],[Order_Date]])/3,0)</f>
        <v>Q2</v>
      </c>
    </row>
    <row r="768" spans="1:30" x14ac:dyDescent="0.35">
      <c r="A768" t="s">
        <v>1497</v>
      </c>
      <c r="B768" s="3">
        <v>46526</v>
      </c>
      <c r="C768" t="s">
        <v>293</v>
      </c>
      <c r="D768" t="s">
        <v>1038</v>
      </c>
      <c r="E768" t="str">
        <f>TRIM(excelsalesdata[[#This Row],[Customer_Name]])</f>
        <v>Ananya Joshi</v>
      </c>
      <c r="F768" t="s">
        <v>44</v>
      </c>
      <c r="G768">
        <v>18</v>
      </c>
      <c r="H768" t="s">
        <v>185</v>
      </c>
      <c r="I768" t="str">
        <f>TRIM(excelsalesdata[[#This Row],[City]])</f>
        <v>Lucknow</v>
      </c>
      <c r="J768" t="s">
        <v>186</v>
      </c>
      <c r="K768" t="s">
        <v>61</v>
      </c>
      <c r="L768" t="s">
        <v>103</v>
      </c>
      <c r="M768" t="s">
        <v>178</v>
      </c>
      <c r="N768" t="s">
        <v>178</v>
      </c>
      <c r="O768">
        <v>4</v>
      </c>
      <c r="P768">
        <v>1920</v>
      </c>
      <c r="Q768">
        <v>0</v>
      </c>
      <c r="R768">
        <v>940</v>
      </c>
      <c r="S768" t="s">
        <v>151</v>
      </c>
      <c r="T768" t="s">
        <v>30</v>
      </c>
      <c r="U768">
        <v>5</v>
      </c>
      <c r="V768" t="s">
        <v>31</v>
      </c>
      <c r="W768">
        <f>excelsalesdata[[#This Row],[Quantity]]*excelsalesdata[[#This Row],[Unit_Price]]</f>
        <v>7680</v>
      </c>
      <c r="X768">
        <f>excelsalesdata[[#This Row],[Gross_sales]]*excelsalesdata[[#This Row],[Discount_%]]</f>
        <v>0</v>
      </c>
      <c r="Y768">
        <f>excelsalesdata[[#This Row],[Gross_sales]]-excelsalesdata[[#This Row],[Discount_amt]]</f>
        <v>7680</v>
      </c>
      <c r="Z768" s="4">
        <f>excelsalesdata[[#This Row],[Net_sales]]-excelsalesdata[[#This Row],[Cost]]</f>
        <v>6740</v>
      </c>
      <c r="AA768" s="5">
        <f>excelsalesdata[[#This Row],[Profit]]/excelsalesdata[[#This Row],[Net_sales]]</f>
        <v>0.87760416666666663</v>
      </c>
      <c r="AB768" s="4">
        <f>YEAR(excelsalesdata[[#This Row],[Order_Date]])</f>
        <v>2027</v>
      </c>
      <c r="AC768" s="4" t="str">
        <f>TEXT(excelsalesdata[[#This Row],[Order_Date]],"mmm")</f>
        <v>May</v>
      </c>
      <c r="AD768" s="4" t="str">
        <f>"Q"&amp;ROUNDUP(MONTH(excelsalesdata[[#This Row],[Order_Date]])/3,0)</f>
        <v>Q2</v>
      </c>
    </row>
    <row r="769" spans="1:30" x14ac:dyDescent="0.35">
      <c r="A769" t="s">
        <v>1498</v>
      </c>
      <c r="B769" s="3">
        <v>46527</v>
      </c>
      <c r="C769" t="s">
        <v>517</v>
      </c>
      <c r="D769" t="s">
        <v>234</v>
      </c>
      <c r="E769" t="str">
        <f>TRIM(excelsalesdata[[#This Row],[Customer_Name]])</f>
        <v>Rohan Gupta</v>
      </c>
      <c r="F769" t="s">
        <v>44</v>
      </c>
      <c r="G769">
        <v>44</v>
      </c>
      <c r="H769" t="s">
        <v>155</v>
      </c>
      <c r="I769" t="str">
        <f>TRIM(excelsalesdata[[#This Row],[City]])</f>
        <v>Chennai</v>
      </c>
      <c r="J769" t="s">
        <v>156</v>
      </c>
      <c r="K769" t="s">
        <v>47</v>
      </c>
      <c r="L769" t="s">
        <v>54</v>
      </c>
      <c r="M769" t="s">
        <v>62</v>
      </c>
      <c r="N769" t="s">
        <v>62</v>
      </c>
      <c r="O769">
        <v>1</v>
      </c>
      <c r="P769">
        <v>21760</v>
      </c>
      <c r="Q769">
        <v>0.1</v>
      </c>
      <c r="R769">
        <v>15310</v>
      </c>
      <c r="S769" t="s">
        <v>67</v>
      </c>
      <c r="T769" t="s">
        <v>74</v>
      </c>
      <c r="U769">
        <v>2</v>
      </c>
      <c r="V769" t="s">
        <v>40</v>
      </c>
      <c r="W769">
        <f>excelsalesdata[[#This Row],[Quantity]]*excelsalesdata[[#This Row],[Unit_Price]]</f>
        <v>21760</v>
      </c>
      <c r="X769">
        <f>excelsalesdata[[#This Row],[Gross_sales]]*excelsalesdata[[#This Row],[Discount_%]]</f>
        <v>2176</v>
      </c>
      <c r="Y769">
        <f>excelsalesdata[[#This Row],[Gross_sales]]-excelsalesdata[[#This Row],[Discount_amt]]</f>
        <v>19584</v>
      </c>
      <c r="Z769" s="4">
        <f>excelsalesdata[[#This Row],[Net_sales]]-excelsalesdata[[#This Row],[Cost]]</f>
        <v>4274</v>
      </c>
      <c r="AA769" s="5">
        <f>excelsalesdata[[#This Row],[Profit]]/excelsalesdata[[#This Row],[Net_sales]]</f>
        <v>0.21823937908496732</v>
      </c>
      <c r="AB769" s="4">
        <f>YEAR(excelsalesdata[[#This Row],[Order_Date]])</f>
        <v>2027</v>
      </c>
      <c r="AC769" s="4" t="str">
        <f>TEXT(excelsalesdata[[#This Row],[Order_Date]],"mmm")</f>
        <v>May</v>
      </c>
      <c r="AD769" s="4" t="str">
        <f>"Q"&amp;ROUNDUP(MONTH(excelsalesdata[[#This Row],[Order_Date]])/3,0)</f>
        <v>Q2</v>
      </c>
    </row>
    <row r="770" spans="1:30" x14ac:dyDescent="0.35">
      <c r="A770" t="s">
        <v>1499</v>
      </c>
      <c r="B770" s="3">
        <v>46528</v>
      </c>
      <c r="C770" t="s">
        <v>69</v>
      </c>
      <c r="D770" t="s">
        <v>1197</v>
      </c>
      <c r="E770" t="str">
        <f>TRIM(excelsalesdata[[#This Row],[Customer_Name]])</f>
        <v>Rahul Rao</v>
      </c>
      <c r="F770" t="s">
        <v>44</v>
      </c>
      <c r="G770">
        <v>47</v>
      </c>
      <c r="H770" t="s">
        <v>71</v>
      </c>
      <c r="I770" t="str">
        <f>TRIM(excelsalesdata[[#This Row],[City]])</f>
        <v>Bhubaneswar</v>
      </c>
      <c r="J770" t="s">
        <v>72</v>
      </c>
      <c r="K770" t="s">
        <v>37</v>
      </c>
      <c r="L770" t="s">
        <v>54</v>
      </c>
      <c r="M770" t="s">
        <v>66</v>
      </c>
      <c r="N770" t="s">
        <v>66</v>
      </c>
      <c r="O770">
        <v>2</v>
      </c>
      <c r="P770">
        <v>2650</v>
      </c>
      <c r="Q770">
        <v>0.1</v>
      </c>
      <c r="R770">
        <v>1480</v>
      </c>
      <c r="S770" t="s">
        <v>151</v>
      </c>
      <c r="T770" t="s">
        <v>30</v>
      </c>
      <c r="U770">
        <v>4</v>
      </c>
      <c r="V770" t="s">
        <v>31</v>
      </c>
      <c r="W770">
        <f>excelsalesdata[[#This Row],[Quantity]]*excelsalesdata[[#This Row],[Unit_Price]]</f>
        <v>5300</v>
      </c>
      <c r="X770">
        <f>excelsalesdata[[#This Row],[Gross_sales]]*excelsalesdata[[#This Row],[Discount_%]]</f>
        <v>530</v>
      </c>
      <c r="Y770">
        <f>excelsalesdata[[#This Row],[Gross_sales]]-excelsalesdata[[#This Row],[Discount_amt]]</f>
        <v>4770</v>
      </c>
      <c r="Z770" s="4">
        <f>excelsalesdata[[#This Row],[Net_sales]]-excelsalesdata[[#This Row],[Cost]]</f>
        <v>3290</v>
      </c>
      <c r="AA770" s="5">
        <f>excelsalesdata[[#This Row],[Profit]]/excelsalesdata[[#This Row],[Net_sales]]</f>
        <v>0.689727463312369</v>
      </c>
      <c r="AB770" s="4">
        <f>YEAR(excelsalesdata[[#This Row],[Order_Date]])</f>
        <v>2027</v>
      </c>
      <c r="AC770" s="4" t="str">
        <f>TEXT(excelsalesdata[[#This Row],[Order_Date]],"mmm")</f>
        <v>May</v>
      </c>
      <c r="AD770" s="4" t="str">
        <f>"Q"&amp;ROUNDUP(MONTH(excelsalesdata[[#This Row],[Order_Date]])/3,0)</f>
        <v>Q2</v>
      </c>
    </row>
    <row r="771" spans="1:30" x14ac:dyDescent="0.35">
      <c r="A771" t="s">
        <v>1500</v>
      </c>
      <c r="B771" s="3">
        <v>46529</v>
      </c>
      <c r="C771" t="s">
        <v>1476</v>
      </c>
      <c r="D771" t="s">
        <v>830</v>
      </c>
      <c r="E771" t="str">
        <f>TRIM(excelsalesdata[[#This Row],[Customer_Name]])</f>
        <v>Rohan Bhat</v>
      </c>
      <c r="F771" t="s">
        <v>23</v>
      </c>
      <c r="G771">
        <v>28</v>
      </c>
      <c r="H771" t="s">
        <v>190</v>
      </c>
      <c r="I771" t="str">
        <f>TRIM(excelsalesdata[[#This Row],[City]])</f>
        <v>Ahmedabad</v>
      </c>
      <c r="J771" t="s">
        <v>191</v>
      </c>
      <c r="K771" t="s">
        <v>26</v>
      </c>
      <c r="L771" t="s">
        <v>54</v>
      </c>
      <c r="M771" t="s">
        <v>157</v>
      </c>
      <c r="N771" t="s">
        <v>157</v>
      </c>
      <c r="O771">
        <v>1</v>
      </c>
      <c r="P771">
        <v>56970</v>
      </c>
      <c r="Q771">
        <v>0.2</v>
      </c>
      <c r="R771">
        <v>40890</v>
      </c>
      <c r="S771" t="s">
        <v>67</v>
      </c>
      <c r="T771" t="s">
        <v>30</v>
      </c>
      <c r="U771">
        <v>8</v>
      </c>
      <c r="V771" t="s">
        <v>31</v>
      </c>
      <c r="W771">
        <f>excelsalesdata[[#This Row],[Quantity]]*excelsalesdata[[#This Row],[Unit_Price]]</f>
        <v>56970</v>
      </c>
      <c r="X771">
        <f>excelsalesdata[[#This Row],[Gross_sales]]*excelsalesdata[[#This Row],[Discount_%]]</f>
        <v>11394</v>
      </c>
      <c r="Y771">
        <f>excelsalesdata[[#This Row],[Gross_sales]]-excelsalesdata[[#This Row],[Discount_amt]]</f>
        <v>45576</v>
      </c>
      <c r="Z771" s="4">
        <f>excelsalesdata[[#This Row],[Net_sales]]-excelsalesdata[[#This Row],[Cost]]</f>
        <v>4686</v>
      </c>
      <c r="AA771" s="5">
        <f>excelsalesdata[[#This Row],[Profit]]/excelsalesdata[[#This Row],[Net_sales]]</f>
        <v>0.10281727224855187</v>
      </c>
      <c r="AB771" s="4">
        <f>YEAR(excelsalesdata[[#This Row],[Order_Date]])</f>
        <v>2027</v>
      </c>
      <c r="AC771" s="4" t="str">
        <f>TEXT(excelsalesdata[[#This Row],[Order_Date]],"mmm")</f>
        <v>May</v>
      </c>
      <c r="AD771" s="4" t="str">
        <f>"Q"&amp;ROUNDUP(MONTH(excelsalesdata[[#This Row],[Order_Date]])/3,0)</f>
        <v>Q2</v>
      </c>
    </row>
    <row r="772" spans="1:30" x14ac:dyDescent="0.35">
      <c r="A772" t="s">
        <v>1501</v>
      </c>
      <c r="B772" s="3">
        <v>46530</v>
      </c>
      <c r="C772" t="s">
        <v>1502</v>
      </c>
      <c r="D772" t="s">
        <v>1427</v>
      </c>
      <c r="E772" t="str">
        <f>TRIM(excelsalesdata[[#This Row],[Customer_Name]])</f>
        <v>Diya Das</v>
      </c>
      <c r="F772" t="s">
        <v>44</v>
      </c>
      <c r="G772">
        <v>57</v>
      </c>
      <c r="H772" t="s">
        <v>185</v>
      </c>
      <c r="I772" t="str">
        <f>TRIM(excelsalesdata[[#This Row],[City]])</f>
        <v>Lucknow</v>
      </c>
      <c r="J772" t="s">
        <v>186</v>
      </c>
      <c r="K772" t="s">
        <v>61</v>
      </c>
      <c r="L772" t="s">
        <v>38</v>
      </c>
      <c r="M772" t="s">
        <v>161</v>
      </c>
      <c r="N772" t="s">
        <v>161</v>
      </c>
      <c r="O772">
        <v>1</v>
      </c>
      <c r="P772">
        <v>29300</v>
      </c>
      <c r="Q772">
        <v>0.1</v>
      </c>
      <c r="R772">
        <v>21120</v>
      </c>
      <c r="S772" t="s">
        <v>29</v>
      </c>
      <c r="T772" t="s">
        <v>30</v>
      </c>
      <c r="U772">
        <v>5</v>
      </c>
      <c r="V772" t="s">
        <v>31</v>
      </c>
      <c r="W772">
        <f>excelsalesdata[[#This Row],[Quantity]]*excelsalesdata[[#This Row],[Unit_Price]]</f>
        <v>29300</v>
      </c>
      <c r="X772">
        <f>excelsalesdata[[#This Row],[Gross_sales]]*excelsalesdata[[#This Row],[Discount_%]]</f>
        <v>2930</v>
      </c>
      <c r="Y772">
        <f>excelsalesdata[[#This Row],[Gross_sales]]-excelsalesdata[[#This Row],[Discount_amt]]</f>
        <v>26370</v>
      </c>
      <c r="Z772" s="4">
        <f>excelsalesdata[[#This Row],[Net_sales]]-excelsalesdata[[#This Row],[Cost]]</f>
        <v>5250</v>
      </c>
      <c r="AA772" s="5">
        <f>excelsalesdata[[#This Row],[Profit]]/excelsalesdata[[#This Row],[Net_sales]]</f>
        <v>0.19908987485779295</v>
      </c>
      <c r="AB772" s="4">
        <f>YEAR(excelsalesdata[[#This Row],[Order_Date]])</f>
        <v>2027</v>
      </c>
      <c r="AC772" s="4" t="str">
        <f>TEXT(excelsalesdata[[#This Row],[Order_Date]],"mmm")</f>
        <v>May</v>
      </c>
      <c r="AD772" s="4" t="str">
        <f>"Q"&amp;ROUNDUP(MONTH(excelsalesdata[[#This Row],[Order_Date]])/3,0)</f>
        <v>Q2</v>
      </c>
    </row>
    <row r="773" spans="1:30" x14ac:dyDescent="0.35">
      <c r="A773" t="s">
        <v>1503</v>
      </c>
      <c r="B773" s="3">
        <v>46531</v>
      </c>
      <c r="C773" t="s">
        <v>364</v>
      </c>
      <c r="D773" t="s">
        <v>1157</v>
      </c>
      <c r="E773" t="str">
        <f>TRIM(excelsalesdata[[#This Row],[Customer_Name]])</f>
        <v>Kavya Shah</v>
      </c>
      <c r="F773" t="s">
        <v>23</v>
      </c>
      <c r="G773">
        <v>32</v>
      </c>
      <c r="H773" t="s">
        <v>155</v>
      </c>
      <c r="I773" t="str">
        <f>TRIM(excelsalesdata[[#This Row],[City]])</f>
        <v>Chennai</v>
      </c>
      <c r="J773" t="s">
        <v>156</v>
      </c>
      <c r="K773" t="s">
        <v>47</v>
      </c>
      <c r="L773" t="s">
        <v>103</v>
      </c>
      <c r="M773" t="s">
        <v>104</v>
      </c>
      <c r="N773" t="s">
        <v>104</v>
      </c>
      <c r="O773">
        <v>2</v>
      </c>
      <c r="P773">
        <v>7940</v>
      </c>
      <c r="Q773">
        <v>0.15</v>
      </c>
      <c r="R773">
        <v>5410</v>
      </c>
      <c r="S773" t="s">
        <v>151</v>
      </c>
      <c r="T773" t="s">
        <v>30</v>
      </c>
      <c r="U773">
        <v>3</v>
      </c>
      <c r="V773" t="s">
        <v>31</v>
      </c>
      <c r="W773">
        <f>excelsalesdata[[#This Row],[Quantity]]*excelsalesdata[[#This Row],[Unit_Price]]</f>
        <v>15880</v>
      </c>
      <c r="X773">
        <f>excelsalesdata[[#This Row],[Gross_sales]]*excelsalesdata[[#This Row],[Discount_%]]</f>
        <v>2382</v>
      </c>
      <c r="Y773">
        <f>excelsalesdata[[#This Row],[Gross_sales]]-excelsalesdata[[#This Row],[Discount_amt]]</f>
        <v>13498</v>
      </c>
      <c r="Z773" s="4">
        <f>excelsalesdata[[#This Row],[Net_sales]]-excelsalesdata[[#This Row],[Cost]]</f>
        <v>8088</v>
      </c>
      <c r="AA773" s="5">
        <f>excelsalesdata[[#This Row],[Profit]]/excelsalesdata[[#This Row],[Net_sales]]</f>
        <v>0.59919988146392056</v>
      </c>
      <c r="AB773" s="4">
        <f>YEAR(excelsalesdata[[#This Row],[Order_Date]])</f>
        <v>2027</v>
      </c>
      <c r="AC773" s="4" t="str">
        <f>TEXT(excelsalesdata[[#This Row],[Order_Date]],"mmm")</f>
        <v>May</v>
      </c>
      <c r="AD773" s="4" t="str">
        <f>"Q"&amp;ROUNDUP(MONTH(excelsalesdata[[#This Row],[Order_Date]])/3,0)</f>
        <v>Q2</v>
      </c>
    </row>
    <row r="774" spans="1:30" x14ac:dyDescent="0.35">
      <c r="A774" t="s">
        <v>1504</v>
      </c>
      <c r="B774" s="3">
        <v>46532</v>
      </c>
      <c r="C774" t="s">
        <v>1414</v>
      </c>
      <c r="D774" t="s">
        <v>262</v>
      </c>
      <c r="E774" t="str">
        <f>TRIM(excelsalesdata[[#This Row],[Customer_Name]])</f>
        <v>Arjun Joshi</v>
      </c>
      <c r="F774" t="s">
        <v>44</v>
      </c>
      <c r="G774">
        <v>47</v>
      </c>
      <c r="H774" t="s">
        <v>133</v>
      </c>
      <c r="I774" t="str">
        <f>TRIM(excelsalesdata[[#This Row],[City]])</f>
        <v>Jaipur</v>
      </c>
      <c r="J774" t="s">
        <v>134</v>
      </c>
      <c r="K774" t="s">
        <v>61</v>
      </c>
      <c r="L774" t="s">
        <v>54</v>
      </c>
      <c r="M774" t="s">
        <v>157</v>
      </c>
      <c r="N774" t="s">
        <v>157</v>
      </c>
      <c r="O774">
        <v>3</v>
      </c>
      <c r="P774">
        <v>59180</v>
      </c>
      <c r="Q774">
        <v>0.2</v>
      </c>
      <c r="R774">
        <v>40850</v>
      </c>
      <c r="S774" t="s">
        <v>29</v>
      </c>
      <c r="T774" t="s">
        <v>30</v>
      </c>
      <c r="U774">
        <v>4</v>
      </c>
      <c r="V774" t="s">
        <v>31</v>
      </c>
      <c r="W774">
        <f>excelsalesdata[[#This Row],[Quantity]]*excelsalesdata[[#This Row],[Unit_Price]]</f>
        <v>177540</v>
      </c>
      <c r="X774">
        <f>excelsalesdata[[#This Row],[Gross_sales]]*excelsalesdata[[#This Row],[Discount_%]]</f>
        <v>35508</v>
      </c>
      <c r="Y774">
        <f>excelsalesdata[[#This Row],[Gross_sales]]-excelsalesdata[[#This Row],[Discount_amt]]</f>
        <v>142032</v>
      </c>
      <c r="Z774" s="4">
        <f>excelsalesdata[[#This Row],[Net_sales]]-excelsalesdata[[#This Row],[Cost]]</f>
        <v>101182</v>
      </c>
      <c r="AA774" s="5">
        <f>excelsalesdata[[#This Row],[Profit]]/excelsalesdata[[#This Row],[Net_sales]]</f>
        <v>0.71238875746310693</v>
      </c>
      <c r="AB774" s="4">
        <f>YEAR(excelsalesdata[[#This Row],[Order_Date]])</f>
        <v>2027</v>
      </c>
      <c r="AC774" s="4" t="str">
        <f>TEXT(excelsalesdata[[#This Row],[Order_Date]],"mmm")</f>
        <v>May</v>
      </c>
      <c r="AD774" s="4" t="str">
        <f>"Q"&amp;ROUNDUP(MONTH(excelsalesdata[[#This Row],[Order_Date]])/3,0)</f>
        <v>Q2</v>
      </c>
    </row>
    <row r="775" spans="1:30" x14ac:dyDescent="0.35">
      <c r="A775" t="s">
        <v>1505</v>
      </c>
      <c r="B775" s="3">
        <v>46533</v>
      </c>
      <c r="C775" t="s">
        <v>281</v>
      </c>
      <c r="D775" t="s">
        <v>1507</v>
      </c>
      <c r="E775" t="str">
        <f>TRIM(excelsalesdata[[#This Row],[Customer_Name]])</f>
        <v>Aarav Shah</v>
      </c>
      <c r="F775" t="s">
        <v>23</v>
      </c>
      <c r="G775">
        <v>42</v>
      </c>
      <c r="H775" t="s">
        <v>60</v>
      </c>
      <c r="I775" t="str">
        <f>TRIM(excelsalesdata[[#This Row],[City]])</f>
        <v>Chandigarh</v>
      </c>
      <c r="J775" t="s">
        <v>60</v>
      </c>
      <c r="K775" t="s">
        <v>61</v>
      </c>
      <c r="L775" t="s">
        <v>38</v>
      </c>
      <c r="M775" t="s">
        <v>255</v>
      </c>
      <c r="N775" t="s">
        <v>255</v>
      </c>
      <c r="O775">
        <v>3</v>
      </c>
      <c r="P775">
        <v>4410</v>
      </c>
      <c r="Q775">
        <v>0</v>
      </c>
      <c r="R775">
        <v>2940</v>
      </c>
      <c r="S775" t="s">
        <v>67</v>
      </c>
      <c r="T775" t="s">
        <v>74</v>
      </c>
      <c r="U775">
        <v>7</v>
      </c>
      <c r="V775" t="s">
        <v>40</v>
      </c>
      <c r="W775">
        <f>excelsalesdata[[#This Row],[Quantity]]*excelsalesdata[[#This Row],[Unit_Price]]</f>
        <v>13230</v>
      </c>
      <c r="X775">
        <f>excelsalesdata[[#This Row],[Gross_sales]]*excelsalesdata[[#This Row],[Discount_%]]</f>
        <v>0</v>
      </c>
      <c r="Y775">
        <f>excelsalesdata[[#This Row],[Gross_sales]]-excelsalesdata[[#This Row],[Discount_amt]]</f>
        <v>13230</v>
      </c>
      <c r="Z775" s="4">
        <f>excelsalesdata[[#This Row],[Net_sales]]-excelsalesdata[[#This Row],[Cost]]</f>
        <v>10290</v>
      </c>
      <c r="AA775" s="5">
        <f>excelsalesdata[[#This Row],[Profit]]/excelsalesdata[[#This Row],[Net_sales]]</f>
        <v>0.77777777777777779</v>
      </c>
      <c r="AB775" s="4">
        <f>YEAR(excelsalesdata[[#This Row],[Order_Date]])</f>
        <v>2027</v>
      </c>
      <c r="AC775" s="4" t="str">
        <f>TEXT(excelsalesdata[[#This Row],[Order_Date]],"mmm")</f>
        <v>May</v>
      </c>
      <c r="AD775" s="4" t="str">
        <f>"Q"&amp;ROUNDUP(MONTH(excelsalesdata[[#This Row],[Order_Date]])/3,0)</f>
        <v>Q2</v>
      </c>
    </row>
    <row r="776" spans="1:30" x14ac:dyDescent="0.35">
      <c r="A776" t="s">
        <v>1506</v>
      </c>
      <c r="B776" s="3">
        <v>46534</v>
      </c>
      <c r="C776" t="s">
        <v>624</v>
      </c>
      <c r="D776" t="s">
        <v>524</v>
      </c>
      <c r="E776" t="str">
        <f>TRIM(excelsalesdata[[#This Row],[Customer_Name]])</f>
        <v>Arjun Das</v>
      </c>
      <c r="F776" t="s">
        <v>44</v>
      </c>
      <c r="G776">
        <v>45</v>
      </c>
      <c r="H776" t="s">
        <v>71</v>
      </c>
      <c r="I776" t="str">
        <f>TRIM(excelsalesdata[[#This Row],[City]])</f>
        <v>Bhubaneswar</v>
      </c>
      <c r="J776" t="s">
        <v>72</v>
      </c>
      <c r="K776" t="s">
        <v>37</v>
      </c>
      <c r="L776" t="s">
        <v>38</v>
      </c>
      <c r="M776" t="s">
        <v>161</v>
      </c>
      <c r="N776" t="s">
        <v>161</v>
      </c>
      <c r="O776">
        <v>1</v>
      </c>
      <c r="P776">
        <v>30110</v>
      </c>
      <c r="Q776">
        <v>0.1</v>
      </c>
      <c r="R776">
        <v>19850</v>
      </c>
      <c r="S776" t="s">
        <v>29</v>
      </c>
      <c r="T776" t="s">
        <v>30</v>
      </c>
      <c r="U776">
        <v>4</v>
      </c>
      <c r="V776" t="s">
        <v>40</v>
      </c>
      <c r="W776">
        <f>excelsalesdata[[#This Row],[Quantity]]*excelsalesdata[[#This Row],[Unit_Price]]</f>
        <v>30110</v>
      </c>
      <c r="X776">
        <f>excelsalesdata[[#This Row],[Gross_sales]]*excelsalesdata[[#This Row],[Discount_%]]</f>
        <v>3011</v>
      </c>
      <c r="Y776">
        <f>excelsalesdata[[#This Row],[Gross_sales]]-excelsalesdata[[#This Row],[Discount_amt]]</f>
        <v>27099</v>
      </c>
      <c r="Z776" s="4">
        <f>excelsalesdata[[#This Row],[Net_sales]]-excelsalesdata[[#This Row],[Cost]]</f>
        <v>7249</v>
      </c>
      <c r="AA776" s="5">
        <f>excelsalesdata[[#This Row],[Profit]]/excelsalesdata[[#This Row],[Net_sales]]</f>
        <v>0.26750064578028709</v>
      </c>
      <c r="AB776" s="4">
        <f>YEAR(excelsalesdata[[#This Row],[Order_Date]])</f>
        <v>2027</v>
      </c>
      <c r="AC776" s="4" t="str">
        <f>TEXT(excelsalesdata[[#This Row],[Order_Date]],"mmm")</f>
        <v>May</v>
      </c>
      <c r="AD776" s="4" t="str">
        <f>"Q"&amp;ROUNDUP(MONTH(excelsalesdata[[#This Row],[Order_Date]])/3,0)</f>
        <v>Q2</v>
      </c>
    </row>
    <row r="777" spans="1:30" x14ac:dyDescent="0.35">
      <c r="A777" t="s">
        <v>1508</v>
      </c>
      <c r="B777" s="3">
        <v>46535</v>
      </c>
      <c r="C777" t="s">
        <v>1456</v>
      </c>
      <c r="D777" t="s">
        <v>984</v>
      </c>
      <c r="E777" t="str">
        <f>TRIM(excelsalesdata[[#This Row],[Customer_Name]])</f>
        <v>Ananya Singh</v>
      </c>
      <c r="F777" t="s">
        <v>23</v>
      </c>
      <c r="G777">
        <v>19</v>
      </c>
      <c r="H777" t="s">
        <v>52</v>
      </c>
      <c r="I777" t="str">
        <f>TRIM(excelsalesdata[[#This Row],[City]])</f>
        <v>Bengaluru</v>
      </c>
      <c r="J777" t="s">
        <v>53</v>
      </c>
      <c r="K777" t="s">
        <v>47</v>
      </c>
      <c r="L777" t="s">
        <v>103</v>
      </c>
      <c r="M777" t="s">
        <v>312</v>
      </c>
      <c r="N777" t="s">
        <v>312</v>
      </c>
      <c r="O777">
        <v>1</v>
      </c>
      <c r="P777">
        <v>6880</v>
      </c>
      <c r="Q777">
        <v>0.2</v>
      </c>
      <c r="R777">
        <v>4070</v>
      </c>
      <c r="S777" t="s">
        <v>29</v>
      </c>
      <c r="T777" t="s">
        <v>99</v>
      </c>
      <c r="U777">
        <v>6</v>
      </c>
      <c r="V777" t="s">
        <v>40</v>
      </c>
      <c r="W777">
        <f>excelsalesdata[[#This Row],[Quantity]]*excelsalesdata[[#This Row],[Unit_Price]]</f>
        <v>6880</v>
      </c>
      <c r="X777">
        <f>excelsalesdata[[#This Row],[Gross_sales]]*excelsalesdata[[#This Row],[Discount_%]]</f>
        <v>1376</v>
      </c>
      <c r="Y777">
        <f>excelsalesdata[[#This Row],[Gross_sales]]-excelsalesdata[[#This Row],[Discount_amt]]</f>
        <v>5504</v>
      </c>
      <c r="Z777" s="4">
        <f>excelsalesdata[[#This Row],[Net_sales]]-excelsalesdata[[#This Row],[Cost]]</f>
        <v>1434</v>
      </c>
      <c r="AA777" s="5">
        <f>excelsalesdata[[#This Row],[Profit]]/excelsalesdata[[#This Row],[Net_sales]]</f>
        <v>0.26053779069767441</v>
      </c>
      <c r="AB777" s="4">
        <f>YEAR(excelsalesdata[[#This Row],[Order_Date]])</f>
        <v>2027</v>
      </c>
      <c r="AC777" s="4" t="str">
        <f>TEXT(excelsalesdata[[#This Row],[Order_Date]],"mmm")</f>
        <v>May</v>
      </c>
      <c r="AD777" s="4" t="str">
        <f>"Q"&amp;ROUNDUP(MONTH(excelsalesdata[[#This Row],[Order_Date]])/3,0)</f>
        <v>Q2</v>
      </c>
    </row>
    <row r="778" spans="1:30" x14ac:dyDescent="0.35">
      <c r="A778" t="s">
        <v>1509</v>
      </c>
      <c r="B778" s="3">
        <v>46536</v>
      </c>
      <c r="C778" t="s">
        <v>381</v>
      </c>
      <c r="D778" t="s">
        <v>1202</v>
      </c>
      <c r="E778" t="str">
        <f>TRIM(excelsalesdata[[#This Row],[Customer_Name]])</f>
        <v>Ishita Naidu</v>
      </c>
      <c r="F778" t="s">
        <v>23</v>
      </c>
      <c r="G778">
        <v>25</v>
      </c>
      <c r="H778" t="s">
        <v>60</v>
      </c>
      <c r="I778" t="str">
        <f>TRIM(excelsalesdata[[#This Row],[City]])</f>
        <v>Chandigarh</v>
      </c>
      <c r="J778" t="s">
        <v>60</v>
      </c>
      <c r="K778" t="s">
        <v>61</v>
      </c>
      <c r="L778" t="s">
        <v>54</v>
      </c>
      <c r="M778" t="s">
        <v>157</v>
      </c>
      <c r="N778" t="s">
        <v>157</v>
      </c>
      <c r="O778">
        <v>1</v>
      </c>
      <c r="P778">
        <v>54120</v>
      </c>
      <c r="Q778">
        <v>0.1</v>
      </c>
      <c r="R778">
        <v>42530</v>
      </c>
      <c r="S778" t="s">
        <v>29</v>
      </c>
      <c r="T778" t="s">
        <v>99</v>
      </c>
      <c r="U778">
        <v>4</v>
      </c>
      <c r="V778" t="s">
        <v>40</v>
      </c>
      <c r="W778">
        <f>excelsalesdata[[#This Row],[Quantity]]*excelsalesdata[[#This Row],[Unit_Price]]</f>
        <v>54120</v>
      </c>
      <c r="X778">
        <f>excelsalesdata[[#This Row],[Gross_sales]]*excelsalesdata[[#This Row],[Discount_%]]</f>
        <v>5412</v>
      </c>
      <c r="Y778">
        <f>excelsalesdata[[#This Row],[Gross_sales]]-excelsalesdata[[#This Row],[Discount_amt]]</f>
        <v>48708</v>
      </c>
      <c r="Z778" s="4">
        <f>excelsalesdata[[#This Row],[Net_sales]]-excelsalesdata[[#This Row],[Cost]]</f>
        <v>6178</v>
      </c>
      <c r="AA778" s="5">
        <f>excelsalesdata[[#This Row],[Profit]]/excelsalesdata[[#This Row],[Net_sales]]</f>
        <v>0.12683748049601709</v>
      </c>
      <c r="AB778" s="4">
        <f>YEAR(excelsalesdata[[#This Row],[Order_Date]])</f>
        <v>2027</v>
      </c>
      <c r="AC778" s="4" t="str">
        <f>TEXT(excelsalesdata[[#This Row],[Order_Date]],"mmm")</f>
        <v>May</v>
      </c>
      <c r="AD778" s="4" t="str">
        <f>"Q"&amp;ROUNDUP(MONTH(excelsalesdata[[#This Row],[Order_Date]])/3,0)</f>
        <v>Q2</v>
      </c>
    </row>
    <row r="779" spans="1:30" x14ac:dyDescent="0.35">
      <c r="A779" t="s">
        <v>1510</v>
      </c>
      <c r="B779" s="3">
        <v>46537</v>
      </c>
      <c r="C779" t="s">
        <v>284</v>
      </c>
      <c r="D779" t="s">
        <v>1401</v>
      </c>
      <c r="E779" t="str">
        <f>TRIM(excelsalesdata[[#This Row],[Customer_Name]])</f>
        <v>Meera Kumar</v>
      </c>
      <c r="F779" t="s">
        <v>23</v>
      </c>
      <c r="G779">
        <v>39</v>
      </c>
      <c r="H779" t="s">
        <v>185</v>
      </c>
      <c r="I779" t="str">
        <f>TRIM(excelsalesdata[[#This Row],[City]])</f>
        <v>Lucknow</v>
      </c>
      <c r="J779" t="s">
        <v>186</v>
      </c>
      <c r="K779" t="s">
        <v>61</v>
      </c>
      <c r="L779" t="s">
        <v>27</v>
      </c>
      <c r="M779" t="s">
        <v>195</v>
      </c>
      <c r="N779" t="s">
        <v>195</v>
      </c>
      <c r="O779">
        <v>3</v>
      </c>
      <c r="P779">
        <v>2300</v>
      </c>
      <c r="Q779">
        <v>0.05</v>
      </c>
      <c r="R779">
        <v>1170</v>
      </c>
      <c r="S779" t="s">
        <v>67</v>
      </c>
      <c r="T779" t="s">
        <v>74</v>
      </c>
      <c r="U779">
        <v>4</v>
      </c>
      <c r="V779" t="s">
        <v>31</v>
      </c>
      <c r="W779">
        <f>excelsalesdata[[#This Row],[Quantity]]*excelsalesdata[[#This Row],[Unit_Price]]</f>
        <v>6900</v>
      </c>
      <c r="X779">
        <f>excelsalesdata[[#This Row],[Gross_sales]]*excelsalesdata[[#This Row],[Discount_%]]</f>
        <v>345</v>
      </c>
      <c r="Y779">
        <f>excelsalesdata[[#This Row],[Gross_sales]]-excelsalesdata[[#This Row],[Discount_amt]]</f>
        <v>6555</v>
      </c>
      <c r="Z779" s="4">
        <f>excelsalesdata[[#This Row],[Net_sales]]-excelsalesdata[[#This Row],[Cost]]</f>
        <v>5385</v>
      </c>
      <c r="AA779" s="5">
        <f>excelsalesdata[[#This Row],[Profit]]/excelsalesdata[[#This Row],[Net_sales]]</f>
        <v>0.82151029748283755</v>
      </c>
      <c r="AB779" s="4">
        <f>YEAR(excelsalesdata[[#This Row],[Order_Date]])</f>
        <v>2027</v>
      </c>
      <c r="AC779" s="4" t="str">
        <f>TEXT(excelsalesdata[[#This Row],[Order_Date]],"mmm")</f>
        <v>May</v>
      </c>
      <c r="AD779" s="4" t="str">
        <f>"Q"&amp;ROUNDUP(MONTH(excelsalesdata[[#This Row],[Order_Date]])/3,0)</f>
        <v>Q2</v>
      </c>
    </row>
    <row r="780" spans="1:30" x14ac:dyDescent="0.35">
      <c r="A780" t="s">
        <v>1511</v>
      </c>
      <c r="B780" s="3">
        <v>46538</v>
      </c>
      <c r="C780" t="s">
        <v>597</v>
      </c>
      <c r="D780" t="s">
        <v>820</v>
      </c>
      <c r="E780" t="str">
        <f>TRIM(excelsalesdata[[#This Row],[Customer_Name]])</f>
        <v>Ishita Verma</v>
      </c>
      <c r="F780" t="s">
        <v>23</v>
      </c>
      <c r="G780">
        <v>52</v>
      </c>
      <c r="H780" t="s">
        <v>24</v>
      </c>
      <c r="I780" t="str">
        <f>TRIM(excelsalesdata[[#This Row],[City]])</f>
        <v>Pune</v>
      </c>
      <c r="J780" t="s">
        <v>25</v>
      </c>
      <c r="K780" t="s">
        <v>26</v>
      </c>
      <c r="L780" t="s">
        <v>27</v>
      </c>
      <c r="M780" t="s">
        <v>295</v>
      </c>
      <c r="N780" t="s">
        <v>295</v>
      </c>
      <c r="O780">
        <v>3</v>
      </c>
      <c r="P780">
        <v>4000</v>
      </c>
      <c r="Q780">
        <v>0.05</v>
      </c>
      <c r="R780">
        <v>2560</v>
      </c>
      <c r="S780" t="s">
        <v>151</v>
      </c>
      <c r="T780" t="s">
        <v>74</v>
      </c>
      <c r="U780">
        <v>3</v>
      </c>
      <c r="V780" t="s">
        <v>40</v>
      </c>
      <c r="W780">
        <f>excelsalesdata[[#This Row],[Quantity]]*excelsalesdata[[#This Row],[Unit_Price]]</f>
        <v>12000</v>
      </c>
      <c r="X780">
        <f>excelsalesdata[[#This Row],[Gross_sales]]*excelsalesdata[[#This Row],[Discount_%]]</f>
        <v>600</v>
      </c>
      <c r="Y780">
        <f>excelsalesdata[[#This Row],[Gross_sales]]-excelsalesdata[[#This Row],[Discount_amt]]</f>
        <v>11400</v>
      </c>
      <c r="Z780" s="4">
        <f>excelsalesdata[[#This Row],[Net_sales]]-excelsalesdata[[#This Row],[Cost]]</f>
        <v>8840</v>
      </c>
      <c r="AA780" s="5">
        <f>excelsalesdata[[#This Row],[Profit]]/excelsalesdata[[#This Row],[Net_sales]]</f>
        <v>0.77543859649122804</v>
      </c>
      <c r="AB780" s="4">
        <f>YEAR(excelsalesdata[[#This Row],[Order_Date]])</f>
        <v>2027</v>
      </c>
      <c r="AC780" s="4" t="str">
        <f>TEXT(excelsalesdata[[#This Row],[Order_Date]],"mmm")</f>
        <v>May</v>
      </c>
      <c r="AD780" s="4" t="str">
        <f>"Q"&amp;ROUNDUP(MONTH(excelsalesdata[[#This Row],[Order_Date]])/3,0)</f>
        <v>Q2</v>
      </c>
    </row>
    <row r="781" spans="1:30" x14ac:dyDescent="0.35">
      <c r="A781" t="s">
        <v>1512</v>
      </c>
      <c r="B781" s="3">
        <v>46539</v>
      </c>
      <c r="C781" t="s">
        <v>1513</v>
      </c>
      <c r="D781" t="s">
        <v>591</v>
      </c>
      <c r="E781" t="str">
        <f>TRIM(excelsalesdata[[#This Row],[Customer_Name]])</f>
        <v>Ishita Rao</v>
      </c>
      <c r="F781" t="s">
        <v>23</v>
      </c>
      <c r="G781">
        <v>31</v>
      </c>
      <c r="H781" t="s">
        <v>185</v>
      </c>
      <c r="I781" t="str">
        <f>TRIM(excelsalesdata[[#This Row],[City]])</f>
        <v>Lucknow</v>
      </c>
      <c r="J781" t="s">
        <v>186</v>
      </c>
      <c r="K781" t="s">
        <v>61</v>
      </c>
      <c r="L781" t="s">
        <v>85</v>
      </c>
      <c r="M781" t="s">
        <v>202</v>
      </c>
      <c r="N781" t="s">
        <v>202</v>
      </c>
      <c r="O781">
        <v>2</v>
      </c>
      <c r="P781">
        <v>890</v>
      </c>
      <c r="Q781">
        <v>0.05</v>
      </c>
      <c r="R781">
        <v>410</v>
      </c>
      <c r="S781" t="s">
        <v>151</v>
      </c>
      <c r="T781" t="s">
        <v>74</v>
      </c>
      <c r="U781">
        <v>8</v>
      </c>
      <c r="V781" t="s">
        <v>40</v>
      </c>
      <c r="W781">
        <f>excelsalesdata[[#This Row],[Quantity]]*excelsalesdata[[#This Row],[Unit_Price]]</f>
        <v>1780</v>
      </c>
      <c r="X781">
        <f>excelsalesdata[[#This Row],[Gross_sales]]*excelsalesdata[[#This Row],[Discount_%]]</f>
        <v>89</v>
      </c>
      <c r="Y781">
        <f>excelsalesdata[[#This Row],[Gross_sales]]-excelsalesdata[[#This Row],[Discount_amt]]</f>
        <v>1691</v>
      </c>
      <c r="Z781" s="4">
        <f>excelsalesdata[[#This Row],[Net_sales]]-excelsalesdata[[#This Row],[Cost]]</f>
        <v>1281</v>
      </c>
      <c r="AA781" s="5">
        <f>excelsalesdata[[#This Row],[Profit]]/excelsalesdata[[#This Row],[Net_sales]]</f>
        <v>0.75753991720875224</v>
      </c>
      <c r="AB781" s="4">
        <f>YEAR(excelsalesdata[[#This Row],[Order_Date]])</f>
        <v>2027</v>
      </c>
      <c r="AC781" s="4" t="str">
        <f>TEXT(excelsalesdata[[#This Row],[Order_Date]],"mmm")</f>
        <v>Jun</v>
      </c>
      <c r="AD781" s="4" t="str">
        <f>"Q"&amp;ROUNDUP(MONTH(excelsalesdata[[#This Row],[Order_Date]])/3,0)</f>
        <v>Q2</v>
      </c>
    </row>
    <row r="782" spans="1:30" x14ac:dyDescent="0.35">
      <c r="A782" t="s">
        <v>1514</v>
      </c>
      <c r="B782" s="3">
        <v>46540</v>
      </c>
      <c r="C782" t="s">
        <v>1515</v>
      </c>
      <c r="D782" t="s">
        <v>867</v>
      </c>
      <c r="E782" t="str">
        <f>TRIM(excelsalesdata[[#This Row],[Customer_Name]])</f>
        <v>Sneha Nair</v>
      </c>
      <c r="F782" t="s">
        <v>44</v>
      </c>
      <c r="G782">
        <v>58</v>
      </c>
      <c r="H782" t="s">
        <v>78</v>
      </c>
      <c r="I782" t="str">
        <f>TRIM(excelsalesdata[[#This Row],[City]])</f>
        <v>Guwahati</v>
      </c>
      <c r="J782" t="s">
        <v>79</v>
      </c>
      <c r="K782" t="s">
        <v>37</v>
      </c>
      <c r="L782" t="s">
        <v>85</v>
      </c>
      <c r="M782" t="s">
        <v>110</v>
      </c>
      <c r="N782" t="s">
        <v>110</v>
      </c>
      <c r="O782">
        <v>2</v>
      </c>
      <c r="P782">
        <v>1160</v>
      </c>
      <c r="Q782">
        <v>0.2</v>
      </c>
      <c r="R782">
        <v>590</v>
      </c>
      <c r="S782" t="s">
        <v>29</v>
      </c>
      <c r="T782" t="s">
        <v>30</v>
      </c>
      <c r="U782">
        <v>2</v>
      </c>
      <c r="V782" t="s">
        <v>31</v>
      </c>
      <c r="W782">
        <f>excelsalesdata[[#This Row],[Quantity]]*excelsalesdata[[#This Row],[Unit_Price]]</f>
        <v>2320</v>
      </c>
      <c r="X782">
        <f>excelsalesdata[[#This Row],[Gross_sales]]*excelsalesdata[[#This Row],[Discount_%]]</f>
        <v>464</v>
      </c>
      <c r="Y782">
        <f>excelsalesdata[[#This Row],[Gross_sales]]-excelsalesdata[[#This Row],[Discount_amt]]</f>
        <v>1856</v>
      </c>
      <c r="Z782" s="4">
        <f>excelsalesdata[[#This Row],[Net_sales]]-excelsalesdata[[#This Row],[Cost]]</f>
        <v>1266</v>
      </c>
      <c r="AA782" s="5">
        <f>excelsalesdata[[#This Row],[Profit]]/excelsalesdata[[#This Row],[Net_sales]]</f>
        <v>0.68211206896551724</v>
      </c>
      <c r="AB782" s="4">
        <f>YEAR(excelsalesdata[[#This Row],[Order_Date]])</f>
        <v>2027</v>
      </c>
      <c r="AC782" s="4" t="str">
        <f>TEXT(excelsalesdata[[#This Row],[Order_Date]],"mmm")</f>
        <v>Jun</v>
      </c>
      <c r="AD782" s="4" t="str">
        <f>"Q"&amp;ROUNDUP(MONTH(excelsalesdata[[#This Row],[Order_Date]])/3,0)</f>
        <v>Q2</v>
      </c>
    </row>
    <row r="783" spans="1:30" x14ac:dyDescent="0.35">
      <c r="A783" t="s">
        <v>1516</v>
      </c>
      <c r="B783" s="3">
        <v>46541</v>
      </c>
      <c r="C783" t="s">
        <v>1263</v>
      </c>
      <c r="D783" t="s">
        <v>1029</v>
      </c>
      <c r="E783" t="str">
        <f>TRIM(excelsalesdata[[#This Row],[Customer_Name]])</f>
        <v>Kavya Reddy</v>
      </c>
      <c r="F783" t="s">
        <v>44</v>
      </c>
      <c r="G783">
        <v>54</v>
      </c>
      <c r="H783" t="s">
        <v>71</v>
      </c>
      <c r="I783" t="str">
        <f>TRIM(excelsalesdata[[#This Row],[City]])</f>
        <v>Bhubaneswar</v>
      </c>
      <c r="J783" t="s">
        <v>72</v>
      </c>
      <c r="K783" t="s">
        <v>37</v>
      </c>
      <c r="L783" t="s">
        <v>54</v>
      </c>
      <c r="M783" t="s">
        <v>66</v>
      </c>
      <c r="N783" t="s">
        <v>66</v>
      </c>
      <c r="O783">
        <v>1</v>
      </c>
      <c r="P783">
        <v>2470</v>
      </c>
      <c r="Q783">
        <v>0.1</v>
      </c>
      <c r="R783">
        <v>1540</v>
      </c>
      <c r="S783" t="s">
        <v>80</v>
      </c>
      <c r="T783" t="s">
        <v>30</v>
      </c>
      <c r="U783">
        <v>6</v>
      </c>
      <c r="V783" t="s">
        <v>31</v>
      </c>
      <c r="W783">
        <f>excelsalesdata[[#This Row],[Quantity]]*excelsalesdata[[#This Row],[Unit_Price]]</f>
        <v>2470</v>
      </c>
      <c r="X783">
        <f>excelsalesdata[[#This Row],[Gross_sales]]*excelsalesdata[[#This Row],[Discount_%]]</f>
        <v>247</v>
      </c>
      <c r="Y783">
        <f>excelsalesdata[[#This Row],[Gross_sales]]-excelsalesdata[[#This Row],[Discount_amt]]</f>
        <v>2223</v>
      </c>
      <c r="Z783" s="4">
        <f>excelsalesdata[[#This Row],[Net_sales]]-excelsalesdata[[#This Row],[Cost]]</f>
        <v>683</v>
      </c>
      <c r="AA783" s="5">
        <f>excelsalesdata[[#This Row],[Profit]]/excelsalesdata[[#This Row],[Net_sales]]</f>
        <v>0.30724246513720199</v>
      </c>
      <c r="AB783" s="4">
        <f>YEAR(excelsalesdata[[#This Row],[Order_Date]])</f>
        <v>2027</v>
      </c>
      <c r="AC783" s="4" t="str">
        <f>TEXT(excelsalesdata[[#This Row],[Order_Date]],"mmm")</f>
        <v>Jun</v>
      </c>
      <c r="AD783" s="4" t="str">
        <f>"Q"&amp;ROUNDUP(MONTH(excelsalesdata[[#This Row],[Order_Date]])/3,0)</f>
        <v>Q2</v>
      </c>
    </row>
    <row r="784" spans="1:30" x14ac:dyDescent="0.35">
      <c r="A784" t="s">
        <v>1517</v>
      </c>
      <c r="B784" s="3">
        <v>46542</v>
      </c>
      <c r="C784" t="s">
        <v>1258</v>
      </c>
      <c r="D784" t="s">
        <v>708</v>
      </c>
      <c r="E784" t="str">
        <f>TRIM(excelsalesdata[[#This Row],[Customer_Name]])</f>
        <v>Diya Mehta</v>
      </c>
      <c r="F784" t="s">
        <v>44</v>
      </c>
      <c r="G784">
        <v>43</v>
      </c>
      <c r="H784" t="s">
        <v>52</v>
      </c>
      <c r="I784" t="str">
        <f>TRIM(excelsalesdata[[#This Row],[City]])</f>
        <v>Bengaluru</v>
      </c>
      <c r="J784" t="s">
        <v>53</v>
      </c>
      <c r="K784" t="s">
        <v>47</v>
      </c>
      <c r="L784" t="s">
        <v>38</v>
      </c>
      <c r="M784" t="s">
        <v>73</v>
      </c>
      <c r="N784" t="s">
        <v>73</v>
      </c>
      <c r="O784">
        <v>2</v>
      </c>
      <c r="P784">
        <v>4880</v>
      </c>
      <c r="Q784">
        <v>0.05</v>
      </c>
      <c r="R784">
        <v>3260</v>
      </c>
      <c r="S784" t="s">
        <v>151</v>
      </c>
      <c r="T784" t="s">
        <v>30</v>
      </c>
      <c r="U784">
        <v>1</v>
      </c>
      <c r="V784" t="s">
        <v>31</v>
      </c>
      <c r="W784">
        <f>excelsalesdata[[#This Row],[Quantity]]*excelsalesdata[[#This Row],[Unit_Price]]</f>
        <v>9760</v>
      </c>
      <c r="X784">
        <f>excelsalesdata[[#This Row],[Gross_sales]]*excelsalesdata[[#This Row],[Discount_%]]</f>
        <v>488</v>
      </c>
      <c r="Y784">
        <f>excelsalesdata[[#This Row],[Gross_sales]]-excelsalesdata[[#This Row],[Discount_amt]]</f>
        <v>9272</v>
      </c>
      <c r="Z784" s="4">
        <f>excelsalesdata[[#This Row],[Net_sales]]-excelsalesdata[[#This Row],[Cost]]</f>
        <v>6012</v>
      </c>
      <c r="AA784" s="5">
        <f>excelsalesdata[[#This Row],[Profit]]/excelsalesdata[[#This Row],[Net_sales]]</f>
        <v>0.64840379637618639</v>
      </c>
      <c r="AB784" s="4">
        <f>YEAR(excelsalesdata[[#This Row],[Order_Date]])</f>
        <v>2027</v>
      </c>
      <c r="AC784" s="4" t="str">
        <f>TEXT(excelsalesdata[[#This Row],[Order_Date]],"mmm")</f>
        <v>Jun</v>
      </c>
      <c r="AD784" s="4" t="str">
        <f>"Q"&amp;ROUNDUP(MONTH(excelsalesdata[[#This Row],[Order_Date]])/3,0)</f>
        <v>Q2</v>
      </c>
    </row>
    <row r="785" spans="1:30" x14ac:dyDescent="0.35">
      <c r="A785" t="s">
        <v>1518</v>
      </c>
      <c r="B785" s="3">
        <v>46543</v>
      </c>
      <c r="C785" t="s">
        <v>585</v>
      </c>
      <c r="D785" t="s">
        <v>463</v>
      </c>
      <c r="E785" t="str">
        <f>TRIM(excelsalesdata[[#This Row],[Customer_Name]])</f>
        <v>Kavya Sharma</v>
      </c>
      <c r="F785" t="s">
        <v>23</v>
      </c>
      <c r="G785">
        <v>43</v>
      </c>
      <c r="H785" t="s">
        <v>109</v>
      </c>
      <c r="I785" t="str">
        <f>TRIM(excelsalesdata[[#This Row],[City]])</f>
        <v>Mysuru</v>
      </c>
      <c r="J785" t="s">
        <v>53</v>
      </c>
      <c r="K785" t="s">
        <v>47</v>
      </c>
      <c r="L785" t="s">
        <v>54</v>
      </c>
      <c r="M785" t="s">
        <v>55</v>
      </c>
      <c r="N785" t="s">
        <v>55</v>
      </c>
      <c r="O785">
        <v>3</v>
      </c>
      <c r="P785">
        <v>7110</v>
      </c>
      <c r="Q785">
        <v>0.15</v>
      </c>
      <c r="R785">
        <v>4410</v>
      </c>
      <c r="S785" t="s">
        <v>80</v>
      </c>
      <c r="T785" t="s">
        <v>30</v>
      </c>
      <c r="U785">
        <v>3</v>
      </c>
      <c r="V785" t="s">
        <v>31</v>
      </c>
      <c r="W785">
        <f>excelsalesdata[[#This Row],[Quantity]]*excelsalesdata[[#This Row],[Unit_Price]]</f>
        <v>21330</v>
      </c>
      <c r="X785">
        <f>excelsalesdata[[#This Row],[Gross_sales]]*excelsalesdata[[#This Row],[Discount_%]]</f>
        <v>3199.5</v>
      </c>
      <c r="Y785">
        <f>excelsalesdata[[#This Row],[Gross_sales]]-excelsalesdata[[#This Row],[Discount_amt]]</f>
        <v>18130.5</v>
      </c>
      <c r="Z785" s="4">
        <f>excelsalesdata[[#This Row],[Net_sales]]-excelsalesdata[[#This Row],[Cost]]</f>
        <v>13720.5</v>
      </c>
      <c r="AA785" s="5">
        <f>excelsalesdata[[#This Row],[Profit]]/excelsalesdata[[#This Row],[Net_sales]]</f>
        <v>0.75676346487962276</v>
      </c>
      <c r="AB785" s="4">
        <f>YEAR(excelsalesdata[[#This Row],[Order_Date]])</f>
        <v>2027</v>
      </c>
      <c r="AC785" s="4" t="str">
        <f>TEXT(excelsalesdata[[#This Row],[Order_Date]],"mmm")</f>
        <v>Jun</v>
      </c>
      <c r="AD785" s="4" t="str">
        <f>"Q"&amp;ROUNDUP(MONTH(excelsalesdata[[#This Row],[Order_Date]])/3,0)</f>
        <v>Q2</v>
      </c>
    </row>
    <row r="786" spans="1:30" x14ac:dyDescent="0.35">
      <c r="A786" t="s">
        <v>1519</v>
      </c>
      <c r="B786" s="3">
        <v>46544</v>
      </c>
      <c r="C786" t="s">
        <v>668</v>
      </c>
      <c r="D786" t="s">
        <v>1213</v>
      </c>
      <c r="E786" t="str">
        <f>TRIM(excelsalesdata[[#This Row],[Customer_Name]])</f>
        <v>Ananya Naidu</v>
      </c>
      <c r="F786" t="s">
        <v>44</v>
      </c>
      <c r="G786">
        <v>58</v>
      </c>
      <c r="H786" t="s">
        <v>24</v>
      </c>
      <c r="I786" t="str">
        <f>TRIM(excelsalesdata[[#This Row],[City]])</f>
        <v>Pune</v>
      </c>
      <c r="J786" t="s">
        <v>25</v>
      </c>
      <c r="K786" t="s">
        <v>26</v>
      </c>
      <c r="L786" t="s">
        <v>54</v>
      </c>
      <c r="M786" t="s">
        <v>129</v>
      </c>
      <c r="N786" t="s">
        <v>129</v>
      </c>
      <c r="O786">
        <v>2</v>
      </c>
      <c r="P786">
        <v>17860</v>
      </c>
      <c r="Q786">
        <v>0.1</v>
      </c>
      <c r="R786">
        <v>12770</v>
      </c>
      <c r="S786" t="s">
        <v>29</v>
      </c>
      <c r="T786" t="s">
        <v>30</v>
      </c>
      <c r="U786">
        <v>4</v>
      </c>
      <c r="V786" t="s">
        <v>40</v>
      </c>
      <c r="W786">
        <f>excelsalesdata[[#This Row],[Quantity]]*excelsalesdata[[#This Row],[Unit_Price]]</f>
        <v>35720</v>
      </c>
      <c r="X786">
        <f>excelsalesdata[[#This Row],[Gross_sales]]*excelsalesdata[[#This Row],[Discount_%]]</f>
        <v>3572</v>
      </c>
      <c r="Y786">
        <f>excelsalesdata[[#This Row],[Gross_sales]]-excelsalesdata[[#This Row],[Discount_amt]]</f>
        <v>32148</v>
      </c>
      <c r="Z786" s="4">
        <f>excelsalesdata[[#This Row],[Net_sales]]-excelsalesdata[[#This Row],[Cost]]</f>
        <v>19378</v>
      </c>
      <c r="AA786" s="5">
        <f>excelsalesdata[[#This Row],[Profit]]/excelsalesdata[[#This Row],[Net_sales]]</f>
        <v>0.60277466716436479</v>
      </c>
      <c r="AB786" s="4">
        <f>YEAR(excelsalesdata[[#This Row],[Order_Date]])</f>
        <v>2027</v>
      </c>
      <c r="AC786" s="4" t="str">
        <f>TEXT(excelsalesdata[[#This Row],[Order_Date]],"mmm")</f>
        <v>Jun</v>
      </c>
      <c r="AD786" s="4" t="str">
        <f>"Q"&amp;ROUNDUP(MONTH(excelsalesdata[[#This Row],[Order_Date]])/3,0)</f>
        <v>Q2</v>
      </c>
    </row>
    <row r="787" spans="1:30" x14ac:dyDescent="0.35">
      <c r="A787" t="s">
        <v>1520</v>
      </c>
      <c r="B787" s="3">
        <v>46545</v>
      </c>
      <c r="C787" t="s">
        <v>1417</v>
      </c>
      <c r="D787" t="s">
        <v>194</v>
      </c>
      <c r="E787" t="str">
        <f>TRIM(excelsalesdata[[#This Row],[Customer_Name]])</f>
        <v>Aditya Reddy</v>
      </c>
      <c r="F787" t="s">
        <v>23</v>
      </c>
      <c r="G787">
        <v>18</v>
      </c>
      <c r="H787" t="s">
        <v>45</v>
      </c>
      <c r="I787" t="str">
        <f>TRIM(excelsalesdata[[#This Row],[City]])</f>
        <v>Kochi</v>
      </c>
      <c r="J787" t="s">
        <v>46</v>
      </c>
      <c r="K787" t="s">
        <v>47</v>
      </c>
      <c r="L787" t="s">
        <v>27</v>
      </c>
      <c r="M787" t="s">
        <v>295</v>
      </c>
      <c r="N787" t="s">
        <v>295</v>
      </c>
      <c r="O787">
        <v>3</v>
      </c>
      <c r="P787">
        <v>4010</v>
      </c>
      <c r="Q787">
        <v>0.25</v>
      </c>
      <c r="R787">
        <v>2630</v>
      </c>
      <c r="S787" t="s">
        <v>56</v>
      </c>
      <c r="T787" t="s">
        <v>30</v>
      </c>
      <c r="U787">
        <v>2</v>
      </c>
      <c r="V787" t="s">
        <v>31</v>
      </c>
      <c r="W787">
        <f>excelsalesdata[[#This Row],[Quantity]]*excelsalesdata[[#This Row],[Unit_Price]]</f>
        <v>12030</v>
      </c>
      <c r="X787">
        <f>excelsalesdata[[#This Row],[Gross_sales]]*excelsalesdata[[#This Row],[Discount_%]]</f>
        <v>3007.5</v>
      </c>
      <c r="Y787">
        <f>excelsalesdata[[#This Row],[Gross_sales]]-excelsalesdata[[#This Row],[Discount_amt]]</f>
        <v>9022.5</v>
      </c>
      <c r="Z787" s="4">
        <f>excelsalesdata[[#This Row],[Net_sales]]-excelsalesdata[[#This Row],[Cost]]</f>
        <v>6392.5</v>
      </c>
      <c r="AA787" s="5">
        <f>excelsalesdata[[#This Row],[Profit]]/excelsalesdata[[#This Row],[Net_sales]]</f>
        <v>0.70850651149903021</v>
      </c>
      <c r="AB787" s="4">
        <f>YEAR(excelsalesdata[[#This Row],[Order_Date]])</f>
        <v>2027</v>
      </c>
      <c r="AC787" s="4" t="str">
        <f>TEXT(excelsalesdata[[#This Row],[Order_Date]],"mmm")</f>
        <v>Jun</v>
      </c>
      <c r="AD787" s="4" t="str">
        <f>"Q"&amp;ROUNDUP(MONTH(excelsalesdata[[#This Row],[Order_Date]])/3,0)</f>
        <v>Q2</v>
      </c>
    </row>
    <row r="788" spans="1:30" x14ac:dyDescent="0.35">
      <c r="A788" t="s">
        <v>1521</v>
      </c>
      <c r="B788" s="3">
        <v>46546</v>
      </c>
      <c r="C788" t="s">
        <v>431</v>
      </c>
      <c r="D788" t="s">
        <v>338</v>
      </c>
      <c r="E788" t="str">
        <f>TRIM(excelsalesdata[[#This Row],[Customer_Name]])</f>
        <v>Karan Singh</v>
      </c>
      <c r="F788" t="s">
        <v>44</v>
      </c>
      <c r="G788">
        <v>44</v>
      </c>
      <c r="H788" t="s">
        <v>45</v>
      </c>
      <c r="I788" t="str">
        <f>TRIM(excelsalesdata[[#This Row],[City]])</f>
        <v>Kochi</v>
      </c>
      <c r="J788" t="s">
        <v>46</v>
      </c>
      <c r="K788" t="s">
        <v>47</v>
      </c>
      <c r="L788" t="s">
        <v>103</v>
      </c>
      <c r="M788" t="s">
        <v>347</v>
      </c>
      <c r="N788" t="s">
        <v>347</v>
      </c>
      <c r="O788">
        <v>2</v>
      </c>
      <c r="P788">
        <v>12680</v>
      </c>
      <c r="Q788">
        <v>0.1</v>
      </c>
      <c r="R788">
        <v>8040</v>
      </c>
      <c r="S788" t="s">
        <v>151</v>
      </c>
      <c r="T788" t="s">
        <v>30</v>
      </c>
      <c r="U788">
        <v>1</v>
      </c>
      <c r="V788" t="s">
        <v>31</v>
      </c>
      <c r="W788">
        <f>excelsalesdata[[#This Row],[Quantity]]*excelsalesdata[[#This Row],[Unit_Price]]</f>
        <v>25360</v>
      </c>
      <c r="X788">
        <f>excelsalesdata[[#This Row],[Gross_sales]]*excelsalesdata[[#This Row],[Discount_%]]</f>
        <v>2536</v>
      </c>
      <c r="Y788">
        <f>excelsalesdata[[#This Row],[Gross_sales]]-excelsalesdata[[#This Row],[Discount_amt]]</f>
        <v>22824</v>
      </c>
      <c r="Z788" s="4">
        <f>excelsalesdata[[#This Row],[Net_sales]]-excelsalesdata[[#This Row],[Cost]]</f>
        <v>14784</v>
      </c>
      <c r="AA788" s="5">
        <f>excelsalesdata[[#This Row],[Profit]]/excelsalesdata[[#This Row],[Net_sales]]</f>
        <v>0.64773922187171395</v>
      </c>
      <c r="AB788" s="4">
        <f>YEAR(excelsalesdata[[#This Row],[Order_Date]])</f>
        <v>2027</v>
      </c>
      <c r="AC788" s="4" t="str">
        <f>TEXT(excelsalesdata[[#This Row],[Order_Date]],"mmm")</f>
        <v>Jun</v>
      </c>
      <c r="AD788" s="4" t="str">
        <f>"Q"&amp;ROUNDUP(MONTH(excelsalesdata[[#This Row],[Order_Date]])/3,0)</f>
        <v>Q2</v>
      </c>
    </row>
    <row r="789" spans="1:30" x14ac:dyDescent="0.35">
      <c r="A789" t="s">
        <v>1522</v>
      </c>
      <c r="B789" s="3">
        <v>46547</v>
      </c>
      <c r="C789" t="s">
        <v>852</v>
      </c>
      <c r="D789" t="s">
        <v>685</v>
      </c>
      <c r="E789" t="str">
        <f>TRIM(excelsalesdata[[#This Row],[Customer_Name]])</f>
        <v>Arjun Reddy</v>
      </c>
      <c r="F789" t="s">
        <v>23</v>
      </c>
      <c r="G789">
        <v>29</v>
      </c>
      <c r="H789" t="s">
        <v>185</v>
      </c>
      <c r="I789" t="str">
        <f>TRIM(excelsalesdata[[#This Row],[City]])</f>
        <v>Lucknow</v>
      </c>
      <c r="J789" t="s">
        <v>186</v>
      </c>
      <c r="K789" t="s">
        <v>61</v>
      </c>
      <c r="L789" t="s">
        <v>54</v>
      </c>
      <c r="M789" t="s">
        <v>129</v>
      </c>
      <c r="N789" t="s">
        <v>129</v>
      </c>
      <c r="O789">
        <v>3</v>
      </c>
      <c r="P789">
        <v>19170</v>
      </c>
      <c r="Q789">
        <v>0.1</v>
      </c>
      <c r="R789">
        <v>13070</v>
      </c>
      <c r="S789" t="s">
        <v>67</v>
      </c>
      <c r="T789" t="s">
        <v>30</v>
      </c>
      <c r="U789">
        <v>2</v>
      </c>
      <c r="V789" t="s">
        <v>31</v>
      </c>
      <c r="W789">
        <f>excelsalesdata[[#This Row],[Quantity]]*excelsalesdata[[#This Row],[Unit_Price]]</f>
        <v>57510</v>
      </c>
      <c r="X789">
        <f>excelsalesdata[[#This Row],[Gross_sales]]*excelsalesdata[[#This Row],[Discount_%]]</f>
        <v>5751</v>
      </c>
      <c r="Y789">
        <f>excelsalesdata[[#This Row],[Gross_sales]]-excelsalesdata[[#This Row],[Discount_amt]]</f>
        <v>51759</v>
      </c>
      <c r="Z789" s="4">
        <f>excelsalesdata[[#This Row],[Net_sales]]-excelsalesdata[[#This Row],[Cost]]</f>
        <v>38689</v>
      </c>
      <c r="AA789" s="5">
        <f>excelsalesdata[[#This Row],[Profit]]/excelsalesdata[[#This Row],[Net_sales]]</f>
        <v>0.74748352943449448</v>
      </c>
      <c r="AB789" s="4">
        <f>YEAR(excelsalesdata[[#This Row],[Order_Date]])</f>
        <v>2027</v>
      </c>
      <c r="AC789" s="4" t="str">
        <f>TEXT(excelsalesdata[[#This Row],[Order_Date]],"mmm")</f>
        <v>Jun</v>
      </c>
      <c r="AD789" s="4" t="str">
        <f>"Q"&amp;ROUNDUP(MONTH(excelsalesdata[[#This Row],[Order_Date]])/3,0)</f>
        <v>Q2</v>
      </c>
    </row>
    <row r="790" spans="1:30" x14ac:dyDescent="0.35">
      <c r="A790" t="s">
        <v>1523</v>
      </c>
      <c r="B790" s="3">
        <v>46548</v>
      </c>
      <c r="C790" t="s">
        <v>481</v>
      </c>
      <c r="D790" t="s">
        <v>891</v>
      </c>
      <c r="E790" t="str">
        <f>TRIM(excelsalesdata[[#This Row],[Customer_Name]])</f>
        <v>Rahul Verma</v>
      </c>
      <c r="F790" t="s">
        <v>23</v>
      </c>
      <c r="G790">
        <v>44</v>
      </c>
      <c r="H790" t="s">
        <v>185</v>
      </c>
      <c r="I790" t="str">
        <f>TRIM(excelsalesdata[[#This Row],[City]])</f>
        <v>Lucknow</v>
      </c>
      <c r="J790" t="s">
        <v>186</v>
      </c>
      <c r="K790" t="s">
        <v>61</v>
      </c>
      <c r="L790" t="s">
        <v>93</v>
      </c>
      <c r="M790" t="s">
        <v>375</v>
      </c>
      <c r="N790" t="s">
        <v>375</v>
      </c>
      <c r="O790">
        <v>1</v>
      </c>
      <c r="P790">
        <v>2270</v>
      </c>
      <c r="Q790">
        <v>0</v>
      </c>
      <c r="R790">
        <v>1210</v>
      </c>
      <c r="S790" t="s">
        <v>80</v>
      </c>
      <c r="T790" t="s">
        <v>30</v>
      </c>
      <c r="U790">
        <v>2</v>
      </c>
      <c r="V790" t="s">
        <v>31</v>
      </c>
      <c r="W790">
        <f>excelsalesdata[[#This Row],[Quantity]]*excelsalesdata[[#This Row],[Unit_Price]]</f>
        <v>2270</v>
      </c>
      <c r="X790">
        <f>excelsalesdata[[#This Row],[Gross_sales]]*excelsalesdata[[#This Row],[Discount_%]]</f>
        <v>0</v>
      </c>
      <c r="Y790">
        <f>excelsalesdata[[#This Row],[Gross_sales]]-excelsalesdata[[#This Row],[Discount_amt]]</f>
        <v>2270</v>
      </c>
      <c r="Z790" s="4">
        <f>excelsalesdata[[#This Row],[Net_sales]]-excelsalesdata[[#This Row],[Cost]]</f>
        <v>1060</v>
      </c>
      <c r="AA790" s="5">
        <f>excelsalesdata[[#This Row],[Profit]]/excelsalesdata[[#This Row],[Net_sales]]</f>
        <v>0.46696035242290751</v>
      </c>
      <c r="AB790" s="4">
        <f>YEAR(excelsalesdata[[#This Row],[Order_Date]])</f>
        <v>2027</v>
      </c>
      <c r="AC790" s="4" t="str">
        <f>TEXT(excelsalesdata[[#This Row],[Order_Date]],"mmm")</f>
        <v>Jun</v>
      </c>
      <c r="AD790" s="4" t="str">
        <f>"Q"&amp;ROUNDUP(MONTH(excelsalesdata[[#This Row],[Order_Date]])/3,0)</f>
        <v>Q2</v>
      </c>
    </row>
    <row r="791" spans="1:30" x14ac:dyDescent="0.35">
      <c r="A791" t="s">
        <v>1524</v>
      </c>
      <c r="B791" s="3">
        <v>46549</v>
      </c>
      <c r="C791" t="s">
        <v>228</v>
      </c>
      <c r="D791" t="s">
        <v>241</v>
      </c>
      <c r="E791" t="str">
        <f>TRIM(excelsalesdata[[#This Row],[Customer_Name]])</f>
        <v>Rahul Kumar</v>
      </c>
      <c r="F791" t="s">
        <v>23</v>
      </c>
      <c r="G791">
        <v>26</v>
      </c>
      <c r="H791" t="s">
        <v>78</v>
      </c>
      <c r="I791" t="str">
        <f>TRIM(excelsalesdata[[#This Row],[City]])</f>
        <v>Guwahati</v>
      </c>
      <c r="J791" t="s">
        <v>79</v>
      </c>
      <c r="K791" t="s">
        <v>37</v>
      </c>
      <c r="L791" t="s">
        <v>38</v>
      </c>
      <c r="M791" t="s">
        <v>119</v>
      </c>
      <c r="N791" t="s">
        <v>119</v>
      </c>
      <c r="O791">
        <v>1</v>
      </c>
      <c r="P791">
        <v>8450</v>
      </c>
      <c r="Q791">
        <v>0.05</v>
      </c>
      <c r="R791">
        <v>5450</v>
      </c>
      <c r="S791" t="s">
        <v>29</v>
      </c>
      <c r="T791" t="s">
        <v>30</v>
      </c>
      <c r="U791">
        <v>4</v>
      </c>
      <c r="V791" t="s">
        <v>40</v>
      </c>
      <c r="W791">
        <f>excelsalesdata[[#This Row],[Quantity]]*excelsalesdata[[#This Row],[Unit_Price]]</f>
        <v>8450</v>
      </c>
      <c r="X791">
        <f>excelsalesdata[[#This Row],[Gross_sales]]*excelsalesdata[[#This Row],[Discount_%]]</f>
        <v>422.5</v>
      </c>
      <c r="Y791">
        <f>excelsalesdata[[#This Row],[Gross_sales]]-excelsalesdata[[#This Row],[Discount_amt]]</f>
        <v>8027.5</v>
      </c>
      <c r="Z791" s="4">
        <f>excelsalesdata[[#This Row],[Net_sales]]-excelsalesdata[[#This Row],[Cost]]</f>
        <v>2577.5</v>
      </c>
      <c r="AA791" s="5">
        <f>excelsalesdata[[#This Row],[Profit]]/excelsalesdata[[#This Row],[Net_sales]]</f>
        <v>0.32108377452507009</v>
      </c>
      <c r="AB791" s="4">
        <f>YEAR(excelsalesdata[[#This Row],[Order_Date]])</f>
        <v>2027</v>
      </c>
      <c r="AC791" s="4" t="str">
        <f>TEXT(excelsalesdata[[#This Row],[Order_Date]],"mmm")</f>
        <v>Jun</v>
      </c>
      <c r="AD791" s="4" t="str">
        <f>"Q"&amp;ROUNDUP(MONTH(excelsalesdata[[#This Row],[Order_Date]])/3,0)</f>
        <v>Q2</v>
      </c>
    </row>
    <row r="792" spans="1:30" x14ac:dyDescent="0.35">
      <c r="A792" t="s">
        <v>1525</v>
      </c>
      <c r="B792" s="3">
        <v>46550</v>
      </c>
      <c r="C792" t="s">
        <v>450</v>
      </c>
      <c r="D792" t="s">
        <v>550</v>
      </c>
      <c r="E792" t="str">
        <f>TRIM(excelsalesdata[[#This Row],[Customer_Name]])</f>
        <v>Rohan Reddy</v>
      </c>
      <c r="F792" t="s">
        <v>44</v>
      </c>
      <c r="G792">
        <v>24</v>
      </c>
      <c r="H792" t="s">
        <v>190</v>
      </c>
      <c r="I792" t="str">
        <f>TRIM(excelsalesdata[[#This Row],[City]])</f>
        <v>Ahmedabad</v>
      </c>
      <c r="J792" t="s">
        <v>191</v>
      </c>
      <c r="K792" t="s">
        <v>26</v>
      </c>
      <c r="L792" t="s">
        <v>27</v>
      </c>
      <c r="M792" t="s">
        <v>195</v>
      </c>
      <c r="N792" t="s">
        <v>195</v>
      </c>
      <c r="O792">
        <v>2</v>
      </c>
      <c r="P792">
        <v>2190</v>
      </c>
      <c r="Q792">
        <v>0.05</v>
      </c>
      <c r="R792">
        <v>1180</v>
      </c>
      <c r="S792" t="s">
        <v>29</v>
      </c>
      <c r="T792" t="s">
        <v>74</v>
      </c>
      <c r="U792">
        <v>3</v>
      </c>
      <c r="V792" t="s">
        <v>40</v>
      </c>
      <c r="W792">
        <f>excelsalesdata[[#This Row],[Quantity]]*excelsalesdata[[#This Row],[Unit_Price]]</f>
        <v>4380</v>
      </c>
      <c r="X792">
        <f>excelsalesdata[[#This Row],[Gross_sales]]*excelsalesdata[[#This Row],[Discount_%]]</f>
        <v>219</v>
      </c>
      <c r="Y792">
        <f>excelsalesdata[[#This Row],[Gross_sales]]-excelsalesdata[[#This Row],[Discount_amt]]</f>
        <v>4161</v>
      </c>
      <c r="Z792" s="4">
        <f>excelsalesdata[[#This Row],[Net_sales]]-excelsalesdata[[#This Row],[Cost]]</f>
        <v>2981</v>
      </c>
      <c r="AA792" s="5">
        <f>excelsalesdata[[#This Row],[Profit]]/excelsalesdata[[#This Row],[Net_sales]]</f>
        <v>0.71641432347993272</v>
      </c>
      <c r="AB792" s="4">
        <f>YEAR(excelsalesdata[[#This Row],[Order_Date]])</f>
        <v>2027</v>
      </c>
      <c r="AC792" s="4" t="str">
        <f>TEXT(excelsalesdata[[#This Row],[Order_Date]],"mmm")</f>
        <v>Jun</v>
      </c>
      <c r="AD792" s="4" t="str">
        <f>"Q"&amp;ROUNDUP(MONTH(excelsalesdata[[#This Row],[Order_Date]])/3,0)</f>
        <v>Q2</v>
      </c>
    </row>
    <row r="793" spans="1:30" x14ac:dyDescent="0.35">
      <c r="A793" t="s">
        <v>1526</v>
      </c>
      <c r="B793" s="3">
        <v>46551</v>
      </c>
      <c r="C793" t="s">
        <v>358</v>
      </c>
      <c r="D793" t="s">
        <v>1528</v>
      </c>
      <c r="E793" t="str">
        <f>TRIM(excelsalesdata[[#This Row],[Customer_Name]])</f>
        <v>Nisha Patel</v>
      </c>
      <c r="F793" t="s">
        <v>23</v>
      </c>
      <c r="G793">
        <v>26</v>
      </c>
      <c r="H793" t="s">
        <v>98</v>
      </c>
      <c r="I793" t="str">
        <f>TRIM(excelsalesdata[[#This Row],[City]])</f>
        <v>Mumbai</v>
      </c>
      <c r="J793" t="s">
        <v>25</v>
      </c>
      <c r="K793" t="s">
        <v>26</v>
      </c>
      <c r="L793" t="s">
        <v>54</v>
      </c>
      <c r="M793" t="s">
        <v>55</v>
      </c>
      <c r="N793" t="s">
        <v>55</v>
      </c>
      <c r="O793">
        <v>1</v>
      </c>
      <c r="P793">
        <v>7200</v>
      </c>
      <c r="Q793">
        <v>0</v>
      </c>
      <c r="R793">
        <v>4530</v>
      </c>
      <c r="S793" t="s">
        <v>29</v>
      </c>
      <c r="T793" t="s">
        <v>81</v>
      </c>
      <c r="U793">
        <v>0</v>
      </c>
      <c r="V793" t="s">
        <v>40</v>
      </c>
      <c r="W793">
        <f>excelsalesdata[[#This Row],[Quantity]]*excelsalesdata[[#This Row],[Unit_Price]]</f>
        <v>7200</v>
      </c>
      <c r="X793">
        <f>excelsalesdata[[#This Row],[Gross_sales]]*excelsalesdata[[#This Row],[Discount_%]]</f>
        <v>0</v>
      </c>
      <c r="Y793">
        <f>excelsalesdata[[#This Row],[Gross_sales]]-excelsalesdata[[#This Row],[Discount_amt]]</f>
        <v>7200</v>
      </c>
      <c r="Z793" s="4">
        <f>excelsalesdata[[#This Row],[Net_sales]]-excelsalesdata[[#This Row],[Cost]]</f>
        <v>2670</v>
      </c>
      <c r="AA793" s="5">
        <f>excelsalesdata[[#This Row],[Profit]]/excelsalesdata[[#This Row],[Net_sales]]</f>
        <v>0.37083333333333335</v>
      </c>
      <c r="AB793" s="4">
        <f>YEAR(excelsalesdata[[#This Row],[Order_Date]])</f>
        <v>2027</v>
      </c>
      <c r="AC793" s="4" t="str">
        <f>TEXT(excelsalesdata[[#This Row],[Order_Date]],"mmm")</f>
        <v>Jun</v>
      </c>
      <c r="AD793" s="4" t="str">
        <f>"Q"&amp;ROUNDUP(MONTH(excelsalesdata[[#This Row],[Order_Date]])/3,0)</f>
        <v>Q2</v>
      </c>
    </row>
    <row r="794" spans="1:30" x14ac:dyDescent="0.35">
      <c r="A794" t="s">
        <v>1527</v>
      </c>
      <c r="B794" s="3">
        <v>46552</v>
      </c>
      <c r="C794" t="s">
        <v>1068</v>
      </c>
      <c r="D794" t="s">
        <v>308</v>
      </c>
      <c r="E794" t="str">
        <f>TRIM(excelsalesdata[[#This Row],[Customer_Name]])</f>
        <v>Vivaan Nair</v>
      </c>
      <c r="F794" t="s">
        <v>44</v>
      </c>
      <c r="G794">
        <v>48</v>
      </c>
      <c r="H794" t="s">
        <v>71</v>
      </c>
      <c r="I794" t="str">
        <f>TRIM(excelsalesdata[[#This Row],[City]])</f>
        <v>Bhubaneswar</v>
      </c>
      <c r="J794" t="s">
        <v>72</v>
      </c>
      <c r="K794" t="s">
        <v>37</v>
      </c>
      <c r="L794" t="s">
        <v>54</v>
      </c>
      <c r="M794" t="s">
        <v>62</v>
      </c>
      <c r="N794" t="s">
        <v>62</v>
      </c>
      <c r="O794">
        <v>4</v>
      </c>
      <c r="P794">
        <v>21140</v>
      </c>
      <c r="Q794">
        <v>0.25</v>
      </c>
      <c r="R794">
        <v>15650</v>
      </c>
      <c r="S794" t="s">
        <v>151</v>
      </c>
      <c r="T794" t="s">
        <v>30</v>
      </c>
      <c r="U794">
        <v>2</v>
      </c>
      <c r="V794" t="s">
        <v>31</v>
      </c>
      <c r="W794">
        <f>excelsalesdata[[#This Row],[Quantity]]*excelsalesdata[[#This Row],[Unit_Price]]</f>
        <v>84560</v>
      </c>
      <c r="X794">
        <f>excelsalesdata[[#This Row],[Gross_sales]]*excelsalesdata[[#This Row],[Discount_%]]</f>
        <v>21140</v>
      </c>
      <c r="Y794">
        <f>excelsalesdata[[#This Row],[Gross_sales]]-excelsalesdata[[#This Row],[Discount_amt]]</f>
        <v>63420</v>
      </c>
      <c r="Z794" s="4">
        <f>excelsalesdata[[#This Row],[Net_sales]]-excelsalesdata[[#This Row],[Cost]]</f>
        <v>47770</v>
      </c>
      <c r="AA794" s="5">
        <f>excelsalesdata[[#This Row],[Profit]]/excelsalesdata[[#This Row],[Net_sales]]</f>
        <v>0.75323241879533265</v>
      </c>
      <c r="AB794" s="4">
        <f>YEAR(excelsalesdata[[#This Row],[Order_Date]])</f>
        <v>2027</v>
      </c>
      <c r="AC794" s="4" t="str">
        <f>TEXT(excelsalesdata[[#This Row],[Order_Date]],"mmm")</f>
        <v>Jun</v>
      </c>
      <c r="AD794" s="4" t="str">
        <f>"Q"&amp;ROUNDUP(MONTH(excelsalesdata[[#This Row],[Order_Date]])/3,0)</f>
        <v>Q2</v>
      </c>
    </row>
    <row r="795" spans="1:30" x14ac:dyDescent="0.35">
      <c r="A795" t="s">
        <v>1529</v>
      </c>
      <c r="B795" s="3">
        <v>46553</v>
      </c>
      <c r="C795" t="s">
        <v>1530</v>
      </c>
      <c r="D795" t="s">
        <v>488</v>
      </c>
      <c r="E795" t="str">
        <f>TRIM(excelsalesdata[[#This Row],[Customer_Name]])</f>
        <v>Nisha Singh</v>
      </c>
      <c r="F795" t="s">
        <v>44</v>
      </c>
      <c r="G795">
        <v>31</v>
      </c>
      <c r="H795" t="s">
        <v>24</v>
      </c>
      <c r="I795" t="str">
        <f>TRIM(excelsalesdata[[#This Row],[City]])</f>
        <v>Pune</v>
      </c>
      <c r="J795" t="s">
        <v>25</v>
      </c>
      <c r="K795" t="s">
        <v>26</v>
      </c>
      <c r="L795" t="s">
        <v>54</v>
      </c>
      <c r="M795" t="s">
        <v>55</v>
      </c>
      <c r="N795" t="s">
        <v>55</v>
      </c>
      <c r="O795">
        <v>4</v>
      </c>
      <c r="P795">
        <v>7170</v>
      </c>
      <c r="Q795">
        <v>0.2</v>
      </c>
      <c r="R795">
        <v>4510</v>
      </c>
      <c r="S795" t="s">
        <v>29</v>
      </c>
      <c r="T795" t="s">
        <v>30</v>
      </c>
      <c r="U795">
        <v>4</v>
      </c>
      <c r="V795" t="s">
        <v>31</v>
      </c>
      <c r="W795">
        <f>excelsalesdata[[#This Row],[Quantity]]*excelsalesdata[[#This Row],[Unit_Price]]</f>
        <v>28680</v>
      </c>
      <c r="X795">
        <f>excelsalesdata[[#This Row],[Gross_sales]]*excelsalesdata[[#This Row],[Discount_%]]</f>
        <v>5736</v>
      </c>
      <c r="Y795">
        <f>excelsalesdata[[#This Row],[Gross_sales]]-excelsalesdata[[#This Row],[Discount_amt]]</f>
        <v>22944</v>
      </c>
      <c r="Z795" s="4">
        <f>excelsalesdata[[#This Row],[Net_sales]]-excelsalesdata[[#This Row],[Cost]]</f>
        <v>18434</v>
      </c>
      <c r="AA795" s="5">
        <f>excelsalesdata[[#This Row],[Profit]]/excelsalesdata[[#This Row],[Net_sales]]</f>
        <v>0.80343444909344486</v>
      </c>
      <c r="AB795" s="4">
        <f>YEAR(excelsalesdata[[#This Row],[Order_Date]])</f>
        <v>2027</v>
      </c>
      <c r="AC795" s="4" t="str">
        <f>TEXT(excelsalesdata[[#This Row],[Order_Date]],"mmm")</f>
        <v>Jun</v>
      </c>
      <c r="AD795" s="4" t="str">
        <f>"Q"&amp;ROUNDUP(MONTH(excelsalesdata[[#This Row],[Order_Date]])/3,0)</f>
        <v>Q2</v>
      </c>
    </row>
    <row r="796" spans="1:30" x14ac:dyDescent="0.35">
      <c r="A796" t="s">
        <v>1531</v>
      </c>
      <c r="B796" s="3">
        <v>46554</v>
      </c>
      <c r="C796" t="s">
        <v>1532</v>
      </c>
      <c r="D796" t="s">
        <v>499</v>
      </c>
      <c r="E796" t="str">
        <f>TRIM(excelsalesdata[[#This Row],[Customer_Name]])</f>
        <v>Aditya Nair</v>
      </c>
      <c r="F796" t="s">
        <v>23</v>
      </c>
      <c r="G796">
        <v>45</v>
      </c>
      <c r="H796" t="s">
        <v>133</v>
      </c>
      <c r="I796" t="str">
        <f>TRIM(excelsalesdata[[#This Row],[City]])</f>
        <v>Jaipur</v>
      </c>
      <c r="J796" t="s">
        <v>134</v>
      </c>
      <c r="K796" t="s">
        <v>61</v>
      </c>
      <c r="L796" t="s">
        <v>27</v>
      </c>
      <c r="M796" t="s">
        <v>28</v>
      </c>
      <c r="N796" t="s">
        <v>28</v>
      </c>
      <c r="O796">
        <v>2</v>
      </c>
      <c r="P796">
        <v>3650</v>
      </c>
      <c r="Q796">
        <v>0.05</v>
      </c>
      <c r="R796">
        <v>2080</v>
      </c>
      <c r="S796" t="s">
        <v>80</v>
      </c>
      <c r="T796" t="s">
        <v>30</v>
      </c>
      <c r="U796">
        <v>4</v>
      </c>
      <c r="V796" t="s">
        <v>40</v>
      </c>
      <c r="W796">
        <f>excelsalesdata[[#This Row],[Quantity]]*excelsalesdata[[#This Row],[Unit_Price]]</f>
        <v>7300</v>
      </c>
      <c r="X796">
        <f>excelsalesdata[[#This Row],[Gross_sales]]*excelsalesdata[[#This Row],[Discount_%]]</f>
        <v>365</v>
      </c>
      <c r="Y796">
        <f>excelsalesdata[[#This Row],[Gross_sales]]-excelsalesdata[[#This Row],[Discount_amt]]</f>
        <v>6935</v>
      </c>
      <c r="Z796" s="4">
        <f>excelsalesdata[[#This Row],[Net_sales]]-excelsalesdata[[#This Row],[Cost]]</f>
        <v>4855</v>
      </c>
      <c r="AA796" s="5">
        <f>excelsalesdata[[#This Row],[Profit]]/excelsalesdata[[#This Row],[Net_sales]]</f>
        <v>0.70007209805335258</v>
      </c>
      <c r="AB796" s="4">
        <f>YEAR(excelsalesdata[[#This Row],[Order_Date]])</f>
        <v>2027</v>
      </c>
      <c r="AC796" s="4" t="str">
        <f>TEXT(excelsalesdata[[#This Row],[Order_Date]],"mmm")</f>
        <v>Jun</v>
      </c>
      <c r="AD796" s="4" t="str">
        <f>"Q"&amp;ROUNDUP(MONTH(excelsalesdata[[#This Row],[Order_Date]])/3,0)</f>
        <v>Q2</v>
      </c>
    </row>
    <row r="797" spans="1:30" x14ac:dyDescent="0.35">
      <c r="A797" t="s">
        <v>1533</v>
      </c>
      <c r="B797" s="3">
        <v>46555</v>
      </c>
      <c r="C797" t="s">
        <v>1534</v>
      </c>
      <c r="D797" t="s">
        <v>519</v>
      </c>
      <c r="E797" t="str">
        <f>TRIM(excelsalesdata[[#This Row],[Customer_Name]])</f>
        <v>Kavya Das</v>
      </c>
      <c r="F797" t="s">
        <v>23</v>
      </c>
      <c r="G797">
        <v>22</v>
      </c>
      <c r="H797" t="s">
        <v>185</v>
      </c>
      <c r="I797" t="str">
        <f>TRIM(excelsalesdata[[#This Row],[City]])</f>
        <v>Lucknow</v>
      </c>
      <c r="J797" t="s">
        <v>186</v>
      </c>
      <c r="K797" t="s">
        <v>61</v>
      </c>
      <c r="L797" t="s">
        <v>85</v>
      </c>
      <c r="M797" t="s">
        <v>202</v>
      </c>
      <c r="N797" t="s">
        <v>202</v>
      </c>
      <c r="O797">
        <v>1</v>
      </c>
      <c r="P797">
        <v>960</v>
      </c>
      <c r="Q797">
        <v>0.1</v>
      </c>
      <c r="R797">
        <v>400</v>
      </c>
      <c r="S797" t="s">
        <v>29</v>
      </c>
      <c r="T797" t="s">
        <v>30</v>
      </c>
      <c r="U797">
        <v>3</v>
      </c>
      <c r="V797" t="s">
        <v>31</v>
      </c>
      <c r="W797">
        <f>excelsalesdata[[#This Row],[Quantity]]*excelsalesdata[[#This Row],[Unit_Price]]</f>
        <v>960</v>
      </c>
      <c r="X797">
        <f>excelsalesdata[[#This Row],[Gross_sales]]*excelsalesdata[[#This Row],[Discount_%]]</f>
        <v>96</v>
      </c>
      <c r="Y797">
        <f>excelsalesdata[[#This Row],[Gross_sales]]-excelsalesdata[[#This Row],[Discount_amt]]</f>
        <v>864</v>
      </c>
      <c r="Z797" s="4">
        <f>excelsalesdata[[#This Row],[Net_sales]]-excelsalesdata[[#This Row],[Cost]]</f>
        <v>464</v>
      </c>
      <c r="AA797" s="5">
        <f>excelsalesdata[[#This Row],[Profit]]/excelsalesdata[[#This Row],[Net_sales]]</f>
        <v>0.53703703703703709</v>
      </c>
      <c r="AB797" s="4">
        <f>YEAR(excelsalesdata[[#This Row],[Order_Date]])</f>
        <v>2027</v>
      </c>
      <c r="AC797" s="4" t="str">
        <f>TEXT(excelsalesdata[[#This Row],[Order_Date]],"mmm")</f>
        <v>Jun</v>
      </c>
      <c r="AD797" s="4" t="str">
        <f>"Q"&amp;ROUNDUP(MONTH(excelsalesdata[[#This Row],[Order_Date]])/3,0)</f>
        <v>Q2</v>
      </c>
    </row>
    <row r="798" spans="1:30" x14ac:dyDescent="0.35">
      <c r="A798" t="s">
        <v>1535</v>
      </c>
      <c r="B798" s="3">
        <v>46556</v>
      </c>
      <c r="C798" t="s">
        <v>542</v>
      </c>
      <c r="D798" t="s">
        <v>1374</v>
      </c>
      <c r="E798" t="str">
        <f>TRIM(excelsalesdata[[#This Row],[Customer_Name]])</f>
        <v>Karan Joshi</v>
      </c>
      <c r="F798" t="s">
        <v>23</v>
      </c>
      <c r="G798">
        <v>34</v>
      </c>
      <c r="H798" t="s">
        <v>45</v>
      </c>
      <c r="I798" t="str">
        <f>TRIM(excelsalesdata[[#This Row],[City]])</f>
        <v>Kochi</v>
      </c>
      <c r="J798" t="s">
        <v>46</v>
      </c>
      <c r="K798" t="s">
        <v>47</v>
      </c>
      <c r="L798" t="s">
        <v>27</v>
      </c>
      <c r="M798" t="s">
        <v>123</v>
      </c>
      <c r="N798" t="s">
        <v>123</v>
      </c>
      <c r="O798">
        <v>1</v>
      </c>
      <c r="P798">
        <v>2870</v>
      </c>
      <c r="Q798">
        <v>0.05</v>
      </c>
      <c r="R798">
        <v>1530</v>
      </c>
      <c r="S798" t="s">
        <v>80</v>
      </c>
      <c r="T798" t="s">
        <v>30</v>
      </c>
      <c r="U798">
        <v>2</v>
      </c>
      <c r="V798" t="s">
        <v>40</v>
      </c>
      <c r="W798">
        <f>excelsalesdata[[#This Row],[Quantity]]*excelsalesdata[[#This Row],[Unit_Price]]</f>
        <v>2870</v>
      </c>
      <c r="X798">
        <f>excelsalesdata[[#This Row],[Gross_sales]]*excelsalesdata[[#This Row],[Discount_%]]</f>
        <v>143.5</v>
      </c>
      <c r="Y798">
        <f>excelsalesdata[[#This Row],[Gross_sales]]-excelsalesdata[[#This Row],[Discount_amt]]</f>
        <v>2726.5</v>
      </c>
      <c r="Z798" s="4">
        <f>excelsalesdata[[#This Row],[Net_sales]]-excelsalesdata[[#This Row],[Cost]]</f>
        <v>1196.5</v>
      </c>
      <c r="AA798" s="5">
        <f>excelsalesdata[[#This Row],[Profit]]/excelsalesdata[[#This Row],[Net_sales]]</f>
        <v>0.43884100495140288</v>
      </c>
      <c r="AB798" s="4">
        <f>YEAR(excelsalesdata[[#This Row],[Order_Date]])</f>
        <v>2027</v>
      </c>
      <c r="AC798" s="4" t="str">
        <f>TEXT(excelsalesdata[[#This Row],[Order_Date]],"mmm")</f>
        <v>Jun</v>
      </c>
      <c r="AD798" s="4" t="str">
        <f>"Q"&amp;ROUNDUP(MONTH(excelsalesdata[[#This Row],[Order_Date]])/3,0)</f>
        <v>Q2</v>
      </c>
    </row>
    <row r="799" spans="1:30" x14ac:dyDescent="0.35">
      <c r="A799" t="s">
        <v>1536</v>
      </c>
      <c r="B799" s="3">
        <v>46557</v>
      </c>
      <c r="C799" t="s">
        <v>999</v>
      </c>
      <c r="D799" t="s">
        <v>544</v>
      </c>
      <c r="E799" t="str">
        <f>TRIM(excelsalesdata[[#This Row],[Customer_Name]])</f>
        <v>Kavya Iyer</v>
      </c>
      <c r="F799" t="s">
        <v>23</v>
      </c>
      <c r="G799">
        <v>45</v>
      </c>
      <c r="H799" t="s">
        <v>114</v>
      </c>
      <c r="I799" t="str">
        <f>TRIM(excelsalesdata[[#This Row],[City]])</f>
        <v>Hyderabad</v>
      </c>
      <c r="J799" t="s">
        <v>115</v>
      </c>
      <c r="K799" t="s">
        <v>47</v>
      </c>
      <c r="L799" t="s">
        <v>93</v>
      </c>
      <c r="M799" t="s">
        <v>375</v>
      </c>
      <c r="N799" t="s">
        <v>375</v>
      </c>
      <c r="O799">
        <v>1</v>
      </c>
      <c r="P799">
        <v>2120</v>
      </c>
      <c r="Q799">
        <v>0.1</v>
      </c>
      <c r="R799">
        <v>1250</v>
      </c>
      <c r="S799" t="s">
        <v>29</v>
      </c>
      <c r="T799" t="s">
        <v>30</v>
      </c>
      <c r="U799">
        <v>3</v>
      </c>
      <c r="V799" t="s">
        <v>40</v>
      </c>
      <c r="W799">
        <f>excelsalesdata[[#This Row],[Quantity]]*excelsalesdata[[#This Row],[Unit_Price]]</f>
        <v>2120</v>
      </c>
      <c r="X799">
        <f>excelsalesdata[[#This Row],[Gross_sales]]*excelsalesdata[[#This Row],[Discount_%]]</f>
        <v>212</v>
      </c>
      <c r="Y799">
        <f>excelsalesdata[[#This Row],[Gross_sales]]-excelsalesdata[[#This Row],[Discount_amt]]</f>
        <v>1908</v>
      </c>
      <c r="Z799" s="4">
        <f>excelsalesdata[[#This Row],[Net_sales]]-excelsalesdata[[#This Row],[Cost]]</f>
        <v>658</v>
      </c>
      <c r="AA799" s="5">
        <f>excelsalesdata[[#This Row],[Profit]]/excelsalesdata[[#This Row],[Net_sales]]</f>
        <v>0.3448637316561845</v>
      </c>
      <c r="AB799" s="4">
        <f>YEAR(excelsalesdata[[#This Row],[Order_Date]])</f>
        <v>2027</v>
      </c>
      <c r="AC799" s="4" t="str">
        <f>TEXT(excelsalesdata[[#This Row],[Order_Date]],"mmm")</f>
        <v>Jun</v>
      </c>
      <c r="AD799" s="4" t="str">
        <f>"Q"&amp;ROUNDUP(MONTH(excelsalesdata[[#This Row],[Order_Date]])/3,0)</f>
        <v>Q2</v>
      </c>
    </row>
    <row r="800" spans="1:30" x14ac:dyDescent="0.35">
      <c r="A800" t="s">
        <v>1537</v>
      </c>
      <c r="B800" s="3">
        <v>46558</v>
      </c>
      <c r="C800" t="s">
        <v>1538</v>
      </c>
      <c r="D800" t="s">
        <v>534</v>
      </c>
      <c r="E800" t="str">
        <f>TRIM(excelsalesdata[[#This Row],[Customer_Name]])</f>
        <v>Ananya Kumar</v>
      </c>
      <c r="F800" t="s">
        <v>44</v>
      </c>
      <c r="G800">
        <v>35</v>
      </c>
      <c r="H800" t="s">
        <v>190</v>
      </c>
      <c r="I800" t="str">
        <f>TRIM(excelsalesdata[[#This Row],[City]])</f>
        <v>Ahmedabad</v>
      </c>
      <c r="J800" t="s">
        <v>191</v>
      </c>
      <c r="K800" t="s">
        <v>26</v>
      </c>
      <c r="L800" t="s">
        <v>54</v>
      </c>
      <c r="M800" t="s">
        <v>55</v>
      </c>
      <c r="N800" t="s">
        <v>55</v>
      </c>
      <c r="O800">
        <v>1</v>
      </c>
      <c r="P800">
        <v>7510</v>
      </c>
      <c r="Q800">
        <v>0.05</v>
      </c>
      <c r="R800">
        <v>4670</v>
      </c>
      <c r="S800" t="s">
        <v>151</v>
      </c>
      <c r="T800" t="s">
        <v>99</v>
      </c>
      <c r="U800">
        <v>3</v>
      </c>
      <c r="V800" t="s">
        <v>40</v>
      </c>
      <c r="W800">
        <f>excelsalesdata[[#This Row],[Quantity]]*excelsalesdata[[#This Row],[Unit_Price]]</f>
        <v>7510</v>
      </c>
      <c r="X800">
        <f>excelsalesdata[[#This Row],[Gross_sales]]*excelsalesdata[[#This Row],[Discount_%]]</f>
        <v>375.5</v>
      </c>
      <c r="Y800">
        <f>excelsalesdata[[#This Row],[Gross_sales]]-excelsalesdata[[#This Row],[Discount_amt]]</f>
        <v>7134.5</v>
      </c>
      <c r="Z800" s="4">
        <f>excelsalesdata[[#This Row],[Net_sales]]-excelsalesdata[[#This Row],[Cost]]</f>
        <v>2464.5</v>
      </c>
      <c r="AA800" s="5">
        <f>excelsalesdata[[#This Row],[Profit]]/excelsalesdata[[#This Row],[Net_sales]]</f>
        <v>0.34543415796481886</v>
      </c>
      <c r="AB800" s="4">
        <f>YEAR(excelsalesdata[[#This Row],[Order_Date]])</f>
        <v>2027</v>
      </c>
      <c r="AC800" s="4" t="str">
        <f>TEXT(excelsalesdata[[#This Row],[Order_Date]],"mmm")</f>
        <v>Jun</v>
      </c>
      <c r="AD800" s="4" t="str">
        <f>"Q"&amp;ROUNDUP(MONTH(excelsalesdata[[#This Row],[Order_Date]])/3,0)</f>
        <v>Q2</v>
      </c>
    </row>
    <row r="801" spans="1:30" x14ac:dyDescent="0.35">
      <c r="A801" t="s">
        <v>1539</v>
      </c>
      <c r="B801" s="3">
        <v>46559</v>
      </c>
      <c r="C801" t="s">
        <v>481</v>
      </c>
      <c r="D801" t="s">
        <v>270</v>
      </c>
      <c r="E801" t="str">
        <f>TRIM(excelsalesdata[[#This Row],[Customer_Name]])</f>
        <v>Ananya Das</v>
      </c>
      <c r="F801" t="s">
        <v>44</v>
      </c>
      <c r="G801">
        <v>20</v>
      </c>
      <c r="H801" t="s">
        <v>52</v>
      </c>
      <c r="I801" t="str">
        <f>TRIM(excelsalesdata[[#This Row],[City]])</f>
        <v>Bengaluru</v>
      </c>
      <c r="J801" t="s">
        <v>53</v>
      </c>
      <c r="K801" t="s">
        <v>47</v>
      </c>
      <c r="L801" t="s">
        <v>54</v>
      </c>
      <c r="M801" t="s">
        <v>62</v>
      </c>
      <c r="N801" t="s">
        <v>62</v>
      </c>
      <c r="O801">
        <v>3</v>
      </c>
      <c r="P801">
        <v>21390</v>
      </c>
      <c r="Q801">
        <v>0.15</v>
      </c>
      <c r="R801">
        <v>14870</v>
      </c>
      <c r="S801" t="s">
        <v>105</v>
      </c>
      <c r="T801" t="s">
        <v>30</v>
      </c>
      <c r="U801">
        <v>5</v>
      </c>
      <c r="V801" t="s">
        <v>31</v>
      </c>
      <c r="W801">
        <f>excelsalesdata[[#This Row],[Quantity]]*excelsalesdata[[#This Row],[Unit_Price]]</f>
        <v>64170</v>
      </c>
      <c r="X801">
        <f>excelsalesdata[[#This Row],[Gross_sales]]*excelsalesdata[[#This Row],[Discount_%]]</f>
        <v>9625.5</v>
      </c>
      <c r="Y801">
        <f>excelsalesdata[[#This Row],[Gross_sales]]-excelsalesdata[[#This Row],[Discount_amt]]</f>
        <v>54544.5</v>
      </c>
      <c r="Z801" s="4">
        <f>excelsalesdata[[#This Row],[Net_sales]]-excelsalesdata[[#This Row],[Cost]]</f>
        <v>39674.5</v>
      </c>
      <c r="AA801" s="5">
        <f>excelsalesdata[[#This Row],[Profit]]/excelsalesdata[[#This Row],[Net_sales]]</f>
        <v>0.72737856245817634</v>
      </c>
      <c r="AB801" s="4">
        <f>YEAR(excelsalesdata[[#This Row],[Order_Date]])</f>
        <v>2027</v>
      </c>
      <c r="AC801" s="4" t="str">
        <f>TEXT(excelsalesdata[[#This Row],[Order_Date]],"mmm")</f>
        <v>Jun</v>
      </c>
      <c r="AD801" s="4" t="str">
        <f>"Q"&amp;ROUNDUP(MONTH(excelsalesdata[[#This Row],[Order_Date]])/3,0)</f>
        <v>Q2</v>
      </c>
    </row>
    <row r="802" spans="1:30" x14ac:dyDescent="0.35">
      <c r="A802" t="s">
        <v>1540</v>
      </c>
      <c r="B802" s="3">
        <v>46560</v>
      </c>
      <c r="C802" t="s">
        <v>671</v>
      </c>
      <c r="D802" t="s">
        <v>522</v>
      </c>
      <c r="E802" t="str">
        <f>TRIM(excelsalesdata[[#This Row],[Customer_Name]])</f>
        <v>Priya Joshi</v>
      </c>
      <c r="F802" t="s">
        <v>44</v>
      </c>
      <c r="G802">
        <v>31</v>
      </c>
      <c r="H802" t="s">
        <v>71</v>
      </c>
      <c r="I802" t="str">
        <f>TRIM(excelsalesdata[[#This Row],[City]])</f>
        <v>Bhubaneswar</v>
      </c>
      <c r="J802" t="s">
        <v>72</v>
      </c>
      <c r="K802" t="s">
        <v>37</v>
      </c>
      <c r="L802" t="s">
        <v>85</v>
      </c>
      <c r="M802" t="s">
        <v>172</v>
      </c>
      <c r="N802" t="s">
        <v>172</v>
      </c>
      <c r="O802">
        <v>1</v>
      </c>
      <c r="P802">
        <v>4310</v>
      </c>
      <c r="Q802">
        <v>0.15</v>
      </c>
      <c r="R802">
        <v>2720</v>
      </c>
      <c r="S802" t="s">
        <v>80</v>
      </c>
      <c r="T802" t="s">
        <v>74</v>
      </c>
      <c r="U802">
        <v>4</v>
      </c>
      <c r="V802" t="s">
        <v>40</v>
      </c>
      <c r="W802">
        <f>excelsalesdata[[#This Row],[Quantity]]*excelsalesdata[[#This Row],[Unit_Price]]</f>
        <v>4310</v>
      </c>
      <c r="X802">
        <f>excelsalesdata[[#This Row],[Gross_sales]]*excelsalesdata[[#This Row],[Discount_%]]</f>
        <v>646.5</v>
      </c>
      <c r="Y802">
        <f>excelsalesdata[[#This Row],[Gross_sales]]-excelsalesdata[[#This Row],[Discount_amt]]</f>
        <v>3663.5</v>
      </c>
      <c r="Z802" s="4">
        <f>excelsalesdata[[#This Row],[Net_sales]]-excelsalesdata[[#This Row],[Cost]]</f>
        <v>943.5</v>
      </c>
      <c r="AA802" s="5">
        <f>excelsalesdata[[#This Row],[Profit]]/excelsalesdata[[#This Row],[Net_sales]]</f>
        <v>0.25754060324825984</v>
      </c>
      <c r="AB802" s="4">
        <f>YEAR(excelsalesdata[[#This Row],[Order_Date]])</f>
        <v>2027</v>
      </c>
      <c r="AC802" s="4" t="str">
        <f>TEXT(excelsalesdata[[#This Row],[Order_Date]],"mmm")</f>
        <v>Jun</v>
      </c>
      <c r="AD802" s="4" t="str">
        <f>"Q"&amp;ROUNDUP(MONTH(excelsalesdata[[#This Row],[Order_Date]])/3,0)</f>
        <v>Q2</v>
      </c>
    </row>
    <row r="803" spans="1:30" x14ac:dyDescent="0.35">
      <c r="A803" t="s">
        <v>1541</v>
      </c>
      <c r="B803" s="3">
        <v>46561</v>
      </c>
      <c r="C803" t="s">
        <v>1127</v>
      </c>
      <c r="D803" t="s">
        <v>650</v>
      </c>
      <c r="E803" t="str">
        <f>TRIM(excelsalesdata[[#This Row],[Customer_Name]])</f>
        <v>Sneha Shah</v>
      </c>
      <c r="F803" t="s">
        <v>44</v>
      </c>
      <c r="G803">
        <v>50</v>
      </c>
      <c r="H803" t="s">
        <v>155</v>
      </c>
      <c r="I803" t="str">
        <f>TRIM(excelsalesdata[[#This Row],[City]])</f>
        <v>Chennai</v>
      </c>
      <c r="J803" t="s">
        <v>156</v>
      </c>
      <c r="K803" t="s">
        <v>47</v>
      </c>
      <c r="L803" t="s">
        <v>27</v>
      </c>
      <c r="M803" t="s">
        <v>123</v>
      </c>
      <c r="N803" t="s">
        <v>123</v>
      </c>
      <c r="O803">
        <v>2</v>
      </c>
      <c r="P803">
        <v>2640</v>
      </c>
      <c r="Q803">
        <v>0.2</v>
      </c>
      <c r="R803">
        <v>1660</v>
      </c>
      <c r="S803" t="s">
        <v>80</v>
      </c>
      <c r="T803" t="s">
        <v>30</v>
      </c>
      <c r="U803">
        <v>2</v>
      </c>
      <c r="V803" t="s">
        <v>31</v>
      </c>
      <c r="W803">
        <f>excelsalesdata[[#This Row],[Quantity]]*excelsalesdata[[#This Row],[Unit_Price]]</f>
        <v>5280</v>
      </c>
      <c r="X803">
        <f>excelsalesdata[[#This Row],[Gross_sales]]*excelsalesdata[[#This Row],[Discount_%]]</f>
        <v>1056</v>
      </c>
      <c r="Y803">
        <f>excelsalesdata[[#This Row],[Gross_sales]]-excelsalesdata[[#This Row],[Discount_amt]]</f>
        <v>4224</v>
      </c>
      <c r="Z803" s="4">
        <f>excelsalesdata[[#This Row],[Net_sales]]-excelsalesdata[[#This Row],[Cost]]</f>
        <v>2564</v>
      </c>
      <c r="AA803" s="5">
        <f>excelsalesdata[[#This Row],[Profit]]/excelsalesdata[[#This Row],[Net_sales]]</f>
        <v>0.6070075757575758</v>
      </c>
      <c r="AB803" s="4">
        <f>YEAR(excelsalesdata[[#This Row],[Order_Date]])</f>
        <v>2027</v>
      </c>
      <c r="AC803" s="4" t="str">
        <f>TEXT(excelsalesdata[[#This Row],[Order_Date]],"mmm")</f>
        <v>Jun</v>
      </c>
      <c r="AD803" s="4" t="str">
        <f>"Q"&amp;ROUNDUP(MONTH(excelsalesdata[[#This Row],[Order_Date]])/3,0)</f>
        <v>Q2</v>
      </c>
    </row>
    <row r="804" spans="1:30" x14ac:dyDescent="0.35">
      <c r="A804" t="s">
        <v>1542</v>
      </c>
      <c r="B804" s="3">
        <v>46562</v>
      </c>
      <c r="C804" t="s">
        <v>387</v>
      </c>
      <c r="D804" t="s">
        <v>84</v>
      </c>
      <c r="E804" t="str">
        <f>TRIM(excelsalesdata[[#This Row],[Customer_Name]])</f>
        <v>Arjun Verma</v>
      </c>
      <c r="F804" t="s">
        <v>23</v>
      </c>
      <c r="G804">
        <v>50</v>
      </c>
      <c r="H804" t="s">
        <v>168</v>
      </c>
      <c r="I804" t="str">
        <f>TRIM(excelsalesdata[[#This Row],[City]])</f>
        <v>Delhi</v>
      </c>
      <c r="J804" t="s">
        <v>168</v>
      </c>
      <c r="K804" t="s">
        <v>61</v>
      </c>
      <c r="L804" t="s">
        <v>93</v>
      </c>
      <c r="M804" t="s">
        <v>135</v>
      </c>
      <c r="N804" t="s">
        <v>135</v>
      </c>
      <c r="O804">
        <v>2</v>
      </c>
      <c r="P804">
        <v>1660</v>
      </c>
      <c r="Q804">
        <v>0.2</v>
      </c>
      <c r="R804">
        <v>970</v>
      </c>
      <c r="S804" t="s">
        <v>80</v>
      </c>
      <c r="T804" t="s">
        <v>30</v>
      </c>
      <c r="U804">
        <v>5</v>
      </c>
      <c r="V804" t="s">
        <v>40</v>
      </c>
      <c r="W804">
        <f>excelsalesdata[[#This Row],[Quantity]]*excelsalesdata[[#This Row],[Unit_Price]]</f>
        <v>3320</v>
      </c>
      <c r="X804">
        <f>excelsalesdata[[#This Row],[Gross_sales]]*excelsalesdata[[#This Row],[Discount_%]]</f>
        <v>664</v>
      </c>
      <c r="Y804">
        <f>excelsalesdata[[#This Row],[Gross_sales]]-excelsalesdata[[#This Row],[Discount_amt]]</f>
        <v>2656</v>
      </c>
      <c r="Z804" s="4">
        <f>excelsalesdata[[#This Row],[Net_sales]]-excelsalesdata[[#This Row],[Cost]]</f>
        <v>1686</v>
      </c>
      <c r="AA804" s="5">
        <f>excelsalesdata[[#This Row],[Profit]]/excelsalesdata[[#This Row],[Net_sales]]</f>
        <v>0.63478915662650603</v>
      </c>
      <c r="AB804" s="4">
        <f>YEAR(excelsalesdata[[#This Row],[Order_Date]])</f>
        <v>2027</v>
      </c>
      <c r="AC804" s="4" t="str">
        <f>TEXT(excelsalesdata[[#This Row],[Order_Date]],"mmm")</f>
        <v>Jun</v>
      </c>
      <c r="AD804" s="4" t="str">
        <f>"Q"&amp;ROUNDUP(MONTH(excelsalesdata[[#This Row],[Order_Date]])/3,0)</f>
        <v>Q2</v>
      </c>
    </row>
    <row r="805" spans="1:30" x14ac:dyDescent="0.35">
      <c r="A805" t="s">
        <v>1543</v>
      </c>
      <c r="B805" s="3">
        <v>46563</v>
      </c>
      <c r="C805" t="s">
        <v>1544</v>
      </c>
      <c r="D805" t="s">
        <v>273</v>
      </c>
      <c r="E805" t="str">
        <f>TRIM(excelsalesdata[[#This Row],[Customer_Name]])</f>
        <v>Aarav Sharma</v>
      </c>
      <c r="F805" t="s">
        <v>44</v>
      </c>
      <c r="G805">
        <v>34</v>
      </c>
      <c r="H805" t="s">
        <v>71</v>
      </c>
      <c r="I805" t="str">
        <f>TRIM(excelsalesdata[[#This Row],[City]])</f>
        <v>Bhubaneswar</v>
      </c>
      <c r="J805" t="s">
        <v>72</v>
      </c>
      <c r="K805" t="s">
        <v>37</v>
      </c>
      <c r="L805" t="s">
        <v>54</v>
      </c>
      <c r="M805" t="s">
        <v>62</v>
      </c>
      <c r="N805" t="s">
        <v>62</v>
      </c>
      <c r="O805">
        <v>3</v>
      </c>
      <c r="P805">
        <v>21430</v>
      </c>
      <c r="Q805">
        <v>0.15</v>
      </c>
      <c r="R805">
        <v>14800</v>
      </c>
      <c r="S805" t="s">
        <v>80</v>
      </c>
      <c r="T805" t="s">
        <v>30</v>
      </c>
      <c r="U805">
        <v>2</v>
      </c>
      <c r="V805" t="s">
        <v>31</v>
      </c>
      <c r="W805">
        <f>excelsalesdata[[#This Row],[Quantity]]*excelsalesdata[[#This Row],[Unit_Price]]</f>
        <v>64290</v>
      </c>
      <c r="X805">
        <f>excelsalesdata[[#This Row],[Gross_sales]]*excelsalesdata[[#This Row],[Discount_%]]</f>
        <v>9643.5</v>
      </c>
      <c r="Y805">
        <f>excelsalesdata[[#This Row],[Gross_sales]]-excelsalesdata[[#This Row],[Discount_amt]]</f>
        <v>54646.5</v>
      </c>
      <c r="Z805" s="4">
        <f>excelsalesdata[[#This Row],[Net_sales]]-excelsalesdata[[#This Row],[Cost]]</f>
        <v>39846.5</v>
      </c>
      <c r="AA805" s="5">
        <f>excelsalesdata[[#This Row],[Profit]]/excelsalesdata[[#This Row],[Net_sales]]</f>
        <v>0.72916838223856972</v>
      </c>
      <c r="AB805" s="4">
        <f>YEAR(excelsalesdata[[#This Row],[Order_Date]])</f>
        <v>2027</v>
      </c>
      <c r="AC805" s="4" t="str">
        <f>TEXT(excelsalesdata[[#This Row],[Order_Date]],"mmm")</f>
        <v>Jun</v>
      </c>
      <c r="AD805" s="4" t="str">
        <f>"Q"&amp;ROUNDUP(MONTH(excelsalesdata[[#This Row],[Order_Date]])/3,0)</f>
        <v>Q2</v>
      </c>
    </row>
    <row r="806" spans="1:30" x14ac:dyDescent="0.35">
      <c r="A806" t="s">
        <v>1545</v>
      </c>
      <c r="B806" s="3">
        <v>46564</v>
      </c>
      <c r="C806" t="s">
        <v>1103</v>
      </c>
      <c r="D806" t="s">
        <v>610</v>
      </c>
      <c r="E806" t="str">
        <f>TRIM(excelsalesdata[[#This Row],[Customer_Name]])</f>
        <v>Priya Das</v>
      </c>
      <c r="F806" t="s">
        <v>44</v>
      </c>
      <c r="G806">
        <v>23</v>
      </c>
      <c r="H806" t="s">
        <v>168</v>
      </c>
      <c r="I806" t="str">
        <f>TRIM(excelsalesdata[[#This Row],[City]])</f>
        <v>Delhi</v>
      </c>
      <c r="J806" t="s">
        <v>168</v>
      </c>
      <c r="K806" t="s">
        <v>61</v>
      </c>
      <c r="L806" t="s">
        <v>54</v>
      </c>
      <c r="M806" t="s">
        <v>129</v>
      </c>
      <c r="N806" t="s">
        <v>129</v>
      </c>
      <c r="O806">
        <v>2</v>
      </c>
      <c r="P806">
        <v>18780</v>
      </c>
      <c r="Q806">
        <v>0</v>
      </c>
      <c r="R806">
        <v>12990</v>
      </c>
      <c r="S806" t="s">
        <v>29</v>
      </c>
      <c r="T806" t="s">
        <v>30</v>
      </c>
      <c r="U806">
        <v>5</v>
      </c>
      <c r="V806" t="s">
        <v>31</v>
      </c>
      <c r="W806">
        <f>excelsalesdata[[#This Row],[Quantity]]*excelsalesdata[[#This Row],[Unit_Price]]</f>
        <v>37560</v>
      </c>
      <c r="X806">
        <f>excelsalesdata[[#This Row],[Gross_sales]]*excelsalesdata[[#This Row],[Discount_%]]</f>
        <v>0</v>
      </c>
      <c r="Y806">
        <f>excelsalesdata[[#This Row],[Gross_sales]]-excelsalesdata[[#This Row],[Discount_amt]]</f>
        <v>37560</v>
      </c>
      <c r="Z806" s="4">
        <f>excelsalesdata[[#This Row],[Net_sales]]-excelsalesdata[[#This Row],[Cost]]</f>
        <v>24570</v>
      </c>
      <c r="AA806" s="5">
        <f>excelsalesdata[[#This Row],[Profit]]/excelsalesdata[[#This Row],[Net_sales]]</f>
        <v>0.65415335463258784</v>
      </c>
      <c r="AB806" s="4">
        <f>YEAR(excelsalesdata[[#This Row],[Order_Date]])</f>
        <v>2027</v>
      </c>
      <c r="AC806" s="4" t="str">
        <f>TEXT(excelsalesdata[[#This Row],[Order_Date]],"mmm")</f>
        <v>Jun</v>
      </c>
      <c r="AD806" s="4" t="str">
        <f>"Q"&amp;ROUNDUP(MONTH(excelsalesdata[[#This Row],[Order_Date]])/3,0)</f>
        <v>Q2</v>
      </c>
    </row>
    <row r="807" spans="1:30" x14ac:dyDescent="0.35">
      <c r="A807" t="s">
        <v>1546</v>
      </c>
      <c r="B807" s="3">
        <v>46565</v>
      </c>
      <c r="C807" t="s">
        <v>737</v>
      </c>
      <c r="D807" t="s">
        <v>488</v>
      </c>
      <c r="E807" t="str">
        <f>TRIM(excelsalesdata[[#This Row],[Customer_Name]])</f>
        <v>Nisha Singh</v>
      </c>
      <c r="F807" t="s">
        <v>44</v>
      </c>
      <c r="G807">
        <v>51</v>
      </c>
      <c r="H807" t="s">
        <v>35</v>
      </c>
      <c r="I807" t="str">
        <f>TRIM(excelsalesdata[[#This Row],[City]])</f>
        <v>Kolkata</v>
      </c>
      <c r="J807" t="s">
        <v>36</v>
      </c>
      <c r="K807" t="s">
        <v>37</v>
      </c>
      <c r="L807" t="s">
        <v>85</v>
      </c>
      <c r="M807" t="s">
        <v>202</v>
      </c>
      <c r="N807" t="s">
        <v>202</v>
      </c>
      <c r="O807">
        <v>1</v>
      </c>
      <c r="P807">
        <v>920</v>
      </c>
      <c r="Q807">
        <v>0.15</v>
      </c>
      <c r="R807">
        <v>390</v>
      </c>
      <c r="S807" t="s">
        <v>67</v>
      </c>
      <c r="T807" t="s">
        <v>74</v>
      </c>
      <c r="U807">
        <v>3</v>
      </c>
      <c r="V807" t="s">
        <v>31</v>
      </c>
      <c r="W807">
        <f>excelsalesdata[[#This Row],[Quantity]]*excelsalesdata[[#This Row],[Unit_Price]]</f>
        <v>920</v>
      </c>
      <c r="X807">
        <f>excelsalesdata[[#This Row],[Gross_sales]]*excelsalesdata[[#This Row],[Discount_%]]</f>
        <v>138</v>
      </c>
      <c r="Y807">
        <f>excelsalesdata[[#This Row],[Gross_sales]]-excelsalesdata[[#This Row],[Discount_amt]]</f>
        <v>782</v>
      </c>
      <c r="Z807" s="4">
        <f>excelsalesdata[[#This Row],[Net_sales]]-excelsalesdata[[#This Row],[Cost]]</f>
        <v>392</v>
      </c>
      <c r="AA807" s="5">
        <f>excelsalesdata[[#This Row],[Profit]]/excelsalesdata[[#This Row],[Net_sales]]</f>
        <v>0.50127877237851659</v>
      </c>
      <c r="AB807" s="4">
        <f>YEAR(excelsalesdata[[#This Row],[Order_Date]])</f>
        <v>2027</v>
      </c>
      <c r="AC807" s="4" t="str">
        <f>TEXT(excelsalesdata[[#This Row],[Order_Date]],"mmm")</f>
        <v>Jun</v>
      </c>
      <c r="AD807" s="4" t="str">
        <f>"Q"&amp;ROUNDUP(MONTH(excelsalesdata[[#This Row],[Order_Date]])/3,0)</f>
        <v>Q2</v>
      </c>
    </row>
    <row r="808" spans="1:30" x14ac:dyDescent="0.35">
      <c r="A808" t="s">
        <v>1547</v>
      </c>
      <c r="B808" s="3">
        <v>46566</v>
      </c>
      <c r="C808" t="s">
        <v>1193</v>
      </c>
      <c r="D808" t="s">
        <v>588</v>
      </c>
      <c r="E808" t="str">
        <f>TRIM(excelsalesdata[[#This Row],[Customer_Name]])</f>
        <v>Karan Rao</v>
      </c>
      <c r="F808" t="s">
        <v>23</v>
      </c>
      <c r="G808">
        <v>18</v>
      </c>
      <c r="H808" t="s">
        <v>45</v>
      </c>
      <c r="I808" t="str">
        <f>TRIM(excelsalesdata[[#This Row],[City]])</f>
        <v>Kochi</v>
      </c>
      <c r="J808" t="s">
        <v>46</v>
      </c>
      <c r="K808" t="s">
        <v>47</v>
      </c>
      <c r="L808" t="s">
        <v>54</v>
      </c>
      <c r="M808" t="s">
        <v>157</v>
      </c>
      <c r="N808" t="s">
        <v>157</v>
      </c>
      <c r="O808">
        <v>1</v>
      </c>
      <c r="P808">
        <v>53670</v>
      </c>
      <c r="Q808">
        <v>0.15</v>
      </c>
      <c r="R808">
        <v>40310</v>
      </c>
      <c r="S808" t="s">
        <v>80</v>
      </c>
      <c r="T808" t="s">
        <v>74</v>
      </c>
      <c r="U808">
        <v>1</v>
      </c>
      <c r="V808" t="s">
        <v>40</v>
      </c>
      <c r="W808">
        <f>excelsalesdata[[#This Row],[Quantity]]*excelsalesdata[[#This Row],[Unit_Price]]</f>
        <v>53670</v>
      </c>
      <c r="X808">
        <f>excelsalesdata[[#This Row],[Gross_sales]]*excelsalesdata[[#This Row],[Discount_%]]</f>
        <v>8050.5</v>
      </c>
      <c r="Y808">
        <f>excelsalesdata[[#This Row],[Gross_sales]]-excelsalesdata[[#This Row],[Discount_amt]]</f>
        <v>45619.5</v>
      </c>
      <c r="Z808" s="4">
        <f>excelsalesdata[[#This Row],[Net_sales]]-excelsalesdata[[#This Row],[Cost]]</f>
        <v>5309.5</v>
      </c>
      <c r="AA808" s="5">
        <f>excelsalesdata[[#This Row],[Profit]]/excelsalesdata[[#This Row],[Net_sales]]</f>
        <v>0.11638663290917262</v>
      </c>
      <c r="AB808" s="4">
        <f>YEAR(excelsalesdata[[#This Row],[Order_Date]])</f>
        <v>2027</v>
      </c>
      <c r="AC808" s="4" t="str">
        <f>TEXT(excelsalesdata[[#This Row],[Order_Date]],"mmm")</f>
        <v>Jun</v>
      </c>
      <c r="AD808" s="4" t="str">
        <f>"Q"&amp;ROUNDUP(MONTH(excelsalesdata[[#This Row],[Order_Date]])/3,0)</f>
        <v>Q2</v>
      </c>
    </row>
    <row r="809" spans="1:30" x14ac:dyDescent="0.35">
      <c r="A809" t="s">
        <v>1548</v>
      </c>
      <c r="B809" s="3">
        <v>46567</v>
      </c>
      <c r="C809" t="s">
        <v>1001</v>
      </c>
      <c r="D809" t="s">
        <v>128</v>
      </c>
      <c r="E809" t="str">
        <f>TRIM(excelsalesdata[[#This Row],[Customer_Name]])</f>
        <v>Sneha Singh</v>
      </c>
      <c r="F809" t="s">
        <v>44</v>
      </c>
      <c r="G809">
        <v>29</v>
      </c>
      <c r="H809" t="s">
        <v>114</v>
      </c>
      <c r="I809" t="str">
        <f>TRIM(excelsalesdata[[#This Row],[City]])</f>
        <v>Hyderabad</v>
      </c>
      <c r="J809" t="s">
        <v>115</v>
      </c>
      <c r="K809" t="s">
        <v>47</v>
      </c>
      <c r="L809" t="s">
        <v>38</v>
      </c>
      <c r="M809" t="s">
        <v>73</v>
      </c>
      <c r="N809" t="s">
        <v>73</v>
      </c>
      <c r="O809">
        <v>2</v>
      </c>
      <c r="P809">
        <v>5120</v>
      </c>
      <c r="Q809">
        <v>0.15</v>
      </c>
      <c r="R809">
        <v>3080</v>
      </c>
      <c r="S809" t="s">
        <v>67</v>
      </c>
      <c r="T809" t="s">
        <v>30</v>
      </c>
      <c r="U809">
        <v>4</v>
      </c>
      <c r="V809" t="s">
        <v>31</v>
      </c>
      <c r="W809">
        <f>excelsalesdata[[#This Row],[Quantity]]*excelsalesdata[[#This Row],[Unit_Price]]</f>
        <v>10240</v>
      </c>
      <c r="X809">
        <f>excelsalesdata[[#This Row],[Gross_sales]]*excelsalesdata[[#This Row],[Discount_%]]</f>
        <v>1536</v>
      </c>
      <c r="Y809">
        <f>excelsalesdata[[#This Row],[Gross_sales]]-excelsalesdata[[#This Row],[Discount_amt]]</f>
        <v>8704</v>
      </c>
      <c r="Z809" s="4">
        <f>excelsalesdata[[#This Row],[Net_sales]]-excelsalesdata[[#This Row],[Cost]]</f>
        <v>5624</v>
      </c>
      <c r="AA809" s="5">
        <f>excelsalesdata[[#This Row],[Profit]]/excelsalesdata[[#This Row],[Net_sales]]</f>
        <v>0.64613970588235292</v>
      </c>
      <c r="AB809" s="4">
        <f>YEAR(excelsalesdata[[#This Row],[Order_Date]])</f>
        <v>2027</v>
      </c>
      <c r="AC809" s="4" t="str">
        <f>TEXT(excelsalesdata[[#This Row],[Order_Date]],"mmm")</f>
        <v>Jun</v>
      </c>
      <c r="AD809" s="4" t="str">
        <f>"Q"&amp;ROUNDUP(MONTH(excelsalesdata[[#This Row],[Order_Date]])/3,0)</f>
        <v>Q2</v>
      </c>
    </row>
    <row r="810" spans="1:30" x14ac:dyDescent="0.35">
      <c r="A810" t="s">
        <v>1549</v>
      </c>
      <c r="B810" s="3">
        <v>46568</v>
      </c>
      <c r="C810" t="s">
        <v>1550</v>
      </c>
      <c r="D810" t="s">
        <v>97</v>
      </c>
      <c r="E810" t="str">
        <f>TRIM(excelsalesdata[[#This Row],[Customer_Name]])</f>
        <v>Aditya Shah</v>
      </c>
      <c r="F810" t="s">
        <v>44</v>
      </c>
      <c r="G810">
        <v>37</v>
      </c>
      <c r="H810" t="s">
        <v>168</v>
      </c>
      <c r="I810" t="str">
        <f>TRIM(excelsalesdata[[#This Row],[City]])</f>
        <v>Delhi</v>
      </c>
      <c r="J810" t="s">
        <v>168</v>
      </c>
      <c r="K810" t="s">
        <v>61</v>
      </c>
      <c r="L810" t="s">
        <v>27</v>
      </c>
      <c r="M810" t="s">
        <v>48</v>
      </c>
      <c r="N810" t="s">
        <v>48</v>
      </c>
      <c r="O810">
        <v>1</v>
      </c>
      <c r="P810">
        <v>840</v>
      </c>
      <c r="Q810">
        <v>0.2</v>
      </c>
      <c r="R810">
        <v>460</v>
      </c>
      <c r="S810" t="s">
        <v>80</v>
      </c>
      <c r="T810" t="s">
        <v>30</v>
      </c>
      <c r="U810">
        <v>2</v>
      </c>
      <c r="V810" t="s">
        <v>40</v>
      </c>
      <c r="W810">
        <f>excelsalesdata[[#This Row],[Quantity]]*excelsalesdata[[#This Row],[Unit_Price]]</f>
        <v>840</v>
      </c>
      <c r="X810">
        <f>excelsalesdata[[#This Row],[Gross_sales]]*excelsalesdata[[#This Row],[Discount_%]]</f>
        <v>168</v>
      </c>
      <c r="Y810">
        <f>excelsalesdata[[#This Row],[Gross_sales]]-excelsalesdata[[#This Row],[Discount_amt]]</f>
        <v>672</v>
      </c>
      <c r="Z810" s="4">
        <f>excelsalesdata[[#This Row],[Net_sales]]-excelsalesdata[[#This Row],[Cost]]</f>
        <v>212</v>
      </c>
      <c r="AA810" s="5">
        <f>excelsalesdata[[#This Row],[Profit]]/excelsalesdata[[#This Row],[Net_sales]]</f>
        <v>0.31547619047619047</v>
      </c>
      <c r="AB810" s="4">
        <f>YEAR(excelsalesdata[[#This Row],[Order_Date]])</f>
        <v>2027</v>
      </c>
      <c r="AC810" s="4" t="str">
        <f>TEXT(excelsalesdata[[#This Row],[Order_Date]],"mmm")</f>
        <v>Jun</v>
      </c>
      <c r="AD810" s="4" t="str">
        <f>"Q"&amp;ROUNDUP(MONTH(excelsalesdata[[#This Row],[Order_Date]])/3,0)</f>
        <v>Q2</v>
      </c>
    </row>
    <row r="811" spans="1:30" x14ac:dyDescent="0.35">
      <c r="A811" t="s">
        <v>1551</v>
      </c>
      <c r="B811" s="3">
        <v>46569</v>
      </c>
      <c r="C811" t="s">
        <v>377</v>
      </c>
      <c r="D811" t="s">
        <v>1216</v>
      </c>
      <c r="E811" t="str">
        <f>TRIM(excelsalesdata[[#This Row],[Customer_Name]])</f>
        <v>Diya Sharma</v>
      </c>
      <c r="F811" t="s">
        <v>44</v>
      </c>
      <c r="G811">
        <v>32</v>
      </c>
      <c r="H811" t="s">
        <v>114</v>
      </c>
      <c r="I811" t="str">
        <f>TRIM(excelsalesdata[[#This Row],[City]])</f>
        <v>Hyderabad</v>
      </c>
      <c r="J811" t="s">
        <v>115</v>
      </c>
      <c r="K811" t="s">
        <v>47</v>
      </c>
      <c r="L811" t="s">
        <v>85</v>
      </c>
      <c r="M811" t="s">
        <v>110</v>
      </c>
      <c r="N811" t="s">
        <v>110</v>
      </c>
      <c r="O811">
        <v>2</v>
      </c>
      <c r="P811">
        <v>1290</v>
      </c>
      <c r="Q811">
        <v>0.1</v>
      </c>
      <c r="R811">
        <v>620</v>
      </c>
      <c r="S811" t="s">
        <v>105</v>
      </c>
      <c r="T811" t="s">
        <v>30</v>
      </c>
      <c r="U811">
        <v>6</v>
      </c>
      <c r="V811" t="s">
        <v>40</v>
      </c>
      <c r="W811">
        <f>excelsalesdata[[#This Row],[Quantity]]*excelsalesdata[[#This Row],[Unit_Price]]</f>
        <v>2580</v>
      </c>
      <c r="X811">
        <f>excelsalesdata[[#This Row],[Gross_sales]]*excelsalesdata[[#This Row],[Discount_%]]</f>
        <v>258</v>
      </c>
      <c r="Y811">
        <f>excelsalesdata[[#This Row],[Gross_sales]]-excelsalesdata[[#This Row],[Discount_amt]]</f>
        <v>2322</v>
      </c>
      <c r="Z811" s="4">
        <f>excelsalesdata[[#This Row],[Net_sales]]-excelsalesdata[[#This Row],[Cost]]</f>
        <v>1702</v>
      </c>
      <c r="AA811" s="5">
        <f>excelsalesdata[[#This Row],[Profit]]/excelsalesdata[[#This Row],[Net_sales]]</f>
        <v>0.73298880275624456</v>
      </c>
      <c r="AB811" s="4">
        <f>YEAR(excelsalesdata[[#This Row],[Order_Date]])</f>
        <v>2027</v>
      </c>
      <c r="AC811" s="4" t="str">
        <f>TEXT(excelsalesdata[[#This Row],[Order_Date]],"mmm")</f>
        <v>Jul</v>
      </c>
      <c r="AD811" s="4" t="str">
        <f>"Q"&amp;ROUNDUP(MONTH(excelsalesdata[[#This Row],[Order_Date]])/3,0)</f>
        <v>Q3</v>
      </c>
    </row>
    <row r="812" spans="1:30" x14ac:dyDescent="0.35">
      <c r="A812" t="s">
        <v>1552</v>
      </c>
      <c r="B812" s="3">
        <v>46570</v>
      </c>
      <c r="C812" t="s">
        <v>1553</v>
      </c>
      <c r="D812" t="s">
        <v>914</v>
      </c>
      <c r="E812" t="str">
        <f>TRIM(excelsalesdata[[#This Row],[Customer_Name]])</f>
        <v>Nisha Kumar</v>
      </c>
      <c r="F812" t="s">
        <v>44</v>
      </c>
      <c r="G812">
        <v>47</v>
      </c>
      <c r="H812" t="s">
        <v>98</v>
      </c>
      <c r="I812" t="str">
        <f>TRIM(excelsalesdata[[#This Row],[City]])</f>
        <v>Mumbai</v>
      </c>
      <c r="J812" t="s">
        <v>25</v>
      </c>
      <c r="K812" t="s">
        <v>26</v>
      </c>
      <c r="L812" t="s">
        <v>103</v>
      </c>
      <c r="M812" t="s">
        <v>312</v>
      </c>
      <c r="N812" t="s">
        <v>312</v>
      </c>
      <c r="O812">
        <v>2</v>
      </c>
      <c r="P812">
        <v>7000</v>
      </c>
      <c r="Q812">
        <v>0.15</v>
      </c>
      <c r="R812">
        <v>4200</v>
      </c>
      <c r="S812" t="s">
        <v>67</v>
      </c>
      <c r="T812" t="s">
        <v>30</v>
      </c>
      <c r="U812">
        <v>3</v>
      </c>
      <c r="V812" t="s">
        <v>31</v>
      </c>
      <c r="W812">
        <f>excelsalesdata[[#This Row],[Quantity]]*excelsalesdata[[#This Row],[Unit_Price]]</f>
        <v>14000</v>
      </c>
      <c r="X812">
        <f>excelsalesdata[[#This Row],[Gross_sales]]*excelsalesdata[[#This Row],[Discount_%]]</f>
        <v>2100</v>
      </c>
      <c r="Y812">
        <f>excelsalesdata[[#This Row],[Gross_sales]]-excelsalesdata[[#This Row],[Discount_amt]]</f>
        <v>11900</v>
      </c>
      <c r="Z812" s="4">
        <f>excelsalesdata[[#This Row],[Net_sales]]-excelsalesdata[[#This Row],[Cost]]</f>
        <v>7700</v>
      </c>
      <c r="AA812" s="5">
        <f>excelsalesdata[[#This Row],[Profit]]/excelsalesdata[[#This Row],[Net_sales]]</f>
        <v>0.6470588235294118</v>
      </c>
      <c r="AB812" s="4">
        <f>YEAR(excelsalesdata[[#This Row],[Order_Date]])</f>
        <v>2027</v>
      </c>
      <c r="AC812" s="4" t="str">
        <f>TEXT(excelsalesdata[[#This Row],[Order_Date]],"mmm")</f>
        <v>Jul</v>
      </c>
      <c r="AD812" s="4" t="str">
        <f>"Q"&amp;ROUNDUP(MONTH(excelsalesdata[[#This Row],[Order_Date]])/3,0)</f>
        <v>Q3</v>
      </c>
    </row>
    <row r="813" spans="1:30" x14ac:dyDescent="0.35">
      <c r="A813" t="s">
        <v>1554</v>
      </c>
      <c r="B813" s="3">
        <v>46571</v>
      </c>
      <c r="C813" t="s">
        <v>1353</v>
      </c>
      <c r="D813" t="s">
        <v>302</v>
      </c>
      <c r="E813" t="str">
        <f>TRIM(excelsalesdata[[#This Row],[Customer_Name]])</f>
        <v>Diya Patel</v>
      </c>
      <c r="F813" t="s">
        <v>23</v>
      </c>
      <c r="G813">
        <v>39</v>
      </c>
      <c r="H813" t="s">
        <v>109</v>
      </c>
      <c r="I813" t="str">
        <f>TRIM(excelsalesdata[[#This Row],[City]])</f>
        <v>Mysuru</v>
      </c>
      <c r="J813" t="s">
        <v>53</v>
      </c>
      <c r="K813" t="s">
        <v>47</v>
      </c>
      <c r="L813" t="s">
        <v>27</v>
      </c>
      <c r="M813" t="s">
        <v>295</v>
      </c>
      <c r="N813" t="s">
        <v>295</v>
      </c>
      <c r="O813">
        <v>1</v>
      </c>
      <c r="P813">
        <v>4200</v>
      </c>
      <c r="Q813">
        <v>0</v>
      </c>
      <c r="R813">
        <v>2720</v>
      </c>
      <c r="S813" t="s">
        <v>29</v>
      </c>
      <c r="T813" t="s">
        <v>30</v>
      </c>
      <c r="U813">
        <v>4</v>
      </c>
      <c r="V813" t="s">
        <v>31</v>
      </c>
      <c r="W813">
        <f>excelsalesdata[[#This Row],[Quantity]]*excelsalesdata[[#This Row],[Unit_Price]]</f>
        <v>4200</v>
      </c>
      <c r="X813">
        <f>excelsalesdata[[#This Row],[Gross_sales]]*excelsalesdata[[#This Row],[Discount_%]]</f>
        <v>0</v>
      </c>
      <c r="Y813">
        <f>excelsalesdata[[#This Row],[Gross_sales]]-excelsalesdata[[#This Row],[Discount_amt]]</f>
        <v>4200</v>
      </c>
      <c r="Z813" s="4">
        <f>excelsalesdata[[#This Row],[Net_sales]]-excelsalesdata[[#This Row],[Cost]]</f>
        <v>1480</v>
      </c>
      <c r="AA813" s="5">
        <f>excelsalesdata[[#This Row],[Profit]]/excelsalesdata[[#This Row],[Net_sales]]</f>
        <v>0.35238095238095241</v>
      </c>
      <c r="AB813" s="4">
        <f>YEAR(excelsalesdata[[#This Row],[Order_Date]])</f>
        <v>2027</v>
      </c>
      <c r="AC813" s="4" t="str">
        <f>TEXT(excelsalesdata[[#This Row],[Order_Date]],"mmm")</f>
        <v>Jul</v>
      </c>
      <c r="AD813" s="4" t="str">
        <f>"Q"&amp;ROUNDUP(MONTH(excelsalesdata[[#This Row],[Order_Date]])/3,0)</f>
        <v>Q3</v>
      </c>
    </row>
    <row r="814" spans="1:30" x14ac:dyDescent="0.35">
      <c r="A814" t="s">
        <v>1555</v>
      </c>
      <c r="B814" s="3">
        <v>46572</v>
      </c>
      <c r="C814" t="s">
        <v>1556</v>
      </c>
      <c r="D814" t="s">
        <v>896</v>
      </c>
      <c r="E814" t="str">
        <f>TRIM(excelsalesdata[[#This Row],[Customer_Name]])</f>
        <v>Arjun Iyer</v>
      </c>
      <c r="F814" t="s">
        <v>23</v>
      </c>
      <c r="G814">
        <v>34</v>
      </c>
      <c r="H814" t="s">
        <v>24</v>
      </c>
      <c r="I814" t="str">
        <f>TRIM(excelsalesdata[[#This Row],[City]])</f>
        <v>Pune</v>
      </c>
      <c r="J814" t="s">
        <v>25</v>
      </c>
      <c r="K814" t="s">
        <v>26</v>
      </c>
      <c r="L814" t="s">
        <v>38</v>
      </c>
      <c r="M814" t="s">
        <v>119</v>
      </c>
      <c r="N814" t="s">
        <v>119</v>
      </c>
      <c r="O814">
        <v>3</v>
      </c>
      <c r="P814">
        <v>8160</v>
      </c>
      <c r="Q814">
        <v>0.2</v>
      </c>
      <c r="R814">
        <v>5550</v>
      </c>
      <c r="S814" t="s">
        <v>56</v>
      </c>
      <c r="T814" t="s">
        <v>30</v>
      </c>
      <c r="U814">
        <v>3</v>
      </c>
      <c r="V814" t="s">
        <v>31</v>
      </c>
      <c r="W814">
        <f>excelsalesdata[[#This Row],[Quantity]]*excelsalesdata[[#This Row],[Unit_Price]]</f>
        <v>24480</v>
      </c>
      <c r="X814">
        <f>excelsalesdata[[#This Row],[Gross_sales]]*excelsalesdata[[#This Row],[Discount_%]]</f>
        <v>4896</v>
      </c>
      <c r="Y814">
        <f>excelsalesdata[[#This Row],[Gross_sales]]-excelsalesdata[[#This Row],[Discount_amt]]</f>
        <v>19584</v>
      </c>
      <c r="Z814" s="4">
        <f>excelsalesdata[[#This Row],[Net_sales]]-excelsalesdata[[#This Row],[Cost]]</f>
        <v>14034</v>
      </c>
      <c r="AA814" s="5">
        <f>excelsalesdata[[#This Row],[Profit]]/excelsalesdata[[#This Row],[Net_sales]]</f>
        <v>0.7166053921568627</v>
      </c>
      <c r="AB814" s="4">
        <f>YEAR(excelsalesdata[[#This Row],[Order_Date]])</f>
        <v>2027</v>
      </c>
      <c r="AC814" s="4" t="str">
        <f>TEXT(excelsalesdata[[#This Row],[Order_Date]],"mmm")</f>
        <v>Jul</v>
      </c>
      <c r="AD814" s="4" t="str">
        <f>"Q"&amp;ROUNDUP(MONTH(excelsalesdata[[#This Row],[Order_Date]])/3,0)</f>
        <v>Q3</v>
      </c>
    </row>
    <row r="815" spans="1:30" x14ac:dyDescent="0.35">
      <c r="A815" t="s">
        <v>1557</v>
      </c>
      <c r="B815" s="3">
        <v>46573</v>
      </c>
      <c r="C815" t="s">
        <v>657</v>
      </c>
      <c r="D815" t="s">
        <v>731</v>
      </c>
      <c r="E815" t="str">
        <f>TRIM(excelsalesdata[[#This Row],[Customer_Name]])</f>
        <v>Diya Bhat</v>
      </c>
      <c r="F815" t="s">
        <v>23</v>
      </c>
      <c r="G815">
        <v>36</v>
      </c>
      <c r="H815" t="s">
        <v>190</v>
      </c>
      <c r="I815" t="str">
        <f>TRIM(excelsalesdata[[#This Row],[City]])</f>
        <v>Ahmedabad</v>
      </c>
      <c r="J815" t="s">
        <v>191</v>
      </c>
      <c r="K815" t="s">
        <v>26</v>
      </c>
      <c r="L815" t="s">
        <v>38</v>
      </c>
      <c r="M815" t="s">
        <v>119</v>
      </c>
      <c r="N815" t="s">
        <v>119</v>
      </c>
      <c r="O815">
        <v>3</v>
      </c>
      <c r="P815">
        <v>8170</v>
      </c>
      <c r="Q815">
        <v>0.05</v>
      </c>
      <c r="R815">
        <v>5710</v>
      </c>
      <c r="S815" t="s">
        <v>67</v>
      </c>
      <c r="T815" t="s">
        <v>30</v>
      </c>
      <c r="U815">
        <v>4</v>
      </c>
      <c r="V815" t="s">
        <v>31</v>
      </c>
      <c r="W815">
        <f>excelsalesdata[[#This Row],[Quantity]]*excelsalesdata[[#This Row],[Unit_Price]]</f>
        <v>24510</v>
      </c>
      <c r="X815">
        <f>excelsalesdata[[#This Row],[Gross_sales]]*excelsalesdata[[#This Row],[Discount_%]]</f>
        <v>1225.5</v>
      </c>
      <c r="Y815">
        <f>excelsalesdata[[#This Row],[Gross_sales]]-excelsalesdata[[#This Row],[Discount_amt]]</f>
        <v>23284.5</v>
      </c>
      <c r="Z815" s="4">
        <f>excelsalesdata[[#This Row],[Net_sales]]-excelsalesdata[[#This Row],[Cost]]</f>
        <v>17574.5</v>
      </c>
      <c r="AA815" s="5">
        <f>excelsalesdata[[#This Row],[Profit]]/excelsalesdata[[#This Row],[Net_sales]]</f>
        <v>0.75477248813588438</v>
      </c>
      <c r="AB815" s="4">
        <f>YEAR(excelsalesdata[[#This Row],[Order_Date]])</f>
        <v>2027</v>
      </c>
      <c r="AC815" s="4" t="str">
        <f>TEXT(excelsalesdata[[#This Row],[Order_Date]],"mmm")</f>
        <v>Jul</v>
      </c>
      <c r="AD815" s="4" t="str">
        <f>"Q"&amp;ROUNDUP(MONTH(excelsalesdata[[#This Row],[Order_Date]])/3,0)</f>
        <v>Q3</v>
      </c>
    </row>
    <row r="816" spans="1:30" x14ac:dyDescent="0.35">
      <c r="A816" t="s">
        <v>1558</v>
      </c>
      <c r="B816" s="3">
        <v>46574</v>
      </c>
      <c r="C816" t="s">
        <v>773</v>
      </c>
      <c r="D816" t="s">
        <v>650</v>
      </c>
      <c r="E816" t="str">
        <f>TRIM(excelsalesdata[[#This Row],[Customer_Name]])</f>
        <v>Sneha Shah</v>
      </c>
      <c r="F816" t="s">
        <v>44</v>
      </c>
      <c r="G816">
        <v>24</v>
      </c>
      <c r="H816" t="s">
        <v>133</v>
      </c>
      <c r="I816" t="str">
        <f>TRIM(excelsalesdata[[#This Row],[City]])</f>
        <v>Jaipur</v>
      </c>
      <c r="J816" t="s">
        <v>134</v>
      </c>
      <c r="K816" t="s">
        <v>61</v>
      </c>
      <c r="L816" t="s">
        <v>103</v>
      </c>
      <c r="M816" t="s">
        <v>238</v>
      </c>
      <c r="N816" t="s">
        <v>238</v>
      </c>
      <c r="O816">
        <v>2</v>
      </c>
      <c r="P816">
        <v>4400</v>
      </c>
      <c r="Q816">
        <v>0.1</v>
      </c>
      <c r="R816">
        <v>2650</v>
      </c>
      <c r="S816" t="s">
        <v>29</v>
      </c>
      <c r="T816" t="s">
        <v>30</v>
      </c>
      <c r="U816">
        <v>7</v>
      </c>
      <c r="V816" t="s">
        <v>40</v>
      </c>
      <c r="W816">
        <f>excelsalesdata[[#This Row],[Quantity]]*excelsalesdata[[#This Row],[Unit_Price]]</f>
        <v>8800</v>
      </c>
      <c r="X816">
        <f>excelsalesdata[[#This Row],[Gross_sales]]*excelsalesdata[[#This Row],[Discount_%]]</f>
        <v>880</v>
      </c>
      <c r="Y816">
        <f>excelsalesdata[[#This Row],[Gross_sales]]-excelsalesdata[[#This Row],[Discount_amt]]</f>
        <v>7920</v>
      </c>
      <c r="Z816" s="4">
        <f>excelsalesdata[[#This Row],[Net_sales]]-excelsalesdata[[#This Row],[Cost]]</f>
        <v>5270</v>
      </c>
      <c r="AA816" s="5">
        <f>excelsalesdata[[#This Row],[Profit]]/excelsalesdata[[#This Row],[Net_sales]]</f>
        <v>0.66540404040404044</v>
      </c>
      <c r="AB816" s="4">
        <f>YEAR(excelsalesdata[[#This Row],[Order_Date]])</f>
        <v>2027</v>
      </c>
      <c r="AC816" s="4" t="str">
        <f>TEXT(excelsalesdata[[#This Row],[Order_Date]],"mmm")</f>
        <v>Jul</v>
      </c>
      <c r="AD816" s="4" t="str">
        <f>"Q"&amp;ROUNDUP(MONTH(excelsalesdata[[#This Row],[Order_Date]])/3,0)</f>
        <v>Q3</v>
      </c>
    </row>
    <row r="817" spans="1:30" x14ac:dyDescent="0.35">
      <c r="A817" t="s">
        <v>1559</v>
      </c>
      <c r="B817" s="3">
        <v>46575</v>
      </c>
      <c r="C817" t="s">
        <v>1560</v>
      </c>
      <c r="D817" t="s">
        <v>282</v>
      </c>
      <c r="E817" t="str">
        <f>TRIM(excelsalesdata[[#This Row],[Customer_Name]])</f>
        <v>Priya Bhat</v>
      </c>
      <c r="F817" t="s">
        <v>23</v>
      </c>
      <c r="G817">
        <v>42</v>
      </c>
      <c r="H817" t="s">
        <v>78</v>
      </c>
      <c r="I817" t="str">
        <f>TRIM(excelsalesdata[[#This Row],[City]])</f>
        <v>Guwahati</v>
      </c>
      <c r="J817" t="s">
        <v>79</v>
      </c>
      <c r="K817" t="s">
        <v>37</v>
      </c>
      <c r="L817" t="s">
        <v>54</v>
      </c>
      <c r="M817" t="s">
        <v>66</v>
      </c>
      <c r="N817" t="s">
        <v>66</v>
      </c>
      <c r="O817">
        <v>1</v>
      </c>
      <c r="P817">
        <v>2340</v>
      </c>
      <c r="Q817">
        <v>0.1</v>
      </c>
      <c r="R817">
        <v>1520</v>
      </c>
      <c r="S817" t="s">
        <v>29</v>
      </c>
      <c r="T817" t="s">
        <v>30</v>
      </c>
      <c r="U817">
        <v>4</v>
      </c>
      <c r="V817" t="s">
        <v>31</v>
      </c>
      <c r="W817">
        <f>excelsalesdata[[#This Row],[Quantity]]*excelsalesdata[[#This Row],[Unit_Price]]</f>
        <v>2340</v>
      </c>
      <c r="X817">
        <f>excelsalesdata[[#This Row],[Gross_sales]]*excelsalesdata[[#This Row],[Discount_%]]</f>
        <v>234</v>
      </c>
      <c r="Y817">
        <f>excelsalesdata[[#This Row],[Gross_sales]]-excelsalesdata[[#This Row],[Discount_amt]]</f>
        <v>2106</v>
      </c>
      <c r="Z817" s="4">
        <f>excelsalesdata[[#This Row],[Net_sales]]-excelsalesdata[[#This Row],[Cost]]</f>
        <v>586</v>
      </c>
      <c r="AA817" s="5">
        <f>excelsalesdata[[#This Row],[Profit]]/excelsalesdata[[#This Row],[Net_sales]]</f>
        <v>0.27825261158594494</v>
      </c>
      <c r="AB817" s="4">
        <f>YEAR(excelsalesdata[[#This Row],[Order_Date]])</f>
        <v>2027</v>
      </c>
      <c r="AC817" s="4" t="str">
        <f>TEXT(excelsalesdata[[#This Row],[Order_Date]],"mmm")</f>
        <v>Jul</v>
      </c>
      <c r="AD817" s="4" t="str">
        <f>"Q"&amp;ROUNDUP(MONTH(excelsalesdata[[#This Row],[Order_Date]])/3,0)</f>
        <v>Q3</v>
      </c>
    </row>
    <row r="818" spans="1:30" x14ac:dyDescent="0.35">
      <c r="A818" t="s">
        <v>1561</v>
      </c>
      <c r="B818" s="3">
        <v>46576</v>
      </c>
      <c r="C818" t="s">
        <v>1058</v>
      </c>
      <c r="D818" t="s">
        <v>510</v>
      </c>
      <c r="E818" t="str">
        <f>TRIM(excelsalesdata[[#This Row],[Customer_Name]])</f>
        <v>Diya Kumar</v>
      </c>
      <c r="F818" t="s">
        <v>23</v>
      </c>
      <c r="G818">
        <v>52</v>
      </c>
      <c r="H818" t="s">
        <v>24</v>
      </c>
      <c r="I818" t="str">
        <f>TRIM(excelsalesdata[[#This Row],[City]])</f>
        <v>Pune</v>
      </c>
      <c r="J818" t="s">
        <v>25</v>
      </c>
      <c r="K818" t="s">
        <v>26</v>
      </c>
      <c r="L818" t="s">
        <v>38</v>
      </c>
      <c r="M818" t="s">
        <v>73</v>
      </c>
      <c r="N818" t="s">
        <v>73</v>
      </c>
      <c r="O818">
        <v>3</v>
      </c>
      <c r="P818">
        <v>5290</v>
      </c>
      <c r="Q818">
        <v>0.1</v>
      </c>
      <c r="R818">
        <v>3110</v>
      </c>
      <c r="S818" t="s">
        <v>151</v>
      </c>
      <c r="T818" t="s">
        <v>30</v>
      </c>
      <c r="U818">
        <v>2</v>
      </c>
      <c r="V818" t="s">
        <v>40</v>
      </c>
      <c r="W818">
        <f>excelsalesdata[[#This Row],[Quantity]]*excelsalesdata[[#This Row],[Unit_Price]]</f>
        <v>15870</v>
      </c>
      <c r="X818">
        <f>excelsalesdata[[#This Row],[Gross_sales]]*excelsalesdata[[#This Row],[Discount_%]]</f>
        <v>1587</v>
      </c>
      <c r="Y818">
        <f>excelsalesdata[[#This Row],[Gross_sales]]-excelsalesdata[[#This Row],[Discount_amt]]</f>
        <v>14283</v>
      </c>
      <c r="Z818" s="4">
        <f>excelsalesdata[[#This Row],[Net_sales]]-excelsalesdata[[#This Row],[Cost]]</f>
        <v>11173</v>
      </c>
      <c r="AA818" s="5">
        <f>excelsalesdata[[#This Row],[Profit]]/excelsalesdata[[#This Row],[Net_sales]]</f>
        <v>0.78225862913953648</v>
      </c>
      <c r="AB818" s="4">
        <f>YEAR(excelsalesdata[[#This Row],[Order_Date]])</f>
        <v>2027</v>
      </c>
      <c r="AC818" s="4" t="str">
        <f>TEXT(excelsalesdata[[#This Row],[Order_Date]],"mmm")</f>
        <v>Jul</v>
      </c>
      <c r="AD818" s="4" t="str">
        <f>"Q"&amp;ROUNDUP(MONTH(excelsalesdata[[#This Row],[Order_Date]])/3,0)</f>
        <v>Q3</v>
      </c>
    </row>
    <row r="819" spans="1:30" x14ac:dyDescent="0.35">
      <c r="A819" t="s">
        <v>1562</v>
      </c>
      <c r="B819" s="3">
        <v>46577</v>
      </c>
      <c r="C819" t="s">
        <v>101</v>
      </c>
      <c r="D819" t="s">
        <v>752</v>
      </c>
      <c r="E819" t="str">
        <f>TRIM(excelsalesdata[[#This Row],[Customer_Name]])</f>
        <v>Kavya Mehta</v>
      </c>
      <c r="F819" t="s">
        <v>44</v>
      </c>
      <c r="G819">
        <v>59</v>
      </c>
      <c r="H819" t="s">
        <v>45</v>
      </c>
      <c r="I819" t="str">
        <f>TRIM(excelsalesdata[[#This Row],[City]])</f>
        <v>Kochi</v>
      </c>
      <c r="J819" t="s">
        <v>46</v>
      </c>
      <c r="K819" t="s">
        <v>47</v>
      </c>
      <c r="L819" t="s">
        <v>93</v>
      </c>
      <c r="M819" t="s">
        <v>94</v>
      </c>
      <c r="N819" t="s">
        <v>94</v>
      </c>
      <c r="O819">
        <v>4</v>
      </c>
      <c r="P819">
        <v>530</v>
      </c>
      <c r="Q819">
        <v>0.25</v>
      </c>
      <c r="R819">
        <v>240</v>
      </c>
      <c r="S819" t="s">
        <v>80</v>
      </c>
      <c r="T819" t="s">
        <v>81</v>
      </c>
      <c r="U819">
        <v>0</v>
      </c>
      <c r="V819" t="s">
        <v>40</v>
      </c>
      <c r="W819">
        <f>excelsalesdata[[#This Row],[Quantity]]*excelsalesdata[[#This Row],[Unit_Price]]</f>
        <v>2120</v>
      </c>
      <c r="X819">
        <f>excelsalesdata[[#This Row],[Gross_sales]]*excelsalesdata[[#This Row],[Discount_%]]</f>
        <v>530</v>
      </c>
      <c r="Y819">
        <f>excelsalesdata[[#This Row],[Gross_sales]]-excelsalesdata[[#This Row],[Discount_amt]]</f>
        <v>1590</v>
      </c>
      <c r="Z819" s="4">
        <f>excelsalesdata[[#This Row],[Net_sales]]-excelsalesdata[[#This Row],[Cost]]</f>
        <v>1350</v>
      </c>
      <c r="AA819" s="5">
        <f>excelsalesdata[[#This Row],[Profit]]/excelsalesdata[[#This Row],[Net_sales]]</f>
        <v>0.84905660377358494</v>
      </c>
      <c r="AB819" s="4">
        <f>YEAR(excelsalesdata[[#This Row],[Order_Date]])</f>
        <v>2027</v>
      </c>
      <c r="AC819" s="4" t="str">
        <f>TEXT(excelsalesdata[[#This Row],[Order_Date]],"mmm")</f>
        <v>Jul</v>
      </c>
      <c r="AD819" s="4" t="str">
        <f>"Q"&amp;ROUNDUP(MONTH(excelsalesdata[[#This Row],[Order_Date]])/3,0)</f>
        <v>Q3</v>
      </c>
    </row>
    <row r="820" spans="1:30" x14ac:dyDescent="0.35">
      <c r="A820" t="s">
        <v>1563</v>
      </c>
      <c r="B820" s="3">
        <v>46578</v>
      </c>
      <c r="C820" t="s">
        <v>539</v>
      </c>
      <c r="D820" t="s">
        <v>392</v>
      </c>
      <c r="E820" t="str">
        <f>TRIM(excelsalesdata[[#This Row],[Customer_Name]])</f>
        <v>Meera Joshi</v>
      </c>
      <c r="F820" t="s">
        <v>23</v>
      </c>
      <c r="G820">
        <v>37</v>
      </c>
      <c r="H820" t="s">
        <v>60</v>
      </c>
      <c r="I820" t="str">
        <f>TRIM(excelsalesdata[[#This Row],[City]])</f>
        <v>Chandigarh</v>
      </c>
      <c r="J820" t="s">
        <v>60</v>
      </c>
      <c r="K820" t="s">
        <v>61</v>
      </c>
      <c r="L820" t="s">
        <v>54</v>
      </c>
      <c r="M820" t="s">
        <v>66</v>
      </c>
      <c r="N820" t="s">
        <v>66</v>
      </c>
      <c r="O820">
        <v>3</v>
      </c>
      <c r="P820">
        <v>2460</v>
      </c>
      <c r="Q820">
        <v>0.15</v>
      </c>
      <c r="R820">
        <v>1510</v>
      </c>
      <c r="S820" t="s">
        <v>67</v>
      </c>
      <c r="T820" t="s">
        <v>30</v>
      </c>
      <c r="U820">
        <v>4</v>
      </c>
      <c r="V820" t="s">
        <v>31</v>
      </c>
      <c r="W820">
        <f>excelsalesdata[[#This Row],[Quantity]]*excelsalesdata[[#This Row],[Unit_Price]]</f>
        <v>7380</v>
      </c>
      <c r="X820">
        <f>excelsalesdata[[#This Row],[Gross_sales]]*excelsalesdata[[#This Row],[Discount_%]]</f>
        <v>1107</v>
      </c>
      <c r="Y820">
        <f>excelsalesdata[[#This Row],[Gross_sales]]-excelsalesdata[[#This Row],[Discount_amt]]</f>
        <v>6273</v>
      </c>
      <c r="Z820" s="4">
        <f>excelsalesdata[[#This Row],[Net_sales]]-excelsalesdata[[#This Row],[Cost]]</f>
        <v>4763</v>
      </c>
      <c r="AA820" s="5">
        <f>excelsalesdata[[#This Row],[Profit]]/excelsalesdata[[#This Row],[Net_sales]]</f>
        <v>0.7592858281523992</v>
      </c>
      <c r="AB820" s="4">
        <f>YEAR(excelsalesdata[[#This Row],[Order_Date]])</f>
        <v>2027</v>
      </c>
      <c r="AC820" s="4" t="str">
        <f>TEXT(excelsalesdata[[#This Row],[Order_Date]],"mmm")</f>
        <v>Jul</v>
      </c>
      <c r="AD820" s="4" t="str">
        <f>"Q"&amp;ROUNDUP(MONTH(excelsalesdata[[#This Row],[Order_Date]])/3,0)</f>
        <v>Q3</v>
      </c>
    </row>
    <row r="821" spans="1:30" x14ac:dyDescent="0.35">
      <c r="A821" t="s">
        <v>1564</v>
      </c>
      <c r="B821" s="3">
        <v>46579</v>
      </c>
      <c r="C821" t="s">
        <v>1565</v>
      </c>
      <c r="D821" t="s">
        <v>1354</v>
      </c>
      <c r="E821" t="str">
        <f>TRIM(excelsalesdata[[#This Row],[Customer_Name]])</f>
        <v>Priya Shah</v>
      </c>
      <c r="F821" t="s">
        <v>23</v>
      </c>
      <c r="G821">
        <v>49</v>
      </c>
      <c r="H821" t="s">
        <v>168</v>
      </c>
      <c r="I821" t="str">
        <f>TRIM(excelsalesdata[[#This Row],[City]])</f>
        <v>Delhi</v>
      </c>
      <c r="J821" t="s">
        <v>168</v>
      </c>
      <c r="K821" t="s">
        <v>61</v>
      </c>
      <c r="L821" t="s">
        <v>85</v>
      </c>
      <c r="M821" t="s">
        <v>172</v>
      </c>
      <c r="N821" t="s">
        <v>172</v>
      </c>
      <c r="O821">
        <v>1</v>
      </c>
      <c r="P821">
        <v>4420</v>
      </c>
      <c r="Q821">
        <v>0.25</v>
      </c>
      <c r="R821">
        <v>2730</v>
      </c>
      <c r="S821" t="s">
        <v>105</v>
      </c>
      <c r="T821" t="s">
        <v>30</v>
      </c>
      <c r="U821">
        <v>3</v>
      </c>
      <c r="V821" t="s">
        <v>31</v>
      </c>
      <c r="W821">
        <f>excelsalesdata[[#This Row],[Quantity]]*excelsalesdata[[#This Row],[Unit_Price]]</f>
        <v>4420</v>
      </c>
      <c r="X821">
        <f>excelsalesdata[[#This Row],[Gross_sales]]*excelsalesdata[[#This Row],[Discount_%]]</f>
        <v>1105</v>
      </c>
      <c r="Y821">
        <f>excelsalesdata[[#This Row],[Gross_sales]]-excelsalesdata[[#This Row],[Discount_amt]]</f>
        <v>3315</v>
      </c>
      <c r="Z821" s="4">
        <f>excelsalesdata[[#This Row],[Net_sales]]-excelsalesdata[[#This Row],[Cost]]</f>
        <v>585</v>
      </c>
      <c r="AA821" s="5">
        <f>excelsalesdata[[#This Row],[Profit]]/excelsalesdata[[#This Row],[Net_sales]]</f>
        <v>0.17647058823529413</v>
      </c>
      <c r="AB821" s="4">
        <f>YEAR(excelsalesdata[[#This Row],[Order_Date]])</f>
        <v>2027</v>
      </c>
      <c r="AC821" s="4" t="str">
        <f>TEXT(excelsalesdata[[#This Row],[Order_Date]],"mmm")</f>
        <v>Jul</v>
      </c>
      <c r="AD821" s="4" t="str">
        <f>"Q"&amp;ROUNDUP(MONTH(excelsalesdata[[#This Row],[Order_Date]])/3,0)</f>
        <v>Q3</v>
      </c>
    </row>
    <row r="822" spans="1:30" x14ac:dyDescent="0.35">
      <c r="A822" t="s">
        <v>1566</v>
      </c>
      <c r="B822" s="3">
        <v>46580</v>
      </c>
      <c r="C822" t="s">
        <v>1452</v>
      </c>
      <c r="D822" t="s">
        <v>359</v>
      </c>
      <c r="E822" t="str">
        <f>TRIM(excelsalesdata[[#This Row],[Customer_Name]])</f>
        <v>Vikram Nair</v>
      </c>
      <c r="F822" t="s">
        <v>23</v>
      </c>
      <c r="G822">
        <v>23</v>
      </c>
      <c r="H822" t="s">
        <v>71</v>
      </c>
      <c r="I822" t="str">
        <f>TRIM(excelsalesdata[[#This Row],[City]])</f>
        <v>Bhubaneswar</v>
      </c>
      <c r="J822" t="s">
        <v>72</v>
      </c>
      <c r="K822" t="s">
        <v>37</v>
      </c>
      <c r="L822" t="s">
        <v>27</v>
      </c>
      <c r="M822" t="s">
        <v>295</v>
      </c>
      <c r="N822" t="s">
        <v>295</v>
      </c>
      <c r="O822">
        <v>1</v>
      </c>
      <c r="P822">
        <v>4070</v>
      </c>
      <c r="Q822">
        <v>0.05</v>
      </c>
      <c r="R822">
        <v>2480</v>
      </c>
      <c r="S822" t="s">
        <v>29</v>
      </c>
      <c r="T822" t="s">
        <v>74</v>
      </c>
      <c r="U822">
        <v>4</v>
      </c>
      <c r="V822" t="s">
        <v>31</v>
      </c>
      <c r="W822">
        <f>excelsalesdata[[#This Row],[Quantity]]*excelsalesdata[[#This Row],[Unit_Price]]</f>
        <v>4070</v>
      </c>
      <c r="X822">
        <f>excelsalesdata[[#This Row],[Gross_sales]]*excelsalesdata[[#This Row],[Discount_%]]</f>
        <v>203.5</v>
      </c>
      <c r="Y822">
        <f>excelsalesdata[[#This Row],[Gross_sales]]-excelsalesdata[[#This Row],[Discount_amt]]</f>
        <v>3866.5</v>
      </c>
      <c r="Z822" s="4">
        <f>excelsalesdata[[#This Row],[Net_sales]]-excelsalesdata[[#This Row],[Cost]]</f>
        <v>1386.5</v>
      </c>
      <c r="AA822" s="5">
        <f>excelsalesdata[[#This Row],[Profit]]/excelsalesdata[[#This Row],[Net_sales]]</f>
        <v>0.35859304280356913</v>
      </c>
      <c r="AB822" s="4">
        <f>YEAR(excelsalesdata[[#This Row],[Order_Date]])</f>
        <v>2027</v>
      </c>
      <c r="AC822" s="4" t="str">
        <f>TEXT(excelsalesdata[[#This Row],[Order_Date]],"mmm")</f>
        <v>Jul</v>
      </c>
      <c r="AD822" s="4" t="str">
        <f>"Q"&amp;ROUNDUP(MONTH(excelsalesdata[[#This Row],[Order_Date]])/3,0)</f>
        <v>Q3</v>
      </c>
    </row>
    <row r="823" spans="1:30" x14ac:dyDescent="0.35">
      <c r="A823" t="s">
        <v>1567</v>
      </c>
      <c r="B823" s="3">
        <v>46581</v>
      </c>
      <c r="C823" t="s">
        <v>1568</v>
      </c>
      <c r="D823" t="s">
        <v>591</v>
      </c>
      <c r="E823" t="str">
        <f>TRIM(excelsalesdata[[#This Row],[Customer_Name]])</f>
        <v>Ishita Rao</v>
      </c>
      <c r="F823" t="s">
        <v>44</v>
      </c>
      <c r="G823">
        <v>58</v>
      </c>
      <c r="H823" t="s">
        <v>24</v>
      </c>
      <c r="I823" t="str">
        <f>TRIM(excelsalesdata[[#This Row],[City]])</f>
        <v>Pune</v>
      </c>
      <c r="J823" t="s">
        <v>25</v>
      </c>
      <c r="K823" t="s">
        <v>26</v>
      </c>
      <c r="L823" t="s">
        <v>38</v>
      </c>
      <c r="M823" t="s">
        <v>73</v>
      </c>
      <c r="N823" t="s">
        <v>73</v>
      </c>
      <c r="O823">
        <v>2</v>
      </c>
      <c r="P823">
        <v>4810</v>
      </c>
      <c r="Q823">
        <v>0.1</v>
      </c>
      <c r="R823">
        <v>3210</v>
      </c>
      <c r="S823" t="s">
        <v>29</v>
      </c>
      <c r="T823" t="s">
        <v>30</v>
      </c>
      <c r="U823">
        <v>3</v>
      </c>
      <c r="V823" t="s">
        <v>31</v>
      </c>
      <c r="W823">
        <f>excelsalesdata[[#This Row],[Quantity]]*excelsalesdata[[#This Row],[Unit_Price]]</f>
        <v>9620</v>
      </c>
      <c r="X823">
        <f>excelsalesdata[[#This Row],[Gross_sales]]*excelsalesdata[[#This Row],[Discount_%]]</f>
        <v>962</v>
      </c>
      <c r="Y823">
        <f>excelsalesdata[[#This Row],[Gross_sales]]-excelsalesdata[[#This Row],[Discount_amt]]</f>
        <v>8658</v>
      </c>
      <c r="Z823" s="4">
        <f>excelsalesdata[[#This Row],[Net_sales]]-excelsalesdata[[#This Row],[Cost]]</f>
        <v>5448</v>
      </c>
      <c r="AA823" s="5">
        <f>excelsalesdata[[#This Row],[Profit]]/excelsalesdata[[#This Row],[Net_sales]]</f>
        <v>0.62924462924462921</v>
      </c>
      <c r="AB823" s="4">
        <f>YEAR(excelsalesdata[[#This Row],[Order_Date]])</f>
        <v>2027</v>
      </c>
      <c r="AC823" s="4" t="str">
        <f>TEXT(excelsalesdata[[#This Row],[Order_Date]],"mmm")</f>
        <v>Jul</v>
      </c>
      <c r="AD823" s="4" t="str">
        <f>"Q"&amp;ROUNDUP(MONTH(excelsalesdata[[#This Row],[Order_Date]])/3,0)</f>
        <v>Q3</v>
      </c>
    </row>
    <row r="824" spans="1:30" x14ac:dyDescent="0.35">
      <c r="A824" t="s">
        <v>1569</v>
      </c>
      <c r="B824" s="3">
        <v>46582</v>
      </c>
      <c r="C824" t="s">
        <v>1223</v>
      </c>
      <c r="D824" t="s">
        <v>22</v>
      </c>
      <c r="E824" t="str">
        <f>TRIM(excelsalesdata[[#This Row],[Customer_Name]])</f>
        <v>Sneha Naidu</v>
      </c>
      <c r="F824" t="s">
        <v>23</v>
      </c>
      <c r="G824">
        <v>20</v>
      </c>
      <c r="H824" t="s">
        <v>109</v>
      </c>
      <c r="I824" t="str">
        <f>TRIM(excelsalesdata[[#This Row],[City]])</f>
        <v>Mysuru</v>
      </c>
      <c r="J824" t="s">
        <v>53</v>
      </c>
      <c r="K824" t="s">
        <v>47</v>
      </c>
      <c r="L824" t="s">
        <v>38</v>
      </c>
      <c r="M824" t="s">
        <v>161</v>
      </c>
      <c r="N824" t="s">
        <v>161</v>
      </c>
      <c r="O824">
        <v>1</v>
      </c>
      <c r="P824">
        <v>29690</v>
      </c>
      <c r="Q824">
        <v>0.1</v>
      </c>
      <c r="R824">
        <v>20430</v>
      </c>
      <c r="S824" t="s">
        <v>67</v>
      </c>
      <c r="T824" t="s">
        <v>30</v>
      </c>
      <c r="U824">
        <v>2</v>
      </c>
      <c r="V824" t="s">
        <v>40</v>
      </c>
      <c r="W824">
        <f>excelsalesdata[[#This Row],[Quantity]]*excelsalesdata[[#This Row],[Unit_Price]]</f>
        <v>29690</v>
      </c>
      <c r="X824">
        <f>excelsalesdata[[#This Row],[Gross_sales]]*excelsalesdata[[#This Row],[Discount_%]]</f>
        <v>2969</v>
      </c>
      <c r="Y824">
        <f>excelsalesdata[[#This Row],[Gross_sales]]-excelsalesdata[[#This Row],[Discount_amt]]</f>
        <v>26721</v>
      </c>
      <c r="Z824" s="4">
        <f>excelsalesdata[[#This Row],[Net_sales]]-excelsalesdata[[#This Row],[Cost]]</f>
        <v>6291</v>
      </c>
      <c r="AA824" s="5">
        <f>excelsalesdata[[#This Row],[Profit]]/excelsalesdata[[#This Row],[Net_sales]]</f>
        <v>0.23543280565847086</v>
      </c>
      <c r="AB824" s="4">
        <f>YEAR(excelsalesdata[[#This Row],[Order_Date]])</f>
        <v>2027</v>
      </c>
      <c r="AC824" s="4" t="str">
        <f>TEXT(excelsalesdata[[#This Row],[Order_Date]],"mmm")</f>
        <v>Jul</v>
      </c>
      <c r="AD824" s="4" t="str">
        <f>"Q"&amp;ROUNDUP(MONTH(excelsalesdata[[#This Row],[Order_Date]])/3,0)</f>
        <v>Q3</v>
      </c>
    </row>
    <row r="825" spans="1:30" x14ac:dyDescent="0.35">
      <c r="A825" t="s">
        <v>1570</v>
      </c>
      <c r="B825" s="3">
        <v>46583</v>
      </c>
      <c r="C825" t="s">
        <v>1571</v>
      </c>
      <c r="D825" t="s">
        <v>455</v>
      </c>
      <c r="E825" t="str">
        <f>TRIM(excelsalesdata[[#This Row],[Customer_Name]])</f>
        <v>Karan Reddy</v>
      </c>
      <c r="F825" t="s">
        <v>23</v>
      </c>
      <c r="G825">
        <v>40</v>
      </c>
      <c r="H825" t="s">
        <v>78</v>
      </c>
      <c r="I825" t="str">
        <f>TRIM(excelsalesdata[[#This Row],[City]])</f>
        <v>Guwahati</v>
      </c>
      <c r="J825" t="s">
        <v>79</v>
      </c>
      <c r="K825" t="s">
        <v>37</v>
      </c>
      <c r="L825" t="s">
        <v>93</v>
      </c>
      <c r="M825" t="s">
        <v>206</v>
      </c>
      <c r="N825" t="s">
        <v>206</v>
      </c>
      <c r="O825">
        <v>2</v>
      </c>
      <c r="P825">
        <v>650</v>
      </c>
      <c r="Q825">
        <v>0.1</v>
      </c>
      <c r="R825">
        <v>290</v>
      </c>
      <c r="S825" t="s">
        <v>80</v>
      </c>
      <c r="T825" t="s">
        <v>74</v>
      </c>
      <c r="U825">
        <v>1</v>
      </c>
      <c r="V825" t="s">
        <v>40</v>
      </c>
      <c r="W825">
        <f>excelsalesdata[[#This Row],[Quantity]]*excelsalesdata[[#This Row],[Unit_Price]]</f>
        <v>1300</v>
      </c>
      <c r="X825">
        <f>excelsalesdata[[#This Row],[Gross_sales]]*excelsalesdata[[#This Row],[Discount_%]]</f>
        <v>130</v>
      </c>
      <c r="Y825">
        <f>excelsalesdata[[#This Row],[Gross_sales]]-excelsalesdata[[#This Row],[Discount_amt]]</f>
        <v>1170</v>
      </c>
      <c r="Z825" s="4">
        <f>excelsalesdata[[#This Row],[Net_sales]]-excelsalesdata[[#This Row],[Cost]]</f>
        <v>880</v>
      </c>
      <c r="AA825" s="5">
        <f>excelsalesdata[[#This Row],[Profit]]/excelsalesdata[[#This Row],[Net_sales]]</f>
        <v>0.75213675213675213</v>
      </c>
      <c r="AB825" s="4">
        <f>YEAR(excelsalesdata[[#This Row],[Order_Date]])</f>
        <v>2027</v>
      </c>
      <c r="AC825" s="4" t="str">
        <f>TEXT(excelsalesdata[[#This Row],[Order_Date]],"mmm")</f>
        <v>Jul</v>
      </c>
      <c r="AD825" s="4" t="str">
        <f>"Q"&amp;ROUNDUP(MONTH(excelsalesdata[[#This Row],[Order_Date]])/3,0)</f>
        <v>Q3</v>
      </c>
    </row>
    <row r="826" spans="1:30" x14ac:dyDescent="0.35">
      <c r="A826" t="s">
        <v>1572</v>
      </c>
      <c r="B826" s="3">
        <v>46584</v>
      </c>
      <c r="C826" t="s">
        <v>204</v>
      </c>
      <c r="D826" t="s">
        <v>34</v>
      </c>
      <c r="E826" t="str">
        <f>TRIM(excelsalesdata[[#This Row],[Customer_Name]])</f>
        <v>Priya Singh</v>
      </c>
      <c r="F826" t="s">
        <v>44</v>
      </c>
      <c r="G826">
        <v>29</v>
      </c>
      <c r="H826" t="s">
        <v>98</v>
      </c>
      <c r="I826" t="str">
        <f>TRIM(excelsalesdata[[#This Row],[City]])</f>
        <v>Mumbai</v>
      </c>
      <c r="J826" t="s">
        <v>25</v>
      </c>
      <c r="K826" t="s">
        <v>26</v>
      </c>
      <c r="L826" t="s">
        <v>54</v>
      </c>
      <c r="M826" t="s">
        <v>55</v>
      </c>
      <c r="N826" t="s">
        <v>55</v>
      </c>
      <c r="O826">
        <v>4</v>
      </c>
      <c r="P826">
        <v>7310</v>
      </c>
      <c r="Q826">
        <v>0.1</v>
      </c>
      <c r="R826">
        <v>4590</v>
      </c>
      <c r="S826" t="s">
        <v>67</v>
      </c>
      <c r="T826" t="s">
        <v>30</v>
      </c>
      <c r="U826">
        <v>3</v>
      </c>
      <c r="V826" t="s">
        <v>40</v>
      </c>
      <c r="W826">
        <f>excelsalesdata[[#This Row],[Quantity]]*excelsalesdata[[#This Row],[Unit_Price]]</f>
        <v>29240</v>
      </c>
      <c r="X826">
        <f>excelsalesdata[[#This Row],[Gross_sales]]*excelsalesdata[[#This Row],[Discount_%]]</f>
        <v>2924</v>
      </c>
      <c r="Y826">
        <f>excelsalesdata[[#This Row],[Gross_sales]]-excelsalesdata[[#This Row],[Discount_amt]]</f>
        <v>26316</v>
      </c>
      <c r="Z826" s="4">
        <f>excelsalesdata[[#This Row],[Net_sales]]-excelsalesdata[[#This Row],[Cost]]</f>
        <v>21726</v>
      </c>
      <c r="AA826" s="5">
        <f>excelsalesdata[[#This Row],[Profit]]/excelsalesdata[[#This Row],[Net_sales]]</f>
        <v>0.82558139534883723</v>
      </c>
      <c r="AB826" s="4">
        <f>YEAR(excelsalesdata[[#This Row],[Order_Date]])</f>
        <v>2027</v>
      </c>
      <c r="AC826" s="4" t="str">
        <f>TEXT(excelsalesdata[[#This Row],[Order_Date]],"mmm")</f>
        <v>Jul</v>
      </c>
      <c r="AD826" s="4" t="str">
        <f>"Q"&amp;ROUNDUP(MONTH(excelsalesdata[[#This Row],[Order_Date]])/3,0)</f>
        <v>Q3</v>
      </c>
    </row>
    <row r="827" spans="1:30" x14ac:dyDescent="0.35">
      <c r="A827" t="s">
        <v>1573</v>
      </c>
      <c r="B827" s="3">
        <v>46585</v>
      </c>
      <c r="C827" t="s">
        <v>320</v>
      </c>
      <c r="D827" t="s">
        <v>108</v>
      </c>
      <c r="E827" t="str">
        <f>TRIM(excelsalesdata[[#This Row],[Customer_Name]])</f>
        <v>Vikram Sharma</v>
      </c>
      <c r="F827" t="s">
        <v>44</v>
      </c>
      <c r="G827">
        <v>32</v>
      </c>
      <c r="H827" t="s">
        <v>190</v>
      </c>
      <c r="I827" t="str">
        <f>TRIM(excelsalesdata[[#This Row],[City]])</f>
        <v>Ahmedabad</v>
      </c>
      <c r="J827" t="s">
        <v>191</v>
      </c>
      <c r="K827" t="s">
        <v>26</v>
      </c>
      <c r="L827" t="s">
        <v>103</v>
      </c>
      <c r="M827" t="s">
        <v>347</v>
      </c>
      <c r="N827" t="s">
        <v>347</v>
      </c>
      <c r="O827">
        <v>1</v>
      </c>
      <c r="P827">
        <v>12300</v>
      </c>
      <c r="Q827">
        <v>0.2</v>
      </c>
      <c r="R827">
        <v>8600</v>
      </c>
      <c r="S827" t="s">
        <v>80</v>
      </c>
      <c r="T827" t="s">
        <v>30</v>
      </c>
      <c r="U827">
        <v>7</v>
      </c>
      <c r="V827" t="s">
        <v>31</v>
      </c>
      <c r="W827">
        <f>excelsalesdata[[#This Row],[Quantity]]*excelsalesdata[[#This Row],[Unit_Price]]</f>
        <v>12300</v>
      </c>
      <c r="X827">
        <f>excelsalesdata[[#This Row],[Gross_sales]]*excelsalesdata[[#This Row],[Discount_%]]</f>
        <v>2460</v>
      </c>
      <c r="Y827">
        <f>excelsalesdata[[#This Row],[Gross_sales]]-excelsalesdata[[#This Row],[Discount_amt]]</f>
        <v>9840</v>
      </c>
      <c r="Z827" s="4">
        <f>excelsalesdata[[#This Row],[Net_sales]]-excelsalesdata[[#This Row],[Cost]]</f>
        <v>1240</v>
      </c>
      <c r="AA827" s="5">
        <f>excelsalesdata[[#This Row],[Profit]]/excelsalesdata[[#This Row],[Net_sales]]</f>
        <v>0.12601626016260162</v>
      </c>
      <c r="AB827" s="4">
        <f>YEAR(excelsalesdata[[#This Row],[Order_Date]])</f>
        <v>2027</v>
      </c>
      <c r="AC827" s="4" t="str">
        <f>TEXT(excelsalesdata[[#This Row],[Order_Date]],"mmm")</f>
        <v>Jul</v>
      </c>
      <c r="AD827" s="4" t="str">
        <f>"Q"&amp;ROUNDUP(MONTH(excelsalesdata[[#This Row],[Order_Date]])/3,0)</f>
        <v>Q3</v>
      </c>
    </row>
    <row r="828" spans="1:30" x14ac:dyDescent="0.35">
      <c r="A828" t="s">
        <v>1574</v>
      </c>
      <c r="B828" s="3">
        <v>46586</v>
      </c>
      <c r="C828" t="s">
        <v>317</v>
      </c>
      <c r="D828" t="s">
        <v>132</v>
      </c>
      <c r="E828" t="str">
        <f>TRIM(excelsalesdata[[#This Row],[Customer_Name]])</f>
        <v>Vivaan Das</v>
      </c>
      <c r="F828" t="s">
        <v>23</v>
      </c>
      <c r="G828">
        <v>34</v>
      </c>
      <c r="H828" t="s">
        <v>60</v>
      </c>
      <c r="I828" t="str">
        <f>TRIM(excelsalesdata[[#This Row],[City]])</f>
        <v>Chandigarh</v>
      </c>
      <c r="J828" t="s">
        <v>60</v>
      </c>
      <c r="K828" t="s">
        <v>61</v>
      </c>
      <c r="L828" t="s">
        <v>103</v>
      </c>
      <c r="M828" t="s">
        <v>347</v>
      </c>
      <c r="N828" t="s">
        <v>347</v>
      </c>
      <c r="O828">
        <v>2</v>
      </c>
      <c r="P828">
        <v>11470</v>
      </c>
      <c r="Q828">
        <v>0</v>
      </c>
      <c r="R828">
        <v>8040</v>
      </c>
      <c r="S828" t="s">
        <v>29</v>
      </c>
      <c r="T828" t="s">
        <v>30</v>
      </c>
      <c r="U828">
        <v>3</v>
      </c>
      <c r="V828" t="s">
        <v>40</v>
      </c>
      <c r="W828">
        <f>excelsalesdata[[#This Row],[Quantity]]*excelsalesdata[[#This Row],[Unit_Price]]</f>
        <v>22940</v>
      </c>
      <c r="X828">
        <f>excelsalesdata[[#This Row],[Gross_sales]]*excelsalesdata[[#This Row],[Discount_%]]</f>
        <v>0</v>
      </c>
      <c r="Y828">
        <f>excelsalesdata[[#This Row],[Gross_sales]]-excelsalesdata[[#This Row],[Discount_amt]]</f>
        <v>22940</v>
      </c>
      <c r="Z828" s="4">
        <f>excelsalesdata[[#This Row],[Net_sales]]-excelsalesdata[[#This Row],[Cost]]</f>
        <v>14900</v>
      </c>
      <c r="AA828" s="5">
        <f>excelsalesdata[[#This Row],[Profit]]/excelsalesdata[[#This Row],[Net_sales]]</f>
        <v>0.64952048823016562</v>
      </c>
      <c r="AB828" s="4">
        <f>YEAR(excelsalesdata[[#This Row],[Order_Date]])</f>
        <v>2027</v>
      </c>
      <c r="AC828" s="4" t="str">
        <f>TEXT(excelsalesdata[[#This Row],[Order_Date]],"mmm")</f>
        <v>Jul</v>
      </c>
      <c r="AD828" s="4" t="str">
        <f>"Q"&amp;ROUNDUP(MONTH(excelsalesdata[[#This Row],[Order_Date]])/3,0)</f>
        <v>Q3</v>
      </c>
    </row>
    <row r="829" spans="1:30" x14ac:dyDescent="0.35">
      <c r="A829" t="s">
        <v>1575</v>
      </c>
      <c r="B829" s="3">
        <v>46587</v>
      </c>
      <c r="C829" t="s">
        <v>582</v>
      </c>
      <c r="D829" t="s">
        <v>1226</v>
      </c>
      <c r="E829" t="str">
        <f>TRIM(excelsalesdata[[#This Row],[Customer_Name]])</f>
        <v>Vikram Reddy</v>
      </c>
      <c r="F829" t="s">
        <v>44</v>
      </c>
      <c r="G829">
        <v>32</v>
      </c>
      <c r="H829" t="s">
        <v>155</v>
      </c>
      <c r="I829" t="str">
        <f>TRIM(excelsalesdata[[#This Row],[City]])</f>
        <v>Chennai</v>
      </c>
      <c r="J829" t="s">
        <v>156</v>
      </c>
      <c r="K829" t="s">
        <v>47</v>
      </c>
      <c r="L829" t="s">
        <v>54</v>
      </c>
      <c r="M829" t="s">
        <v>66</v>
      </c>
      <c r="N829" t="s">
        <v>66</v>
      </c>
      <c r="O829">
        <v>1</v>
      </c>
      <c r="P829">
        <v>2350</v>
      </c>
      <c r="Q829">
        <v>0.2</v>
      </c>
      <c r="R829">
        <v>1570</v>
      </c>
      <c r="S829" t="s">
        <v>80</v>
      </c>
      <c r="T829" t="s">
        <v>30</v>
      </c>
      <c r="U829">
        <v>4</v>
      </c>
      <c r="V829" t="s">
        <v>40</v>
      </c>
      <c r="W829">
        <f>excelsalesdata[[#This Row],[Quantity]]*excelsalesdata[[#This Row],[Unit_Price]]</f>
        <v>2350</v>
      </c>
      <c r="X829">
        <f>excelsalesdata[[#This Row],[Gross_sales]]*excelsalesdata[[#This Row],[Discount_%]]</f>
        <v>470</v>
      </c>
      <c r="Y829">
        <f>excelsalesdata[[#This Row],[Gross_sales]]-excelsalesdata[[#This Row],[Discount_amt]]</f>
        <v>1880</v>
      </c>
      <c r="Z829" s="4">
        <f>excelsalesdata[[#This Row],[Net_sales]]-excelsalesdata[[#This Row],[Cost]]</f>
        <v>310</v>
      </c>
      <c r="AA829" s="5">
        <f>excelsalesdata[[#This Row],[Profit]]/excelsalesdata[[#This Row],[Net_sales]]</f>
        <v>0.16489361702127658</v>
      </c>
      <c r="AB829" s="4">
        <f>YEAR(excelsalesdata[[#This Row],[Order_Date]])</f>
        <v>2027</v>
      </c>
      <c r="AC829" s="4" t="str">
        <f>TEXT(excelsalesdata[[#This Row],[Order_Date]],"mmm")</f>
        <v>Jul</v>
      </c>
      <c r="AD829" s="4" t="str">
        <f>"Q"&amp;ROUNDUP(MONTH(excelsalesdata[[#This Row],[Order_Date]])/3,0)</f>
        <v>Q3</v>
      </c>
    </row>
    <row r="830" spans="1:30" x14ac:dyDescent="0.35">
      <c r="A830" t="s">
        <v>1576</v>
      </c>
      <c r="B830" s="3">
        <v>46588</v>
      </c>
      <c r="C830" t="s">
        <v>970</v>
      </c>
      <c r="D830" t="s">
        <v>368</v>
      </c>
      <c r="E830" t="str">
        <f>TRIM(excelsalesdata[[#This Row],[Customer_Name]])</f>
        <v>Aditya Naidu</v>
      </c>
      <c r="F830" t="s">
        <v>23</v>
      </c>
      <c r="G830">
        <v>45</v>
      </c>
      <c r="H830" t="s">
        <v>24</v>
      </c>
      <c r="I830" t="str">
        <f>TRIM(excelsalesdata[[#This Row],[City]])</f>
        <v>Pune</v>
      </c>
      <c r="J830" t="s">
        <v>25</v>
      </c>
      <c r="K830" t="s">
        <v>26</v>
      </c>
      <c r="L830" t="s">
        <v>93</v>
      </c>
      <c r="M830" t="s">
        <v>135</v>
      </c>
      <c r="N830" t="s">
        <v>135</v>
      </c>
      <c r="O830">
        <v>3</v>
      </c>
      <c r="P830">
        <v>1870</v>
      </c>
      <c r="Q830">
        <v>0.1</v>
      </c>
      <c r="R830">
        <v>970</v>
      </c>
      <c r="S830" t="s">
        <v>80</v>
      </c>
      <c r="T830" t="s">
        <v>81</v>
      </c>
      <c r="U830">
        <v>0</v>
      </c>
      <c r="V830" t="s">
        <v>31</v>
      </c>
      <c r="W830">
        <f>excelsalesdata[[#This Row],[Quantity]]*excelsalesdata[[#This Row],[Unit_Price]]</f>
        <v>5610</v>
      </c>
      <c r="X830">
        <f>excelsalesdata[[#This Row],[Gross_sales]]*excelsalesdata[[#This Row],[Discount_%]]</f>
        <v>561</v>
      </c>
      <c r="Y830">
        <f>excelsalesdata[[#This Row],[Gross_sales]]-excelsalesdata[[#This Row],[Discount_amt]]</f>
        <v>5049</v>
      </c>
      <c r="Z830" s="4">
        <f>excelsalesdata[[#This Row],[Net_sales]]-excelsalesdata[[#This Row],[Cost]]</f>
        <v>4079</v>
      </c>
      <c r="AA830" s="5">
        <f>excelsalesdata[[#This Row],[Profit]]/excelsalesdata[[#This Row],[Net_sales]]</f>
        <v>0.80788274905921964</v>
      </c>
      <c r="AB830" s="4">
        <f>YEAR(excelsalesdata[[#This Row],[Order_Date]])</f>
        <v>2027</v>
      </c>
      <c r="AC830" s="4" t="str">
        <f>TEXT(excelsalesdata[[#This Row],[Order_Date]],"mmm")</f>
        <v>Jul</v>
      </c>
      <c r="AD830" s="4" t="str">
        <f>"Q"&amp;ROUNDUP(MONTH(excelsalesdata[[#This Row],[Order_Date]])/3,0)</f>
        <v>Q3</v>
      </c>
    </row>
    <row r="831" spans="1:30" x14ac:dyDescent="0.35">
      <c r="A831" t="s">
        <v>1577</v>
      </c>
      <c r="B831" s="3">
        <v>46589</v>
      </c>
      <c r="C831" t="s">
        <v>1105</v>
      </c>
      <c r="D831" t="s">
        <v>490</v>
      </c>
      <c r="E831" t="str">
        <f>TRIM(excelsalesdata[[#This Row],[Customer_Name]])</f>
        <v>Aditya Singh</v>
      </c>
      <c r="F831" t="s">
        <v>23</v>
      </c>
      <c r="G831">
        <v>33</v>
      </c>
      <c r="H831" t="s">
        <v>155</v>
      </c>
      <c r="I831" t="str">
        <f>TRIM(excelsalesdata[[#This Row],[City]])</f>
        <v>Chennai</v>
      </c>
      <c r="J831" t="s">
        <v>156</v>
      </c>
      <c r="K831" t="s">
        <v>47</v>
      </c>
      <c r="L831" t="s">
        <v>54</v>
      </c>
      <c r="M831" t="s">
        <v>129</v>
      </c>
      <c r="N831" t="s">
        <v>129</v>
      </c>
      <c r="O831">
        <v>4</v>
      </c>
      <c r="P831">
        <v>17480</v>
      </c>
      <c r="Q831">
        <v>0.1</v>
      </c>
      <c r="R831">
        <v>12670</v>
      </c>
      <c r="S831" t="s">
        <v>29</v>
      </c>
      <c r="T831" t="s">
        <v>74</v>
      </c>
      <c r="U831">
        <v>4</v>
      </c>
      <c r="V831" t="s">
        <v>40</v>
      </c>
      <c r="W831">
        <f>excelsalesdata[[#This Row],[Quantity]]*excelsalesdata[[#This Row],[Unit_Price]]</f>
        <v>69920</v>
      </c>
      <c r="X831">
        <f>excelsalesdata[[#This Row],[Gross_sales]]*excelsalesdata[[#This Row],[Discount_%]]</f>
        <v>6992</v>
      </c>
      <c r="Y831">
        <f>excelsalesdata[[#This Row],[Gross_sales]]-excelsalesdata[[#This Row],[Discount_amt]]</f>
        <v>62928</v>
      </c>
      <c r="Z831" s="4">
        <f>excelsalesdata[[#This Row],[Net_sales]]-excelsalesdata[[#This Row],[Cost]]</f>
        <v>50258</v>
      </c>
      <c r="AA831" s="5">
        <f>excelsalesdata[[#This Row],[Profit]]/excelsalesdata[[#This Row],[Net_sales]]</f>
        <v>0.7986587846427663</v>
      </c>
      <c r="AB831" s="4">
        <f>YEAR(excelsalesdata[[#This Row],[Order_Date]])</f>
        <v>2027</v>
      </c>
      <c r="AC831" s="4" t="str">
        <f>TEXT(excelsalesdata[[#This Row],[Order_Date]],"mmm")</f>
        <v>Jul</v>
      </c>
      <c r="AD831" s="4" t="str">
        <f>"Q"&amp;ROUNDUP(MONTH(excelsalesdata[[#This Row],[Order_Date]])/3,0)</f>
        <v>Q3</v>
      </c>
    </row>
    <row r="832" spans="1:30" x14ac:dyDescent="0.35">
      <c r="A832" t="s">
        <v>1578</v>
      </c>
      <c r="B832" s="3">
        <v>46590</v>
      </c>
      <c r="C832" t="s">
        <v>568</v>
      </c>
      <c r="D832" t="s">
        <v>610</v>
      </c>
      <c r="E832" t="str">
        <f>TRIM(excelsalesdata[[#This Row],[Customer_Name]])</f>
        <v>Priya Das</v>
      </c>
      <c r="F832" t="s">
        <v>44</v>
      </c>
      <c r="G832">
        <v>30</v>
      </c>
      <c r="H832" t="s">
        <v>190</v>
      </c>
      <c r="I832" t="str">
        <f>TRIM(excelsalesdata[[#This Row],[City]])</f>
        <v>Ahmedabad</v>
      </c>
      <c r="J832" t="s">
        <v>191</v>
      </c>
      <c r="K832" t="s">
        <v>26</v>
      </c>
      <c r="L832" t="s">
        <v>85</v>
      </c>
      <c r="M832" t="s">
        <v>86</v>
      </c>
      <c r="N832" t="s">
        <v>86</v>
      </c>
      <c r="O832">
        <v>2</v>
      </c>
      <c r="P832">
        <v>2600</v>
      </c>
      <c r="Q832">
        <v>0.05</v>
      </c>
      <c r="R832">
        <v>1480</v>
      </c>
      <c r="S832" t="s">
        <v>105</v>
      </c>
      <c r="T832" t="s">
        <v>30</v>
      </c>
      <c r="U832">
        <v>5</v>
      </c>
      <c r="V832" t="s">
        <v>31</v>
      </c>
      <c r="W832">
        <f>excelsalesdata[[#This Row],[Quantity]]*excelsalesdata[[#This Row],[Unit_Price]]</f>
        <v>5200</v>
      </c>
      <c r="X832">
        <f>excelsalesdata[[#This Row],[Gross_sales]]*excelsalesdata[[#This Row],[Discount_%]]</f>
        <v>260</v>
      </c>
      <c r="Y832">
        <f>excelsalesdata[[#This Row],[Gross_sales]]-excelsalesdata[[#This Row],[Discount_amt]]</f>
        <v>4940</v>
      </c>
      <c r="Z832" s="4">
        <f>excelsalesdata[[#This Row],[Net_sales]]-excelsalesdata[[#This Row],[Cost]]</f>
        <v>3460</v>
      </c>
      <c r="AA832" s="5">
        <f>excelsalesdata[[#This Row],[Profit]]/excelsalesdata[[#This Row],[Net_sales]]</f>
        <v>0.70040485829959509</v>
      </c>
      <c r="AB832" s="4">
        <f>YEAR(excelsalesdata[[#This Row],[Order_Date]])</f>
        <v>2027</v>
      </c>
      <c r="AC832" s="4" t="str">
        <f>TEXT(excelsalesdata[[#This Row],[Order_Date]],"mmm")</f>
        <v>Jul</v>
      </c>
      <c r="AD832" s="4" t="str">
        <f>"Q"&amp;ROUNDUP(MONTH(excelsalesdata[[#This Row],[Order_Date]])/3,0)</f>
        <v>Q3</v>
      </c>
    </row>
    <row r="833" spans="1:30" x14ac:dyDescent="0.35">
      <c r="A833" t="s">
        <v>1579</v>
      </c>
      <c r="B833" s="3">
        <v>46591</v>
      </c>
      <c r="C833" t="s">
        <v>210</v>
      </c>
      <c r="D833" t="s">
        <v>362</v>
      </c>
      <c r="E833" t="str">
        <f>TRIM(excelsalesdata[[#This Row],[Customer_Name]])</f>
        <v>Diya Gupta</v>
      </c>
      <c r="F833" t="s">
        <v>44</v>
      </c>
      <c r="G833">
        <v>18</v>
      </c>
      <c r="H833" t="s">
        <v>98</v>
      </c>
      <c r="I833" t="str">
        <f>TRIM(excelsalesdata[[#This Row],[City]])</f>
        <v>Mumbai</v>
      </c>
      <c r="J833" t="s">
        <v>25</v>
      </c>
      <c r="K833" t="s">
        <v>26</v>
      </c>
      <c r="L833" t="s">
        <v>103</v>
      </c>
      <c r="M833" t="s">
        <v>178</v>
      </c>
      <c r="N833" t="s">
        <v>178</v>
      </c>
      <c r="O833">
        <v>1</v>
      </c>
      <c r="P833">
        <v>1850</v>
      </c>
      <c r="Q833">
        <v>0.1</v>
      </c>
      <c r="R833">
        <v>920</v>
      </c>
      <c r="S833" t="s">
        <v>80</v>
      </c>
      <c r="T833" t="s">
        <v>74</v>
      </c>
      <c r="U833">
        <v>4</v>
      </c>
      <c r="V833" t="s">
        <v>31</v>
      </c>
      <c r="W833">
        <f>excelsalesdata[[#This Row],[Quantity]]*excelsalesdata[[#This Row],[Unit_Price]]</f>
        <v>1850</v>
      </c>
      <c r="X833">
        <f>excelsalesdata[[#This Row],[Gross_sales]]*excelsalesdata[[#This Row],[Discount_%]]</f>
        <v>185</v>
      </c>
      <c r="Y833">
        <f>excelsalesdata[[#This Row],[Gross_sales]]-excelsalesdata[[#This Row],[Discount_amt]]</f>
        <v>1665</v>
      </c>
      <c r="Z833" s="4">
        <f>excelsalesdata[[#This Row],[Net_sales]]-excelsalesdata[[#This Row],[Cost]]</f>
        <v>745</v>
      </c>
      <c r="AA833" s="5">
        <f>excelsalesdata[[#This Row],[Profit]]/excelsalesdata[[#This Row],[Net_sales]]</f>
        <v>0.44744744744744747</v>
      </c>
      <c r="AB833" s="4">
        <f>YEAR(excelsalesdata[[#This Row],[Order_Date]])</f>
        <v>2027</v>
      </c>
      <c r="AC833" s="4" t="str">
        <f>TEXT(excelsalesdata[[#This Row],[Order_Date]],"mmm")</f>
        <v>Jul</v>
      </c>
      <c r="AD833" s="4" t="str">
        <f>"Q"&amp;ROUNDUP(MONTH(excelsalesdata[[#This Row],[Order_Date]])/3,0)</f>
        <v>Q3</v>
      </c>
    </row>
    <row r="834" spans="1:30" x14ac:dyDescent="0.35">
      <c r="A834" t="s">
        <v>1580</v>
      </c>
      <c r="B834" s="3">
        <v>46592</v>
      </c>
      <c r="C834" t="s">
        <v>452</v>
      </c>
      <c r="D834" t="s">
        <v>160</v>
      </c>
      <c r="E834" t="str">
        <f>TRIM(excelsalesdata[[#This Row],[Customer_Name]])</f>
        <v>Nisha Bhat</v>
      </c>
      <c r="F834" t="s">
        <v>23</v>
      </c>
      <c r="G834">
        <v>47</v>
      </c>
      <c r="H834" t="s">
        <v>71</v>
      </c>
      <c r="I834" t="str">
        <f>TRIM(excelsalesdata[[#This Row],[City]])</f>
        <v>Bhubaneswar</v>
      </c>
      <c r="J834" t="s">
        <v>72</v>
      </c>
      <c r="K834" t="s">
        <v>37</v>
      </c>
      <c r="L834" t="s">
        <v>54</v>
      </c>
      <c r="M834" t="s">
        <v>129</v>
      </c>
      <c r="N834" t="s">
        <v>129</v>
      </c>
      <c r="O834">
        <v>2</v>
      </c>
      <c r="P834">
        <v>17560</v>
      </c>
      <c r="Q834">
        <v>0.2</v>
      </c>
      <c r="R834">
        <v>12940</v>
      </c>
      <c r="S834" t="s">
        <v>29</v>
      </c>
      <c r="T834" t="s">
        <v>30</v>
      </c>
      <c r="U834">
        <v>3</v>
      </c>
      <c r="V834" t="s">
        <v>40</v>
      </c>
      <c r="W834">
        <f>excelsalesdata[[#This Row],[Quantity]]*excelsalesdata[[#This Row],[Unit_Price]]</f>
        <v>35120</v>
      </c>
      <c r="X834">
        <f>excelsalesdata[[#This Row],[Gross_sales]]*excelsalesdata[[#This Row],[Discount_%]]</f>
        <v>7024</v>
      </c>
      <c r="Y834">
        <f>excelsalesdata[[#This Row],[Gross_sales]]-excelsalesdata[[#This Row],[Discount_amt]]</f>
        <v>28096</v>
      </c>
      <c r="Z834" s="4">
        <f>excelsalesdata[[#This Row],[Net_sales]]-excelsalesdata[[#This Row],[Cost]]</f>
        <v>15156</v>
      </c>
      <c r="AA834" s="5">
        <f>excelsalesdata[[#This Row],[Profit]]/excelsalesdata[[#This Row],[Net_sales]]</f>
        <v>0.53943621867881553</v>
      </c>
      <c r="AB834" s="4">
        <f>YEAR(excelsalesdata[[#This Row],[Order_Date]])</f>
        <v>2027</v>
      </c>
      <c r="AC834" s="4" t="str">
        <f>TEXT(excelsalesdata[[#This Row],[Order_Date]],"mmm")</f>
        <v>Jul</v>
      </c>
      <c r="AD834" s="4" t="str">
        <f>"Q"&amp;ROUNDUP(MONTH(excelsalesdata[[#This Row],[Order_Date]])/3,0)</f>
        <v>Q3</v>
      </c>
    </row>
    <row r="835" spans="1:30" x14ac:dyDescent="0.35">
      <c r="A835" t="s">
        <v>1581</v>
      </c>
      <c r="B835" s="3">
        <v>46593</v>
      </c>
      <c r="C835" t="s">
        <v>1582</v>
      </c>
      <c r="D835" t="s">
        <v>365</v>
      </c>
      <c r="E835" t="str">
        <f>TRIM(excelsalesdata[[#This Row],[Customer_Name]])</f>
        <v>Meera Bhat</v>
      </c>
      <c r="F835" t="s">
        <v>44</v>
      </c>
      <c r="G835">
        <v>28</v>
      </c>
      <c r="H835" t="s">
        <v>78</v>
      </c>
      <c r="I835" t="str">
        <f>TRIM(excelsalesdata[[#This Row],[City]])</f>
        <v>Guwahati</v>
      </c>
      <c r="J835" t="s">
        <v>79</v>
      </c>
      <c r="K835" t="s">
        <v>37</v>
      </c>
      <c r="L835" t="s">
        <v>54</v>
      </c>
      <c r="M835" t="s">
        <v>62</v>
      </c>
      <c r="N835" t="s">
        <v>62</v>
      </c>
      <c r="O835">
        <v>4</v>
      </c>
      <c r="P835">
        <v>20490</v>
      </c>
      <c r="Q835">
        <v>0.1</v>
      </c>
      <c r="R835">
        <v>16120</v>
      </c>
      <c r="S835" t="s">
        <v>29</v>
      </c>
      <c r="T835" t="s">
        <v>30</v>
      </c>
      <c r="U835">
        <v>3</v>
      </c>
      <c r="V835" t="s">
        <v>40</v>
      </c>
      <c r="W835">
        <f>excelsalesdata[[#This Row],[Quantity]]*excelsalesdata[[#This Row],[Unit_Price]]</f>
        <v>81960</v>
      </c>
      <c r="X835">
        <f>excelsalesdata[[#This Row],[Gross_sales]]*excelsalesdata[[#This Row],[Discount_%]]</f>
        <v>8196</v>
      </c>
      <c r="Y835">
        <f>excelsalesdata[[#This Row],[Gross_sales]]-excelsalesdata[[#This Row],[Discount_amt]]</f>
        <v>73764</v>
      </c>
      <c r="Z835" s="4">
        <f>excelsalesdata[[#This Row],[Net_sales]]-excelsalesdata[[#This Row],[Cost]]</f>
        <v>57644</v>
      </c>
      <c r="AA835" s="5">
        <f>excelsalesdata[[#This Row],[Profit]]/excelsalesdata[[#This Row],[Net_sales]]</f>
        <v>0.78146521338322217</v>
      </c>
      <c r="AB835" s="4">
        <f>YEAR(excelsalesdata[[#This Row],[Order_Date]])</f>
        <v>2027</v>
      </c>
      <c r="AC835" s="4" t="str">
        <f>TEXT(excelsalesdata[[#This Row],[Order_Date]],"mmm")</f>
        <v>Jul</v>
      </c>
      <c r="AD835" s="4" t="str">
        <f>"Q"&amp;ROUNDUP(MONTH(excelsalesdata[[#This Row],[Order_Date]])/3,0)</f>
        <v>Q3</v>
      </c>
    </row>
    <row r="836" spans="1:30" x14ac:dyDescent="0.35">
      <c r="A836" t="s">
        <v>1583</v>
      </c>
      <c r="B836" s="3">
        <v>46594</v>
      </c>
      <c r="C836" t="s">
        <v>213</v>
      </c>
      <c r="D836" t="s">
        <v>635</v>
      </c>
      <c r="E836" t="str">
        <f>TRIM(excelsalesdata[[#This Row],[Customer_Name]])</f>
        <v>Arjun Singh</v>
      </c>
      <c r="F836" t="s">
        <v>44</v>
      </c>
      <c r="G836">
        <v>18</v>
      </c>
      <c r="H836" t="s">
        <v>190</v>
      </c>
      <c r="I836" t="str">
        <f>TRIM(excelsalesdata[[#This Row],[City]])</f>
        <v>Ahmedabad</v>
      </c>
      <c r="J836" t="s">
        <v>191</v>
      </c>
      <c r="K836" t="s">
        <v>26</v>
      </c>
      <c r="L836" t="s">
        <v>54</v>
      </c>
      <c r="M836" t="s">
        <v>55</v>
      </c>
      <c r="N836" t="s">
        <v>55</v>
      </c>
      <c r="O836">
        <v>2</v>
      </c>
      <c r="P836">
        <v>7490</v>
      </c>
      <c r="Q836">
        <v>0.1</v>
      </c>
      <c r="R836">
        <v>4550</v>
      </c>
      <c r="S836" t="s">
        <v>56</v>
      </c>
      <c r="T836" t="s">
        <v>30</v>
      </c>
      <c r="U836">
        <v>1</v>
      </c>
      <c r="V836" t="s">
        <v>40</v>
      </c>
      <c r="W836">
        <f>excelsalesdata[[#This Row],[Quantity]]*excelsalesdata[[#This Row],[Unit_Price]]</f>
        <v>14980</v>
      </c>
      <c r="X836">
        <f>excelsalesdata[[#This Row],[Gross_sales]]*excelsalesdata[[#This Row],[Discount_%]]</f>
        <v>1498</v>
      </c>
      <c r="Y836">
        <f>excelsalesdata[[#This Row],[Gross_sales]]-excelsalesdata[[#This Row],[Discount_amt]]</f>
        <v>13482</v>
      </c>
      <c r="Z836" s="4">
        <f>excelsalesdata[[#This Row],[Net_sales]]-excelsalesdata[[#This Row],[Cost]]</f>
        <v>8932</v>
      </c>
      <c r="AA836" s="5">
        <f>excelsalesdata[[#This Row],[Profit]]/excelsalesdata[[#This Row],[Net_sales]]</f>
        <v>0.66251298026998962</v>
      </c>
      <c r="AB836" s="4">
        <f>YEAR(excelsalesdata[[#This Row],[Order_Date]])</f>
        <v>2027</v>
      </c>
      <c r="AC836" s="4" t="str">
        <f>TEXT(excelsalesdata[[#This Row],[Order_Date]],"mmm")</f>
        <v>Jul</v>
      </c>
      <c r="AD836" s="4" t="str">
        <f>"Q"&amp;ROUNDUP(MONTH(excelsalesdata[[#This Row],[Order_Date]])/3,0)</f>
        <v>Q3</v>
      </c>
    </row>
    <row r="837" spans="1:30" x14ac:dyDescent="0.35">
      <c r="A837" t="s">
        <v>1584</v>
      </c>
      <c r="B837" s="3">
        <v>46595</v>
      </c>
      <c r="C837" t="s">
        <v>1585</v>
      </c>
      <c r="D837" t="s">
        <v>1013</v>
      </c>
      <c r="E837" t="str">
        <f>TRIM(excelsalesdata[[#This Row],[Customer_Name]])</f>
        <v>Aarav Mehta</v>
      </c>
      <c r="F837" t="s">
        <v>23</v>
      </c>
      <c r="G837">
        <v>43</v>
      </c>
      <c r="H837" t="s">
        <v>190</v>
      </c>
      <c r="I837" t="str">
        <f>TRIM(excelsalesdata[[#This Row],[City]])</f>
        <v>Ahmedabad</v>
      </c>
      <c r="J837" t="s">
        <v>191</v>
      </c>
      <c r="K837" t="s">
        <v>26</v>
      </c>
      <c r="L837" t="s">
        <v>38</v>
      </c>
      <c r="M837" t="s">
        <v>73</v>
      </c>
      <c r="N837" t="s">
        <v>73</v>
      </c>
      <c r="O837">
        <v>1</v>
      </c>
      <c r="P837">
        <v>5130</v>
      </c>
      <c r="Q837">
        <v>0.05</v>
      </c>
      <c r="R837">
        <v>3240</v>
      </c>
      <c r="S837" t="s">
        <v>105</v>
      </c>
      <c r="T837" t="s">
        <v>30</v>
      </c>
      <c r="U837">
        <v>2</v>
      </c>
      <c r="V837" t="s">
        <v>31</v>
      </c>
      <c r="W837">
        <f>excelsalesdata[[#This Row],[Quantity]]*excelsalesdata[[#This Row],[Unit_Price]]</f>
        <v>5130</v>
      </c>
      <c r="X837">
        <f>excelsalesdata[[#This Row],[Gross_sales]]*excelsalesdata[[#This Row],[Discount_%]]</f>
        <v>256.5</v>
      </c>
      <c r="Y837">
        <f>excelsalesdata[[#This Row],[Gross_sales]]-excelsalesdata[[#This Row],[Discount_amt]]</f>
        <v>4873.5</v>
      </c>
      <c r="Z837" s="4">
        <f>excelsalesdata[[#This Row],[Net_sales]]-excelsalesdata[[#This Row],[Cost]]</f>
        <v>1633.5</v>
      </c>
      <c r="AA837" s="5">
        <f>excelsalesdata[[#This Row],[Profit]]/excelsalesdata[[#This Row],[Net_sales]]</f>
        <v>0.33518005540166207</v>
      </c>
      <c r="AB837" s="4">
        <f>YEAR(excelsalesdata[[#This Row],[Order_Date]])</f>
        <v>2027</v>
      </c>
      <c r="AC837" s="4" t="str">
        <f>TEXT(excelsalesdata[[#This Row],[Order_Date]],"mmm")</f>
        <v>Jul</v>
      </c>
      <c r="AD837" s="4" t="str">
        <f>"Q"&amp;ROUNDUP(MONTH(excelsalesdata[[#This Row],[Order_Date]])/3,0)</f>
        <v>Q3</v>
      </c>
    </row>
    <row r="838" spans="1:30" x14ac:dyDescent="0.35">
      <c r="A838" t="s">
        <v>1586</v>
      </c>
      <c r="B838" s="3">
        <v>46596</v>
      </c>
      <c r="C838" t="s">
        <v>585</v>
      </c>
      <c r="D838" t="s">
        <v>231</v>
      </c>
      <c r="E838" t="str">
        <f>TRIM(excelsalesdata[[#This Row],[Customer_Name]])</f>
        <v>Ananya Verma</v>
      </c>
      <c r="F838" t="s">
        <v>44</v>
      </c>
      <c r="G838">
        <v>53</v>
      </c>
      <c r="H838" t="s">
        <v>45</v>
      </c>
      <c r="I838" t="str">
        <f>TRIM(excelsalesdata[[#This Row],[City]])</f>
        <v>Kochi</v>
      </c>
      <c r="J838" t="s">
        <v>46</v>
      </c>
      <c r="K838" t="s">
        <v>47</v>
      </c>
      <c r="L838" t="s">
        <v>38</v>
      </c>
      <c r="M838" t="s">
        <v>119</v>
      </c>
      <c r="N838" t="s">
        <v>119</v>
      </c>
      <c r="O838">
        <v>1</v>
      </c>
      <c r="P838">
        <v>8520</v>
      </c>
      <c r="Q838">
        <v>0.15</v>
      </c>
      <c r="R838">
        <v>5780</v>
      </c>
      <c r="S838" t="s">
        <v>151</v>
      </c>
      <c r="T838" t="s">
        <v>99</v>
      </c>
      <c r="U838">
        <v>1</v>
      </c>
      <c r="V838" t="s">
        <v>31</v>
      </c>
      <c r="W838">
        <f>excelsalesdata[[#This Row],[Quantity]]*excelsalesdata[[#This Row],[Unit_Price]]</f>
        <v>8520</v>
      </c>
      <c r="X838">
        <f>excelsalesdata[[#This Row],[Gross_sales]]*excelsalesdata[[#This Row],[Discount_%]]</f>
        <v>1278</v>
      </c>
      <c r="Y838">
        <f>excelsalesdata[[#This Row],[Gross_sales]]-excelsalesdata[[#This Row],[Discount_amt]]</f>
        <v>7242</v>
      </c>
      <c r="Z838" s="4">
        <f>excelsalesdata[[#This Row],[Net_sales]]-excelsalesdata[[#This Row],[Cost]]</f>
        <v>1462</v>
      </c>
      <c r="AA838" s="5">
        <f>excelsalesdata[[#This Row],[Profit]]/excelsalesdata[[#This Row],[Net_sales]]</f>
        <v>0.20187793427230047</v>
      </c>
      <c r="AB838" s="4">
        <f>YEAR(excelsalesdata[[#This Row],[Order_Date]])</f>
        <v>2027</v>
      </c>
      <c r="AC838" s="4" t="str">
        <f>TEXT(excelsalesdata[[#This Row],[Order_Date]],"mmm")</f>
        <v>Jul</v>
      </c>
      <c r="AD838" s="4" t="str">
        <f>"Q"&amp;ROUNDUP(MONTH(excelsalesdata[[#This Row],[Order_Date]])/3,0)</f>
        <v>Q3</v>
      </c>
    </row>
    <row r="839" spans="1:30" x14ac:dyDescent="0.35">
      <c r="A839" t="s">
        <v>1587</v>
      </c>
      <c r="B839" s="3">
        <v>46597</v>
      </c>
      <c r="C839" t="s">
        <v>558</v>
      </c>
      <c r="D839" t="s">
        <v>527</v>
      </c>
      <c r="E839" t="str">
        <f>TRIM(excelsalesdata[[#This Row],[Customer_Name]])</f>
        <v>Aditya Sharma</v>
      </c>
      <c r="F839" t="s">
        <v>44</v>
      </c>
      <c r="G839">
        <v>33</v>
      </c>
      <c r="H839" t="s">
        <v>98</v>
      </c>
      <c r="I839" t="str">
        <f>TRIM(excelsalesdata[[#This Row],[City]])</f>
        <v>Mumbai</v>
      </c>
      <c r="J839" t="s">
        <v>25</v>
      </c>
      <c r="K839" t="s">
        <v>26</v>
      </c>
      <c r="L839" t="s">
        <v>54</v>
      </c>
      <c r="M839" t="s">
        <v>55</v>
      </c>
      <c r="N839" t="s">
        <v>55</v>
      </c>
      <c r="O839">
        <v>1</v>
      </c>
      <c r="P839">
        <v>6750</v>
      </c>
      <c r="Q839">
        <v>0.2</v>
      </c>
      <c r="R839">
        <v>4410</v>
      </c>
      <c r="S839" t="s">
        <v>29</v>
      </c>
      <c r="T839" t="s">
        <v>30</v>
      </c>
      <c r="U839">
        <v>3</v>
      </c>
      <c r="V839" t="s">
        <v>31</v>
      </c>
      <c r="W839">
        <f>excelsalesdata[[#This Row],[Quantity]]*excelsalesdata[[#This Row],[Unit_Price]]</f>
        <v>6750</v>
      </c>
      <c r="X839">
        <f>excelsalesdata[[#This Row],[Gross_sales]]*excelsalesdata[[#This Row],[Discount_%]]</f>
        <v>1350</v>
      </c>
      <c r="Y839">
        <f>excelsalesdata[[#This Row],[Gross_sales]]-excelsalesdata[[#This Row],[Discount_amt]]</f>
        <v>5400</v>
      </c>
      <c r="Z839" s="4">
        <f>excelsalesdata[[#This Row],[Net_sales]]-excelsalesdata[[#This Row],[Cost]]</f>
        <v>990</v>
      </c>
      <c r="AA839" s="5">
        <f>excelsalesdata[[#This Row],[Profit]]/excelsalesdata[[#This Row],[Net_sales]]</f>
        <v>0.18333333333333332</v>
      </c>
      <c r="AB839" s="4">
        <f>YEAR(excelsalesdata[[#This Row],[Order_Date]])</f>
        <v>2027</v>
      </c>
      <c r="AC839" s="4" t="str">
        <f>TEXT(excelsalesdata[[#This Row],[Order_Date]],"mmm")</f>
        <v>Jul</v>
      </c>
      <c r="AD839" s="4" t="str">
        <f>"Q"&amp;ROUNDUP(MONTH(excelsalesdata[[#This Row],[Order_Date]])/3,0)</f>
        <v>Q3</v>
      </c>
    </row>
    <row r="840" spans="1:30" x14ac:dyDescent="0.35">
      <c r="A840" t="s">
        <v>1588</v>
      </c>
      <c r="B840" s="3">
        <v>46598</v>
      </c>
      <c r="C840" t="s">
        <v>1550</v>
      </c>
      <c r="D840" t="s">
        <v>368</v>
      </c>
      <c r="E840" t="str">
        <f>TRIM(excelsalesdata[[#This Row],[Customer_Name]])</f>
        <v>Aditya Naidu</v>
      </c>
      <c r="F840" t="s">
        <v>44</v>
      </c>
      <c r="G840">
        <v>43</v>
      </c>
      <c r="H840" t="s">
        <v>24</v>
      </c>
      <c r="I840" t="str">
        <f>TRIM(excelsalesdata[[#This Row],[City]])</f>
        <v>Pune</v>
      </c>
      <c r="J840" t="s">
        <v>25</v>
      </c>
      <c r="K840" t="s">
        <v>26</v>
      </c>
      <c r="L840" t="s">
        <v>85</v>
      </c>
      <c r="M840" t="s">
        <v>110</v>
      </c>
      <c r="N840" t="s">
        <v>110</v>
      </c>
      <c r="O840">
        <v>2</v>
      </c>
      <c r="P840">
        <v>1290</v>
      </c>
      <c r="Q840">
        <v>0.05</v>
      </c>
      <c r="R840">
        <v>600</v>
      </c>
      <c r="S840" t="s">
        <v>151</v>
      </c>
      <c r="T840" t="s">
        <v>30</v>
      </c>
      <c r="U840">
        <v>2</v>
      </c>
      <c r="V840" t="s">
        <v>40</v>
      </c>
      <c r="W840">
        <f>excelsalesdata[[#This Row],[Quantity]]*excelsalesdata[[#This Row],[Unit_Price]]</f>
        <v>2580</v>
      </c>
      <c r="X840">
        <f>excelsalesdata[[#This Row],[Gross_sales]]*excelsalesdata[[#This Row],[Discount_%]]</f>
        <v>129</v>
      </c>
      <c r="Y840">
        <f>excelsalesdata[[#This Row],[Gross_sales]]-excelsalesdata[[#This Row],[Discount_amt]]</f>
        <v>2451</v>
      </c>
      <c r="Z840" s="4">
        <f>excelsalesdata[[#This Row],[Net_sales]]-excelsalesdata[[#This Row],[Cost]]</f>
        <v>1851</v>
      </c>
      <c r="AA840" s="5">
        <f>excelsalesdata[[#This Row],[Profit]]/excelsalesdata[[#This Row],[Net_sales]]</f>
        <v>0.75520195838433291</v>
      </c>
      <c r="AB840" s="4">
        <f>YEAR(excelsalesdata[[#This Row],[Order_Date]])</f>
        <v>2027</v>
      </c>
      <c r="AC840" s="4" t="str">
        <f>TEXT(excelsalesdata[[#This Row],[Order_Date]],"mmm")</f>
        <v>Jul</v>
      </c>
      <c r="AD840" s="4" t="str">
        <f>"Q"&amp;ROUNDUP(MONTH(excelsalesdata[[#This Row],[Order_Date]])/3,0)</f>
        <v>Q3</v>
      </c>
    </row>
    <row r="841" spans="1:30" x14ac:dyDescent="0.35">
      <c r="A841" t="s">
        <v>1589</v>
      </c>
      <c r="B841" s="3">
        <v>46599</v>
      </c>
      <c r="C841" t="s">
        <v>221</v>
      </c>
      <c r="D841" t="s">
        <v>693</v>
      </c>
      <c r="E841" t="str">
        <f>TRIM(excelsalesdata[[#This Row],[Customer_Name]])</f>
        <v>Ishita Shah</v>
      </c>
      <c r="F841" t="s">
        <v>44</v>
      </c>
      <c r="G841">
        <v>28</v>
      </c>
      <c r="H841" t="s">
        <v>98</v>
      </c>
      <c r="I841" t="str">
        <f>TRIM(excelsalesdata[[#This Row],[City]])</f>
        <v>Mumbai</v>
      </c>
      <c r="J841" t="s">
        <v>25</v>
      </c>
      <c r="K841" t="s">
        <v>26</v>
      </c>
      <c r="L841" t="s">
        <v>27</v>
      </c>
      <c r="M841" t="s">
        <v>28</v>
      </c>
      <c r="N841" t="s">
        <v>28</v>
      </c>
      <c r="O841">
        <v>1</v>
      </c>
      <c r="P841">
        <v>3500</v>
      </c>
      <c r="Q841">
        <v>0.1</v>
      </c>
      <c r="R841">
        <v>2070</v>
      </c>
      <c r="S841" t="s">
        <v>105</v>
      </c>
      <c r="T841" t="s">
        <v>30</v>
      </c>
      <c r="U841">
        <v>3</v>
      </c>
      <c r="V841" t="s">
        <v>40</v>
      </c>
      <c r="W841">
        <f>excelsalesdata[[#This Row],[Quantity]]*excelsalesdata[[#This Row],[Unit_Price]]</f>
        <v>3500</v>
      </c>
      <c r="X841">
        <f>excelsalesdata[[#This Row],[Gross_sales]]*excelsalesdata[[#This Row],[Discount_%]]</f>
        <v>350</v>
      </c>
      <c r="Y841">
        <f>excelsalesdata[[#This Row],[Gross_sales]]-excelsalesdata[[#This Row],[Discount_amt]]</f>
        <v>3150</v>
      </c>
      <c r="Z841" s="4">
        <f>excelsalesdata[[#This Row],[Net_sales]]-excelsalesdata[[#This Row],[Cost]]</f>
        <v>1080</v>
      </c>
      <c r="AA841" s="5">
        <f>excelsalesdata[[#This Row],[Profit]]/excelsalesdata[[#This Row],[Net_sales]]</f>
        <v>0.34285714285714286</v>
      </c>
      <c r="AB841" s="4">
        <f>YEAR(excelsalesdata[[#This Row],[Order_Date]])</f>
        <v>2027</v>
      </c>
      <c r="AC841" s="4" t="str">
        <f>TEXT(excelsalesdata[[#This Row],[Order_Date]],"mmm")</f>
        <v>Jul</v>
      </c>
      <c r="AD841" s="4" t="str">
        <f>"Q"&amp;ROUNDUP(MONTH(excelsalesdata[[#This Row],[Order_Date]])/3,0)</f>
        <v>Q3</v>
      </c>
    </row>
    <row r="842" spans="1:30" x14ac:dyDescent="0.35">
      <c r="A842" t="s">
        <v>1590</v>
      </c>
      <c r="B842" s="3">
        <v>46600</v>
      </c>
      <c r="C842" t="s">
        <v>267</v>
      </c>
      <c r="D842" t="s">
        <v>1592</v>
      </c>
      <c r="E842" t="str">
        <f>TRIM(excelsalesdata[[#This Row],[Customer_Name]])</f>
        <v>Aditya Iyer</v>
      </c>
      <c r="F842" t="s">
        <v>44</v>
      </c>
      <c r="G842">
        <v>55</v>
      </c>
      <c r="H842" t="s">
        <v>52</v>
      </c>
      <c r="I842" t="str">
        <f>TRIM(excelsalesdata[[#This Row],[City]])</f>
        <v>Bengaluru</v>
      </c>
      <c r="J842" t="s">
        <v>53</v>
      </c>
      <c r="K842" t="s">
        <v>47</v>
      </c>
      <c r="L842" t="s">
        <v>85</v>
      </c>
      <c r="M842" t="s">
        <v>251</v>
      </c>
      <c r="N842" t="s">
        <v>251</v>
      </c>
      <c r="O842">
        <v>4</v>
      </c>
      <c r="P842">
        <v>3410</v>
      </c>
      <c r="Q842">
        <v>0.05</v>
      </c>
      <c r="R842">
        <v>1990</v>
      </c>
      <c r="S842" t="s">
        <v>29</v>
      </c>
      <c r="T842" t="s">
        <v>30</v>
      </c>
      <c r="U842">
        <v>6</v>
      </c>
      <c r="V842" t="s">
        <v>31</v>
      </c>
      <c r="W842">
        <f>excelsalesdata[[#This Row],[Quantity]]*excelsalesdata[[#This Row],[Unit_Price]]</f>
        <v>13640</v>
      </c>
      <c r="X842">
        <f>excelsalesdata[[#This Row],[Gross_sales]]*excelsalesdata[[#This Row],[Discount_%]]</f>
        <v>682</v>
      </c>
      <c r="Y842">
        <f>excelsalesdata[[#This Row],[Gross_sales]]-excelsalesdata[[#This Row],[Discount_amt]]</f>
        <v>12958</v>
      </c>
      <c r="Z842" s="4">
        <f>excelsalesdata[[#This Row],[Net_sales]]-excelsalesdata[[#This Row],[Cost]]</f>
        <v>10968</v>
      </c>
      <c r="AA842" s="5">
        <f>excelsalesdata[[#This Row],[Profit]]/excelsalesdata[[#This Row],[Net_sales]]</f>
        <v>0.8464269177342183</v>
      </c>
      <c r="AB842" s="4">
        <f>YEAR(excelsalesdata[[#This Row],[Order_Date]])</f>
        <v>2027</v>
      </c>
      <c r="AC842" s="4" t="str">
        <f>TEXT(excelsalesdata[[#This Row],[Order_Date]],"mmm")</f>
        <v>Aug</v>
      </c>
      <c r="AD842" s="4" t="str">
        <f>"Q"&amp;ROUNDUP(MONTH(excelsalesdata[[#This Row],[Order_Date]])/3,0)</f>
        <v>Q3</v>
      </c>
    </row>
    <row r="843" spans="1:30" x14ac:dyDescent="0.35">
      <c r="A843" t="s">
        <v>1591</v>
      </c>
      <c r="B843" s="3">
        <v>46601</v>
      </c>
      <c r="C843" t="s">
        <v>556</v>
      </c>
      <c r="D843" t="s">
        <v>1374</v>
      </c>
      <c r="E843" t="str">
        <f>TRIM(excelsalesdata[[#This Row],[Customer_Name]])</f>
        <v>Karan Joshi</v>
      </c>
      <c r="F843" t="s">
        <v>44</v>
      </c>
      <c r="G843">
        <v>47</v>
      </c>
      <c r="H843" t="s">
        <v>78</v>
      </c>
      <c r="I843" t="str">
        <f>TRIM(excelsalesdata[[#This Row],[City]])</f>
        <v>Guwahati</v>
      </c>
      <c r="J843" t="s">
        <v>79</v>
      </c>
      <c r="K843" t="s">
        <v>37</v>
      </c>
      <c r="L843" t="s">
        <v>27</v>
      </c>
      <c r="M843" t="s">
        <v>295</v>
      </c>
      <c r="N843" t="s">
        <v>295</v>
      </c>
      <c r="O843">
        <v>2</v>
      </c>
      <c r="P843">
        <v>4000</v>
      </c>
      <c r="Q843">
        <v>0.25</v>
      </c>
      <c r="R843">
        <v>2540</v>
      </c>
      <c r="S843" t="s">
        <v>29</v>
      </c>
      <c r="T843" t="s">
        <v>30</v>
      </c>
      <c r="U843">
        <v>4</v>
      </c>
      <c r="V843" t="s">
        <v>40</v>
      </c>
      <c r="W843">
        <f>excelsalesdata[[#This Row],[Quantity]]*excelsalesdata[[#This Row],[Unit_Price]]</f>
        <v>8000</v>
      </c>
      <c r="X843">
        <f>excelsalesdata[[#This Row],[Gross_sales]]*excelsalesdata[[#This Row],[Discount_%]]</f>
        <v>2000</v>
      </c>
      <c r="Y843">
        <f>excelsalesdata[[#This Row],[Gross_sales]]-excelsalesdata[[#This Row],[Discount_amt]]</f>
        <v>6000</v>
      </c>
      <c r="Z843" s="4">
        <f>excelsalesdata[[#This Row],[Net_sales]]-excelsalesdata[[#This Row],[Cost]]</f>
        <v>3460</v>
      </c>
      <c r="AA843" s="5">
        <f>excelsalesdata[[#This Row],[Profit]]/excelsalesdata[[#This Row],[Net_sales]]</f>
        <v>0.57666666666666666</v>
      </c>
      <c r="AB843" s="4">
        <f>YEAR(excelsalesdata[[#This Row],[Order_Date]])</f>
        <v>2027</v>
      </c>
      <c r="AC843" s="4" t="str">
        <f>TEXT(excelsalesdata[[#This Row],[Order_Date]],"mmm")</f>
        <v>Aug</v>
      </c>
      <c r="AD843" s="4" t="str">
        <f>"Q"&amp;ROUNDUP(MONTH(excelsalesdata[[#This Row],[Order_Date]])/3,0)</f>
        <v>Q3</v>
      </c>
    </row>
    <row r="844" spans="1:30" x14ac:dyDescent="0.35">
      <c r="A844" t="s">
        <v>1593</v>
      </c>
      <c r="B844" s="3">
        <v>46602</v>
      </c>
      <c r="C844" t="s">
        <v>1141</v>
      </c>
      <c r="D844" t="s">
        <v>474</v>
      </c>
      <c r="E844" t="str">
        <f>TRIM(excelsalesdata[[#This Row],[Customer_Name]])</f>
        <v>Arjun Gupta</v>
      </c>
      <c r="F844" t="s">
        <v>44</v>
      </c>
      <c r="G844">
        <v>52</v>
      </c>
      <c r="H844" t="s">
        <v>78</v>
      </c>
      <c r="I844" t="str">
        <f>TRIM(excelsalesdata[[#This Row],[City]])</f>
        <v>Guwahati</v>
      </c>
      <c r="J844" t="s">
        <v>79</v>
      </c>
      <c r="K844" t="s">
        <v>37</v>
      </c>
      <c r="L844" t="s">
        <v>54</v>
      </c>
      <c r="M844" t="s">
        <v>157</v>
      </c>
      <c r="N844" t="s">
        <v>157</v>
      </c>
      <c r="O844">
        <v>1</v>
      </c>
      <c r="P844">
        <v>52760</v>
      </c>
      <c r="Q844">
        <v>0.25</v>
      </c>
      <c r="R844">
        <v>39930</v>
      </c>
      <c r="S844" t="s">
        <v>67</v>
      </c>
      <c r="T844" t="s">
        <v>30</v>
      </c>
      <c r="U844">
        <v>7</v>
      </c>
      <c r="V844" t="s">
        <v>40</v>
      </c>
      <c r="W844">
        <f>excelsalesdata[[#This Row],[Quantity]]*excelsalesdata[[#This Row],[Unit_Price]]</f>
        <v>52760</v>
      </c>
      <c r="X844">
        <f>excelsalesdata[[#This Row],[Gross_sales]]*excelsalesdata[[#This Row],[Discount_%]]</f>
        <v>13190</v>
      </c>
      <c r="Y844">
        <f>excelsalesdata[[#This Row],[Gross_sales]]-excelsalesdata[[#This Row],[Discount_amt]]</f>
        <v>39570</v>
      </c>
      <c r="Z844" s="4">
        <f>excelsalesdata[[#This Row],[Net_sales]]-excelsalesdata[[#This Row],[Cost]]</f>
        <v>-360</v>
      </c>
      <c r="AA844" s="5">
        <f>excelsalesdata[[#This Row],[Profit]]/excelsalesdata[[#This Row],[Net_sales]]</f>
        <v>-9.0978013646702046E-3</v>
      </c>
      <c r="AB844" s="4">
        <f>YEAR(excelsalesdata[[#This Row],[Order_Date]])</f>
        <v>2027</v>
      </c>
      <c r="AC844" s="4" t="str">
        <f>TEXT(excelsalesdata[[#This Row],[Order_Date]],"mmm")</f>
        <v>Aug</v>
      </c>
      <c r="AD844" s="4" t="str">
        <f>"Q"&amp;ROUNDUP(MONTH(excelsalesdata[[#This Row],[Order_Date]])/3,0)</f>
        <v>Q3</v>
      </c>
    </row>
    <row r="845" spans="1:30" x14ac:dyDescent="0.35">
      <c r="A845" t="s">
        <v>1594</v>
      </c>
      <c r="B845" s="3">
        <v>46603</v>
      </c>
      <c r="C845" t="s">
        <v>1595</v>
      </c>
      <c r="D845" t="s">
        <v>429</v>
      </c>
      <c r="E845" t="str">
        <f>TRIM(excelsalesdata[[#This Row],[Customer_Name]])</f>
        <v>Arjun Patel</v>
      </c>
      <c r="F845" t="s">
        <v>44</v>
      </c>
      <c r="G845">
        <v>38</v>
      </c>
      <c r="H845" t="s">
        <v>109</v>
      </c>
      <c r="I845" t="str">
        <f>TRIM(excelsalesdata[[#This Row],[City]])</f>
        <v>Mysuru</v>
      </c>
      <c r="J845" t="s">
        <v>53</v>
      </c>
      <c r="K845" t="s">
        <v>47</v>
      </c>
      <c r="L845" t="s">
        <v>27</v>
      </c>
      <c r="M845" t="s">
        <v>28</v>
      </c>
      <c r="N845" t="s">
        <v>28</v>
      </c>
      <c r="O845">
        <v>3</v>
      </c>
      <c r="P845">
        <v>3360</v>
      </c>
      <c r="Q845">
        <v>0.05</v>
      </c>
      <c r="R845">
        <v>2170</v>
      </c>
      <c r="S845" t="s">
        <v>80</v>
      </c>
      <c r="T845" t="s">
        <v>30</v>
      </c>
      <c r="U845">
        <v>3</v>
      </c>
      <c r="V845" t="s">
        <v>40</v>
      </c>
      <c r="W845">
        <f>excelsalesdata[[#This Row],[Quantity]]*excelsalesdata[[#This Row],[Unit_Price]]</f>
        <v>10080</v>
      </c>
      <c r="X845">
        <f>excelsalesdata[[#This Row],[Gross_sales]]*excelsalesdata[[#This Row],[Discount_%]]</f>
        <v>504</v>
      </c>
      <c r="Y845">
        <f>excelsalesdata[[#This Row],[Gross_sales]]-excelsalesdata[[#This Row],[Discount_amt]]</f>
        <v>9576</v>
      </c>
      <c r="Z845" s="4">
        <f>excelsalesdata[[#This Row],[Net_sales]]-excelsalesdata[[#This Row],[Cost]]</f>
        <v>7406</v>
      </c>
      <c r="AA845" s="5">
        <f>excelsalesdata[[#This Row],[Profit]]/excelsalesdata[[#This Row],[Net_sales]]</f>
        <v>0.77339181286549707</v>
      </c>
      <c r="AB845" s="4">
        <f>YEAR(excelsalesdata[[#This Row],[Order_Date]])</f>
        <v>2027</v>
      </c>
      <c r="AC845" s="4" t="str">
        <f>TEXT(excelsalesdata[[#This Row],[Order_Date]],"mmm")</f>
        <v>Aug</v>
      </c>
      <c r="AD845" s="4" t="str">
        <f>"Q"&amp;ROUNDUP(MONTH(excelsalesdata[[#This Row],[Order_Date]])/3,0)</f>
        <v>Q3</v>
      </c>
    </row>
    <row r="846" spans="1:30" x14ac:dyDescent="0.35">
      <c r="A846" t="s">
        <v>1596</v>
      </c>
      <c r="B846" s="3">
        <v>46604</v>
      </c>
      <c r="C846" t="s">
        <v>1597</v>
      </c>
      <c r="D846" t="s">
        <v>553</v>
      </c>
      <c r="E846" t="str">
        <f>TRIM(excelsalesdata[[#This Row],[Customer_Name]])</f>
        <v>Vivaan Reddy</v>
      </c>
      <c r="F846" t="s">
        <v>23</v>
      </c>
      <c r="G846">
        <v>31</v>
      </c>
      <c r="H846" t="s">
        <v>155</v>
      </c>
      <c r="I846" t="str">
        <f>TRIM(excelsalesdata[[#This Row],[City]])</f>
        <v>Chennai</v>
      </c>
      <c r="J846" t="s">
        <v>156</v>
      </c>
      <c r="K846" t="s">
        <v>47</v>
      </c>
      <c r="L846" t="s">
        <v>38</v>
      </c>
      <c r="M846" t="s">
        <v>39</v>
      </c>
      <c r="N846" t="s">
        <v>39</v>
      </c>
      <c r="O846">
        <v>1</v>
      </c>
      <c r="P846">
        <v>6720</v>
      </c>
      <c r="Q846">
        <v>0</v>
      </c>
      <c r="R846">
        <v>4040</v>
      </c>
      <c r="S846" t="s">
        <v>80</v>
      </c>
      <c r="T846" t="s">
        <v>30</v>
      </c>
      <c r="U846">
        <v>7</v>
      </c>
      <c r="V846" t="s">
        <v>40</v>
      </c>
      <c r="W846">
        <f>excelsalesdata[[#This Row],[Quantity]]*excelsalesdata[[#This Row],[Unit_Price]]</f>
        <v>6720</v>
      </c>
      <c r="X846">
        <f>excelsalesdata[[#This Row],[Gross_sales]]*excelsalesdata[[#This Row],[Discount_%]]</f>
        <v>0</v>
      </c>
      <c r="Y846">
        <f>excelsalesdata[[#This Row],[Gross_sales]]-excelsalesdata[[#This Row],[Discount_amt]]</f>
        <v>6720</v>
      </c>
      <c r="Z846" s="4">
        <f>excelsalesdata[[#This Row],[Net_sales]]-excelsalesdata[[#This Row],[Cost]]</f>
        <v>2680</v>
      </c>
      <c r="AA846" s="5">
        <f>excelsalesdata[[#This Row],[Profit]]/excelsalesdata[[#This Row],[Net_sales]]</f>
        <v>0.39880952380952384</v>
      </c>
      <c r="AB846" s="4">
        <f>YEAR(excelsalesdata[[#This Row],[Order_Date]])</f>
        <v>2027</v>
      </c>
      <c r="AC846" s="4" t="str">
        <f>TEXT(excelsalesdata[[#This Row],[Order_Date]],"mmm")</f>
        <v>Aug</v>
      </c>
      <c r="AD846" s="4" t="str">
        <f>"Q"&amp;ROUNDUP(MONTH(excelsalesdata[[#This Row],[Order_Date]])/3,0)</f>
        <v>Q3</v>
      </c>
    </row>
    <row r="847" spans="1:30" x14ac:dyDescent="0.35">
      <c r="A847" t="s">
        <v>1598</v>
      </c>
      <c r="B847" s="3">
        <v>46605</v>
      </c>
      <c r="C847" t="s">
        <v>1388</v>
      </c>
      <c r="D847" t="s">
        <v>1507</v>
      </c>
      <c r="E847" t="str">
        <f>TRIM(excelsalesdata[[#This Row],[Customer_Name]])</f>
        <v>Aarav Shah</v>
      </c>
      <c r="F847" t="s">
        <v>23</v>
      </c>
      <c r="G847">
        <v>32</v>
      </c>
      <c r="H847" t="s">
        <v>78</v>
      </c>
      <c r="I847" t="str">
        <f>TRIM(excelsalesdata[[#This Row],[City]])</f>
        <v>Guwahati</v>
      </c>
      <c r="J847" t="s">
        <v>79</v>
      </c>
      <c r="K847" t="s">
        <v>37</v>
      </c>
      <c r="L847" t="s">
        <v>38</v>
      </c>
      <c r="M847" t="s">
        <v>39</v>
      </c>
      <c r="N847" t="s">
        <v>39</v>
      </c>
      <c r="O847">
        <v>3</v>
      </c>
      <c r="P847">
        <v>6880</v>
      </c>
      <c r="Q847">
        <v>0</v>
      </c>
      <c r="R847">
        <v>4280</v>
      </c>
      <c r="S847" t="s">
        <v>29</v>
      </c>
      <c r="T847" t="s">
        <v>30</v>
      </c>
      <c r="U847">
        <v>4</v>
      </c>
      <c r="V847" t="s">
        <v>31</v>
      </c>
      <c r="W847">
        <f>excelsalesdata[[#This Row],[Quantity]]*excelsalesdata[[#This Row],[Unit_Price]]</f>
        <v>20640</v>
      </c>
      <c r="X847">
        <f>excelsalesdata[[#This Row],[Gross_sales]]*excelsalesdata[[#This Row],[Discount_%]]</f>
        <v>0</v>
      </c>
      <c r="Y847">
        <f>excelsalesdata[[#This Row],[Gross_sales]]-excelsalesdata[[#This Row],[Discount_amt]]</f>
        <v>20640</v>
      </c>
      <c r="Z847" s="4">
        <f>excelsalesdata[[#This Row],[Net_sales]]-excelsalesdata[[#This Row],[Cost]]</f>
        <v>16360</v>
      </c>
      <c r="AA847" s="5">
        <f>excelsalesdata[[#This Row],[Profit]]/excelsalesdata[[#This Row],[Net_sales]]</f>
        <v>0.79263565891472865</v>
      </c>
      <c r="AB847" s="4">
        <f>YEAR(excelsalesdata[[#This Row],[Order_Date]])</f>
        <v>2027</v>
      </c>
      <c r="AC847" s="4" t="str">
        <f>TEXT(excelsalesdata[[#This Row],[Order_Date]],"mmm")</f>
        <v>Aug</v>
      </c>
      <c r="AD847" s="4" t="str">
        <f>"Q"&amp;ROUNDUP(MONTH(excelsalesdata[[#This Row],[Order_Date]])/3,0)</f>
        <v>Q3</v>
      </c>
    </row>
    <row r="848" spans="1:30" x14ac:dyDescent="0.35">
      <c r="A848" t="s">
        <v>1599</v>
      </c>
      <c r="B848" s="3">
        <v>46606</v>
      </c>
      <c r="C848" t="s">
        <v>1003</v>
      </c>
      <c r="D848" t="s">
        <v>658</v>
      </c>
      <c r="E848" t="str">
        <f>TRIM(excelsalesdata[[#This Row],[Customer_Name]])</f>
        <v>Vikram Mehta</v>
      </c>
      <c r="F848" t="s">
        <v>44</v>
      </c>
      <c r="G848">
        <v>55</v>
      </c>
      <c r="H848" t="s">
        <v>114</v>
      </c>
      <c r="I848" t="str">
        <f>TRIM(excelsalesdata[[#This Row],[City]])</f>
        <v>Hyderabad</v>
      </c>
      <c r="J848" t="s">
        <v>115</v>
      </c>
      <c r="K848" t="s">
        <v>47</v>
      </c>
      <c r="L848" t="s">
        <v>54</v>
      </c>
      <c r="M848" t="s">
        <v>62</v>
      </c>
      <c r="N848" t="s">
        <v>62</v>
      </c>
      <c r="O848">
        <v>4</v>
      </c>
      <c r="P848">
        <v>21440</v>
      </c>
      <c r="Q848">
        <v>0.1</v>
      </c>
      <c r="R848">
        <v>15440</v>
      </c>
      <c r="S848" t="s">
        <v>29</v>
      </c>
      <c r="T848" t="s">
        <v>30</v>
      </c>
      <c r="U848">
        <v>5</v>
      </c>
      <c r="V848" t="s">
        <v>40</v>
      </c>
      <c r="W848">
        <f>excelsalesdata[[#This Row],[Quantity]]*excelsalesdata[[#This Row],[Unit_Price]]</f>
        <v>85760</v>
      </c>
      <c r="X848">
        <f>excelsalesdata[[#This Row],[Gross_sales]]*excelsalesdata[[#This Row],[Discount_%]]</f>
        <v>8576</v>
      </c>
      <c r="Y848">
        <f>excelsalesdata[[#This Row],[Gross_sales]]-excelsalesdata[[#This Row],[Discount_amt]]</f>
        <v>77184</v>
      </c>
      <c r="Z848" s="4">
        <f>excelsalesdata[[#This Row],[Net_sales]]-excelsalesdata[[#This Row],[Cost]]</f>
        <v>61744</v>
      </c>
      <c r="AA848" s="5">
        <f>excelsalesdata[[#This Row],[Profit]]/excelsalesdata[[#This Row],[Net_sales]]</f>
        <v>0.79995854063018246</v>
      </c>
      <c r="AB848" s="4">
        <f>YEAR(excelsalesdata[[#This Row],[Order_Date]])</f>
        <v>2027</v>
      </c>
      <c r="AC848" s="4" t="str">
        <f>TEXT(excelsalesdata[[#This Row],[Order_Date]],"mmm")</f>
        <v>Aug</v>
      </c>
      <c r="AD848" s="4" t="str">
        <f>"Q"&amp;ROUNDUP(MONTH(excelsalesdata[[#This Row],[Order_Date]])/3,0)</f>
        <v>Q3</v>
      </c>
    </row>
    <row r="849" spans="1:30" x14ac:dyDescent="0.35">
      <c r="A849" t="s">
        <v>1600</v>
      </c>
      <c r="B849" s="3">
        <v>46607</v>
      </c>
      <c r="C849" t="s">
        <v>1571</v>
      </c>
      <c r="D849" t="s">
        <v>325</v>
      </c>
      <c r="E849" t="str">
        <f>TRIM(excelsalesdata[[#This Row],[Customer_Name]])</f>
        <v>Ishita Iyer</v>
      </c>
      <c r="F849" t="s">
        <v>44</v>
      </c>
      <c r="G849">
        <v>29</v>
      </c>
      <c r="H849" t="s">
        <v>185</v>
      </c>
      <c r="I849" t="str">
        <f>TRIM(excelsalesdata[[#This Row],[City]])</f>
        <v>Lucknow</v>
      </c>
      <c r="J849" t="s">
        <v>186</v>
      </c>
      <c r="K849" t="s">
        <v>61</v>
      </c>
      <c r="L849" t="s">
        <v>38</v>
      </c>
      <c r="M849" t="s">
        <v>39</v>
      </c>
      <c r="N849" t="s">
        <v>39</v>
      </c>
      <c r="O849">
        <v>1</v>
      </c>
      <c r="P849">
        <v>6440</v>
      </c>
      <c r="Q849">
        <v>0.2</v>
      </c>
      <c r="R849">
        <v>4240</v>
      </c>
      <c r="S849" t="s">
        <v>151</v>
      </c>
      <c r="T849" t="s">
        <v>30</v>
      </c>
      <c r="U849">
        <v>8</v>
      </c>
      <c r="V849" t="s">
        <v>40</v>
      </c>
      <c r="W849">
        <f>excelsalesdata[[#This Row],[Quantity]]*excelsalesdata[[#This Row],[Unit_Price]]</f>
        <v>6440</v>
      </c>
      <c r="X849">
        <f>excelsalesdata[[#This Row],[Gross_sales]]*excelsalesdata[[#This Row],[Discount_%]]</f>
        <v>1288</v>
      </c>
      <c r="Y849">
        <f>excelsalesdata[[#This Row],[Gross_sales]]-excelsalesdata[[#This Row],[Discount_amt]]</f>
        <v>5152</v>
      </c>
      <c r="Z849" s="4">
        <f>excelsalesdata[[#This Row],[Net_sales]]-excelsalesdata[[#This Row],[Cost]]</f>
        <v>912</v>
      </c>
      <c r="AA849" s="5">
        <f>excelsalesdata[[#This Row],[Profit]]/excelsalesdata[[#This Row],[Net_sales]]</f>
        <v>0.17701863354037267</v>
      </c>
      <c r="AB849" s="4">
        <f>YEAR(excelsalesdata[[#This Row],[Order_Date]])</f>
        <v>2027</v>
      </c>
      <c r="AC849" s="4" t="str">
        <f>TEXT(excelsalesdata[[#This Row],[Order_Date]],"mmm")</f>
        <v>Aug</v>
      </c>
      <c r="AD849" s="4" t="str">
        <f>"Q"&amp;ROUNDUP(MONTH(excelsalesdata[[#This Row],[Order_Date]])/3,0)</f>
        <v>Q3</v>
      </c>
    </row>
    <row r="850" spans="1:30" x14ac:dyDescent="0.35">
      <c r="A850" t="s">
        <v>1601</v>
      </c>
      <c r="B850" s="3">
        <v>46608</v>
      </c>
      <c r="C850" t="s">
        <v>358</v>
      </c>
      <c r="D850" t="s">
        <v>1051</v>
      </c>
      <c r="E850" t="str">
        <f>TRIM(excelsalesdata[[#This Row],[Customer_Name]])</f>
        <v>Aarav Das</v>
      </c>
      <c r="F850" t="s">
        <v>44</v>
      </c>
      <c r="G850">
        <v>40</v>
      </c>
      <c r="H850" t="s">
        <v>78</v>
      </c>
      <c r="I850" t="str">
        <f>TRIM(excelsalesdata[[#This Row],[City]])</f>
        <v>Guwahati</v>
      </c>
      <c r="J850" t="s">
        <v>79</v>
      </c>
      <c r="K850" t="s">
        <v>37</v>
      </c>
      <c r="L850" t="s">
        <v>103</v>
      </c>
      <c r="M850" t="s">
        <v>312</v>
      </c>
      <c r="N850" t="s">
        <v>312</v>
      </c>
      <c r="O850">
        <v>3</v>
      </c>
      <c r="P850">
        <v>6430</v>
      </c>
      <c r="Q850">
        <v>0.15</v>
      </c>
      <c r="R850">
        <v>4150</v>
      </c>
      <c r="S850" t="s">
        <v>29</v>
      </c>
      <c r="T850" t="s">
        <v>30</v>
      </c>
      <c r="U850">
        <v>3</v>
      </c>
      <c r="V850" t="s">
        <v>40</v>
      </c>
      <c r="W850">
        <f>excelsalesdata[[#This Row],[Quantity]]*excelsalesdata[[#This Row],[Unit_Price]]</f>
        <v>19290</v>
      </c>
      <c r="X850">
        <f>excelsalesdata[[#This Row],[Gross_sales]]*excelsalesdata[[#This Row],[Discount_%]]</f>
        <v>2893.5</v>
      </c>
      <c r="Y850">
        <f>excelsalesdata[[#This Row],[Gross_sales]]-excelsalesdata[[#This Row],[Discount_amt]]</f>
        <v>16396.5</v>
      </c>
      <c r="Z850" s="4">
        <f>excelsalesdata[[#This Row],[Net_sales]]-excelsalesdata[[#This Row],[Cost]]</f>
        <v>12246.5</v>
      </c>
      <c r="AA850" s="5">
        <f>excelsalesdata[[#This Row],[Profit]]/excelsalesdata[[#This Row],[Net_sales]]</f>
        <v>0.74689720367151524</v>
      </c>
      <c r="AB850" s="4">
        <f>YEAR(excelsalesdata[[#This Row],[Order_Date]])</f>
        <v>2027</v>
      </c>
      <c r="AC850" s="4" t="str">
        <f>TEXT(excelsalesdata[[#This Row],[Order_Date]],"mmm")</f>
        <v>Aug</v>
      </c>
      <c r="AD850" s="4" t="str">
        <f>"Q"&amp;ROUNDUP(MONTH(excelsalesdata[[#This Row],[Order_Date]])/3,0)</f>
        <v>Q3</v>
      </c>
    </row>
    <row r="851" spans="1:30" x14ac:dyDescent="0.35">
      <c r="A851" t="s">
        <v>1602</v>
      </c>
      <c r="B851" s="3">
        <v>46609</v>
      </c>
      <c r="C851" t="s">
        <v>377</v>
      </c>
      <c r="D851" t="s">
        <v>1604</v>
      </c>
      <c r="E851" t="str">
        <f>TRIM(excelsalesdata[[#This Row],[Customer_Name]])</f>
        <v>Vivaan Gupta</v>
      </c>
      <c r="F851" t="s">
        <v>44</v>
      </c>
      <c r="G851">
        <v>33</v>
      </c>
      <c r="H851" t="s">
        <v>98</v>
      </c>
      <c r="I851" t="str">
        <f>TRIM(excelsalesdata[[#This Row],[City]])</f>
        <v>Mumbai</v>
      </c>
      <c r="J851" t="s">
        <v>25</v>
      </c>
      <c r="K851" t="s">
        <v>26</v>
      </c>
      <c r="L851" t="s">
        <v>54</v>
      </c>
      <c r="M851" t="s">
        <v>62</v>
      </c>
      <c r="N851" t="s">
        <v>62</v>
      </c>
      <c r="O851">
        <v>2</v>
      </c>
      <c r="P851">
        <v>23470</v>
      </c>
      <c r="Q851">
        <v>0.1</v>
      </c>
      <c r="R851">
        <v>15880</v>
      </c>
      <c r="S851" t="s">
        <v>80</v>
      </c>
      <c r="T851" t="s">
        <v>30</v>
      </c>
      <c r="U851">
        <v>2</v>
      </c>
      <c r="V851" t="s">
        <v>40</v>
      </c>
      <c r="W851">
        <f>excelsalesdata[[#This Row],[Quantity]]*excelsalesdata[[#This Row],[Unit_Price]]</f>
        <v>46940</v>
      </c>
      <c r="X851">
        <f>excelsalesdata[[#This Row],[Gross_sales]]*excelsalesdata[[#This Row],[Discount_%]]</f>
        <v>4694</v>
      </c>
      <c r="Y851">
        <f>excelsalesdata[[#This Row],[Gross_sales]]-excelsalesdata[[#This Row],[Discount_amt]]</f>
        <v>42246</v>
      </c>
      <c r="Z851" s="4">
        <f>excelsalesdata[[#This Row],[Net_sales]]-excelsalesdata[[#This Row],[Cost]]</f>
        <v>26366</v>
      </c>
      <c r="AA851" s="5">
        <f>excelsalesdata[[#This Row],[Profit]]/excelsalesdata[[#This Row],[Net_sales]]</f>
        <v>0.62410642427685459</v>
      </c>
      <c r="AB851" s="4">
        <f>YEAR(excelsalesdata[[#This Row],[Order_Date]])</f>
        <v>2027</v>
      </c>
      <c r="AC851" s="4" t="str">
        <f>TEXT(excelsalesdata[[#This Row],[Order_Date]],"mmm")</f>
        <v>Aug</v>
      </c>
      <c r="AD851" s="4" t="str">
        <f>"Q"&amp;ROUNDUP(MONTH(excelsalesdata[[#This Row],[Order_Date]])/3,0)</f>
        <v>Q3</v>
      </c>
    </row>
    <row r="852" spans="1:30" x14ac:dyDescent="0.35">
      <c r="A852" t="s">
        <v>1603</v>
      </c>
      <c r="B852" s="3">
        <v>46610</v>
      </c>
      <c r="C852" t="s">
        <v>297</v>
      </c>
      <c r="D852" t="s">
        <v>442</v>
      </c>
      <c r="E852" t="str">
        <f>TRIM(excelsalesdata[[#This Row],[Customer_Name]])</f>
        <v>Arjun Rao</v>
      </c>
      <c r="F852" t="s">
        <v>23</v>
      </c>
      <c r="G852">
        <v>18</v>
      </c>
      <c r="H852" t="s">
        <v>190</v>
      </c>
      <c r="I852" t="str">
        <f>TRIM(excelsalesdata[[#This Row],[City]])</f>
        <v>Ahmedabad</v>
      </c>
      <c r="J852" t="s">
        <v>191</v>
      </c>
      <c r="K852" t="s">
        <v>26</v>
      </c>
      <c r="L852" t="s">
        <v>38</v>
      </c>
      <c r="M852" t="s">
        <v>39</v>
      </c>
      <c r="N852" t="s">
        <v>39</v>
      </c>
      <c r="O852">
        <v>3</v>
      </c>
      <c r="P852">
        <v>7010</v>
      </c>
      <c r="Q852">
        <v>0.1</v>
      </c>
      <c r="R852">
        <v>3990</v>
      </c>
      <c r="S852" t="s">
        <v>29</v>
      </c>
      <c r="T852" t="s">
        <v>30</v>
      </c>
      <c r="U852">
        <v>4</v>
      </c>
      <c r="V852" t="s">
        <v>31</v>
      </c>
      <c r="W852">
        <f>excelsalesdata[[#This Row],[Quantity]]*excelsalesdata[[#This Row],[Unit_Price]]</f>
        <v>21030</v>
      </c>
      <c r="X852">
        <f>excelsalesdata[[#This Row],[Gross_sales]]*excelsalesdata[[#This Row],[Discount_%]]</f>
        <v>2103</v>
      </c>
      <c r="Y852">
        <f>excelsalesdata[[#This Row],[Gross_sales]]-excelsalesdata[[#This Row],[Discount_amt]]</f>
        <v>18927</v>
      </c>
      <c r="Z852" s="4">
        <f>excelsalesdata[[#This Row],[Net_sales]]-excelsalesdata[[#This Row],[Cost]]</f>
        <v>14937</v>
      </c>
      <c r="AA852" s="5">
        <f>excelsalesdata[[#This Row],[Profit]]/excelsalesdata[[#This Row],[Net_sales]]</f>
        <v>0.78919004596608022</v>
      </c>
      <c r="AB852" s="4">
        <f>YEAR(excelsalesdata[[#This Row],[Order_Date]])</f>
        <v>2027</v>
      </c>
      <c r="AC852" s="4" t="str">
        <f>TEXT(excelsalesdata[[#This Row],[Order_Date]],"mmm")</f>
        <v>Aug</v>
      </c>
      <c r="AD852" s="4" t="str">
        <f>"Q"&amp;ROUNDUP(MONTH(excelsalesdata[[#This Row],[Order_Date]])/3,0)</f>
        <v>Q3</v>
      </c>
    </row>
    <row r="853" spans="1:30" x14ac:dyDescent="0.35">
      <c r="A853" t="s">
        <v>1605</v>
      </c>
      <c r="B853" s="3">
        <v>46611</v>
      </c>
      <c r="C853" t="s">
        <v>597</v>
      </c>
      <c r="D853" t="s">
        <v>925</v>
      </c>
      <c r="E853" t="str">
        <f>TRIM(excelsalesdata[[#This Row],[Customer_Name]])</f>
        <v>Ananya Rao</v>
      </c>
      <c r="F853" t="s">
        <v>23</v>
      </c>
      <c r="G853">
        <v>20</v>
      </c>
      <c r="H853" t="s">
        <v>24</v>
      </c>
      <c r="I853" t="str">
        <f>TRIM(excelsalesdata[[#This Row],[City]])</f>
        <v>Pune</v>
      </c>
      <c r="J853" t="s">
        <v>25</v>
      </c>
      <c r="K853" t="s">
        <v>26</v>
      </c>
      <c r="L853" t="s">
        <v>38</v>
      </c>
      <c r="M853" t="s">
        <v>255</v>
      </c>
      <c r="N853" t="s">
        <v>255</v>
      </c>
      <c r="O853">
        <v>3</v>
      </c>
      <c r="P853">
        <v>4840</v>
      </c>
      <c r="Q853">
        <v>0.1</v>
      </c>
      <c r="R853">
        <v>3000</v>
      </c>
      <c r="S853" t="s">
        <v>29</v>
      </c>
      <c r="T853" t="s">
        <v>74</v>
      </c>
      <c r="U853">
        <v>4</v>
      </c>
      <c r="V853" t="s">
        <v>40</v>
      </c>
      <c r="W853">
        <f>excelsalesdata[[#This Row],[Quantity]]*excelsalesdata[[#This Row],[Unit_Price]]</f>
        <v>14520</v>
      </c>
      <c r="X853">
        <f>excelsalesdata[[#This Row],[Gross_sales]]*excelsalesdata[[#This Row],[Discount_%]]</f>
        <v>1452</v>
      </c>
      <c r="Y853">
        <f>excelsalesdata[[#This Row],[Gross_sales]]-excelsalesdata[[#This Row],[Discount_amt]]</f>
        <v>13068</v>
      </c>
      <c r="Z853" s="4">
        <f>excelsalesdata[[#This Row],[Net_sales]]-excelsalesdata[[#This Row],[Cost]]</f>
        <v>10068</v>
      </c>
      <c r="AA853" s="5">
        <f>excelsalesdata[[#This Row],[Profit]]/excelsalesdata[[#This Row],[Net_sales]]</f>
        <v>0.77043158861340677</v>
      </c>
      <c r="AB853" s="4">
        <f>YEAR(excelsalesdata[[#This Row],[Order_Date]])</f>
        <v>2027</v>
      </c>
      <c r="AC853" s="4" t="str">
        <f>TEXT(excelsalesdata[[#This Row],[Order_Date]],"mmm")</f>
        <v>Aug</v>
      </c>
      <c r="AD853" s="4" t="str">
        <f>"Q"&amp;ROUNDUP(MONTH(excelsalesdata[[#This Row],[Order_Date]])/3,0)</f>
        <v>Q3</v>
      </c>
    </row>
    <row r="854" spans="1:30" x14ac:dyDescent="0.35">
      <c r="A854" t="s">
        <v>1606</v>
      </c>
      <c r="B854" s="3">
        <v>46612</v>
      </c>
      <c r="C854" t="s">
        <v>1303</v>
      </c>
      <c r="D854" t="s">
        <v>1507</v>
      </c>
      <c r="E854" t="str">
        <f>TRIM(excelsalesdata[[#This Row],[Customer_Name]])</f>
        <v>Aarav Shah</v>
      </c>
      <c r="F854" t="s">
        <v>23</v>
      </c>
      <c r="G854">
        <v>27</v>
      </c>
      <c r="H854" t="s">
        <v>71</v>
      </c>
      <c r="I854" t="str">
        <f>TRIM(excelsalesdata[[#This Row],[City]])</f>
        <v>Bhubaneswar</v>
      </c>
      <c r="J854" t="s">
        <v>72</v>
      </c>
      <c r="K854" t="s">
        <v>37</v>
      </c>
      <c r="L854" t="s">
        <v>103</v>
      </c>
      <c r="M854" t="s">
        <v>238</v>
      </c>
      <c r="N854" t="s">
        <v>238</v>
      </c>
      <c r="O854">
        <v>2</v>
      </c>
      <c r="P854">
        <v>3920</v>
      </c>
      <c r="Q854">
        <v>0.15</v>
      </c>
      <c r="R854">
        <v>2720</v>
      </c>
      <c r="S854" t="s">
        <v>105</v>
      </c>
      <c r="T854" t="s">
        <v>30</v>
      </c>
      <c r="U854">
        <v>3</v>
      </c>
      <c r="V854" t="s">
        <v>40</v>
      </c>
      <c r="W854">
        <f>excelsalesdata[[#This Row],[Quantity]]*excelsalesdata[[#This Row],[Unit_Price]]</f>
        <v>7840</v>
      </c>
      <c r="X854">
        <f>excelsalesdata[[#This Row],[Gross_sales]]*excelsalesdata[[#This Row],[Discount_%]]</f>
        <v>1176</v>
      </c>
      <c r="Y854">
        <f>excelsalesdata[[#This Row],[Gross_sales]]-excelsalesdata[[#This Row],[Discount_amt]]</f>
        <v>6664</v>
      </c>
      <c r="Z854" s="4">
        <f>excelsalesdata[[#This Row],[Net_sales]]-excelsalesdata[[#This Row],[Cost]]</f>
        <v>3944</v>
      </c>
      <c r="AA854" s="5">
        <f>excelsalesdata[[#This Row],[Profit]]/excelsalesdata[[#This Row],[Net_sales]]</f>
        <v>0.59183673469387754</v>
      </c>
      <c r="AB854" s="4">
        <f>YEAR(excelsalesdata[[#This Row],[Order_Date]])</f>
        <v>2027</v>
      </c>
      <c r="AC854" s="4" t="str">
        <f>TEXT(excelsalesdata[[#This Row],[Order_Date]],"mmm")</f>
        <v>Aug</v>
      </c>
      <c r="AD854" s="4" t="str">
        <f>"Q"&amp;ROUNDUP(MONTH(excelsalesdata[[#This Row],[Order_Date]])/3,0)</f>
        <v>Q3</v>
      </c>
    </row>
    <row r="855" spans="1:30" x14ac:dyDescent="0.35">
      <c r="A855" t="s">
        <v>1607</v>
      </c>
      <c r="B855" s="3">
        <v>46613</v>
      </c>
      <c r="C855" t="s">
        <v>1223</v>
      </c>
      <c r="D855" t="s">
        <v>1032</v>
      </c>
      <c r="E855" t="str">
        <f>TRIM(excelsalesdata[[#This Row],[Customer_Name]])</f>
        <v>Aarav Gupta</v>
      </c>
      <c r="F855" t="s">
        <v>44</v>
      </c>
      <c r="G855">
        <v>23</v>
      </c>
      <c r="H855" t="s">
        <v>109</v>
      </c>
      <c r="I855" t="str">
        <f>TRIM(excelsalesdata[[#This Row],[City]])</f>
        <v>Mysuru</v>
      </c>
      <c r="J855" t="s">
        <v>53</v>
      </c>
      <c r="K855" t="s">
        <v>47</v>
      </c>
      <c r="L855" t="s">
        <v>54</v>
      </c>
      <c r="M855" t="s">
        <v>129</v>
      </c>
      <c r="N855" t="s">
        <v>129</v>
      </c>
      <c r="O855">
        <v>2</v>
      </c>
      <c r="P855">
        <v>18530</v>
      </c>
      <c r="Q855">
        <v>0.1</v>
      </c>
      <c r="R855">
        <v>12440</v>
      </c>
      <c r="S855" t="s">
        <v>80</v>
      </c>
      <c r="T855" t="s">
        <v>30</v>
      </c>
      <c r="U855">
        <v>2</v>
      </c>
      <c r="V855" t="s">
        <v>40</v>
      </c>
      <c r="W855">
        <f>excelsalesdata[[#This Row],[Quantity]]*excelsalesdata[[#This Row],[Unit_Price]]</f>
        <v>37060</v>
      </c>
      <c r="X855">
        <f>excelsalesdata[[#This Row],[Gross_sales]]*excelsalesdata[[#This Row],[Discount_%]]</f>
        <v>3706</v>
      </c>
      <c r="Y855">
        <f>excelsalesdata[[#This Row],[Gross_sales]]-excelsalesdata[[#This Row],[Discount_amt]]</f>
        <v>33354</v>
      </c>
      <c r="Z855" s="4">
        <f>excelsalesdata[[#This Row],[Net_sales]]-excelsalesdata[[#This Row],[Cost]]</f>
        <v>20914</v>
      </c>
      <c r="AA855" s="5">
        <f>excelsalesdata[[#This Row],[Profit]]/excelsalesdata[[#This Row],[Net_sales]]</f>
        <v>0.62703124063080895</v>
      </c>
      <c r="AB855" s="4">
        <f>YEAR(excelsalesdata[[#This Row],[Order_Date]])</f>
        <v>2027</v>
      </c>
      <c r="AC855" s="4" t="str">
        <f>TEXT(excelsalesdata[[#This Row],[Order_Date]],"mmm")</f>
        <v>Aug</v>
      </c>
      <c r="AD855" s="4" t="str">
        <f>"Q"&amp;ROUNDUP(MONTH(excelsalesdata[[#This Row],[Order_Date]])/3,0)</f>
        <v>Q3</v>
      </c>
    </row>
    <row r="856" spans="1:30" x14ac:dyDescent="0.35">
      <c r="A856" t="s">
        <v>1608</v>
      </c>
      <c r="B856" s="3">
        <v>46614</v>
      </c>
      <c r="C856" t="s">
        <v>1609</v>
      </c>
      <c r="D856" t="s">
        <v>1087</v>
      </c>
      <c r="E856" t="str">
        <f>TRIM(excelsalesdata[[#This Row],[Customer_Name]])</f>
        <v>Vivaan Verma</v>
      </c>
      <c r="F856" t="s">
        <v>23</v>
      </c>
      <c r="G856">
        <v>51</v>
      </c>
      <c r="H856" t="s">
        <v>155</v>
      </c>
      <c r="I856" t="str">
        <f>TRIM(excelsalesdata[[#This Row],[City]])</f>
        <v>Chennai</v>
      </c>
      <c r="J856" t="s">
        <v>156</v>
      </c>
      <c r="K856" t="s">
        <v>47</v>
      </c>
      <c r="L856" t="s">
        <v>85</v>
      </c>
      <c r="M856" t="s">
        <v>202</v>
      </c>
      <c r="N856" t="s">
        <v>202</v>
      </c>
      <c r="O856">
        <v>1</v>
      </c>
      <c r="P856">
        <v>870</v>
      </c>
      <c r="Q856">
        <v>0.25</v>
      </c>
      <c r="R856">
        <v>410</v>
      </c>
      <c r="S856" t="s">
        <v>105</v>
      </c>
      <c r="T856" t="s">
        <v>30</v>
      </c>
      <c r="U856">
        <v>3</v>
      </c>
      <c r="V856" t="s">
        <v>40</v>
      </c>
      <c r="W856">
        <f>excelsalesdata[[#This Row],[Quantity]]*excelsalesdata[[#This Row],[Unit_Price]]</f>
        <v>870</v>
      </c>
      <c r="X856">
        <f>excelsalesdata[[#This Row],[Gross_sales]]*excelsalesdata[[#This Row],[Discount_%]]</f>
        <v>217.5</v>
      </c>
      <c r="Y856">
        <f>excelsalesdata[[#This Row],[Gross_sales]]-excelsalesdata[[#This Row],[Discount_amt]]</f>
        <v>652.5</v>
      </c>
      <c r="Z856" s="4">
        <f>excelsalesdata[[#This Row],[Net_sales]]-excelsalesdata[[#This Row],[Cost]]</f>
        <v>242.5</v>
      </c>
      <c r="AA856" s="5">
        <f>excelsalesdata[[#This Row],[Profit]]/excelsalesdata[[#This Row],[Net_sales]]</f>
        <v>0.37164750957854409</v>
      </c>
      <c r="AB856" s="4">
        <f>YEAR(excelsalesdata[[#This Row],[Order_Date]])</f>
        <v>2027</v>
      </c>
      <c r="AC856" s="4" t="str">
        <f>TEXT(excelsalesdata[[#This Row],[Order_Date]],"mmm")</f>
        <v>Aug</v>
      </c>
      <c r="AD856" s="4" t="str">
        <f>"Q"&amp;ROUNDUP(MONTH(excelsalesdata[[#This Row],[Order_Date]])/3,0)</f>
        <v>Q3</v>
      </c>
    </row>
    <row r="857" spans="1:30" x14ac:dyDescent="0.35">
      <c r="A857" t="s">
        <v>1610</v>
      </c>
      <c r="B857" s="3">
        <v>46615</v>
      </c>
      <c r="C857" t="s">
        <v>1094</v>
      </c>
      <c r="D857" t="s">
        <v>1044</v>
      </c>
      <c r="E857" t="str">
        <f>TRIM(excelsalesdata[[#This Row],[Customer_Name]])</f>
        <v>Ananya Bhat</v>
      </c>
      <c r="F857" t="s">
        <v>44</v>
      </c>
      <c r="G857">
        <v>40</v>
      </c>
      <c r="H857" t="s">
        <v>24</v>
      </c>
      <c r="I857" t="str">
        <f>TRIM(excelsalesdata[[#This Row],[City]])</f>
        <v>Pune</v>
      </c>
      <c r="J857" t="s">
        <v>25</v>
      </c>
      <c r="K857" t="s">
        <v>26</v>
      </c>
      <c r="L857" t="s">
        <v>27</v>
      </c>
      <c r="M857" t="s">
        <v>295</v>
      </c>
      <c r="N857" t="s">
        <v>295</v>
      </c>
      <c r="O857">
        <v>5</v>
      </c>
      <c r="P857">
        <v>3930</v>
      </c>
      <c r="Q857">
        <v>0.1</v>
      </c>
      <c r="R857">
        <v>2550</v>
      </c>
      <c r="S857" t="s">
        <v>67</v>
      </c>
      <c r="T857" t="s">
        <v>74</v>
      </c>
      <c r="U857">
        <v>2</v>
      </c>
      <c r="V857" t="s">
        <v>31</v>
      </c>
      <c r="W857">
        <f>excelsalesdata[[#This Row],[Quantity]]*excelsalesdata[[#This Row],[Unit_Price]]</f>
        <v>19650</v>
      </c>
      <c r="X857">
        <f>excelsalesdata[[#This Row],[Gross_sales]]*excelsalesdata[[#This Row],[Discount_%]]</f>
        <v>1965</v>
      </c>
      <c r="Y857">
        <f>excelsalesdata[[#This Row],[Gross_sales]]-excelsalesdata[[#This Row],[Discount_amt]]</f>
        <v>17685</v>
      </c>
      <c r="Z857" s="4">
        <f>excelsalesdata[[#This Row],[Net_sales]]-excelsalesdata[[#This Row],[Cost]]</f>
        <v>15135</v>
      </c>
      <c r="AA857" s="5">
        <f>excelsalesdata[[#This Row],[Profit]]/excelsalesdata[[#This Row],[Net_sales]]</f>
        <v>0.85581000848176425</v>
      </c>
      <c r="AB857" s="4">
        <f>YEAR(excelsalesdata[[#This Row],[Order_Date]])</f>
        <v>2027</v>
      </c>
      <c r="AC857" s="4" t="str">
        <f>TEXT(excelsalesdata[[#This Row],[Order_Date]],"mmm")</f>
        <v>Aug</v>
      </c>
      <c r="AD857" s="4" t="str">
        <f>"Q"&amp;ROUNDUP(MONTH(excelsalesdata[[#This Row],[Order_Date]])/3,0)</f>
        <v>Q3</v>
      </c>
    </row>
    <row r="858" spans="1:30" x14ac:dyDescent="0.35">
      <c r="A858" t="s">
        <v>1611</v>
      </c>
      <c r="B858" s="3">
        <v>46616</v>
      </c>
      <c r="C858" t="s">
        <v>33</v>
      </c>
      <c r="D858" t="s">
        <v>258</v>
      </c>
      <c r="E858" t="str">
        <f>TRIM(excelsalesdata[[#This Row],[Customer_Name]])</f>
        <v>Sneha Sharma</v>
      </c>
      <c r="F858" t="s">
        <v>44</v>
      </c>
      <c r="G858">
        <v>48</v>
      </c>
      <c r="H858" t="s">
        <v>52</v>
      </c>
      <c r="I858" t="str">
        <f>TRIM(excelsalesdata[[#This Row],[City]])</f>
        <v>Bengaluru</v>
      </c>
      <c r="J858" t="s">
        <v>53</v>
      </c>
      <c r="K858" t="s">
        <v>47</v>
      </c>
      <c r="L858" t="s">
        <v>93</v>
      </c>
      <c r="M858" t="s">
        <v>135</v>
      </c>
      <c r="N858" t="s">
        <v>135</v>
      </c>
      <c r="O858">
        <v>2</v>
      </c>
      <c r="P858">
        <v>1720</v>
      </c>
      <c r="Q858">
        <v>0.2</v>
      </c>
      <c r="R858">
        <v>960</v>
      </c>
      <c r="S858" t="s">
        <v>29</v>
      </c>
      <c r="T858" t="s">
        <v>99</v>
      </c>
      <c r="U858">
        <v>3</v>
      </c>
      <c r="V858" t="s">
        <v>40</v>
      </c>
      <c r="W858">
        <f>excelsalesdata[[#This Row],[Quantity]]*excelsalesdata[[#This Row],[Unit_Price]]</f>
        <v>3440</v>
      </c>
      <c r="X858">
        <f>excelsalesdata[[#This Row],[Gross_sales]]*excelsalesdata[[#This Row],[Discount_%]]</f>
        <v>688</v>
      </c>
      <c r="Y858">
        <f>excelsalesdata[[#This Row],[Gross_sales]]-excelsalesdata[[#This Row],[Discount_amt]]</f>
        <v>2752</v>
      </c>
      <c r="Z858" s="4">
        <f>excelsalesdata[[#This Row],[Net_sales]]-excelsalesdata[[#This Row],[Cost]]</f>
        <v>1792</v>
      </c>
      <c r="AA858" s="5">
        <f>excelsalesdata[[#This Row],[Profit]]/excelsalesdata[[#This Row],[Net_sales]]</f>
        <v>0.65116279069767447</v>
      </c>
      <c r="AB858" s="4">
        <f>YEAR(excelsalesdata[[#This Row],[Order_Date]])</f>
        <v>2027</v>
      </c>
      <c r="AC858" s="4" t="str">
        <f>TEXT(excelsalesdata[[#This Row],[Order_Date]],"mmm")</f>
        <v>Aug</v>
      </c>
      <c r="AD858" s="4" t="str">
        <f>"Q"&amp;ROUNDUP(MONTH(excelsalesdata[[#This Row],[Order_Date]])/3,0)</f>
        <v>Q3</v>
      </c>
    </row>
    <row r="859" spans="1:30" x14ac:dyDescent="0.35">
      <c r="A859" t="s">
        <v>1612</v>
      </c>
      <c r="B859" s="3">
        <v>46617</v>
      </c>
      <c r="C859" t="s">
        <v>1487</v>
      </c>
      <c r="D859" t="s">
        <v>980</v>
      </c>
      <c r="E859" t="str">
        <f>TRIM(excelsalesdata[[#This Row],[Customer_Name]])</f>
        <v>Sneha Das</v>
      </c>
      <c r="F859" t="s">
        <v>23</v>
      </c>
      <c r="G859">
        <v>55</v>
      </c>
      <c r="H859" t="s">
        <v>35</v>
      </c>
      <c r="I859" t="str">
        <f>TRIM(excelsalesdata[[#This Row],[City]])</f>
        <v>Kolkata</v>
      </c>
      <c r="J859" t="s">
        <v>36</v>
      </c>
      <c r="K859" t="s">
        <v>37</v>
      </c>
      <c r="L859" t="s">
        <v>103</v>
      </c>
      <c r="M859" t="s">
        <v>104</v>
      </c>
      <c r="N859" t="s">
        <v>104</v>
      </c>
      <c r="O859">
        <v>1</v>
      </c>
      <c r="P859">
        <v>8580</v>
      </c>
      <c r="Q859">
        <v>0.1</v>
      </c>
      <c r="R859">
        <v>5410</v>
      </c>
      <c r="S859" t="s">
        <v>80</v>
      </c>
      <c r="T859" t="s">
        <v>30</v>
      </c>
      <c r="U859">
        <v>3</v>
      </c>
      <c r="V859" t="s">
        <v>40</v>
      </c>
      <c r="W859">
        <f>excelsalesdata[[#This Row],[Quantity]]*excelsalesdata[[#This Row],[Unit_Price]]</f>
        <v>8580</v>
      </c>
      <c r="X859">
        <f>excelsalesdata[[#This Row],[Gross_sales]]*excelsalesdata[[#This Row],[Discount_%]]</f>
        <v>858</v>
      </c>
      <c r="Y859">
        <f>excelsalesdata[[#This Row],[Gross_sales]]-excelsalesdata[[#This Row],[Discount_amt]]</f>
        <v>7722</v>
      </c>
      <c r="Z859" s="4">
        <f>excelsalesdata[[#This Row],[Net_sales]]-excelsalesdata[[#This Row],[Cost]]</f>
        <v>2312</v>
      </c>
      <c r="AA859" s="5">
        <f>excelsalesdata[[#This Row],[Profit]]/excelsalesdata[[#This Row],[Net_sales]]</f>
        <v>0.29940429940429941</v>
      </c>
      <c r="AB859" s="4">
        <f>YEAR(excelsalesdata[[#This Row],[Order_Date]])</f>
        <v>2027</v>
      </c>
      <c r="AC859" s="4" t="str">
        <f>TEXT(excelsalesdata[[#This Row],[Order_Date]],"mmm")</f>
        <v>Aug</v>
      </c>
      <c r="AD859" s="4" t="str">
        <f>"Q"&amp;ROUNDUP(MONTH(excelsalesdata[[#This Row],[Order_Date]])/3,0)</f>
        <v>Q3</v>
      </c>
    </row>
    <row r="860" spans="1:30" x14ac:dyDescent="0.35">
      <c r="A860" t="s">
        <v>1613</v>
      </c>
      <c r="B860" s="3">
        <v>46618</v>
      </c>
      <c r="C860" t="s">
        <v>1614</v>
      </c>
      <c r="D860" t="s">
        <v>164</v>
      </c>
      <c r="E860" t="str">
        <f>TRIM(excelsalesdata[[#This Row],[Customer_Name]])</f>
        <v>Priya Naidu</v>
      </c>
      <c r="F860" t="s">
        <v>23</v>
      </c>
      <c r="G860">
        <v>40</v>
      </c>
      <c r="H860" t="s">
        <v>133</v>
      </c>
      <c r="I860" t="str">
        <f>TRIM(excelsalesdata[[#This Row],[City]])</f>
        <v>Jaipur</v>
      </c>
      <c r="J860" t="s">
        <v>134</v>
      </c>
      <c r="K860" t="s">
        <v>61</v>
      </c>
      <c r="L860" t="s">
        <v>38</v>
      </c>
      <c r="M860" t="s">
        <v>73</v>
      </c>
      <c r="N860" t="s">
        <v>73</v>
      </c>
      <c r="O860">
        <v>2</v>
      </c>
      <c r="P860">
        <v>5040</v>
      </c>
      <c r="Q860">
        <v>0</v>
      </c>
      <c r="R860">
        <v>3170</v>
      </c>
      <c r="S860" t="s">
        <v>29</v>
      </c>
      <c r="T860" t="s">
        <v>99</v>
      </c>
      <c r="U860">
        <v>3</v>
      </c>
      <c r="V860" t="s">
        <v>31</v>
      </c>
      <c r="W860">
        <f>excelsalesdata[[#This Row],[Quantity]]*excelsalesdata[[#This Row],[Unit_Price]]</f>
        <v>10080</v>
      </c>
      <c r="X860">
        <f>excelsalesdata[[#This Row],[Gross_sales]]*excelsalesdata[[#This Row],[Discount_%]]</f>
        <v>0</v>
      </c>
      <c r="Y860">
        <f>excelsalesdata[[#This Row],[Gross_sales]]-excelsalesdata[[#This Row],[Discount_amt]]</f>
        <v>10080</v>
      </c>
      <c r="Z860" s="4">
        <f>excelsalesdata[[#This Row],[Net_sales]]-excelsalesdata[[#This Row],[Cost]]</f>
        <v>6910</v>
      </c>
      <c r="AA860" s="5">
        <f>excelsalesdata[[#This Row],[Profit]]/excelsalesdata[[#This Row],[Net_sales]]</f>
        <v>0.68551587301587302</v>
      </c>
      <c r="AB860" s="4">
        <f>YEAR(excelsalesdata[[#This Row],[Order_Date]])</f>
        <v>2027</v>
      </c>
      <c r="AC860" s="4" t="str">
        <f>TEXT(excelsalesdata[[#This Row],[Order_Date]],"mmm")</f>
        <v>Aug</v>
      </c>
      <c r="AD860" s="4" t="str">
        <f>"Q"&amp;ROUNDUP(MONTH(excelsalesdata[[#This Row],[Order_Date]])/3,0)</f>
        <v>Q3</v>
      </c>
    </row>
    <row r="861" spans="1:30" x14ac:dyDescent="0.35">
      <c r="A861" t="s">
        <v>1615</v>
      </c>
      <c r="B861" s="3">
        <v>46619</v>
      </c>
      <c r="C861" t="s">
        <v>1616</v>
      </c>
      <c r="D861" t="s">
        <v>626</v>
      </c>
      <c r="E861" t="str">
        <f>TRIM(excelsalesdata[[#This Row],[Customer_Name]])</f>
        <v>Aditya Rao</v>
      </c>
      <c r="F861" t="s">
        <v>44</v>
      </c>
      <c r="G861">
        <v>39</v>
      </c>
      <c r="H861" t="s">
        <v>168</v>
      </c>
      <c r="I861" t="str">
        <f>TRIM(excelsalesdata[[#This Row],[City]])</f>
        <v>Delhi</v>
      </c>
      <c r="J861" t="s">
        <v>168</v>
      </c>
      <c r="K861" t="s">
        <v>61</v>
      </c>
      <c r="L861" t="s">
        <v>103</v>
      </c>
      <c r="M861" t="s">
        <v>238</v>
      </c>
      <c r="N861" t="s">
        <v>238</v>
      </c>
      <c r="O861">
        <v>2</v>
      </c>
      <c r="P861">
        <v>4200</v>
      </c>
      <c r="Q861">
        <v>0.15</v>
      </c>
      <c r="R861">
        <v>2570</v>
      </c>
      <c r="S861" t="s">
        <v>67</v>
      </c>
      <c r="T861" t="s">
        <v>30</v>
      </c>
      <c r="U861">
        <v>3</v>
      </c>
      <c r="V861" t="s">
        <v>31</v>
      </c>
      <c r="W861">
        <f>excelsalesdata[[#This Row],[Quantity]]*excelsalesdata[[#This Row],[Unit_Price]]</f>
        <v>8400</v>
      </c>
      <c r="X861">
        <f>excelsalesdata[[#This Row],[Gross_sales]]*excelsalesdata[[#This Row],[Discount_%]]</f>
        <v>1260</v>
      </c>
      <c r="Y861">
        <f>excelsalesdata[[#This Row],[Gross_sales]]-excelsalesdata[[#This Row],[Discount_amt]]</f>
        <v>7140</v>
      </c>
      <c r="Z861" s="4">
        <f>excelsalesdata[[#This Row],[Net_sales]]-excelsalesdata[[#This Row],[Cost]]</f>
        <v>4570</v>
      </c>
      <c r="AA861" s="5">
        <f>excelsalesdata[[#This Row],[Profit]]/excelsalesdata[[#This Row],[Net_sales]]</f>
        <v>0.64005602240896353</v>
      </c>
      <c r="AB861" s="4">
        <f>YEAR(excelsalesdata[[#This Row],[Order_Date]])</f>
        <v>2027</v>
      </c>
      <c r="AC861" s="4" t="str">
        <f>TEXT(excelsalesdata[[#This Row],[Order_Date]],"mmm")</f>
        <v>Aug</v>
      </c>
      <c r="AD861" s="4" t="str">
        <f>"Q"&amp;ROUNDUP(MONTH(excelsalesdata[[#This Row],[Order_Date]])/3,0)</f>
        <v>Q3</v>
      </c>
    </row>
    <row r="862" spans="1:30" x14ac:dyDescent="0.35">
      <c r="A862" t="s">
        <v>1617</v>
      </c>
      <c r="B862" s="3">
        <v>46620</v>
      </c>
      <c r="C862" t="s">
        <v>459</v>
      </c>
      <c r="D862" t="s">
        <v>102</v>
      </c>
      <c r="E862" t="str">
        <f>TRIM(excelsalesdata[[#This Row],[Customer_Name]])</f>
        <v>Nisha Sharma</v>
      </c>
      <c r="F862" t="s">
        <v>23</v>
      </c>
      <c r="G862">
        <v>46</v>
      </c>
      <c r="H862" t="s">
        <v>24</v>
      </c>
      <c r="I862" t="str">
        <f>TRIM(excelsalesdata[[#This Row],[City]])</f>
        <v>Pune</v>
      </c>
      <c r="J862" t="s">
        <v>25</v>
      </c>
      <c r="K862" t="s">
        <v>26</v>
      </c>
      <c r="L862" t="s">
        <v>85</v>
      </c>
      <c r="M862" t="s">
        <v>110</v>
      </c>
      <c r="N862" t="s">
        <v>110</v>
      </c>
      <c r="O862">
        <v>2</v>
      </c>
      <c r="P862">
        <v>1110</v>
      </c>
      <c r="Q862">
        <v>0.05</v>
      </c>
      <c r="R862">
        <v>570</v>
      </c>
      <c r="S862" t="s">
        <v>105</v>
      </c>
      <c r="T862" t="s">
        <v>30</v>
      </c>
      <c r="U862">
        <v>2</v>
      </c>
      <c r="V862" t="s">
        <v>31</v>
      </c>
      <c r="W862">
        <f>excelsalesdata[[#This Row],[Quantity]]*excelsalesdata[[#This Row],[Unit_Price]]</f>
        <v>2220</v>
      </c>
      <c r="X862">
        <f>excelsalesdata[[#This Row],[Gross_sales]]*excelsalesdata[[#This Row],[Discount_%]]</f>
        <v>111</v>
      </c>
      <c r="Y862">
        <f>excelsalesdata[[#This Row],[Gross_sales]]-excelsalesdata[[#This Row],[Discount_amt]]</f>
        <v>2109</v>
      </c>
      <c r="Z862" s="4">
        <f>excelsalesdata[[#This Row],[Net_sales]]-excelsalesdata[[#This Row],[Cost]]</f>
        <v>1539</v>
      </c>
      <c r="AA862" s="5">
        <f>excelsalesdata[[#This Row],[Profit]]/excelsalesdata[[#This Row],[Net_sales]]</f>
        <v>0.72972972972972971</v>
      </c>
      <c r="AB862" s="4">
        <f>YEAR(excelsalesdata[[#This Row],[Order_Date]])</f>
        <v>2027</v>
      </c>
      <c r="AC862" s="4" t="str">
        <f>TEXT(excelsalesdata[[#This Row],[Order_Date]],"mmm")</f>
        <v>Aug</v>
      </c>
      <c r="AD862" s="4" t="str">
        <f>"Q"&amp;ROUNDUP(MONTH(excelsalesdata[[#This Row],[Order_Date]])/3,0)</f>
        <v>Q3</v>
      </c>
    </row>
    <row r="863" spans="1:30" x14ac:dyDescent="0.35">
      <c r="A863" t="s">
        <v>1618</v>
      </c>
      <c r="B863" s="3">
        <v>46621</v>
      </c>
      <c r="C863" t="s">
        <v>1619</v>
      </c>
      <c r="D863" t="s">
        <v>442</v>
      </c>
      <c r="E863" t="str">
        <f>TRIM(excelsalesdata[[#This Row],[Customer_Name]])</f>
        <v>Arjun Rao</v>
      </c>
      <c r="F863" t="s">
        <v>44</v>
      </c>
      <c r="G863">
        <v>27</v>
      </c>
      <c r="H863" t="s">
        <v>155</v>
      </c>
      <c r="I863" t="str">
        <f>TRIM(excelsalesdata[[#This Row],[City]])</f>
        <v>Chennai</v>
      </c>
      <c r="J863" t="s">
        <v>156</v>
      </c>
      <c r="K863" t="s">
        <v>47</v>
      </c>
      <c r="L863" t="s">
        <v>54</v>
      </c>
      <c r="M863" t="s">
        <v>62</v>
      </c>
      <c r="N863" t="s">
        <v>62</v>
      </c>
      <c r="O863">
        <v>1</v>
      </c>
      <c r="P863">
        <v>21620</v>
      </c>
      <c r="Q863">
        <v>0.2</v>
      </c>
      <c r="R863">
        <v>16130</v>
      </c>
      <c r="S863" t="s">
        <v>80</v>
      </c>
      <c r="T863" t="s">
        <v>30</v>
      </c>
      <c r="U863">
        <v>4</v>
      </c>
      <c r="V863" t="s">
        <v>40</v>
      </c>
      <c r="W863">
        <f>excelsalesdata[[#This Row],[Quantity]]*excelsalesdata[[#This Row],[Unit_Price]]</f>
        <v>21620</v>
      </c>
      <c r="X863">
        <f>excelsalesdata[[#This Row],[Gross_sales]]*excelsalesdata[[#This Row],[Discount_%]]</f>
        <v>4324</v>
      </c>
      <c r="Y863">
        <f>excelsalesdata[[#This Row],[Gross_sales]]-excelsalesdata[[#This Row],[Discount_amt]]</f>
        <v>17296</v>
      </c>
      <c r="Z863" s="4">
        <f>excelsalesdata[[#This Row],[Net_sales]]-excelsalesdata[[#This Row],[Cost]]</f>
        <v>1166</v>
      </c>
      <c r="AA863" s="5">
        <f>excelsalesdata[[#This Row],[Profit]]/excelsalesdata[[#This Row],[Net_sales]]</f>
        <v>6.741443108233118E-2</v>
      </c>
      <c r="AB863" s="4">
        <f>YEAR(excelsalesdata[[#This Row],[Order_Date]])</f>
        <v>2027</v>
      </c>
      <c r="AC863" s="4" t="str">
        <f>TEXT(excelsalesdata[[#This Row],[Order_Date]],"mmm")</f>
        <v>Aug</v>
      </c>
      <c r="AD863" s="4" t="str">
        <f>"Q"&amp;ROUNDUP(MONTH(excelsalesdata[[#This Row],[Order_Date]])/3,0)</f>
        <v>Q3</v>
      </c>
    </row>
    <row r="864" spans="1:30" x14ac:dyDescent="0.35">
      <c r="A864" t="s">
        <v>1620</v>
      </c>
      <c r="B864" s="3">
        <v>46622</v>
      </c>
      <c r="C864" t="s">
        <v>1148</v>
      </c>
      <c r="D864" t="s">
        <v>1213</v>
      </c>
      <c r="E864" t="str">
        <f>TRIM(excelsalesdata[[#This Row],[Customer_Name]])</f>
        <v>Ananya Naidu</v>
      </c>
      <c r="F864" t="s">
        <v>23</v>
      </c>
      <c r="G864">
        <v>29</v>
      </c>
      <c r="H864" t="s">
        <v>52</v>
      </c>
      <c r="I864" t="str">
        <f>TRIM(excelsalesdata[[#This Row],[City]])</f>
        <v>Bengaluru</v>
      </c>
      <c r="J864" t="s">
        <v>53</v>
      </c>
      <c r="K864" t="s">
        <v>47</v>
      </c>
      <c r="L864" t="s">
        <v>38</v>
      </c>
      <c r="M864" t="s">
        <v>39</v>
      </c>
      <c r="N864" t="s">
        <v>39</v>
      </c>
      <c r="O864">
        <v>2</v>
      </c>
      <c r="P864">
        <v>6960</v>
      </c>
      <c r="Q864">
        <v>0.1</v>
      </c>
      <c r="R864">
        <v>4390</v>
      </c>
      <c r="S864" t="s">
        <v>29</v>
      </c>
      <c r="T864" t="s">
        <v>30</v>
      </c>
      <c r="U864">
        <v>5</v>
      </c>
      <c r="V864" t="s">
        <v>40</v>
      </c>
      <c r="W864">
        <f>excelsalesdata[[#This Row],[Quantity]]*excelsalesdata[[#This Row],[Unit_Price]]</f>
        <v>13920</v>
      </c>
      <c r="X864">
        <f>excelsalesdata[[#This Row],[Gross_sales]]*excelsalesdata[[#This Row],[Discount_%]]</f>
        <v>1392</v>
      </c>
      <c r="Y864">
        <f>excelsalesdata[[#This Row],[Gross_sales]]-excelsalesdata[[#This Row],[Discount_amt]]</f>
        <v>12528</v>
      </c>
      <c r="Z864" s="4">
        <f>excelsalesdata[[#This Row],[Net_sales]]-excelsalesdata[[#This Row],[Cost]]</f>
        <v>8138</v>
      </c>
      <c r="AA864" s="5">
        <f>excelsalesdata[[#This Row],[Profit]]/excelsalesdata[[#This Row],[Net_sales]]</f>
        <v>0.6495849297573435</v>
      </c>
      <c r="AB864" s="4">
        <f>YEAR(excelsalesdata[[#This Row],[Order_Date]])</f>
        <v>2027</v>
      </c>
      <c r="AC864" s="4" t="str">
        <f>TEXT(excelsalesdata[[#This Row],[Order_Date]],"mmm")</f>
        <v>Aug</v>
      </c>
      <c r="AD864" s="4" t="str">
        <f>"Q"&amp;ROUNDUP(MONTH(excelsalesdata[[#This Row],[Order_Date]])/3,0)</f>
        <v>Q3</v>
      </c>
    </row>
    <row r="865" spans="1:30" x14ac:dyDescent="0.35">
      <c r="A865" t="s">
        <v>1621</v>
      </c>
      <c r="B865" s="3">
        <v>46623</v>
      </c>
      <c r="C865" t="s">
        <v>281</v>
      </c>
      <c r="D865" t="s">
        <v>214</v>
      </c>
      <c r="E865" t="str">
        <f>TRIM(excelsalesdata[[#This Row],[Customer_Name]])</f>
        <v>Meera Naidu</v>
      </c>
      <c r="F865" t="s">
        <v>44</v>
      </c>
      <c r="G865">
        <v>37</v>
      </c>
      <c r="H865" t="s">
        <v>190</v>
      </c>
      <c r="I865" t="str">
        <f>TRIM(excelsalesdata[[#This Row],[City]])</f>
        <v>Ahmedabad</v>
      </c>
      <c r="J865" t="s">
        <v>191</v>
      </c>
      <c r="K865" t="s">
        <v>26</v>
      </c>
      <c r="L865" t="s">
        <v>38</v>
      </c>
      <c r="M865" t="s">
        <v>255</v>
      </c>
      <c r="N865" t="s">
        <v>255</v>
      </c>
      <c r="O865">
        <v>1</v>
      </c>
      <c r="P865">
        <v>4320</v>
      </c>
      <c r="Q865">
        <v>0.2</v>
      </c>
      <c r="R865">
        <v>2880</v>
      </c>
      <c r="S865" t="s">
        <v>151</v>
      </c>
      <c r="T865" t="s">
        <v>30</v>
      </c>
      <c r="U865">
        <v>1</v>
      </c>
      <c r="V865" t="s">
        <v>40</v>
      </c>
      <c r="W865">
        <f>excelsalesdata[[#This Row],[Quantity]]*excelsalesdata[[#This Row],[Unit_Price]]</f>
        <v>4320</v>
      </c>
      <c r="X865">
        <f>excelsalesdata[[#This Row],[Gross_sales]]*excelsalesdata[[#This Row],[Discount_%]]</f>
        <v>864</v>
      </c>
      <c r="Y865">
        <f>excelsalesdata[[#This Row],[Gross_sales]]-excelsalesdata[[#This Row],[Discount_amt]]</f>
        <v>3456</v>
      </c>
      <c r="Z865" s="4">
        <f>excelsalesdata[[#This Row],[Net_sales]]-excelsalesdata[[#This Row],[Cost]]</f>
        <v>576</v>
      </c>
      <c r="AA865" s="5">
        <f>excelsalesdata[[#This Row],[Profit]]/excelsalesdata[[#This Row],[Net_sales]]</f>
        <v>0.16666666666666666</v>
      </c>
      <c r="AB865" s="4">
        <f>YEAR(excelsalesdata[[#This Row],[Order_Date]])</f>
        <v>2027</v>
      </c>
      <c r="AC865" s="4" t="str">
        <f>TEXT(excelsalesdata[[#This Row],[Order_Date]],"mmm")</f>
        <v>Aug</v>
      </c>
      <c r="AD865" s="4" t="str">
        <f>"Q"&amp;ROUNDUP(MONTH(excelsalesdata[[#This Row],[Order_Date]])/3,0)</f>
        <v>Q3</v>
      </c>
    </row>
    <row r="866" spans="1:30" x14ac:dyDescent="0.35">
      <c r="A866" t="s">
        <v>1622</v>
      </c>
      <c r="B866" s="3">
        <v>46624</v>
      </c>
      <c r="C866" t="s">
        <v>1623</v>
      </c>
      <c r="D866" t="s">
        <v>519</v>
      </c>
      <c r="E866" t="str">
        <f>TRIM(excelsalesdata[[#This Row],[Customer_Name]])</f>
        <v>Kavya Das</v>
      </c>
      <c r="F866" t="s">
        <v>23</v>
      </c>
      <c r="G866">
        <v>48</v>
      </c>
      <c r="H866" t="s">
        <v>24</v>
      </c>
      <c r="I866" t="str">
        <f>TRIM(excelsalesdata[[#This Row],[City]])</f>
        <v>Pune</v>
      </c>
      <c r="J866" t="s">
        <v>25</v>
      </c>
      <c r="K866" t="s">
        <v>26</v>
      </c>
      <c r="L866" t="s">
        <v>93</v>
      </c>
      <c r="M866" t="s">
        <v>94</v>
      </c>
      <c r="N866" t="s">
        <v>94</v>
      </c>
      <c r="O866">
        <v>1</v>
      </c>
      <c r="P866">
        <v>520</v>
      </c>
      <c r="Q866">
        <v>0</v>
      </c>
      <c r="R866">
        <v>230</v>
      </c>
      <c r="S866" t="s">
        <v>67</v>
      </c>
      <c r="T866" t="s">
        <v>30</v>
      </c>
      <c r="U866">
        <v>5</v>
      </c>
      <c r="V866" t="s">
        <v>31</v>
      </c>
      <c r="W866">
        <f>excelsalesdata[[#This Row],[Quantity]]*excelsalesdata[[#This Row],[Unit_Price]]</f>
        <v>520</v>
      </c>
      <c r="X866">
        <f>excelsalesdata[[#This Row],[Gross_sales]]*excelsalesdata[[#This Row],[Discount_%]]</f>
        <v>0</v>
      </c>
      <c r="Y866">
        <f>excelsalesdata[[#This Row],[Gross_sales]]-excelsalesdata[[#This Row],[Discount_amt]]</f>
        <v>520</v>
      </c>
      <c r="Z866" s="4">
        <f>excelsalesdata[[#This Row],[Net_sales]]-excelsalesdata[[#This Row],[Cost]]</f>
        <v>290</v>
      </c>
      <c r="AA866" s="5">
        <f>excelsalesdata[[#This Row],[Profit]]/excelsalesdata[[#This Row],[Net_sales]]</f>
        <v>0.55769230769230771</v>
      </c>
      <c r="AB866" s="4">
        <f>YEAR(excelsalesdata[[#This Row],[Order_Date]])</f>
        <v>2027</v>
      </c>
      <c r="AC866" s="4" t="str">
        <f>TEXT(excelsalesdata[[#This Row],[Order_Date]],"mmm")</f>
        <v>Aug</v>
      </c>
      <c r="AD866" s="4" t="str">
        <f>"Q"&amp;ROUNDUP(MONTH(excelsalesdata[[#This Row],[Order_Date]])/3,0)</f>
        <v>Q3</v>
      </c>
    </row>
    <row r="867" spans="1:30" x14ac:dyDescent="0.35">
      <c r="A867" t="s">
        <v>1624</v>
      </c>
      <c r="B867" s="3">
        <v>46625</v>
      </c>
      <c r="C867" t="s">
        <v>761</v>
      </c>
      <c r="D867" t="s">
        <v>914</v>
      </c>
      <c r="E867" t="str">
        <f>TRIM(excelsalesdata[[#This Row],[Customer_Name]])</f>
        <v>Nisha Kumar</v>
      </c>
      <c r="F867" t="s">
        <v>23</v>
      </c>
      <c r="G867">
        <v>48</v>
      </c>
      <c r="H867" t="s">
        <v>45</v>
      </c>
      <c r="I867" t="str">
        <f>TRIM(excelsalesdata[[#This Row],[City]])</f>
        <v>Kochi</v>
      </c>
      <c r="J867" t="s">
        <v>46</v>
      </c>
      <c r="K867" t="s">
        <v>47</v>
      </c>
      <c r="L867" t="s">
        <v>27</v>
      </c>
      <c r="M867" t="s">
        <v>295</v>
      </c>
      <c r="N867" t="s">
        <v>295</v>
      </c>
      <c r="O867">
        <v>1</v>
      </c>
      <c r="P867">
        <v>4440</v>
      </c>
      <c r="Q867">
        <v>0.1</v>
      </c>
      <c r="R867">
        <v>2610</v>
      </c>
      <c r="S867" t="s">
        <v>56</v>
      </c>
      <c r="T867" t="s">
        <v>30</v>
      </c>
      <c r="U867">
        <v>3</v>
      </c>
      <c r="V867" t="s">
        <v>31</v>
      </c>
      <c r="W867">
        <f>excelsalesdata[[#This Row],[Quantity]]*excelsalesdata[[#This Row],[Unit_Price]]</f>
        <v>4440</v>
      </c>
      <c r="X867">
        <f>excelsalesdata[[#This Row],[Gross_sales]]*excelsalesdata[[#This Row],[Discount_%]]</f>
        <v>444</v>
      </c>
      <c r="Y867">
        <f>excelsalesdata[[#This Row],[Gross_sales]]-excelsalesdata[[#This Row],[Discount_amt]]</f>
        <v>3996</v>
      </c>
      <c r="Z867" s="4">
        <f>excelsalesdata[[#This Row],[Net_sales]]-excelsalesdata[[#This Row],[Cost]]</f>
        <v>1386</v>
      </c>
      <c r="AA867" s="5">
        <f>excelsalesdata[[#This Row],[Profit]]/excelsalesdata[[#This Row],[Net_sales]]</f>
        <v>0.34684684684684686</v>
      </c>
      <c r="AB867" s="4">
        <f>YEAR(excelsalesdata[[#This Row],[Order_Date]])</f>
        <v>2027</v>
      </c>
      <c r="AC867" s="4" t="str">
        <f>TEXT(excelsalesdata[[#This Row],[Order_Date]],"mmm")</f>
        <v>Aug</v>
      </c>
      <c r="AD867" s="4" t="str">
        <f>"Q"&amp;ROUNDUP(MONTH(excelsalesdata[[#This Row],[Order_Date]])/3,0)</f>
        <v>Q3</v>
      </c>
    </row>
    <row r="868" spans="1:30" x14ac:dyDescent="0.35">
      <c r="A868" t="s">
        <v>1625</v>
      </c>
      <c r="B868" s="3">
        <v>46626</v>
      </c>
      <c r="C868" t="s">
        <v>361</v>
      </c>
      <c r="D868" t="s">
        <v>97</v>
      </c>
      <c r="E868" t="str">
        <f>TRIM(excelsalesdata[[#This Row],[Customer_Name]])</f>
        <v>Aditya Shah</v>
      </c>
      <c r="F868" t="s">
        <v>44</v>
      </c>
      <c r="G868">
        <v>59</v>
      </c>
      <c r="H868" t="s">
        <v>52</v>
      </c>
      <c r="I868" t="str">
        <f>TRIM(excelsalesdata[[#This Row],[City]])</f>
        <v>Bengaluru</v>
      </c>
      <c r="J868" t="s">
        <v>53</v>
      </c>
      <c r="K868" t="s">
        <v>47</v>
      </c>
      <c r="L868" t="s">
        <v>93</v>
      </c>
      <c r="M868" t="s">
        <v>135</v>
      </c>
      <c r="N868" t="s">
        <v>135</v>
      </c>
      <c r="O868">
        <v>1</v>
      </c>
      <c r="P868">
        <v>1900</v>
      </c>
      <c r="Q868">
        <v>0.25</v>
      </c>
      <c r="R868">
        <v>1030</v>
      </c>
      <c r="S868" t="s">
        <v>80</v>
      </c>
      <c r="T868" t="s">
        <v>30</v>
      </c>
      <c r="U868">
        <v>3</v>
      </c>
      <c r="V868" t="s">
        <v>40</v>
      </c>
      <c r="W868">
        <f>excelsalesdata[[#This Row],[Quantity]]*excelsalesdata[[#This Row],[Unit_Price]]</f>
        <v>1900</v>
      </c>
      <c r="X868">
        <f>excelsalesdata[[#This Row],[Gross_sales]]*excelsalesdata[[#This Row],[Discount_%]]</f>
        <v>475</v>
      </c>
      <c r="Y868">
        <f>excelsalesdata[[#This Row],[Gross_sales]]-excelsalesdata[[#This Row],[Discount_amt]]</f>
        <v>1425</v>
      </c>
      <c r="Z868" s="4">
        <f>excelsalesdata[[#This Row],[Net_sales]]-excelsalesdata[[#This Row],[Cost]]</f>
        <v>395</v>
      </c>
      <c r="AA868" s="5">
        <f>excelsalesdata[[#This Row],[Profit]]/excelsalesdata[[#This Row],[Net_sales]]</f>
        <v>0.27719298245614032</v>
      </c>
      <c r="AB868" s="4">
        <f>YEAR(excelsalesdata[[#This Row],[Order_Date]])</f>
        <v>2027</v>
      </c>
      <c r="AC868" s="4" t="str">
        <f>TEXT(excelsalesdata[[#This Row],[Order_Date]],"mmm")</f>
        <v>Aug</v>
      </c>
      <c r="AD868" s="4" t="str">
        <f>"Q"&amp;ROUNDUP(MONTH(excelsalesdata[[#This Row],[Order_Date]])/3,0)</f>
        <v>Q3</v>
      </c>
    </row>
    <row r="869" spans="1:30" x14ac:dyDescent="0.35">
      <c r="A869" t="s">
        <v>1626</v>
      </c>
      <c r="B869" s="3">
        <v>46627</v>
      </c>
      <c r="C869" t="s">
        <v>759</v>
      </c>
      <c r="D869" t="s">
        <v>619</v>
      </c>
      <c r="E869" t="str">
        <f>TRIM(excelsalesdata[[#This Row],[Customer_Name]])</f>
        <v>Aarav Naidu</v>
      </c>
      <c r="F869" t="s">
        <v>44</v>
      </c>
      <c r="G869">
        <v>23</v>
      </c>
      <c r="H869" t="s">
        <v>60</v>
      </c>
      <c r="I869" t="str">
        <f>TRIM(excelsalesdata[[#This Row],[City]])</f>
        <v>Chandigarh</v>
      </c>
      <c r="J869" t="s">
        <v>60</v>
      </c>
      <c r="K869" t="s">
        <v>61</v>
      </c>
      <c r="L869" t="s">
        <v>54</v>
      </c>
      <c r="M869" t="s">
        <v>62</v>
      </c>
      <c r="N869" t="s">
        <v>62</v>
      </c>
      <c r="O869">
        <v>3</v>
      </c>
      <c r="P869">
        <v>21520</v>
      </c>
      <c r="Q869">
        <v>0.05</v>
      </c>
      <c r="R869">
        <v>16160</v>
      </c>
      <c r="S869" t="s">
        <v>80</v>
      </c>
      <c r="T869" t="s">
        <v>30</v>
      </c>
      <c r="U869">
        <v>4</v>
      </c>
      <c r="V869" t="s">
        <v>40</v>
      </c>
      <c r="W869">
        <f>excelsalesdata[[#This Row],[Quantity]]*excelsalesdata[[#This Row],[Unit_Price]]</f>
        <v>64560</v>
      </c>
      <c r="X869">
        <f>excelsalesdata[[#This Row],[Gross_sales]]*excelsalesdata[[#This Row],[Discount_%]]</f>
        <v>3228</v>
      </c>
      <c r="Y869">
        <f>excelsalesdata[[#This Row],[Gross_sales]]-excelsalesdata[[#This Row],[Discount_amt]]</f>
        <v>61332</v>
      </c>
      <c r="Z869" s="4">
        <f>excelsalesdata[[#This Row],[Net_sales]]-excelsalesdata[[#This Row],[Cost]]</f>
        <v>45172</v>
      </c>
      <c r="AA869" s="5">
        <f>excelsalesdata[[#This Row],[Profit]]/excelsalesdata[[#This Row],[Net_sales]]</f>
        <v>0.73651601121763521</v>
      </c>
      <c r="AB869" s="4">
        <f>YEAR(excelsalesdata[[#This Row],[Order_Date]])</f>
        <v>2027</v>
      </c>
      <c r="AC869" s="4" t="str">
        <f>TEXT(excelsalesdata[[#This Row],[Order_Date]],"mmm")</f>
        <v>Aug</v>
      </c>
      <c r="AD869" s="4" t="str">
        <f>"Q"&amp;ROUNDUP(MONTH(excelsalesdata[[#This Row],[Order_Date]])/3,0)</f>
        <v>Q3</v>
      </c>
    </row>
    <row r="870" spans="1:30" x14ac:dyDescent="0.35">
      <c r="A870" t="s">
        <v>1627</v>
      </c>
      <c r="B870" s="3">
        <v>46628</v>
      </c>
      <c r="C870" t="s">
        <v>1628</v>
      </c>
      <c r="D870" t="s">
        <v>382</v>
      </c>
      <c r="E870" t="str">
        <f>TRIM(excelsalesdata[[#This Row],[Customer_Name]])</f>
        <v>Rahul Sharma</v>
      </c>
      <c r="F870" t="s">
        <v>44</v>
      </c>
      <c r="G870">
        <v>41</v>
      </c>
      <c r="H870" t="s">
        <v>78</v>
      </c>
      <c r="I870" t="str">
        <f>TRIM(excelsalesdata[[#This Row],[City]])</f>
        <v>Guwahati</v>
      </c>
      <c r="J870" t="s">
        <v>79</v>
      </c>
      <c r="K870" t="s">
        <v>37</v>
      </c>
      <c r="L870" t="s">
        <v>27</v>
      </c>
      <c r="M870" t="s">
        <v>123</v>
      </c>
      <c r="N870" t="s">
        <v>123</v>
      </c>
      <c r="O870">
        <v>2</v>
      </c>
      <c r="P870">
        <v>2700</v>
      </c>
      <c r="Q870">
        <v>0.1</v>
      </c>
      <c r="R870">
        <v>1590</v>
      </c>
      <c r="S870" t="s">
        <v>105</v>
      </c>
      <c r="T870" t="s">
        <v>30</v>
      </c>
      <c r="U870">
        <v>1</v>
      </c>
      <c r="V870" t="s">
        <v>40</v>
      </c>
      <c r="W870">
        <f>excelsalesdata[[#This Row],[Quantity]]*excelsalesdata[[#This Row],[Unit_Price]]</f>
        <v>5400</v>
      </c>
      <c r="X870">
        <f>excelsalesdata[[#This Row],[Gross_sales]]*excelsalesdata[[#This Row],[Discount_%]]</f>
        <v>540</v>
      </c>
      <c r="Y870">
        <f>excelsalesdata[[#This Row],[Gross_sales]]-excelsalesdata[[#This Row],[Discount_amt]]</f>
        <v>4860</v>
      </c>
      <c r="Z870" s="4">
        <f>excelsalesdata[[#This Row],[Net_sales]]-excelsalesdata[[#This Row],[Cost]]</f>
        <v>3270</v>
      </c>
      <c r="AA870" s="5">
        <f>excelsalesdata[[#This Row],[Profit]]/excelsalesdata[[#This Row],[Net_sales]]</f>
        <v>0.6728395061728395</v>
      </c>
      <c r="AB870" s="4">
        <f>YEAR(excelsalesdata[[#This Row],[Order_Date]])</f>
        <v>2027</v>
      </c>
      <c r="AC870" s="4" t="str">
        <f>TEXT(excelsalesdata[[#This Row],[Order_Date]],"mmm")</f>
        <v>Aug</v>
      </c>
      <c r="AD870" s="4" t="str">
        <f>"Q"&amp;ROUNDUP(MONTH(excelsalesdata[[#This Row],[Order_Date]])/3,0)</f>
        <v>Q3</v>
      </c>
    </row>
    <row r="871" spans="1:30" x14ac:dyDescent="0.35">
      <c r="A871" t="s">
        <v>1629</v>
      </c>
      <c r="B871" s="3">
        <v>46629</v>
      </c>
      <c r="C871" t="s">
        <v>1560</v>
      </c>
      <c r="D871" t="s">
        <v>510</v>
      </c>
      <c r="E871" t="str">
        <f>TRIM(excelsalesdata[[#This Row],[Customer_Name]])</f>
        <v>Diya Kumar</v>
      </c>
      <c r="F871" t="s">
        <v>44</v>
      </c>
      <c r="G871">
        <v>29</v>
      </c>
      <c r="H871" t="s">
        <v>133</v>
      </c>
      <c r="I871" t="str">
        <f>TRIM(excelsalesdata[[#This Row],[City]])</f>
        <v>Jaipur</v>
      </c>
      <c r="J871" t="s">
        <v>134</v>
      </c>
      <c r="K871" t="s">
        <v>61</v>
      </c>
      <c r="L871" t="s">
        <v>27</v>
      </c>
      <c r="M871" t="s">
        <v>123</v>
      </c>
      <c r="N871" t="s">
        <v>123</v>
      </c>
      <c r="O871">
        <v>3</v>
      </c>
      <c r="P871">
        <v>2630</v>
      </c>
      <c r="Q871">
        <v>0.2</v>
      </c>
      <c r="R871">
        <v>1600</v>
      </c>
      <c r="S871" t="s">
        <v>67</v>
      </c>
      <c r="T871" t="s">
        <v>74</v>
      </c>
      <c r="U871">
        <v>1</v>
      </c>
      <c r="V871" t="s">
        <v>31</v>
      </c>
      <c r="W871">
        <f>excelsalesdata[[#This Row],[Quantity]]*excelsalesdata[[#This Row],[Unit_Price]]</f>
        <v>7890</v>
      </c>
      <c r="X871">
        <f>excelsalesdata[[#This Row],[Gross_sales]]*excelsalesdata[[#This Row],[Discount_%]]</f>
        <v>1578</v>
      </c>
      <c r="Y871">
        <f>excelsalesdata[[#This Row],[Gross_sales]]-excelsalesdata[[#This Row],[Discount_amt]]</f>
        <v>6312</v>
      </c>
      <c r="Z871" s="4">
        <f>excelsalesdata[[#This Row],[Net_sales]]-excelsalesdata[[#This Row],[Cost]]</f>
        <v>4712</v>
      </c>
      <c r="AA871" s="5">
        <f>excelsalesdata[[#This Row],[Profit]]/excelsalesdata[[#This Row],[Net_sales]]</f>
        <v>0.74651457541191379</v>
      </c>
      <c r="AB871" s="4">
        <f>YEAR(excelsalesdata[[#This Row],[Order_Date]])</f>
        <v>2027</v>
      </c>
      <c r="AC871" s="4" t="str">
        <f>TEXT(excelsalesdata[[#This Row],[Order_Date]],"mmm")</f>
        <v>Aug</v>
      </c>
      <c r="AD871" s="4" t="str">
        <f>"Q"&amp;ROUNDUP(MONTH(excelsalesdata[[#This Row],[Order_Date]])/3,0)</f>
        <v>Q3</v>
      </c>
    </row>
    <row r="872" spans="1:30" x14ac:dyDescent="0.35">
      <c r="A872" t="s">
        <v>1630</v>
      </c>
      <c r="B872" s="3">
        <v>46630</v>
      </c>
      <c r="C872" t="s">
        <v>364</v>
      </c>
      <c r="D872" t="s">
        <v>426</v>
      </c>
      <c r="E872" t="str">
        <f>TRIM(excelsalesdata[[#This Row],[Customer_Name]])</f>
        <v>Kavya Verma</v>
      </c>
      <c r="F872" t="s">
        <v>23</v>
      </c>
      <c r="G872">
        <v>27</v>
      </c>
      <c r="H872" t="s">
        <v>114</v>
      </c>
      <c r="I872" t="str">
        <f>TRIM(excelsalesdata[[#This Row],[City]])</f>
        <v>Hyderabad</v>
      </c>
      <c r="J872" t="s">
        <v>115</v>
      </c>
      <c r="K872" t="s">
        <v>47</v>
      </c>
      <c r="L872" t="s">
        <v>27</v>
      </c>
      <c r="M872" t="s">
        <v>48</v>
      </c>
      <c r="N872" t="s">
        <v>48</v>
      </c>
      <c r="O872">
        <v>3</v>
      </c>
      <c r="P872">
        <v>890</v>
      </c>
      <c r="Q872">
        <v>0</v>
      </c>
      <c r="R872">
        <v>440</v>
      </c>
      <c r="S872" t="s">
        <v>80</v>
      </c>
      <c r="T872" t="s">
        <v>30</v>
      </c>
      <c r="U872">
        <v>3</v>
      </c>
      <c r="V872" t="s">
        <v>31</v>
      </c>
      <c r="W872">
        <f>excelsalesdata[[#This Row],[Quantity]]*excelsalesdata[[#This Row],[Unit_Price]]</f>
        <v>2670</v>
      </c>
      <c r="X872">
        <f>excelsalesdata[[#This Row],[Gross_sales]]*excelsalesdata[[#This Row],[Discount_%]]</f>
        <v>0</v>
      </c>
      <c r="Y872">
        <f>excelsalesdata[[#This Row],[Gross_sales]]-excelsalesdata[[#This Row],[Discount_amt]]</f>
        <v>2670</v>
      </c>
      <c r="Z872" s="4">
        <f>excelsalesdata[[#This Row],[Net_sales]]-excelsalesdata[[#This Row],[Cost]]</f>
        <v>2230</v>
      </c>
      <c r="AA872" s="5">
        <f>excelsalesdata[[#This Row],[Profit]]/excelsalesdata[[#This Row],[Net_sales]]</f>
        <v>0.83520599250936334</v>
      </c>
      <c r="AB872" s="4">
        <f>YEAR(excelsalesdata[[#This Row],[Order_Date]])</f>
        <v>2027</v>
      </c>
      <c r="AC872" s="4" t="str">
        <f>TEXT(excelsalesdata[[#This Row],[Order_Date]],"mmm")</f>
        <v>Aug</v>
      </c>
      <c r="AD872" s="4" t="str">
        <f>"Q"&amp;ROUNDUP(MONTH(excelsalesdata[[#This Row],[Order_Date]])/3,0)</f>
        <v>Q3</v>
      </c>
    </row>
    <row r="873" spans="1:30" x14ac:dyDescent="0.35">
      <c r="A873" t="s">
        <v>1631</v>
      </c>
      <c r="B873" s="3">
        <v>46631</v>
      </c>
      <c r="C873" t="s">
        <v>1263</v>
      </c>
      <c r="D873" t="s">
        <v>1374</v>
      </c>
      <c r="E873" t="str">
        <f>TRIM(excelsalesdata[[#This Row],[Customer_Name]])</f>
        <v>Karan Joshi</v>
      </c>
      <c r="F873" t="s">
        <v>44</v>
      </c>
      <c r="G873">
        <v>55</v>
      </c>
      <c r="H873" t="s">
        <v>114</v>
      </c>
      <c r="I873" t="str">
        <f>TRIM(excelsalesdata[[#This Row],[City]])</f>
        <v>Hyderabad</v>
      </c>
      <c r="J873" t="s">
        <v>115</v>
      </c>
      <c r="K873" t="s">
        <v>47</v>
      </c>
      <c r="L873" t="s">
        <v>93</v>
      </c>
      <c r="M873" t="s">
        <v>206</v>
      </c>
      <c r="N873" t="s">
        <v>206</v>
      </c>
      <c r="O873">
        <v>2</v>
      </c>
      <c r="P873">
        <v>600</v>
      </c>
      <c r="Q873">
        <v>0.05</v>
      </c>
      <c r="R873">
        <v>290</v>
      </c>
      <c r="S873" t="s">
        <v>29</v>
      </c>
      <c r="T873" t="s">
        <v>81</v>
      </c>
      <c r="U873">
        <v>0</v>
      </c>
      <c r="V873" t="s">
        <v>31</v>
      </c>
      <c r="W873">
        <f>excelsalesdata[[#This Row],[Quantity]]*excelsalesdata[[#This Row],[Unit_Price]]</f>
        <v>1200</v>
      </c>
      <c r="X873">
        <f>excelsalesdata[[#This Row],[Gross_sales]]*excelsalesdata[[#This Row],[Discount_%]]</f>
        <v>60</v>
      </c>
      <c r="Y873">
        <f>excelsalesdata[[#This Row],[Gross_sales]]-excelsalesdata[[#This Row],[Discount_amt]]</f>
        <v>1140</v>
      </c>
      <c r="Z873" s="4">
        <f>excelsalesdata[[#This Row],[Net_sales]]-excelsalesdata[[#This Row],[Cost]]</f>
        <v>850</v>
      </c>
      <c r="AA873" s="5">
        <f>excelsalesdata[[#This Row],[Profit]]/excelsalesdata[[#This Row],[Net_sales]]</f>
        <v>0.74561403508771928</v>
      </c>
      <c r="AB873" s="4">
        <f>YEAR(excelsalesdata[[#This Row],[Order_Date]])</f>
        <v>2027</v>
      </c>
      <c r="AC873" s="4" t="str">
        <f>TEXT(excelsalesdata[[#This Row],[Order_Date]],"mmm")</f>
        <v>Sep</v>
      </c>
      <c r="AD873" s="4" t="str">
        <f>"Q"&amp;ROUNDUP(MONTH(excelsalesdata[[#This Row],[Order_Date]])/3,0)</f>
        <v>Q3</v>
      </c>
    </row>
    <row r="874" spans="1:30" x14ac:dyDescent="0.35">
      <c r="A874" t="s">
        <v>1632</v>
      </c>
      <c r="B874" s="3">
        <v>46632</v>
      </c>
      <c r="C874" t="s">
        <v>763</v>
      </c>
      <c r="D874" t="s">
        <v>752</v>
      </c>
      <c r="E874" t="str">
        <f>TRIM(excelsalesdata[[#This Row],[Customer_Name]])</f>
        <v>Kavya Mehta</v>
      </c>
      <c r="F874" t="s">
        <v>23</v>
      </c>
      <c r="G874">
        <v>51</v>
      </c>
      <c r="H874" t="s">
        <v>190</v>
      </c>
      <c r="I874" t="str">
        <f>TRIM(excelsalesdata[[#This Row],[City]])</f>
        <v>Ahmedabad</v>
      </c>
      <c r="J874" t="s">
        <v>191</v>
      </c>
      <c r="K874" t="s">
        <v>26</v>
      </c>
      <c r="L874" t="s">
        <v>54</v>
      </c>
      <c r="M874" t="s">
        <v>157</v>
      </c>
      <c r="N874" t="s">
        <v>157</v>
      </c>
      <c r="O874">
        <v>3</v>
      </c>
      <c r="P874">
        <v>52350</v>
      </c>
      <c r="Q874">
        <v>0.15</v>
      </c>
      <c r="R874">
        <v>41090</v>
      </c>
      <c r="S874" t="s">
        <v>151</v>
      </c>
      <c r="T874" t="s">
        <v>30</v>
      </c>
      <c r="U874">
        <v>5</v>
      </c>
      <c r="V874" t="s">
        <v>40</v>
      </c>
      <c r="W874">
        <f>excelsalesdata[[#This Row],[Quantity]]*excelsalesdata[[#This Row],[Unit_Price]]</f>
        <v>157050</v>
      </c>
      <c r="X874">
        <f>excelsalesdata[[#This Row],[Gross_sales]]*excelsalesdata[[#This Row],[Discount_%]]</f>
        <v>23557.5</v>
      </c>
      <c r="Y874">
        <f>excelsalesdata[[#This Row],[Gross_sales]]-excelsalesdata[[#This Row],[Discount_amt]]</f>
        <v>133492.5</v>
      </c>
      <c r="Z874" s="4">
        <f>excelsalesdata[[#This Row],[Net_sales]]-excelsalesdata[[#This Row],[Cost]]</f>
        <v>92402.5</v>
      </c>
      <c r="AA874" s="5">
        <f>excelsalesdata[[#This Row],[Profit]]/excelsalesdata[[#This Row],[Net_sales]]</f>
        <v>0.6921924452684608</v>
      </c>
      <c r="AB874" s="4">
        <f>YEAR(excelsalesdata[[#This Row],[Order_Date]])</f>
        <v>2027</v>
      </c>
      <c r="AC874" s="4" t="str">
        <f>TEXT(excelsalesdata[[#This Row],[Order_Date]],"mmm")</f>
        <v>Sep</v>
      </c>
      <c r="AD874" s="4" t="str">
        <f>"Q"&amp;ROUNDUP(MONTH(excelsalesdata[[#This Row],[Order_Date]])/3,0)</f>
        <v>Q3</v>
      </c>
    </row>
    <row r="875" spans="1:30" x14ac:dyDescent="0.35">
      <c r="A875" t="s">
        <v>1633</v>
      </c>
      <c r="B875" s="3">
        <v>46633</v>
      </c>
      <c r="C875" t="s">
        <v>1634</v>
      </c>
      <c r="D875" t="s">
        <v>1238</v>
      </c>
      <c r="E875" t="str">
        <f>TRIM(excelsalesdata[[#This Row],[Customer_Name]])</f>
        <v>Rahul Das</v>
      </c>
      <c r="F875" t="s">
        <v>23</v>
      </c>
      <c r="G875">
        <v>54</v>
      </c>
      <c r="H875" t="s">
        <v>45</v>
      </c>
      <c r="I875" t="str">
        <f>TRIM(excelsalesdata[[#This Row],[City]])</f>
        <v>Kochi</v>
      </c>
      <c r="J875" t="s">
        <v>46</v>
      </c>
      <c r="K875" t="s">
        <v>47</v>
      </c>
      <c r="L875" t="s">
        <v>103</v>
      </c>
      <c r="M875" t="s">
        <v>312</v>
      </c>
      <c r="N875" t="s">
        <v>312</v>
      </c>
      <c r="O875">
        <v>3</v>
      </c>
      <c r="P875">
        <v>6030</v>
      </c>
      <c r="Q875">
        <v>0.05</v>
      </c>
      <c r="R875">
        <v>4040</v>
      </c>
      <c r="S875" t="s">
        <v>29</v>
      </c>
      <c r="T875" t="s">
        <v>99</v>
      </c>
      <c r="U875">
        <v>4</v>
      </c>
      <c r="V875" t="s">
        <v>40</v>
      </c>
      <c r="W875">
        <f>excelsalesdata[[#This Row],[Quantity]]*excelsalesdata[[#This Row],[Unit_Price]]</f>
        <v>18090</v>
      </c>
      <c r="X875">
        <f>excelsalesdata[[#This Row],[Gross_sales]]*excelsalesdata[[#This Row],[Discount_%]]</f>
        <v>904.5</v>
      </c>
      <c r="Y875">
        <f>excelsalesdata[[#This Row],[Gross_sales]]-excelsalesdata[[#This Row],[Discount_amt]]</f>
        <v>17185.5</v>
      </c>
      <c r="Z875" s="4">
        <f>excelsalesdata[[#This Row],[Net_sales]]-excelsalesdata[[#This Row],[Cost]]</f>
        <v>13145.5</v>
      </c>
      <c r="AA875" s="5">
        <f>excelsalesdata[[#This Row],[Profit]]/excelsalesdata[[#This Row],[Net_sales]]</f>
        <v>0.76491809956067613</v>
      </c>
      <c r="AB875" s="4">
        <f>YEAR(excelsalesdata[[#This Row],[Order_Date]])</f>
        <v>2027</v>
      </c>
      <c r="AC875" s="4" t="str">
        <f>TEXT(excelsalesdata[[#This Row],[Order_Date]],"mmm")</f>
        <v>Sep</v>
      </c>
      <c r="AD875" s="4" t="str">
        <f>"Q"&amp;ROUNDUP(MONTH(excelsalesdata[[#This Row],[Order_Date]])/3,0)</f>
        <v>Q3</v>
      </c>
    </row>
    <row r="876" spans="1:30" x14ac:dyDescent="0.35">
      <c r="A876" t="s">
        <v>1635</v>
      </c>
      <c r="B876" s="3">
        <v>46634</v>
      </c>
      <c r="C876" t="s">
        <v>1103</v>
      </c>
      <c r="D876" t="s">
        <v>806</v>
      </c>
      <c r="E876" t="str">
        <f>TRIM(excelsalesdata[[#This Row],[Customer_Name]])</f>
        <v>Karan Patel</v>
      </c>
      <c r="F876" t="s">
        <v>44</v>
      </c>
      <c r="G876">
        <v>32</v>
      </c>
      <c r="H876" t="s">
        <v>71</v>
      </c>
      <c r="I876" t="str">
        <f>TRIM(excelsalesdata[[#This Row],[City]])</f>
        <v>Bhubaneswar</v>
      </c>
      <c r="J876" t="s">
        <v>72</v>
      </c>
      <c r="K876" t="s">
        <v>37</v>
      </c>
      <c r="L876" t="s">
        <v>27</v>
      </c>
      <c r="M876" t="s">
        <v>295</v>
      </c>
      <c r="N876" t="s">
        <v>295</v>
      </c>
      <c r="O876">
        <v>2</v>
      </c>
      <c r="P876">
        <v>3910</v>
      </c>
      <c r="Q876">
        <v>0.05</v>
      </c>
      <c r="R876">
        <v>2520</v>
      </c>
      <c r="S876" t="s">
        <v>29</v>
      </c>
      <c r="T876" t="s">
        <v>30</v>
      </c>
      <c r="U876">
        <v>4</v>
      </c>
      <c r="V876" t="s">
        <v>31</v>
      </c>
      <c r="W876">
        <f>excelsalesdata[[#This Row],[Quantity]]*excelsalesdata[[#This Row],[Unit_Price]]</f>
        <v>7820</v>
      </c>
      <c r="X876">
        <f>excelsalesdata[[#This Row],[Gross_sales]]*excelsalesdata[[#This Row],[Discount_%]]</f>
        <v>391</v>
      </c>
      <c r="Y876">
        <f>excelsalesdata[[#This Row],[Gross_sales]]-excelsalesdata[[#This Row],[Discount_amt]]</f>
        <v>7429</v>
      </c>
      <c r="Z876" s="4">
        <f>excelsalesdata[[#This Row],[Net_sales]]-excelsalesdata[[#This Row],[Cost]]</f>
        <v>4909</v>
      </c>
      <c r="AA876" s="5">
        <f>excelsalesdata[[#This Row],[Profit]]/excelsalesdata[[#This Row],[Net_sales]]</f>
        <v>0.66078880064611656</v>
      </c>
      <c r="AB876" s="4">
        <f>YEAR(excelsalesdata[[#This Row],[Order_Date]])</f>
        <v>2027</v>
      </c>
      <c r="AC876" s="4" t="str">
        <f>TEXT(excelsalesdata[[#This Row],[Order_Date]],"mmm")</f>
        <v>Sep</v>
      </c>
      <c r="AD876" s="4" t="str">
        <f>"Q"&amp;ROUNDUP(MONTH(excelsalesdata[[#This Row],[Order_Date]])/3,0)</f>
        <v>Q3</v>
      </c>
    </row>
    <row r="877" spans="1:30" x14ac:dyDescent="0.35">
      <c r="A877" t="s">
        <v>1636</v>
      </c>
      <c r="B877" s="3">
        <v>46635</v>
      </c>
      <c r="C877" t="s">
        <v>320</v>
      </c>
      <c r="D877" t="s">
        <v>1032</v>
      </c>
      <c r="E877" t="str">
        <f>TRIM(excelsalesdata[[#This Row],[Customer_Name]])</f>
        <v>Aarav Gupta</v>
      </c>
      <c r="F877" t="s">
        <v>23</v>
      </c>
      <c r="G877">
        <v>46</v>
      </c>
      <c r="H877" t="s">
        <v>45</v>
      </c>
      <c r="I877" t="str">
        <f>TRIM(excelsalesdata[[#This Row],[City]])</f>
        <v>Kochi</v>
      </c>
      <c r="J877" t="s">
        <v>46</v>
      </c>
      <c r="K877" t="s">
        <v>47</v>
      </c>
      <c r="L877" t="s">
        <v>38</v>
      </c>
      <c r="M877" t="s">
        <v>119</v>
      </c>
      <c r="N877" t="s">
        <v>119</v>
      </c>
      <c r="O877">
        <v>3</v>
      </c>
      <c r="P877">
        <v>8850</v>
      </c>
      <c r="Q877">
        <v>0</v>
      </c>
      <c r="R877">
        <v>5330</v>
      </c>
      <c r="S877" t="s">
        <v>56</v>
      </c>
      <c r="T877" t="s">
        <v>30</v>
      </c>
      <c r="U877">
        <v>5</v>
      </c>
      <c r="V877" t="s">
        <v>31</v>
      </c>
      <c r="W877">
        <f>excelsalesdata[[#This Row],[Quantity]]*excelsalesdata[[#This Row],[Unit_Price]]</f>
        <v>26550</v>
      </c>
      <c r="X877">
        <f>excelsalesdata[[#This Row],[Gross_sales]]*excelsalesdata[[#This Row],[Discount_%]]</f>
        <v>0</v>
      </c>
      <c r="Y877">
        <f>excelsalesdata[[#This Row],[Gross_sales]]-excelsalesdata[[#This Row],[Discount_amt]]</f>
        <v>26550</v>
      </c>
      <c r="Z877" s="4">
        <f>excelsalesdata[[#This Row],[Net_sales]]-excelsalesdata[[#This Row],[Cost]]</f>
        <v>21220</v>
      </c>
      <c r="AA877" s="5">
        <f>excelsalesdata[[#This Row],[Profit]]/excelsalesdata[[#This Row],[Net_sales]]</f>
        <v>0.79924670433145006</v>
      </c>
      <c r="AB877" s="4">
        <f>YEAR(excelsalesdata[[#This Row],[Order_Date]])</f>
        <v>2027</v>
      </c>
      <c r="AC877" s="4" t="str">
        <f>TEXT(excelsalesdata[[#This Row],[Order_Date]],"mmm")</f>
        <v>Sep</v>
      </c>
      <c r="AD877" s="4" t="str">
        <f>"Q"&amp;ROUNDUP(MONTH(excelsalesdata[[#This Row],[Order_Date]])/3,0)</f>
        <v>Q3</v>
      </c>
    </row>
    <row r="878" spans="1:30" x14ac:dyDescent="0.35">
      <c r="A878" t="s">
        <v>1637</v>
      </c>
      <c r="B878" s="3">
        <v>46636</v>
      </c>
      <c r="C878" t="s">
        <v>805</v>
      </c>
      <c r="D878" t="s">
        <v>208</v>
      </c>
      <c r="E878" t="str">
        <f>TRIM(excelsalesdata[[#This Row],[Customer_Name]])</f>
        <v>Aarav Singh</v>
      </c>
      <c r="F878" t="s">
        <v>44</v>
      </c>
      <c r="G878">
        <v>56</v>
      </c>
      <c r="H878" t="s">
        <v>155</v>
      </c>
      <c r="I878" t="str">
        <f>TRIM(excelsalesdata[[#This Row],[City]])</f>
        <v>Chennai</v>
      </c>
      <c r="J878" t="s">
        <v>156</v>
      </c>
      <c r="K878" t="s">
        <v>47</v>
      </c>
      <c r="L878" t="s">
        <v>38</v>
      </c>
      <c r="M878" t="s">
        <v>255</v>
      </c>
      <c r="N878" t="s">
        <v>255</v>
      </c>
      <c r="O878">
        <v>2</v>
      </c>
      <c r="P878">
        <v>4460</v>
      </c>
      <c r="Q878">
        <v>0.15</v>
      </c>
      <c r="R878">
        <v>2940</v>
      </c>
      <c r="S878" t="s">
        <v>105</v>
      </c>
      <c r="T878" t="s">
        <v>30</v>
      </c>
      <c r="U878">
        <v>3</v>
      </c>
      <c r="V878" t="s">
        <v>40</v>
      </c>
      <c r="W878">
        <f>excelsalesdata[[#This Row],[Quantity]]*excelsalesdata[[#This Row],[Unit_Price]]</f>
        <v>8920</v>
      </c>
      <c r="X878">
        <f>excelsalesdata[[#This Row],[Gross_sales]]*excelsalesdata[[#This Row],[Discount_%]]</f>
        <v>1338</v>
      </c>
      <c r="Y878">
        <f>excelsalesdata[[#This Row],[Gross_sales]]-excelsalesdata[[#This Row],[Discount_amt]]</f>
        <v>7582</v>
      </c>
      <c r="Z878" s="4">
        <f>excelsalesdata[[#This Row],[Net_sales]]-excelsalesdata[[#This Row],[Cost]]</f>
        <v>4642</v>
      </c>
      <c r="AA878" s="5">
        <f>excelsalesdata[[#This Row],[Profit]]/excelsalesdata[[#This Row],[Net_sales]]</f>
        <v>0.61223951463993664</v>
      </c>
      <c r="AB878" s="4">
        <f>YEAR(excelsalesdata[[#This Row],[Order_Date]])</f>
        <v>2027</v>
      </c>
      <c r="AC878" s="4" t="str">
        <f>TEXT(excelsalesdata[[#This Row],[Order_Date]],"mmm")</f>
        <v>Sep</v>
      </c>
      <c r="AD878" s="4" t="str">
        <f>"Q"&amp;ROUNDUP(MONTH(excelsalesdata[[#This Row],[Order_Date]])/3,0)</f>
        <v>Q3</v>
      </c>
    </row>
    <row r="879" spans="1:30" x14ac:dyDescent="0.35">
      <c r="A879" t="s">
        <v>1638</v>
      </c>
      <c r="B879" s="3">
        <v>46637</v>
      </c>
      <c r="C879" t="s">
        <v>1261</v>
      </c>
      <c r="D879" t="s">
        <v>308</v>
      </c>
      <c r="E879" t="str">
        <f>TRIM(excelsalesdata[[#This Row],[Customer_Name]])</f>
        <v>Vivaan Nair</v>
      </c>
      <c r="F879" t="s">
        <v>44</v>
      </c>
      <c r="G879">
        <v>56</v>
      </c>
      <c r="H879" t="s">
        <v>24</v>
      </c>
      <c r="I879" t="str">
        <f>TRIM(excelsalesdata[[#This Row],[City]])</f>
        <v>Pune</v>
      </c>
      <c r="J879" t="s">
        <v>25</v>
      </c>
      <c r="K879" t="s">
        <v>26</v>
      </c>
      <c r="L879" t="s">
        <v>54</v>
      </c>
      <c r="M879" t="s">
        <v>55</v>
      </c>
      <c r="N879" t="s">
        <v>55</v>
      </c>
      <c r="O879">
        <v>1</v>
      </c>
      <c r="P879">
        <v>6920</v>
      </c>
      <c r="Q879">
        <v>0.15</v>
      </c>
      <c r="R879">
        <v>4540</v>
      </c>
      <c r="S879" t="s">
        <v>67</v>
      </c>
      <c r="T879" t="s">
        <v>74</v>
      </c>
      <c r="U879">
        <v>3</v>
      </c>
      <c r="V879" t="s">
        <v>40</v>
      </c>
      <c r="W879">
        <f>excelsalesdata[[#This Row],[Quantity]]*excelsalesdata[[#This Row],[Unit_Price]]</f>
        <v>6920</v>
      </c>
      <c r="X879">
        <f>excelsalesdata[[#This Row],[Gross_sales]]*excelsalesdata[[#This Row],[Discount_%]]</f>
        <v>1038</v>
      </c>
      <c r="Y879">
        <f>excelsalesdata[[#This Row],[Gross_sales]]-excelsalesdata[[#This Row],[Discount_amt]]</f>
        <v>5882</v>
      </c>
      <c r="Z879" s="4">
        <f>excelsalesdata[[#This Row],[Net_sales]]-excelsalesdata[[#This Row],[Cost]]</f>
        <v>1342</v>
      </c>
      <c r="AA879" s="5">
        <f>excelsalesdata[[#This Row],[Profit]]/excelsalesdata[[#This Row],[Net_sales]]</f>
        <v>0.22815368922135329</v>
      </c>
      <c r="AB879" s="4">
        <f>YEAR(excelsalesdata[[#This Row],[Order_Date]])</f>
        <v>2027</v>
      </c>
      <c r="AC879" s="4" t="str">
        <f>TEXT(excelsalesdata[[#This Row],[Order_Date]],"mmm")</f>
        <v>Sep</v>
      </c>
      <c r="AD879" s="4" t="str">
        <f>"Q"&amp;ROUNDUP(MONTH(excelsalesdata[[#This Row],[Order_Date]])/3,0)</f>
        <v>Q3</v>
      </c>
    </row>
    <row r="880" spans="1:30" x14ac:dyDescent="0.35">
      <c r="A880" t="s">
        <v>1639</v>
      </c>
      <c r="B880" s="3">
        <v>46638</v>
      </c>
      <c r="C880" t="s">
        <v>434</v>
      </c>
      <c r="D880" t="s">
        <v>495</v>
      </c>
      <c r="E880" t="str">
        <f>TRIM(excelsalesdata[[#This Row],[Customer_Name]])</f>
        <v>Meera Das</v>
      </c>
      <c r="F880" t="s">
        <v>44</v>
      </c>
      <c r="G880">
        <v>40</v>
      </c>
      <c r="H880" t="s">
        <v>98</v>
      </c>
      <c r="I880" t="str">
        <f>TRIM(excelsalesdata[[#This Row],[City]])</f>
        <v>Mumbai</v>
      </c>
      <c r="J880" t="s">
        <v>25</v>
      </c>
      <c r="K880" t="s">
        <v>26</v>
      </c>
      <c r="L880" t="s">
        <v>103</v>
      </c>
      <c r="M880" t="s">
        <v>178</v>
      </c>
      <c r="N880" t="s">
        <v>178</v>
      </c>
      <c r="O880">
        <v>1</v>
      </c>
      <c r="P880">
        <v>1780</v>
      </c>
      <c r="Q880">
        <v>0.15</v>
      </c>
      <c r="R880">
        <v>930</v>
      </c>
      <c r="S880" t="s">
        <v>29</v>
      </c>
      <c r="T880" t="s">
        <v>30</v>
      </c>
      <c r="U880">
        <v>1</v>
      </c>
      <c r="V880" t="s">
        <v>40</v>
      </c>
      <c r="W880">
        <f>excelsalesdata[[#This Row],[Quantity]]*excelsalesdata[[#This Row],[Unit_Price]]</f>
        <v>1780</v>
      </c>
      <c r="X880">
        <f>excelsalesdata[[#This Row],[Gross_sales]]*excelsalesdata[[#This Row],[Discount_%]]</f>
        <v>267</v>
      </c>
      <c r="Y880">
        <f>excelsalesdata[[#This Row],[Gross_sales]]-excelsalesdata[[#This Row],[Discount_amt]]</f>
        <v>1513</v>
      </c>
      <c r="Z880" s="4">
        <f>excelsalesdata[[#This Row],[Net_sales]]-excelsalesdata[[#This Row],[Cost]]</f>
        <v>583</v>
      </c>
      <c r="AA880" s="5">
        <f>excelsalesdata[[#This Row],[Profit]]/excelsalesdata[[#This Row],[Net_sales]]</f>
        <v>0.38532716457369465</v>
      </c>
      <c r="AB880" s="4">
        <f>YEAR(excelsalesdata[[#This Row],[Order_Date]])</f>
        <v>2027</v>
      </c>
      <c r="AC880" s="4" t="str">
        <f>TEXT(excelsalesdata[[#This Row],[Order_Date]],"mmm")</f>
        <v>Sep</v>
      </c>
      <c r="AD880" s="4" t="str">
        <f>"Q"&amp;ROUNDUP(MONTH(excelsalesdata[[#This Row],[Order_Date]])/3,0)</f>
        <v>Q3</v>
      </c>
    </row>
    <row r="881" spans="1:30" x14ac:dyDescent="0.35">
      <c r="A881" t="s">
        <v>1640</v>
      </c>
      <c r="B881" s="3">
        <v>46639</v>
      </c>
      <c r="C881" t="s">
        <v>1458</v>
      </c>
      <c r="D881" t="s">
        <v>198</v>
      </c>
      <c r="E881" t="str">
        <f>TRIM(excelsalesdata[[#This Row],[Customer_Name]])</f>
        <v>Rohan Iyer</v>
      </c>
      <c r="F881" t="s">
        <v>44</v>
      </c>
      <c r="G881">
        <v>36</v>
      </c>
      <c r="H881" t="s">
        <v>190</v>
      </c>
      <c r="I881" t="str">
        <f>TRIM(excelsalesdata[[#This Row],[City]])</f>
        <v>Ahmedabad</v>
      </c>
      <c r="J881" t="s">
        <v>191</v>
      </c>
      <c r="K881" t="s">
        <v>26</v>
      </c>
      <c r="L881" t="s">
        <v>103</v>
      </c>
      <c r="M881" t="s">
        <v>347</v>
      </c>
      <c r="N881" t="s">
        <v>347</v>
      </c>
      <c r="O881">
        <v>1</v>
      </c>
      <c r="P881">
        <v>11350</v>
      </c>
      <c r="Q881">
        <v>0.1</v>
      </c>
      <c r="R881">
        <v>7970</v>
      </c>
      <c r="S881" t="s">
        <v>80</v>
      </c>
      <c r="T881" t="s">
        <v>99</v>
      </c>
      <c r="U881">
        <v>4</v>
      </c>
      <c r="V881" t="s">
        <v>31</v>
      </c>
      <c r="W881">
        <f>excelsalesdata[[#This Row],[Quantity]]*excelsalesdata[[#This Row],[Unit_Price]]</f>
        <v>11350</v>
      </c>
      <c r="X881">
        <f>excelsalesdata[[#This Row],[Gross_sales]]*excelsalesdata[[#This Row],[Discount_%]]</f>
        <v>1135</v>
      </c>
      <c r="Y881">
        <f>excelsalesdata[[#This Row],[Gross_sales]]-excelsalesdata[[#This Row],[Discount_amt]]</f>
        <v>10215</v>
      </c>
      <c r="Z881" s="4">
        <f>excelsalesdata[[#This Row],[Net_sales]]-excelsalesdata[[#This Row],[Cost]]</f>
        <v>2245</v>
      </c>
      <c r="AA881" s="5">
        <f>excelsalesdata[[#This Row],[Profit]]/excelsalesdata[[#This Row],[Net_sales]]</f>
        <v>0.21977484092021538</v>
      </c>
      <c r="AB881" s="4">
        <f>YEAR(excelsalesdata[[#This Row],[Order_Date]])</f>
        <v>2027</v>
      </c>
      <c r="AC881" s="4" t="str">
        <f>TEXT(excelsalesdata[[#This Row],[Order_Date]],"mmm")</f>
        <v>Sep</v>
      </c>
      <c r="AD881" s="4" t="str">
        <f>"Q"&amp;ROUNDUP(MONTH(excelsalesdata[[#This Row],[Order_Date]])/3,0)</f>
        <v>Q3</v>
      </c>
    </row>
    <row r="882" spans="1:30" x14ac:dyDescent="0.35">
      <c r="A882" t="s">
        <v>1641</v>
      </c>
      <c r="B882" s="3">
        <v>46640</v>
      </c>
      <c r="C882" t="s">
        <v>852</v>
      </c>
      <c r="D882" t="s">
        <v>132</v>
      </c>
      <c r="E882" t="str">
        <f>TRIM(excelsalesdata[[#This Row],[Customer_Name]])</f>
        <v>Vivaan Das</v>
      </c>
      <c r="F882" t="s">
        <v>23</v>
      </c>
      <c r="G882">
        <v>37</v>
      </c>
      <c r="H882" t="s">
        <v>60</v>
      </c>
      <c r="I882" t="str">
        <f>TRIM(excelsalesdata[[#This Row],[City]])</f>
        <v>Chandigarh</v>
      </c>
      <c r="J882" t="s">
        <v>60</v>
      </c>
      <c r="K882" t="s">
        <v>61</v>
      </c>
      <c r="L882" t="s">
        <v>93</v>
      </c>
      <c r="M882" t="s">
        <v>375</v>
      </c>
      <c r="N882" t="s">
        <v>375</v>
      </c>
      <c r="O882">
        <v>1</v>
      </c>
      <c r="P882">
        <v>2320</v>
      </c>
      <c r="Q882">
        <v>0.15</v>
      </c>
      <c r="R882">
        <v>1230</v>
      </c>
      <c r="S882" t="s">
        <v>105</v>
      </c>
      <c r="T882" t="s">
        <v>30</v>
      </c>
      <c r="U882">
        <v>5</v>
      </c>
      <c r="V882" t="s">
        <v>31</v>
      </c>
      <c r="W882">
        <f>excelsalesdata[[#This Row],[Quantity]]*excelsalesdata[[#This Row],[Unit_Price]]</f>
        <v>2320</v>
      </c>
      <c r="X882">
        <f>excelsalesdata[[#This Row],[Gross_sales]]*excelsalesdata[[#This Row],[Discount_%]]</f>
        <v>348</v>
      </c>
      <c r="Y882">
        <f>excelsalesdata[[#This Row],[Gross_sales]]-excelsalesdata[[#This Row],[Discount_amt]]</f>
        <v>1972</v>
      </c>
      <c r="Z882" s="4">
        <f>excelsalesdata[[#This Row],[Net_sales]]-excelsalesdata[[#This Row],[Cost]]</f>
        <v>742</v>
      </c>
      <c r="AA882" s="5">
        <f>excelsalesdata[[#This Row],[Profit]]/excelsalesdata[[#This Row],[Net_sales]]</f>
        <v>0.37626774847870181</v>
      </c>
      <c r="AB882" s="4">
        <f>YEAR(excelsalesdata[[#This Row],[Order_Date]])</f>
        <v>2027</v>
      </c>
      <c r="AC882" s="4" t="str">
        <f>TEXT(excelsalesdata[[#This Row],[Order_Date]],"mmm")</f>
        <v>Sep</v>
      </c>
      <c r="AD882" s="4" t="str">
        <f>"Q"&amp;ROUNDUP(MONTH(excelsalesdata[[#This Row],[Order_Date]])/3,0)</f>
        <v>Q3</v>
      </c>
    </row>
    <row r="883" spans="1:30" x14ac:dyDescent="0.35">
      <c r="A883" t="s">
        <v>1642</v>
      </c>
      <c r="B883" s="3">
        <v>46641</v>
      </c>
      <c r="C883" t="s">
        <v>805</v>
      </c>
      <c r="D883" t="s">
        <v>282</v>
      </c>
      <c r="E883" t="str">
        <f>TRIM(excelsalesdata[[#This Row],[Customer_Name]])</f>
        <v>Priya Bhat</v>
      </c>
      <c r="F883" t="s">
        <v>23</v>
      </c>
      <c r="G883">
        <v>34</v>
      </c>
      <c r="H883" t="s">
        <v>52</v>
      </c>
      <c r="I883" t="str">
        <f>TRIM(excelsalesdata[[#This Row],[City]])</f>
        <v>Bengaluru</v>
      </c>
      <c r="J883" t="s">
        <v>53</v>
      </c>
      <c r="K883" t="s">
        <v>47</v>
      </c>
      <c r="L883" t="s">
        <v>38</v>
      </c>
      <c r="M883" t="s">
        <v>255</v>
      </c>
      <c r="N883" t="s">
        <v>255</v>
      </c>
      <c r="O883">
        <v>5</v>
      </c>
      <c r="P883">
        <v>4220</v>
      </c>
      <c r="Q883">
        <v>0.15</v>
      </c>
      <c r="R883">
        <v>2770</v>
      </c>
      <c r="S883" t="s">
        <v>29</v>
      </c>
      <c r="T883" t="s">
        <v>30</v>
      </c>
      <c r="U883">
        <v>8</v>
      </c>
      <c r="V883" t="s">
        <v>40</v>
      </c>
      <c r="W883">
        <f>excelsalesdata[[#This Row],[Quantity]]*excelsalesdata[[#This Row],[Unit_Price]]</f>
        <v>21100</v>
      </c>
      <c r="X883">
        <f>excelsalesdata[[#This Row],[Gross_sales]]*excelsalesdata[[#This Row],[Discount_%]]</f>
        <v>3165</v>
      </c>
      <c r="Y883">
        <f>excelsalesdata[[#This Row],[Gross_sales]]-excelsalesdata[[#This Row],[Discount_amt]]</f>
        <v>17935</v>
      </c>
      <c r="Z883" s="4">
        <f>excelsalesdata[[#This Row],[Net_sales]]-excelsalesdata[[#This Row],[Cost]]</f>
        <v>15165</v>
      </c>
      <c r="AA883" s="5">
        <f>excelsalesdata[[#This Row],[Profit]]/excelsalesdata[[#This Row],[Net_sales]]</f>
        <v>0.84555338723166995</v>
      </c>
      <c r="AB883" s="4">
        <f>YEAR(excelsalesdata[[#This Row],[Order_Date]])</f>
        <v>2027</v>
      </c>
      <c r="AC883" s="4" t="str">
        <f>TEXT(excelsalesdata[[#This Row],[Order_Date]],"mmm")</f>
        <v>Sep</v>
      </c>
      <c r="AD883" s="4" t="str">
        <f>"Q"&amp;ROUNDUP(MONTH(excelsalesdata[[#This Row],[Order_Date]])/3,0)</f>
        <v>Q3</v>
      </c>
    </row>
    <row r="884" spans="1:30" x14ac:dyDescent="0.35">
      <c r="A884" t="s">
        <v>1643</v>
      </c>
      <c r="B884" s="3">
        <v>46642</v>
      </c>
      <c r="C884" t="s">
        <v>76</v>
      </c>
      <c r="D884" t="s">
        <v>403</v>
      </c>
      <c r="E884" t="str">
        <f>TRIM(excelsalesdata[[#This Row],[Customer_Name]])</f>
        <v>Diya Iyer</v>
      </c>
      <c r="F884" t="s">
        <v>23</v>
      </c>
      <c r="G884">
        <v>19</v>
      </c>
      <c r="H884" t="s">
        <v>35</v>
      </c>
      <c r="I884" t="str">
        <f>TRIM(excelsalesdata[[#This Row],[City]])</f>
        <v>Kolkata</v>
      </c>
      <c r="J884" t="s">
        <v>36</v>
      </c>
      <c r="K884" t="s">
        <v>37</v>
      </c>
      <c r="L884" t="s">
        <v>27</v>
      </c>
      <c r="M884" t="s">
        <v>123</v>
      </c>
      <c r="N884" t="s">
        <v>123</v>
      </c>
      <c r="O884">
        <v>3</v>
      </c>
      <c r="P884">
        <v>2830</v>
      </c>
      <c r="Q884">
        <v>0</v>
      </c>
      <c r="R884">
        <v>1590</v>
      </c>
      <c r="S884" t="s">
        <v>105</v>
      </c>
      <c r="T884" t="s">
        <v>81</v>
      </c>
      <c r="U884">
        <v>0</v>
      </c>
      <c r="V884" t="s">
        <v>40</v>
      </c>
      <c r="W884">
        <f>excelsalesdata[[#This Row],[Quantity]]*excelsalesdata[[#This Row],[Unit_Price]]</f>
        <v>8490</v>
      </c>
      <c r="X884">
        <f>excelsalesdata[[#This Row],[Gross_sales]]*excelsalesdata[[#This Row],[Discount_%]]</f>
        <v>0</v>
      </c>
      <c r="Y884">
        <f>excelsalesdata[[#This Row],[Gross_sales]]-excelsalesdata[[#This Row],[Discount_amt]]</f>
        <v>8490</v>
      </c>
      <c r="Z884" s="4">
        <f>excelsalesdata[[#This Row],[Net_sales]]-excelsalesdata[[#This Row],[Cost]]</f>
        <v>6900</v>
      </c>
      <c r="AA884" s="5">
        <f>excelsalesdata[[#This Row],[Profit]]/excelsalesdata[[#This Row],[Net_sales]]</f>
        <v>0.8127208480565371</v>
      </c>
      <c r="AB884" s="4">
        <f>YEAR(excelsalesdata[[#This Row],[Order_Date]])</f>
        <v>2027</v>
      </c>
      <c r="AC884" s="4" t="str">
        <f>TEXT(excelsalesdata[[#This Row],[Order_Date]],"mmm")</f>
        <v>Sep</v>
      </c>
      <c r="AD884" s="4" t="str">
        <f>"Q"&amp;ROUNDUP(MONTH(excelsalesdata[[#This Row],[Order_Date]])/3,0)</f>
        <v>Q3</v>
      </c>
    </row>
    <row r="885" spans="1:30" x14ac:dyDescent="0.35">
      <c r="A885" t="s">
        <v>1644</v>
      </c>
      <c r="B885" s="3">
        <v>46643</v>
      </c>
      <c r="C885" t="s">
        <v>684</v>
      </c>
      <c r="D885" t="s">
        <v>867</v>
      </c>
      <c r="E885" t="str">
        <f>TRIM(excelsalesdata[[#This Row],[Customer_Name]])</f>
        <v>Sneha Nair</v>
      </c>
      <c r="F885" t="s">
        <v>23</v>
      </c>
      <c r="G885">
        <v>56</v>
      </c>
      <c r="H885" t="s">
        <v>98</v>
      </c>
      <c r="I885" t="str">
        <f>TRIM(excelsalesdata[[#This Row],[City]])</f>
        <v>Mumbai</v>
      </c>
      <c r="J885" t="s">
        <v>25</v>
      </c>
      <c r="K885" t="s">
        <v>26</v>
      </c>
      <c r="L885" t="s">
        <v>54</v>
      </c>
      <c r="M885" t="s">
        <v>157</v>
      </c>
      <c r="N885" t="s">
        <v>157</v>
      </c>
      <c r="O885">
        <v>3</v>
      </c>
      <c r="P885">
        <v>54660</v>
      </c>
      <c r="Q885">
        <v>0.3</v>
      </c>
      <c r="R885">
        <v>43420</v>
      </c>
      <c r="S885" t="s">
        <v>151</v>
      </c>
      <c r="T885" t="s">
        <v>74</v>
      </c>
      <c r="U885">
        <v>4</v>
      </c>
      <c r="V885" t="s">
        <v>31</v>
      </c>
      <c r="W885">
        <f>excelsalesdata[[#This Row],[Quantity]]*excelsalesdata[[#This Row],[Unit_Price]]</f>
        <v>163980</v>
      </c>
      <c r="X885">
        <f>excelsalesdata[[#This Row],[Gross_sales]]*excelsalesdata[[#This Row],[Discount_%]]</f>
        <v>49194</v>
      </c>
      <c r="Y885">
        <f>excelsalesdata[[#This Row],[Gross_sales]]-excelsalesdata[[#This Row],[Discount_amt]]</f>
        <v>114786</v>
      </c>
      <c r="Z885" s="4">
        <f>excelsalesdata[[#This Row],[Net_sales]]-excelsalesdata[[#This Row],[Cost]]</f>
        <v>71366</v>
      </c>
      <c r="AA885" s="5">
        <f>excelsalesdata[[#This Row],[Profit]]/excelsalesdata[[#This Row],[Net_sales]]</f>
        <v>0.62173087310299169</v>
      </c>
      <c r="AB885" s="4">
        <f>YEAR(excelsalesdata[[#This Row],[Order_Date]])</f>
        <v>2027</v>
      </c>
      <c r="AC885" s="4" t="str">
        <f>TEXT(excelsalesdata[[#This Row],[Order_Date]],"mmm")</f>
        <v>Sep</v>
      </c>
      <c r="AD885" s="4" t="str">
        <f>"Q"&amp;ROUNDUP(MONTH(excelsalesdata[[#This Row],[Order_Date]])/3,0)</f>
        <v>Q3</v>
      </c>
    </row>
    <row r="886" spans="1:30" x14ac:dyDescent="0.35">
      <c r="A886" t="s">
        <v>1645</v>
      </c>
      <c r="B886" s="3">
        <v>46644</v>
      </c>
      <c r="C886" t="s">
        <v>890</v>
      </c>
      <c r="D886" t="s">
        <v>201</v>
      </c>
      <c r="E886" t="str">
        <f>TRIM(excelsalesdata[[#This Row],[Customer_Name]])</f>
        <v>Nisha Verma</v>
      </c>
      <c r="F886" t="s">
        <v>44</v>
      </c>
      <c r="G886">
        <v>27</v>
      </c>
      <c r="H886" t="s">
        <v>52</v>
      </c>
      <c r="I886" t="str">
        <f>TRIM(excelsalesdata[[#This Row],[City]])</f>
        <v>Bengaluru</v>
      </c>
      <c r="J886" t="s">
        <v>53</v>
      </c>
      <c r="K886" t="s">
        <v>47</v>
      </c>
      <c r="L886" t="s">
        <v>103</v>
      </c>
      <c r="M886" t="s">
        <v>238</v>
      </c>
      <c r="N886" t="s">
        <v>238</v>
      </c>
      <c r="O886">
        <v>5</v>
      </c>
      <c r="P886">
        <v>3910</v>
      </c>
      <c r="Q886">
        <v>0.2</v>
      </c>
      <c r="R886">
        <v>2780</v>
      </c>
      <c r="S886" t="s">
        <v>80</v>
      </c>
      <c r="T886" t="s">
        <v>99</v>
      </c>
      <c r="U886">
        <v>3</v>
      </c>
      <c r="V886" t="s">
        <v>40</v>
      </c>
      <c r="W886">
        <f>excelsalesdata[[#This Row],[Quantity]]*excelsalesdata[[#This Row],[Unit_Price]]</f>
        <v>19550</v>
      </c>
      <c r="X886">
        <f>excelsalesdata[[#This Row],[Gross_sales]]*excelsalesdata[[#This Row],[Discount_%]]</f>
        <v>3910</v>
      </c>
      <c r="Y886">
        <f>excelsalesdata[[#This Row],[Gross_sales]]-excelsalesdata[[#This Row],[Discount_amt]]</f>
        <v>15640</v>
      </c>
      <c r="Z886" s="4">
        <f>excelsalesdata[[#This Row],[Net_sales]]-excelsalesdata[[#This Row],[Cost]]</f>
        <v>12860</v>
      </c>
      <c r="AA886" s="5">
        <f>excelsalesdata[[#This Row],[Profit]]/excelsalesdata[[#This Row],[Net_sales]]</f>
        <v>0.82225063938618925</v>
      </c>
      <c r="AB886" s="4">
        <f>YEAR(excelsalesdata[[#This Row],[Order_Date]])</f>
        <v>2027</v>
      </c>
      <c r="AC886" s="4" t="str">
        <f>TEXT(excelsalesdata[[#This Row],[Order_Date]],"mmm")</f>
        <v>Sep</v>
      </c>
      <c r="AD886" s="4" t="str">
        <f>"Q"&amp;ROUNDUP(MONTH(excelsalesdata[[#This Row],[Order_Date]])/3,0)</f>
        <v>Q3</v>
      </c>
    </row>
    <row r="887" spans="1:30" x14ac:dyDescent="0.35">
      <c r="A887" t="s">
        <v>1646</v>
      </c>
      <c r="B887" s="3">
        <v>46645</v>
      </c>
      <c r="C887" t="s">
        <v>1647</v>
      </c>
      <c r="D887" t="s">
        <v>896</v>
      </c>
      <c r="E887" t="str">
        <f>TRIM(excelsalesdata[[#This Row],[Customer_Name]])</f>
        <v>Arjun Iyer</v>
      </c>
      <c r="F887" t="s">
        <v>23</v>
      </c>
      <c r="G887">
        <v>32</v>
      </c>
      <c r="H887" t="s">
        <v>109</v>
      </c>
      <c r="I887" t="str">
        <f>TRIM(excelsalesdata[[#This Row],[City]])</f>
        <v>Mysuru</v>
      </c>
      <c r="J887" t="s">
        <v>53</v>
      </c>
      <c r="K887" t="s">
        <v>47</v>
      </c>
      <c r="L887" t="s">
        <v>54</v>
      </c>
      <c r="M887" t="s">
        <v>55</v>
      </c>
      <c r="N887" t="s">
        <v>55</v>
      </c>
      <c r="O887">
        <v>3</v>
      </c>
      <c r="P887">
        <v>6750</v>
      </c>
      <c r="Q887">
        <v>0.15</v>
      </c>
      <c r="R887">
        <v>4650</v>
      </c>
      <c r="S887" t="s">
        <v>105</v>
      </c>
      <c r="T887" t="s">
        <v>30</v>
      </c>
      <c r="U887">
        <v>4</v>
      </c>
      <c r="V887" t="s">
        <v>31</v>
      </c>
      <c r="W887">
        <f>excelsalesdata[[#This Row],[Quantity]]*excelsalesdata[[#This Row],[Unit_Price]]</f>
        <v>20250</v>
      </c>
      <c r="X887">
        <f>excelsalesdata[[#This Row],[Gross_sales]]*excelsalesdata[[#This Row],[Discount_%]]</f>
        <v>3037.5</v>
      </c>
      <c r="Y887">
        <f>excelsalesdata[[#This Row],[Gross_sales]]-excelsalesdata[[#This Row],[Discount_amt]]</f>
        <v>17212.5</v>
      </c>
      <c r="Z887" s="4">
        <f>excelsalesdata[[#This Row],[Net_sales]]-excelsalesdata[[#This Row],[Cost]]</f>
        <v>12562.5</v>
      </c>
      <c r="AA887" s="5">
        <f>excelsalesdata[[#This Row],[Profit]]/excelsalesdata[[#This Row],[Net_sales]]</f>
        <v>0.72984749455337694</v>
      </c>
      <c r="AB887" s="4">
        <f>YEAR(excelsalesdata[[#This Row],[Order_Date]])</f>
        <v>2027</v>
      </c>
      <c r="AC887" s="4" t="str">
        <f>TEXT(excelsalesdata[[#This Row],[Order_Date]],"mmm")</f>
        <v>Sep</v>
      </c>
      <c r="AD887" s="4" t="str">
        <f>"Q"&amp;ROUNDUP(MONTH(excelsalesdata[[#This Row],[Order_Date]])/3,0)</f>
        <v>Q3</v>
      </c>
    </row>
    <row r="888" spans="1:30" x14ac:dyDescent="0.35">
      <c r="A888" t="s">
        <v>1648</v>
      </c>
      <c r="B888" s="3">
        <v>46646</v>
      </c>
      <c r="C888" t="s">
        <v>1568</v>
      </c>
      <c r="D888" t="s">
        <v>224</v>
      </c>
      <c r="E888" t="str">
        <f>TRIM(excelsalesdata[[#This Row],[Customer_Name]])</f>
        <v>Vivaan Sharma</v>
      </c>
      <c r="F888" t="s">
        <v>44</v>
      </c>
      <c r="G888">
        <v>51</v>
      </c>
      <c r="H888" t="s">
        <v>45</v>
      </c>
      <c r="I888" t="str">
        <f>TRIM(excelsalesdata[[#This Row],[City]])</f>
        <v>Kochi</v>
      </c>
      <c r="J888" t="s">
        <v>46</v>
      </c>
      <c r="K888" t="s">
        <v>47</v>
      </c>
      <c r="L888" t="s">
        <v>27</v>
      </c>
      <c r="M888" t="s">
        <v>295</v>
      </c>
      <c r="N888" t="s">
        <v>295</v>
      </c>
      <c r="O888">
        <v>2</v>
      </c>
      <c r="P888">
        <v>4180</v>
      </c>
      <c r="Q888">
        <v>0.1</v>
      </c>
      <c r="R888">
        <v>2480</v>
      </c>
      <c r="S888" t="s">
        <v>29</v>
      </c>
      <c r="T888" t="s">
        <v>30</v>
      </c>
      <c r="U888">
        <v>6</v>
      </c>
      <c r="V888" t="s">
        <v>31</v>
      </c>
      <c r="W888">
        <f>excelsalesdata[[#This Row],[Quantity]]*excelsalesdata[[#This Row],[Unit_Price]]</f>
        <v>8360</v>
      </c>
      <c r="X888">
        <f>excelsalesdata[[#This Row],[Gross_sales]]*excelsalesdata[[#This Row],[Discount_%]]</f>
        <v>836</v>
      </c>
      <c r="Y888">
        <f>excelsalesdata[[#This Row],[Gross_sales]]-excelsalesdata[[#This Row],[Discount_amt]]</f>
        <v>7524</v>
      </c>
      <c r="Z888" s="4">
        <f>excelsalesdata[[#This Row],[Net_sales]]-excelsalesdata[[#This Row],[Cost]]</f>
        <v>5044</v>
      </c>
      <c r="AA888" s="5">
        <f>excelsalesdata[[#This Row],[Profit]]/excelsalesdata[[#This Row],[Net_sales]]</f>
        <v>0.67038809144072298</v>
      </c>
      <c r="AB888" s="4">
        <f>YEAR(excelsalesdata[[#This Row],[Order_Date]])</f>
        <v>2027</v>
      </c>
      <c r="AC888" s="4" t="str">
        <f>TEXT(excelsalesdata[[#This Row],[Order_Date]],"mmm")</f>
        <v>Sep</v>
      </c>
      <c r="AD888" s="4" t="str">
        <f>"Q"&amp;ROUNDUP(MONTH(excelsalesdata[[#This Row],[Order_Date]])/3,0)</f>
        <v>Q3</v>
      </c>
    </row>
    <row r="889" spans="1:30" x14ac:dyDescent="0.35">
      <c r="A889" t="s">
        <v>1649</v>
      </c>
      <c r="B889" s="3">
        <v>46647</v>
      </c>
      <c r="C889" t="s">
        <v>587</v>
      </c>
      <c r="D889" t="s">
        <v>285</v>
      </c>
      <c r="E889" t="str">
        <f>TRIM(excelsalesdata[[#This Row],[Customer_Name]])</f>
        <v>Aditya Bhat</v>
      </c>
      <c r="F889" t="s">
        <v>44</v>
      </c>
      <c r="G889">
        <v>58</v>
      </c>
      <c r="H889" t="s">
        <v>60</v>
      </c>
      <c r="I889" t="str">
        <f>TRIM(excelsalesdata[[#This Row],[City]])</f>
        <v>Chandigarh</v>
      </c>
      <c r="J889" t="s">
        <v>60</v>
      </c>
      <c r="K889" t="s">
        <v>61</v>
      </c>
      <c r="L889" t="s">
        <v>54</v>
      </c>
      <c r="M889" t="s">
        <v>55</v>
      </c>
      <c r="N889" t="s">
        <v>55</v>
      </c>
      <c r="O889">
        <v>1</v>
      </c>
      <c r="P889">
        <v>7240</v>
      </c>
      <c r="Q889">
        <v>0</v>
      </c>
      <c r="R889">
        <v>4380</v>
      </c>
      <c r="S889" t="s">
        <v>29</v>
      </c>
      <c r="T889" t="s">
        <v>30</v>
      </c>
      <c r="U889">
        <v>3</v>
      </c>
      <c r="V889" t="s">
        <v>31</v>
      </c>
      <c r="W889">
        <f>excelsalesdata[[#This Row],[Quantity]]*excelsalesdata[[#This Row],[Unit_Price]]</f>
        <v>7240</v>
      </c>
      <c r="X889">
        <f>excelsalesdata[[#This Row],[Gross_sales]]*excelsalesdata[[#This Row],[Discount_%]]</f>
        <v>0</v>
      </c>
      <c r="Y889">
        <f>excelsalesdata[[#This Row],[Gross_sales]]-excelsalesdata[[#This Row],[Discount_amt]]</f>
        <v>7240</v>
      </c>
      <c r="Z889" s="4">
        <f>excelsalesdata[[#This Row],[Net_sales]]-excelsalesdata[[#This Row],[Cost]]</f>
        <v>2860</v>
      </c>
      <c r="AA889" s="5">
        <f>excelsalesdata[[#This Row],[Profit]]/excelsalesdata[[#This Row],[Net_sales]]</f>
        <v>0.39502762430939226</v>
      </c>
      <c r="AB889" s="4">
        <f>YEAR(excelsalesdata[[#This Row],[Order_Date]])</f>
        <v>2027</v>
      </c>
      <c r="AC889" s="4" t="str">
        <f>TEXT(excelsalesdata[[#This Row],[Order_Date]],"mmm")</f>
        <v>Sep</v>
      </c>
      <c r="AD889" s="4" t="str">
        <f>"Q"&amp;ROUNDUP(MONTH(excelsalesdata[[#This Row],[Order_Date]])/3,0)</f>
        <v>Q3</v>
      </c>
    </row>
    <row r="890" spans="1:30" x14ac:dyDescent="0.35">
      <c r="A890" t="s">
        <v>1650</v>
      </c>
      <c r="B890" s="3">
        <v>46648</v>
      </c>
      <c r="C890" t="s">
        <v>1068</v>
      </c>
      <c r="D890" t="s">
        <v>194</v>
      </c>
      <c r="E890" t="str">
        <f>TRIM(excelsalesdata[[#This Row],[Customer_Name]])</f>
        <v>Aditya Reddy</v>
      </c>
      <c r="F890" t="s">
        <v>44</v>
      </c>
      <c r="G890">
        <v>26</v>
      </c>
      <c r="H890" t="s">
        <v>52</v>
      </c>
      <c r="I890" t="str">
        <f>TRIM(excelsalesdata[[#This Row],[City]])</f>
        <v>Bengaluru</v>
      </c>
      <c r="J890" t="s">
        <v>53</v>
      </c>
      <c r="K890" t="s">
        <v>47</v>
      </c>
      <c r="L890" t="s">
        <v>54</v>
      </c>
      <c r="M890" t="s">
        <v>62</v>
      </c>
      <c r="N890" t="s">
        <v>62</v>
      </c>
      <c r="O890">
        <v>1</v>
      </c>
      <c r="P890">
        <v>23390</v>
      </c>
      <c r="Q890">
        <v>0.15</v>
      </c>
      <c r="R890">
        <v>14910</v>
      </c>
      <c r="S890" t="s">
        <v>29</v>
      </c>
      <c r="T890" t="s">
        <v>99</v>
      </c>
      <c r="U890">
        <v>4</v>
      </c>
      <c r="V890" t="s">
        <v>31</v>
      </c>
      <c r="W890">
        <f>excelsalesdata[[#This Row],[Quantity]]*excelsalesdata[[#This Row],[Unit_Price]]</f>
        <v>23390</v>
      </c>
      <c r="X890">
        <f>excelsalesdata[[#This Row],[Gross_sales]]*excelsalesdata[[#This Row],[Discount_%]]</f>
        <v>3508.5</v>
      </c>
      <c r="Y890">
        <f>excelsalesdata[[#This Row],[Gross_sales]]-excelsalesdata[[#This Row],[Discount_amt]]</f>
        <v>19881.5</v>
      </c>
      <c r="Z890" s="4">
        <f>excelsalesdata[[#This Row],[Net_sales]]-excelsalesdata[[#This Row],[Cost]]</f>
        <v>4971.5</v>
      </c>
      <c r="AA890" s="5">
        <f>excelsalesdata[[#This Row],[Profit]]/excelsalesdata[[#This Row],[Net_sales]]</f>
        <v>0.25005658526771118</v>
      </c>
      <c r="AB890" s="4">
        <f>YEAR(excelsalesdata[[#This Row],[Order_Date]])</f>
        <v>2027</v>
      </c>
      <c r="AC890" s="4" t="str">
        <f>TEXT(excelsalesdata[[#This Row],[Order_Date]],"mmm")</f>
        <v>Sep</v>
      </c>
      <c r="AD890" s="4" t="str">
        <f>"Q"&amp;ROUNDUP(MONTH(excelsalesdata[[#This Row],[Order_Date]])/3,0)</f>
        <v>Q3</v>
      </c>
    </row>
    <row r="891" spans="1:30" x14ac:dyDescent="0.35">
      <c r="A891" t="s">
        <v>1651</v>
      </c>
      <c r="B891" s="3">
        <v>46649</v>
      </c>
      <c r="C891" t="s">
        <v>498</v>
      </c>
      <c r="D891" t="s">
        <v>677</v>
      </c>
      <c r="E891" t="str">
        <f>TRIM(excelsalesdata[[#This Row],[Customer_Name]])</f>
        <v>Vivaan Shah</v>
      </c>
      <c r="F891" t="s">
        <v>23</v>
      </c>
      <c r="G891">
        <v>39</v>
      </c>
      <c r="H891" t="s">
        <v>78</v>
      </c>
      <c r="I891" t="str">
        <f>TRIM(excelsalesdata[[#This Row],[City]])</f>
        <v>Guwahati</v>
      </c>
      <c r="J891" t="s">
        <v>79</v>
      </c>
      <c r="K891" t="s">
        <v>37</v>
      </c>
      <c r="L891" t="s">
        <v>38</v>
      </c>
      <c r="M891" t="s">
        <v>161</v>
      </c>
      <c r="N891" t="s">
        <v>161</v>
      </c>
      <c r="O891">
        <v>3</v>
      </c>
      <c r="P891">
        <v>28990</v>
      </c>
      <c r="Q891">
        <v>0.2</v>
      </c>
      <c r="R891">
        <v>20740</v>
      </c>
      <c r="S891" t="s">
        <v>29</v>
      </c>
      <c r="T891" t="s">
        <v>30</v>
      </c>
      <c r="U891">
        <v>1</v>
      </c>
      <c r="V891" t="s">
        <v>31</v>
      </c>
      <c r="W891">
        <f>excelsalesdata[[#This Row],[Quantity]]*excelsalesdata[[#This Row],[Unit_Price]]</f>
        <v>86970</v>
      </c>
      <c r="X891">
        <f>excelsalesdata[[#This Row],[Gross_sales]]*excelsalesdata[[#This Row],[Discount_%]]</f>
        <v>17394</v>
      </c>
      <c r="Y891">
        <f>excelsalesdata[[#This Row],[Gross_sales]]-excelsalesdata[[#This Row],[Discount_amt]]</f>
        <v>69576</v>
      </c>
      <c r="Z891" s="4">
        <f>excelsalesdata[[#This Row],[Net_sales]]-excelsalesdata[[#This Row],[Cost]]</f>
        <v>48836</v>
      </c>
      <c r="AA891" s="5">
        <f>excelsalesdata[[#This Row],[Profit]]/excelsalesdata[[#This Row],[Net_sales]]</f>
        <v>0.7019087041508566</v>
      </c>
      <c r="AB891" s="4">
        <f>YEAR(excelsalesdata[[#This Row],[Order_Date]])</f>
        <v>2027</v>
      </c>
      <c r="AC891" s="4" t="str">
        <f>TEXT(excelsalesdata[[#This Row],[Order_Date]],"mmm")</f>
        <v>Sep</v>
      </c>
      <c r="AD891" s="4" t="str">
        <f>"Q"&amp;ROUNDUP(MONTH(excelsalesdata[[#This Row],[Order_Date]])/3,0)</f>
        <v>Q3</v>
      </c>
    </row>
    <row r="892" spans="1:30" x14ac:dyDescent="0.35">
      <c r="A892" t="s">
        <v>1652</v>
      </c>
      <c r="B892" s="3">
        <v>46650</v>
      </c>
      <c r="C892" t="s">
        <v>1131</v>
      </c>
      <c r="D892" t="s">
        <v>92</v>
      </c>
      <c r="E892" t="str">
        <f>TRIM(excelsalesdata[[#This Row],[Customer_Name]])</f>
        <v>Nisha Iyer</v>
      </c>
      <c r="F892" t="s">
        <v>23</v>
      </c>
      <c r="G892">
        <v>40</v>
      </c>
      <c r="H892" t="s">
        <v>45</v>
      </c>
      <c r="I892" t="str">
        <f>TRIM(excelsalesdata[[#This Row],[City]])</f>
        <v>Kochi</v>
      </c>
      <c r="J892" t="s">
        <v>46</v>
      </c>
      <c r="K892" t="s">
        <v>47</v>
      </c>
      <c r="L892" t="s">
        <v>54</v>
      </c>
      <c r="M892" t="s">
        <v>55</v>
      </c>
      <c r="N892" t="s">
        <v>55</v>
      </c>
      <c r="O892">
        <v>1</v>
      </c>
      <c r="P892">
        <v>7270</v>
      </c>
      <c r="Q892">
        <v>0.1</v>
      </c>
      <c r="R892">
        <v>4420</v>
      </c>
      <c r="S892" t="s">
        <v>67</v>
      </c>
      <c r="T892" t="s">
        <v>30</v>
      </c>
      <c r="U892">
        <v>4</v>
      </c>
      <c r="V892" t="s">
        <v>40</v>
      </c>
      <c r="W892">
        <f>excelsalesdata[[#This Row],[Quantity]]*excelsalesdata[[#This Row],[Unit_Price]]</f>
        <v>7270</v>
      </c>
      <c r="X892">
        <f>excelsalesdata[[#This Row],[Gross_sales]]*excelsalesdata[[#This Row],[Discount_%]]</f>
        <v>727</v>
      </c>
      <c r="Y892">
        <f>excelsalesdata[[#This Row],[Gross_sales]]-excelsalesdata[[#This Row],[Discount_amt]]</f>
        <v>6543</v>
      </c>
      <c r="Z892" s="4">
        <f>excelsalesdata[[#This Row],[Net_sales]]-excelsalesdata[[#This Row],[Cost]]</f>
        <v>2123</v>
      </c>
      <c r="AA892" s="5">
        <f>excelsalesdata[[#This Row],[Profit]]/excelsalesdata[[#This Row],[Net_sales]]</f>
        <v>0.32446889805899437</v>
      </c>
      <c r="AB892" s="4">
        <f>YEAR(excelsalesdata[[#This Row],[Order_Date]])</f>
        <v>2027</v>
      </c>
      <c r="AC892" s="4" t="str">
        <f>TEXT(excelsalesdata[[#This Row],[Order_Date]],"mmm")</f>
        <v>Sep</v>
      </c>
      <c r="AD892" s="4" t="str">
        <f>"Q"&amp;ROUNDUP(MONTH(excelsalesdata[[#This Row],[Order_Date]])/3,0)</f>
        <v>Q3</v>
      </c>
    </row>
    <row r="893" spans="1:30" x14ac:dyDescent="0.35">
      <c r="A893" t="s">
        <v>1653</v>
      </c>
      <c r="B893" s="3">
        <v>46651</v>
      </c>
      <c r="C893" t="s">
        <v>789</v>
      </c>
      <c r="D893" t="s">
        <v>922</v>
      </c>
      <c r="E893" t="str">
        <f>TRIM(excelsalesdata[[#This Row],[Customer_Name]])</f>
        <v>Arjun Kumar</v>
      </c>
      <c r="F893" t="s">
        <v>23</v>
      </c>
      <c r="G893">
        <v>30</v>
      </c>
      <c r="H893" t="s">
        <v>71</v>
      </c>
      <c r="I893" t="str">
        <f>TRIM(excelsalesdata[[#This Row],[City]])</f>
        <v>Bhubaneswar</v>
      </c>
      <c r="J893" t="s">
        <v>72</v>
      </c>
      <c r="K893" t="s">
        <v>37</v>
      </c>
      <c r="L893" t="s">
        <v>38</v>
      </c>
      <c r="M893" t="s">
        <v>255</v>
      </c>
      <c r="N893" t="s">
        <v>255</v>
      </c>
      <c r="O893">
        <v>3</v>
      </c>
      <c r="P893">
        <v>4440</v>
      </c>
      <c r="Q893">
        <v>0</v>
      </c>
      <c r="R893">
        <v>2900</v>
      </c>
      <c r="S893" t="s">
        <v>29</v>
      </c>
      <c r="T893" t="s">
        <v>30</v>
      </c>
      <c r="U893">
        <v>2</v>
      </c>
      <c r="V893" t="s">
        <v>40</v>
      </c>
      <c r="W893">
        <f>excelsalesdata[[#This Row],[Quantity]]*excelsalesdata[[#This Row],[Unit_Price]]</f>
        <v>13320</v>
      </c>
      <c r="X893">
        <f>excelsalesdata[[#This Row],[Gross_sales]]*excelsalesdata[[#This Row],[Discount_%]]</f>
        <v>0</v>
      </c>
      <c r="Y893">
        <f>excelsalesdata[[#This Row],[Gross_sales]]-excelsalesdata[[#This Row],[Discount_amt]]</f>
        <v>13320</v>
      </c>
      <c r="Z893" s="4">
        <f>excelsalesdata[[#This Row],[Net_sales]]-excelsalesdata[[#This Row],[Cost]]</f>
        <v>10420</v>
      </c>
      <c r="AA893" s="5">
        <f>excelsalesdata[[#This Row],[Profit]]/excelsalesdata[[#This Row],[Net_sales]]</f>
        <v>0.78228228228228225</v>
      </c>
      <c r="AB893" s="4">
        <f>YEAR(excelsalesdata[[#This Row],[Order_Date]])</f>
        <v>2027</v>
      </c>
      <c r="AC893" s="4" t="str">
        <f>TEXT(excelsalesdata[[#This Row],[Order_Date]],"mmm")</f>
        <v>Sep</v>
      </c>
      <c r="AD893" s="4" t="str">
        <f>"Q"&amp;ROUNDUP(MONTH(excelsalesdata[[#This Row],[Order_Date]])/3,0)</f>
        <v>Q3</v>
      </c>
    </row>
    <row r="894" spans="1:30" x14ac:dyDescent="0.35">
      <c r="A894" t="s">
        <v>1654</v>
      </c>
      <c r="B894" s="3">
        <v>46652</v>
      </c>
      <c r="C894" t="s">
        <v>1390</v>
      </c>
      <c r="D894" t="s">
        <v>510</v>
      </c>
      <c r="E894" t="str">
        <f>TRIM(excelsalesdata[[#This Row],[Customer_Name]])</f>
        <v>Diya Kumar</v>
      </c>
      <c r="F894" t="s">
        <v>23</v>
      </c>
      <c r="G894">
        <v>57</v>
      </c>
      <c r="H894" t="s">
        <v>185</v>
      </c>
      <c r="I894" t="str">
        <f>TRIM(excelsalesdata[[#This Row],[City]])</f>
        <v>Lucknow</v>
      </c>
      <c r="J894" t="s">
        <v>186</v>
      </c>
      <c r="K894" t="s">
        <v>61</v>
      </c>
      <c r="L894" t="s">
        <v>54</v>
      </c>
      <c r="M894" t="s">
        <v>55</v>
      </c>
      <c r="N894" t="s">
        <v>55</v>
      </c>
      <c r="O894">
        <v>1</v>
      </c>
      <c r="P894">
        <v>6620</v>
      </c>
      <c r="Q894">
        <v>0.15</v>
      </c>
      <c r="R894">
        <v>4280</v>
      </c>
      <c r="S894" t="s">
        <v>29</v>
      </c>
      <c r="T894" t="s">
        <v>74</v>
      </c>
      <c r="U894">
        <v>6</v>
      </c>
      <c r="V894" t="s">
        <v>40</v>
      </c>
      <c r="W894">
        <f>excelsalesdata[[#This Row],[Quantity]]*excelsalesdata[[#This Row],[Unit_Price]]</f>
        <v>6620</v>
      </c>
      <c r="X894">
        <f>excelsalesdata[[#This Row],[Gross_sales]]*excelsalesdata[[#This Row],[Discount_%]]</f>
        <v>993</v>
      </c>
      <c r="Y894">
        <f>excelsalesdata[[#This Row],[Gross_sales]]-excelsalesdata[[#This Row],[Discount_amt]]</f>
        <v>5627</v>
      </c>
      <c r="Z894" s="4">
        <f>excelsalesdata[[#This Row],[Net_sales]]-excelsalesdata[[#This Row],[Cost]]</f>
        <v>1347</v>
      </c>
      <c r="AA894" s="5">
        <f>excelsalesdata[[#This Row],[Profit]]/excelsalesdata[[#This Row],[Net_sales]]</f>
        <v>0.23938155322551982</v>
      </c>
      <c r="AB894" s="4">
        <f>YEAR(excelsalesdata[[#This Row],[Order_Date]])</f>
        <v>2027</v>
      </c>
      <c r="AC894" s="4" t="str">
        <f>TEXT(excelsalesdata[[#This Row],[Order_Date]],"mmm")</f>
        <v>Sep</v>
      </c>
      <c r="AD894" s="4" t="str">
        <f>"Q"&amp;ROUNDUP(MONTH(excelsalesdata[[#This Row],[Order_Date]])/3,0)</f>
        <v>Q3</v>
      </c>
    </row>
    <row r="895" spans="1:30" x14ac:dyDescent="0.35">
      <c r="A895" t="s">
        <v>1655</v>
      </c>
      <c r="B895" s="3">
        <v>46653</v>
      </c>
      <c r="C895" t="s">
        <v>1285</v>
      </c>
      <c r="D895" t="s">
        <v>1216</v>
      </c>
      <c r="E895" t="str">
        <f>TRIM(excelsalesdata[[#This Row],[Customer_Name]])</f>
        <v>Diya Sharma</v>
      </c>
      <c r="F895" t="s">
        <v>23</v>
      </c>
      <c r="G895">
        <v>48</v>
      </c>
      <c r="H895" t="s">
        <v>109</v>
      </c>
      <c r="I895" t="str">
        <f>TRIM(excelsalesdata[[#This Row],[City]])</f>
        <v>Mysuru</v>
      </c>
      <c r="J895" t="s">
        <v>53</v>
      </c>
      <c r="K895" t="s">
        <v>47</v>
      </c>
      <c r="L895" t="s">
        <v>54</v>
      </c>
      <c r="M895" t="s">
        <v>62</v>
      </c>
      <c r="N895" t="s">
        <v>62</v>
      </c>
      <c r="O895">
        <v>3</v>
      </c>
      <c r="P895">
        <v>21330</v>
      </c>
      <c r="Q895">
        <v>0.05</v>
      </c>
      <c r="R895">
        <v>15570</v>
      </c>
      <c r="S895" t="s">
        <v>80</v>
      </c>
      <c r="T895" t="s">
        <v>74</v>
      </c>
      <c r="U895">
        <v>2</v>
      </c>
      <c r="V895" t="s">
        <v>31</v>
      </c>
      <c r="W895">
        <f>excelsalesdata[[#This Row],[Quantity]]*excelsalesdata[[#This Row],[Unit_Price]]</f>
        <v>63990</v>
      </c>
      <c r="X895">
        <f>excelsalesdata[[#This Row],[Gross_sales]]*excelsalesdata[[#This Row],[Discount_%]]</f>
        <v>3199.5</v>
      </c>
      <c r="Y895">
        <f>excelsalesdata[[#This Row],[Gross_sales]]-excelsalesdata[[#This Row],[Discount_amt]]</f>
        <v>60790.5</v>
      </c>
      <c r="Z895" s="4">
        <f>excelsalesdata[[#This Row],[Net_sales]]-excelsalesdata[[#This Row],[Cost]]</f>
        <v>45220.5</v>
      </c>
      <c r="AA895" s="5">
        <f>excelsalesdata[[#This Row],[Profit]]/excelsalesdata[[#This Row],[Net_sales]]</f>
        <v>0.74387445406765862</v>
      </c>
      <c r="AB895" s="4">
        <f>YEAR(excelsalesdata[[#This Row],[Order_Date]])</f>
        <v>2027</v>
      </c>
      <c r="AC895" s="4" t="str">
        <f>TEXT(excelsalesdata[[#This Row],[Order_Date]],"mmm")</f>
        <v>Sep</v>
      </c>
      <c r="AD895" s="4" t="str">
        <f>"Q"&amp;ROUNDUP(MONTH(excelsalesdata[[#This Row],[Order_Date]])/3,0)</f>
        <v>Q3</v>
      </c>
    </row>
    <row r="896" spans="1:30" x14ac:dyDescent="0.35">
      <c r="A896" t="s">
        <v>1656</v>
      </c>
      <c r="B896" s="3">
        <v>46654</v>
      </c>
      <c r="C896" t="s">
        <v>1657</v>
      </c>
      <c r="D896" t="s">
        <v>262</v>
      </c>
      <c r="E896" t="str">
        <f>TRIM(excelsalesdata[[#This Row],[Customer_Name]])</f>
        <v>Arjun Joshi</v>
      </c>
      <c r="F896" t="s">
        <v>44</v>
      </c>
      <c r="G896">
        <v>19</v>
      </c>
      <c r="H896" t="s">
        <v>78</v>
      </c>
      <c r="I896" t="str">
        <f>TRIM(excelsalesdata[[#This Row],[City]])</f>
        <v>Guwahati</v>
      </c>
      <c r="J896" t="s">
        <v>79</v>
      </c>
      <c r="K896" t="s">
        <v>37</v>
      </c>
      <c r="L896" t="s">
        <v>38</v>
      </c>
      <c r="M896" t="s">
        <v>161</v>
      </c>
      <c r="N896" t="s">
        <v>161</v>
      </c>
      <c r="O896">
        <v>3</v>
      </c>
      <c r="P896">
        <v>27690</v>
      </c>
      <c r="Q896">
        <v>0.1</v>
      </c>
      <c r="R896">
        <v>19530</v>
      </c>
      <c r="S896" t="s">
        <v>105</v>
      </c>
      <c r="T896" t="s">
        <v>30</v>
      </c>
      <c r="U896">
        <v>4</v>
      </c>
      <c r="V896" t="s">
        <v>40</v>
      </c>
      <c r="W896">
        <f>excelsalesdata[[#This Row],[Quantity]]*excelsalesdata[[#This Row],[Unit_Price]]</f>
        <v>83070</v>
      </c>
      <c r="X896">
        <f>excelsalesdata[[#This Row],[Gross_sales]]*excelsalesdata[[#This Row],[Discount_%]]</f>
        <v>8307</v>
      </c>
      <c r="Y896">
        <f>excelsalesdata[[#This Row],[Gross_sales]]-excelsalesdata[[#This Row],[Discount_amt]]</f>
        <v>74763</v>
      </c>
      <c r="Z896" s="4">
        <f>excelsalesdata[[#This Row],[Net_sales]]-excelsalesdata[[#This Row],[Cost]]</f>
        <v>55233</v>
      </c>
      <c r="AA896" s="5">
        <f>excelsalesdata[[#This Row],[Profit]]/excelsalesdata[[#This Row],[Net_sales]]</f>
        <v>0.73877452750692185</v>
      </c>
      <c r="AB896" s="4">
        <f>YEAR(excelsalesdata[[#This Row],[Order_Date]])</f>
        <v>2027</v>
      </c>
      <c r="AC896" s="4" t="str">
        <f>TEXT(excelsalesdata[[#This Row],[Order_Date]],"mmm")</f>
        <v>Sep</v>
      </c>
      <c r="AD896" s="4" t="str">
        <f>"Q"&amp;ROUNDUP(MONTH(excelsalesdata[[#This Row],[Order_Date]])/3,0)</f>
        <v>Q3</v>
      </c>
    </row>
    <row r="897" spans="1:30" x14ac:dyDescent="0.35">
      <c r="A897" t="s">
        <v>1658</v>
      </c>
      <c r="B897" s="3">
        <v>46655</v>
      </c>
      <c r="C897" t="s">
        <v>1550</v>
      </c>
      <c r="D897" t="s">
        <v>844</v>
      </c>
      <c r="E897" t="str">
        <f>TRIM(excelsalesdata[[#This Row],[Customer_Name]])</f>
        <v>Vikram Gupta</v>
      </c>
      <c r="F897" t="s">
        <v>44</v>
      </c>
      <c r="G897">
        <v>38</v>
      </c>
      <c r="H897" t="s">
        <v>35</v>
      </c>
      <c r="I897" t="str">
        <f>TRIM(excelsalesdata[[#This Row],[City]])</f>
        <v>Kolkata</v>
      </c>
      <c r="J897" t="s">
        <v>36</v>
      </c>
      <c r="K897" t="s">
        <v>37</v>
      </c>
      <c r="L897" t="s">
        <v>27</v>
      </c>
      <c r="M897" t="s">
        <v>28</v>
      </c>
      <c r="N897" t="s">
        <v>28</v>
      </c>
      <c r="O897">
        <v>1</v>
      </c>
      <c r="P897">
        <v>3650</v>
      </c>
      <c r="Q897">
        <v>0.25</v>
      </c>
      <c r="R897">
        <v>2020</v>
      </c>
      <c r="S897" t="s">
        <v>29</v>
      </c>
      <c r="T897" t="s">
        <v>99</v>
      </c>
      <c r="U897">
        <v>1</v>
      </c>
      <c r="V897" t="s">
        <v>40</v>
      </c>
      <c r="W897">
        <f>excelsalesdata[[#This Row],[Quantity]]*excelsalesdata[[#This Row],[Unit_Price]]</f>
        <v>3650</v>
      </c>
      <c r="X897">
        <f>excelsalesdata[[#This Row],[Gross_sales]]*excelsalesdata[[#This Row],[Discount_%]]</f>
        <v>912.5</v>
      </c>
      <c r="Y897">
        <f>excelsalesdata[[#This Row],[Gross_sales]]-excelsalesdata[[#This Row],[Discount_amt]]</f>
        <v>2737.5</v>
      </c>
      <c r="Z897" s="4">
        <f>excelsalesdata[[#This Row],[Net_sales]]-excelsalesdata[[#This Row],[Cost]]</f>
        <v>717.5</v>
      </c>
      <c r="AA897" s="5">
        <f>excelsalesdata[[#This Row],[Profit]]/excelsalesdata[[#This Row],[Net_sales]]</f>
        <v>0.26210045662100456</v>
      </c>
      <c r="AB897" s="4">
        <f>YEAR(excelsalesdata[[#This Row],[Order_Date]])</f>
        <v>2027</v>
      </c>
      <c r="AC897" s="4" t="str">
        <f>TEXT(excelsalesdata[[#This Row],[Order_Date]],"mmm")</f>
        <v>Sep</v>
      </c>
      <c r="AD897" s="4" t="str">
        <f>"Q"&amp;ROUNDUP(MONTH(excelsalesdata[[#This Row],[Order_Date]])/3,0)</f>
        <v>Q3</v>
      </c>
    </row>
    <row r="898" spans="1:30" x14ac:dyDescent="0.35">
      <c r="A898" t="s">
        <v>1659</v>
      </c>
      <c r="B898" s="3">
        <v>46656</v>
      </c>
      <c r="C898" t="s">
        <v>893</v>
      </c>
      <c r="D898" t="s">
        <v>635</v>
      </c>
      <c r="E898" t="str">
        <f>TRIM(excelsalesdata[[#This Row],[Customer_Name]])</f>
        <v>Arjun Singh</v>
      </c>
      <c r="F898" t="s">
        <v>23</v>
      </c>
      <c r="G898">
        <v>56</v>
      </c>
      <c r="H898" t="s">
        <v>109</v>
      </c>
      <c r="I898" t="str">
        <f>TRIM(excelsalesdata[[#This Row],[City]])</f>
        <v>Mysuru</v>
      </c>
      <c r="J898" t="s">
        <v>53</v>
      </c>
      <c r="K898" t="s">
        <v>47</v>
      </c>
      <c r="L898" t="s">
        <v>85</v>
      </c>
      <c r="M898" t="s">
        <v>251</v>
      </c>
      <c r="N898" t="s">
        <v>251</v>
      </c>
      <c r="O898">
        <v>2</v>
      </c>
      <c r="P898">
        <v>3400</v>
      </c>
      <c r="Q898">
        <v>0.15</v>
      </c>
      <c r="R898">
        <v>1940</v>
      </c>
      <c r="S898" t="s">
        <v>29</v>
      </c>
      <c r="T898" t="s">
        <v>30</v>
      </c>
      <c r="U898">
        <v>2</v>
      </c>
      <c r="V898" t="s">
        <v>40</v>
      </c>
      <c r="W898">
        <f>excelsalesdata[[#This Row],[Quantity]]*excelsalesdata[[#This Row],[Unit_Price]]</f>
        <v>6800</v>
      </c>
      <c r="X898">
        <f>excelsalesdata[[#This Row],[Gross_sales]]*excelsalesdata[[#This Row],[Discount_%]]</f>
        <v>1020</v>
      </c>
      <c r="Y898">
        <f>excelsalesdata[[#This Row],[Gross_sales]]-excelsalesdata[[#This Row],[Discount_amt]]</f>
        <v>5780</v>
      </c>
      <c r="Z898" s="4">
        <f>excelsalesdata[[#This Row],[Net_sales]]-excelsalesdata[[#This Row],[Cost]]</f>
        <v>3840</v>
      </c>
      <c r="AA898" s="5">
        <f>excelsalesdata[[#This Row],[Profit]]/excelsalesdata[[#This Row],[Net_sales]]</f>
        <v>0.66435986159169547</v>
      </c>
      <c r="AB898" s="4">
        <f>YEAR(excelsalesdata[[#This Row],[Order_Date]])</f>
        <v>2027</v>
      </c>
      <c r="AC898" s="4" t="str">
        <f>TEXT(excelsalesdata[[#This Row],[Order_Date]],"mmm")</f>
        <v>Sep</v>
      </c>
      <c r="AD898" s="4" t="str">
        <f>"Q"&amp;ROUNDUP(MONTH(excelsalesdata[[#This Row],[Order_Date]])/3,0)</f>
        <v>Q3</v>
      </c>
    </row>
    <row r="899" spans="1:30" x14ac:dyDescent="0.35">
      <c r="A899" t="s">
        <v>1660</v>
      </c>
      <c r="B899" s="3">
        <v>46657</v>
      </c>
      <c r="C899" t="s">
        <v>216</v>
      </c>
      <c r="D899" t="s">
        <v>205</v>
      </c>
      <c r="E899" t="str">
        <f>TRIM(excelsalesdata[[#This Row],[Customer_Name]])</f>
        <v>Vivaan Bhat</v>
      </c>
      <c r="F899" t="s">
        <v>23</v>
      </c>
      <c r="G899">
        <v>30</v>
      </c>
      <c r="H899" t="s">
        <v>185</v>
      </c>
      <c r="I899" t="str">
        <f>TRIM(excelsalesdata[[#This Row],[City]])</f>
        <v>Lucknow</v>
      </c>
      <c r="J899" t="s">
        <v>186</v>
      </c>
      <c r="K899" t="s">
        <v>61</v>
      </c>
      <c r="L899" t="s">
        <v>85</v>
      </c>
      <c r="M899" t="s">
        <v>110</v>
      </c>
      <c r="N899" t="s">
        <v>110</v>
      </c>
      <c r="O899">
        <v>3</v>
      </c>
      <c r="P899">
        <v>1140</v>
      </c>
      <c r="Q899">
        <v>0.15</v>
      </c>
      <c r="R899">
        <v>570</v>
      </c>
      <c r="S899" t="s">
        <v>67</v>
      </c>
      <c r="T899" t="s">
        <v>30</v>
      </c>
      <c r="U899">
        <v>1</v>
      </c>
      <c r="V899" t="s">
        <v>31</v>
      </c>
      <c r="W899">
        <f>excelsalesdata[[#This Row],[Quantity]]*excelsalesdata[[#This Row],[Unit_Price]]</f>
        <v>3420</v>
      </c>
      <c r="X899">
        <f>excelsalesdata[[#This Row],[Gross_sales]]*excelsalesdata[[#This Row],[Discount_%]]</f>
        <v>513</v>
      </c>
      <c r="Y899">
        <f>excelsalesdata[[#This Row],[Gross_sales]]-excelsalesdata[[#This Row],[Discount_amt]]</f>
        <v>2907</v>
      </c>
      <c r="Z899" s="4">
        <f>excelsalesdata[[#This Row],[Net_sales]]-excelsalesdata[[#This Row],[Cost]]</f>
        <v>2337</v>
      </c>
      <c r="AA899" s="5">
        <f>excelsalesdata[[#This Row],[Profit]]/excelsalesdata[[#This Row],[Net_sales]]</f>
        <v>0.80392156862745101</v>
      </c>
      <c r="AB899" s="4">
        <f>YEAR(excelsalesdata[[#This Row],[Order_Date]])</f>
        <v>2027</v>
      </c>
      <c r="AC899" s="4" t="str">
        <f>TEXT(excelsalesdata[[#This Row],[Order_Date]],"mmm")</f>
        <v>Sep</v>
      </c>
      <c r="AD899" s="4" t="str">
        <f>"Q"&amp;ROUNDUP(MONTH(excelsalesdata[[#This Row],[Order_Date]])/3,0)</f>
        <v>Q3</v>
      </c>
    </row>
    <row r="900" spans="1:30" x14ac:dyDescent="0.35">
      <c r="A900" t="s">
        <v>1661</v>
      </c>
      <c r="B900" s="3">
        <v>46658</v>
      </c>
      <c r="C900" t="s">
        <v>1662</v>
      </c>
      <c r="D900" t="s">
        <v>583</v>
      </c>
      <c r="E900" t="str">
        <f>TRIM(excelsalesdata[[#This Row],[Customer_Name]])</f>
        <v>Ishita Gupta</v>
      </c>
      <c r="F900" t="s">
        <v>23</v>
      </c>
      <c r="G900">
        <v>46</v>
      </c>
      <c r="H900" t="s">
        <v>60</v>
      </c>
      <c r="I900" t="str">
        <f>TRIM(excelsalesdata[[#This Row],[City]])</f>
        <v>Chandigarh</v>
      </c>
      <c r="J900" t="s">
        <v>60</v>
      </c>
      <c r="K900" t="s">
        <v>61</v>
      </c>
      <c r="L900" t="s">
        <v>38</v>
      </c>
      <c r="M900" t="s">
        <v>73</v>
      </c>
      <c r="N900" t="s">
        <v>73</v>
      </c>
      <c r="O900">
        <v>2</v>
      </c>
      <c r="P900">
        <v>4620</v>
      </c>
      <c r="Q900">
        <v>0.1</v>
      </c>
      <c r="R900">
        <v>3260</v>
      </c>
      <c r="S900" t="s">
        <v>29</v>
      </c>
      <c r="T900" t="s">
        <v>81</v>
      </c>
      <c r="U900">
        <v>0</v>
      </c>
      <c r="V900" t="s">
        <v>31</v>
      </c>
      <c r="W900">
        <f>excelsalesdata[[#This Row],[Quantity]]*excelsalesdata[[#This Row],[Unit_Price]]</f>
        <v>9240</v>
      </c>
      <c r="X900">
        <f>excelsalesdata[[#This Row],[Gross_sales]]*excelsalesdata[[#This Row],[Discount_%]]</f>
        <v>924</v>
      </c>
      <c r="Y900">
        <f>excelsalesdata[[#This Row],[Gross_sales]]-excelsalesdata[[#This Row],[Discount_amt]]</f>
        <v>8316</v>
      </c>
      <c r="Z900" s="4">
        <f>excelsalesdata[[#This Row],[Net_sales]]-excelsalesdata[[#This Row],[Cost]]</f>
        <v>5056</v>
      </c>
      <c r="AA900" s="5">
        <f>excelsalesdata[[#This Row],[Profit]]/excelsalesdata[[#This Row],[Net_sales]]</f>
        <v>0.60798460798460796</v>
      </c>
      <c r="AB900" s="4">
        <f>YEAR(excelsalesdata[[#This Row],[Order_Date]])</f>
        <v>2027</v>
      </c>
      <c r="AC900" s="4" t="str">
        <f>TEXT(excelsalesdata[[#This Row],[Order_Date]],"mmm")</f>
        <v>Sep</v>
      </c>
      <c r="AD900" s="4" t="str">
        <f>"Q"&amp;ROUNDUP(MONTH(excelsalesdata[[#This Row],[Order_Date]])/3,0)</f>
        <v>Q3</v>
      </c>
    </row>
    <row r="901" spans="1:30" x14ac:dyDescent="0.35">
      <c r="A901" t="s">
        <v>1663</v>
      </c>
      <c r="B901" s="3">
        <v>46659</v>
      </c>
      <c r="C901" t="s">
        <v>112</v>
      </c>
      <c r="D901" t="s">
        <v>499</v>
      </c>
      <c r="E901" t="str">
        <f>TRIM(excelsalesdata[[#This Row],[Customer_Name]])</f>
        <v>Aditya Nair</v>
      </c>
      <c r="F901" t="s">
        <v>23</v>
      </c>
      <c r="G901">
        <v>29</v>
      </c>
      <c r="H901" t="s">
        <v>114</v>
      </c>
      <c r="I901" t="str">
        <f>TRIM(excelsalesdata[[#This Row],[City]])</f>
        <v>Hyderabad</v>
      </c>
      <c r="J901" t="s">
        <v>115</v>
      </c>
      <c r="K901" t="s">
        <v>47</v>
      </c>
      <c r="L901" t="s">
        <v>93</v>
      </c>
      <c r="M901" t="s">
        <v>718</v>
      </c>
      <c r="N901" t="s">
        <v>718</v>
      </c>
      <c r="O901">
        <v>1</v>
      </c>
      <c r="P901">
        <v>1840</v>
      </c>
      <c r="Q901">
        <v>0.1</v>
      </c>
      <c r="R901">
        <v>930</v>
      </c>
      <c r="S901" t="s">
        <v>29</v>
      </c>
      <c r="T901" t="s">
        <v>30</v>
      </c>
      <c r="U901">
        <v>5</v>
      </c>
      <c r="V901" t="s">
        <v>40</v>
      </c>
      <c r="W901">
        <f>excelsalesdata[[#This Row],[Quantity]]*excelsalesdata[[#This Row],[Unit_Price]]</f>
        <v>1840</v>
      </c>
      <c r="X901">
        <f>excelsalesdata[[#This Row],[Gross_sales]]*excelsalesdata[[#This Row],[Discount_%]]</f>
        <v>184</v>
      </c>
      <c r="Y901">
        <f>excelsalesdata[[#This Row],[Gross_sales]]-excelsalesdata[[#This Row],[Discount_amt]]</f>
        <v>1656</v>
      </c>
      <c r="Z901" s="4">
        <f>excelsalesdata[[#This Row],[Net_sales]]-excelsalesdata[[#This Row],[Cost]]</f>
        <v>726</v>
      </c>
      <c r="AA901" s="5">
        <f>excelsalesdata[[#This Row],[Profit]]/excelsalesdata[[#This Row],[Net_sales]]</f>
        <v>0.43840579710144928</v>
      </c>
      <c r="AB901" s="4">
        <f>YEAR(excelsalesdata[[#This Row],[Order_Date]])</f>
        <v>2027</v>
      </c>
      <c r="AC901" s="4" t="str">
        <f>TEXT(excelsalesdata[[#This Row],[Order_Date]],"mmm")</f>
        <v>Sep</v>
      </c>
      <c r="AD901" s="4" t="str">
        <f>"Q"&amp;ROUNDUP(MONTH(excelsalesdata[[#This Row],[Order_Date]])/3,0)</f>
        <v>Q3</v>
      </c>
    </row>
    <row r="902" spans="1:30" x14ac:dyDescent="0.35">
      <c r="A902" t="s">
        <v>1664</v>
      </c>
      <c r="B902" s="3">
        <v>46660</v>
      </c>
      <c r="C902" t="s">
        <v>1665</v>
      </c>
      <c r="D902" t="s">
        <v>553</v>
      </c>
      <c r="E902" t="str">
        <f>TRIM(excelsalesdata[[#This Row],[Customer_Name]])</f>
        <v>Vivaan Reddy</v>
      </c>
      <c r="F902" t="s">
        <v>44</v>
      </c>
      <c r="G902">
        <v>57</v>
      </c>
      <c r="H902" t="s">
        <v>109</v>
      </c>
      <c r="I902" t="str">
        <f>TRIM(excelsalesdata[[#This Row],[City]])</f>
        <v>Mysuru</v>
      </c>
      <c r="J902" t="s">
        <v>53</v>
      </c>
      <c r="K902" t="s">
        <v>47</v>
      </c>
      <c r="L902" t="s">
        <v>27</v>
      </c>
      <c r="M902" t="s">
        <v>48</v>
      </c>
      <c r="N902" t="s">
        <v>48</v>
      </c>
      <c r="O902">
        <v>2</v>
      </c>
      <c r="P902">
        <v>900</v>
      </c>
      <c r="Q902">
        <v>0.1</v>
      </c>
      <c r="R902">
        <v>450</v>
      </c>
      <c r="S902" t="s">
        <v>29</v>
      </c>
      <c r="T902" t="s">
        <v>30</v>
      </c>
      <c r="U902">
        <v>4</v>
      </c>
      <c r="V902" t="s">
        <v>31</v>
      </c>
      <c r="W902">
        <f>excelsalesdata[[#This Row],[Quantity]]*excelsalesdata[[#This Row],[Unit_Price]]</f>
        <v>1800</v>
      </c>
      <c r="X902">
        <f>excelsalesdata[[#This Row],[Gross_sales]]*excelsalesdata[[#This Row],[Discount_%]]</f>
        <v>180</v>
      </c>
      <c r="Y902">
        <f>excelsalesdata[[#This Row],[Gross_sales]]-excelsalesdata[[#This Row],[Discount_amt]]</f>
        <v>1620</v>
      </c>
      <c r="Z902" s="4">
        <f>excelsalesdata[[#This Row],[Net_sales]]-excelsalesdata[[#This Row],[Cost]]</f>
        <v>1170</v>
      </c>
      <c r="AA902" s="5">
        <f>excelsalesdata[[#This Row],[Profit]]/excelsalesdata[[#This Row],[Net_sales]]</f>
        <v>0.72222222222222221</v>
      </c>
      <c r="AB902" s="4">
        <f>YEAR(excelsalesdata[[#This Row],[Order_Date]])</f>
        <v>2027</v>
      </c>
      <c r="AC902" s="4" t="str">
        <f>TEXT(excelsalesdata[[#This Row],[Order_Date]],"mmm")</f>
        <v>Sep</v>
      </c>
      <c r="AD902" s="4" t="str">
        <f>"Q"&amp;ROUNDUP(MONTH(excelsalesdata[[#This Row],[Order_Date]])/3,0)</f>
        <v>Q3</v>
      </c>
    </row>
    <row r="903" spans="1:30" x14ac:dyDescent="0.35">
      <c r="A903" t="s">
        <v>1666</v>
      </c>
      <c r="B903" s="3">
        <v>46661</v>
      </c>
      <c r="C903" t="s">
        <v>1065</v>
      </c>
      <c r="D903" t="s">
        <v>629</v>
      </c>
      <c r="E903" t="str">
        <f>TRIM(excelsalesdata[[#This Row],[Customer_Name]])</f>
        <v>Vikram Shah</v>
      </c>
      <c r="F903" t="s">
        <v>23</v>
      </c>
      <c r="G903">
        <v>35</v>
      </c>
      <c r="H903" t="s">
        <v>185</v>
      </c>
      <c r="I903" t="str">
        <f>TRIM(excelsalesdata[[#This Row],[City]])</f>
        <v>Lucknow</v>
      </c>
      <c r="J903" t="s">
        <v>186</v>
      </c>
      <c r="K903" t="s">
        <v>61</v>
      </c>
      <c r="L903" t="s">
        <v>38</v>
      </c>
      <c r="M903" t="s">
        <v>119</v>
      </c>
      <c r="N903" t="s">
        <v>119</v>
      </c>
      <c r="O903">
        <v>2</v>
      </c>
      <c r="P903">
        <v>8690</v>
      </c>
      <c r="Q903">
        <v>0.25</v>
      </c>
      <c r="R903">
        <v>5360</v>
      </c>
      <c r="S903" t="s">
        <v>80</v>
      </c>
      <c r="T903" t="s">
        <v>30</v>
      </c>
      <c r="U903">
        <v>3</v>
      </c>
      <c r="V903" t="s">
        <v>31</v>
      </c>
      <c r="W903">
        <f>excelsalesdata[[#This Row],[Quantity]]*excelsalesdata[[#This Row],[Unit_Price]]</f>
        <v>17380</v>
      </c>
      <c r="X903">
        <f>excelsalesdata[[#This Row],[Gross_sales]]*excelsalesdata[[#This Row],[Discount_%]]</f>
        <v>4345</v>
      </c>
      <c r="Y903">
        <f>excelsalesdata[[#This Row],[Gross_sales]]-excelsalesdata[[#This Row],[Discount_amt]]</f>
        <v>13035</v>
      </c>
      <c r="Z903" s="4">
        <f>excelsalesdata[[#This Row],[Net_sales]]-excelsalesdata[[#This Row],[Cost]]</f>
        <v>7675</v>
      </c>
      <c r="AA903" s="5">
        <f>excelsalesdata[[#This Row],[Profit]]/excelsalesdata[[#This Row],[Net_sales]]</f>
        <v>0.58879938626774064</v>
      </c>
      <c r="AB903" s="4">
        <f>YEAR(excelsalesdata[[#This Row],[Order_Date]])</f>
        <v>2027</v>
      </c>
      <c r="AC903" s="4" t="str">
        <f>TEXT(excelsalesdata[[#This Row],[Order_Date]],"mmm")</f>
        <v>Oct</v>
      </c>
      <c r="AD903" s="4" t="str">
        <f>"Q"&amp;ROUNDUP(MONTH(excelsalesdata[[#This Row],[Order_Date]])/3,0)</f>
        <v>Q4</v>
      </c>
    </row>
    <row r="904" spans="1:30" x14ac:dyDescent="0.35">
      <c r="A904" t="s">
        <v>1667</v>
      </c>
      <c r="B904" s="3">
        <v>46662</v>
      </c>
      <c r="C904" t="s">
        <v>361</v>
      </c>
      <c r="D904" t="s">
        <v>994</v>
      </c>
      <c r="E904" t="str">
        <f>TRIM(excelsalesdata[[#This Row],[Customer_Name]])</f>
        <v>Rohan Shah</v>
      </c>
      <c r="F904" t="s">
        <v>23</v>
      </c>
      <c r="G904">
        <v>26</v>
      </c>
      <c r="H904" t="s">
        <v>35</v>
      </c>
      <c r="I904" t="str">
        <f>TRIM(excelsalesdata[[#This Row],[City]])</f>
        <v>Kolkata</v>
      </c>
      <c r="J904" t="s">
        <v>36</v>
      </c>
      <c r="K904" t="s">
        <v>37</v>
      </c>
      <c r="L904" t="s">
        <v>103</v>
      </c>
      <c r="M904" t="s">
        <v>312</v>
      </c>
      <c r="N904" t="s">
        <v>312</v>
      </c>
      <c r="O904">
        <v>2</v>
      </c>
      <c r="P904">
        <v>6560</v>
      </c>
      <c r="Q904">
        <v>0.05</v>
      </c>
      <c r="R904">
        <v>4070</v>
      </c>
      <c r="S904" t="s">
        <v>151</v>
      </c>
      <c r="T904" t="s">
        <v>30</v>
      </c>
      <c r="U904">
        <v>1</v>
      </c>
      <c r="V904" t="s">
        <v>40</v>
      </c>
      <c r="W904">
        <f>excelsalesdata[[#This Row],[Quantity]]*excelsalesdata[[#This Row],[Unit_Price]]</f>
        <v>13120</v>
      </c>
      <c r="X904">
        <f>excelsalesdata[[#This Row],[Gross_sales]]*excelsalesdata[[#This Row],[Discount_%]]</f>
        <v>656</v>
      </c>
      <c r="Y904">
        <f>excelsalesdata[[#This Row],[Gross_sales]]-excelsalesdata[[#This Row],[Discount_amt]]</f>
        <v>12464</v>
      </c>
      <c r="Z904" s="4">
        <f>excelsalesdata[[#This Row],[Net_sales]]-excelsalesdata[[#This Row],[Cost]]</f>
        <v>8394</v>
      </c>
      <c r="AA904" s="5">
        <f>excelsalesdata[[#This Row],[Profit]]/excelsalesdata[[#This Row],[Net_sales]]</f>
        <v>0.67345956354300385</v>
      </c>
      <c r="AB904" s="4">
        <f>YEAR(excelsalesdata[[#This Row],[Order_Date]])</f>
        <v>2027</v>
      </c>
      <c r="AC904" s="4" t="str">
        <f>TEXT(excelsalesdata[[#This Row],[Order_Date]],"mmm")</f>
        <v>Oct</v>
      </c>
      <c r="AD904" s="4" t="str">
        <f>"Q"&amp;ROUNDUP(MONTH(excelsalesdata[[#This Row],[Order_Date]])/3,0)</f>
        <v>Q4</v>
      </c>
    </row>
    <row r="905" spans="1:30" x14ac:dyDescent="0.35">
      <c r="A905" t="s">
        <v>1668</v>
      </c>
      <c r="B905" s="3">
        <v>46663</v>
      </c>
      <c r="C905" t="s">
        <v>1544</v>
      </c>
      <c r="D905" t="s">
        <v>224</v>
      </c>
      <c r="E905" t="str">
        <f>TRIM(excelsalesdata[[#This Row],[Customer_Name]])</f>
        <v>Vivaan Sharma</v>
      </c>
      <c r="F905" t="s">
        <v>23</v>
      </c>
      <c r="G905">
        <v>55</v>
      </c>
      <c r="H905" t="s">
        <v>98</v>
      </c>
      <c r="I905" t="str">
        <f>TRIM(excelsalesdata[[#This Row],[City]])</f>
        <v>Mumbai</v>
      </c>
      <c r="J905" t="s">
        <v>25</v>
      </c>
      <c r="K905" t="s">
        <v>26</v>
      </c>
      <c r="L905" t="s">
        <v>103</v>
      </c>
      <c r="M905" t="s">
        <v>312</v>
      </c>
      <c r="N905" t="s">
        <v>312</v>
      </c>
      <c r="O905">
        <v>3</v>
      </c>
      <c r="P905">
        <v>6620</v>
      </c>
      <c r="Q905">
        <v>0.05</v>
      </c>
      <c r="R905">
        <v>4060</v>
      </c>
      <c r="S905" t="s">
        <v>67</v>
      </c>
      <c r="T905" t="s">
        <v>30</v>
      </c>
      <c r="U905">
        <v>4</v>
      </c>
      <c r="V905" t="s">
        <v>31</v>
      </c>
      <c r="W905">
        <f>excelsalesdata[[#This Row],[Quantity]]*excelsalesdata[[#This Row],[Unit_Price]]</f>
        <v>19860</v>
      </c>
      <c r="X905">
        <f>excelsalesdata[[#This Row],[Gross_sales]]*excelsalesdata[[#This Row],[Discount_%]]</f>
        <v>993</v>
      </c>
      <c r="Y905">
        <f>excelsalesdata[[#This Row],[Gross_sales]]-excelsalesdata[[#This Row],[Discount_amt]]</f>
        <v>18867</v>
      </c>
      <c r="Z905" s="4">
        <f>excelsalesdata[[#This Row],[Net_sales]]-excelsalesdata[[#This Row],[Cost]]</f>
        <v>14807</v>
      </c>
      <c r="AA905" s="5">
        <f>excelsalesdata[[#This Row],[Profit]]/excelsalesdata[[#This Row],[Net_sales]]</f>
        <v>0.78480945566332749</v>
      </c>
      <c r="AB905" s="4">
        <f>YEAR(excelsalesdata[[#This Row],[Order_Date]])</f>
        <v>2027</v>
      </c>
      <c r="AC905" s="4" t="str">
        <f>TEXT(excelsalesdata[[#This Row],[Order_Date]],"mmm")</f>
        <v>Oct</v>
      </c>
      <c r="AD905" s="4" t="str">
        <f>"Q"&amp;ROUNDUP(MONTH(excelsalesdata[[#This Row],[Order_Date]])/3,0)</f>
        <v>Q4</v>
      </c>
    </row>
    <row r="906" spans="1:30" x14ac:dyDescent="0.35">
      <c r="A906" t="s">
        <v>1669</v>
      </c>
      <c r="B906" s="3">
        <v>46664</v>
      </c>
      <c r="C906" t="s">
        <v>337</v>
      </c>
      <c r="D906" t="s">
        <v>181</v>
      </c>
      <c r="E906" t="str">
        <f>TRIM(excelsalesdata[[#This Row],[Customer_Name]])</f>
        <v>Ananya Patel</v>
      </c>
      <c r="F906" t="s">
        <v>44</v>
      </c>
      <c r="G906">
        <v>19</v>
      </c>
      <c r="H906" t="s">
        <v>114</v>
      </c>
      <c r="I906" t="str">
        <f>TRIM(excelsalesdata[[#This Row],[City]])</f>
        <v>Hyderabad</v>
      </c>
      <c r="J906" t="s">
        <v>115</v>
      </c>
      <c r="K906" t="s">
        <v>47</v>
      </c>
      <c r="L906" t="s">
        <v>93</v>
      </c>
      <c r="M906" t="s">
        <v>718</v>
      </c>
      <c r="N906" t="s">
        <v>718</v>
      </c>
      <c r="O906">
        <v>3</v>
      </c>
      <c r="P906">
        <v>1740</v>
      </c>
      <c r="Q906">
        <v>0.1</v>
      </c>
      <c r="R906">
        <v>870</v>
      </c>
      <c r="S906" t="s">
        <v>29</v>
      </c>
      <c r="T906" t="s">
        <v>30</v>
      </c>
      <c r="U906">
        <v>3</v>
      </c>
      <c r="V906" t="s">
        <v>40</v>
      </c>
      <c r="W906">
        <f>excelsalesdata[[#This Row],[Quantity]]*excelsalesdata[[#This Row],[Unit_Price]]</f>
        <v>5220</v>
      </c>
      <c r="X906">
        <f>excelsalesdata[[#This Row],[Gross_sales]]*excelsalesdata[[#This Row],[Discount_%]]</f>
        <v>522</v>
      </c>
      <c r="Y906">
        <f>excelsalesdata[[#This Row],[Gross_sales]]-excelsalesdata[[#This Row],[Discount_amt]]</f>
        <v>4698</v>
      </c>
      <c r="Z906" s="4">
        <f>excelsalesdata[[#This Row],[Net_sales]]-excelsalesdata[[#This Row],[Cost]]</f>
        <v>3828</v>
      </c>
      <c r="AA906" s="5">
        <f>excelsalesdata[[#This Row],[Profit]]/excelsalesdata[[#This Row],[Net_sales]]</f>
        <v>0.81481481481481477</v>
      </c>
      <c r="AB906" s="4">
        <f>YEAR(excelsalesdata[[#This Row],[Order_Date]])</f>
        <v>2027</v>
      </c>
      <c r="AC906" s="4" t="str">
        <f>TEXT(excelsalesdata[[#This Row],[Order_Date]],"mmm")</f>
        <v>Oct</v>
      </c>
      <c r="AD906" s="4" t="str">
        <f>"Q"&amp;ROUNDUP(MONTH(excelsalesdata[[#This Row],[Order_Date]])/3,0)</f>
        <v>Q4</v>
      </c>
    </row>
    <row r="907" spans="1:30" x14ac:dyDescent="0.35">
      <c r="A907" t="s">
        <v>1670</v>
      </c>
      <c r="B907" s="3">
        <v>46665</v>
      </c>
      <c r="C907" t="s">
        <v>846</v>
      </c>
      <c r="D907" t="s">
        <v>490</v>
      </c>
      <c r="E907" t="str">
        <f>TRIM(excelsalesdata[[#This Row],[Customer_Name]])</f>
        <v>Aditya Singh</v>
      </c>
      <c r="F907" t="s">
        <v>44</v>
      </c>
      <c r="G907">
        <v>25</v>
      </c>
      <c r="H907" t="s">
        <v>185</v>
      </c>
      <c r="I907" t="str">
        <f>TRIM(excelsalesdata[[#This Row],[City]])</f>
        <v>Lucknow</v>
      </c>
      <c r="J907" t="s">
        <v>186</v>
      </c>
      <c r="K907" t="s">
        <v>61</v>
      </c>
      <c r="L907" t="s">
        <v>38</v>
      </c>
      <c r="M907" t="s">
        <v>73</v>
      </c>
      <c r="N907" t="s">
        <v>73</v>
      </c>
      <c r="O907">
        <v>3</v>
      </c>
      <c r="P907">
        <v>4840</v>
      </c>
      <c r="Q907">
        <v>0.2</v>
      </c>
      <c r="R907">
        <v>3090</v>
      </c>
      <c r="S907" t="s">
        <v>80</v>
      </c>
      <c r="T907" t="s">
        <v>30</v>
      </c>
      <c r="U907">
        <v>2</v>
      </c>
      <c r="V907" t="s">
        <v>40</v>
      </c>
      <c r="W907">
        <f>excelsalesdata[[#This Row],[Quantity]]*excelsalesdata[[#This Row],[Unit_Price]]</f>
        <v>14520</v>
      </c>
      <c r="X907">
        <f>excelsalesdata[[#This Row],[Gross_sales]]*excelsalesdata[[#This Row],[Discount_%]]</f>
        <v>2904</v>
      </c>
      <c r="Y907">
        <f>excelsalesdata[[#This Row],[Gross_sales]]-excelsalesdata[[#This Row],[Discount_amt]]</f>
        <v>11616</v>
      </c>
      <c r="Z907" s="4">
        <f>excelsalesdata[[#This Row],[Net_sales]]-excelsalesdata[[#This Row],[Cost]]</f>
        <v>8526</v>
      </c>
      <c r="AA907" s="5">
        <f>excelsalesdata[[#This Row],[Profit]]/excelsalesdata[[#This Row],[Net_sales]]</f>
        <v>0.73398760330578516</v>
      </c>
      <c r="AB907" s="4">
        <f>YEAR(excelsalesdata[[#This Row],[Order_Date]])</f>
        <v>2027</v>
      </c>
      <c r="AC907" s="4" t="str">
        <f>TEXT(excelsalesdata[[#This Row],[Order_Date]],"mmm")</f>
        <v>Oct</v>
      </c>
      <c r="AD907" s="4" t="str">
        <f>"Q"&amp;ROUNDUP(MONTH(excelsalesdata[[#This Row],[Order_Date]])/3,0)</f>
        <v>Q4</v>
      </c>
    </row>
    <row r="908" spans="1:30" x14ac:dyDescent="0.35">
      <c r="A908" t="s">
        <v>1671</v>
      </c>
      <c r="B908" s="3">
        <v>46666</v>
      </c>
      <c r="C908" t="s">
        <v>512</v>
      </c>
      <c r="D908" t="s">
        <v>132</v>
      </c>
      <c r="E908" t="str">
        <f>TRIM(excelsalesdata[[#This Row],[Customer_Name]])</f>
        <v>Vivaan Das</v>
      </c>
      <c r="F908" t="s">
        <v>44</v>
      </c>
      <c r="G908">
        <v>51</v>
      </c>
      <c r="H908" t="s">
        <v>98</v>
      </c>
      <c r="I908" t="str">
        <f>TRIM(excelsalesdata[[#This Row],[City]])</f>
        <v>Mumbai</v>
      </c>
      <c r="J908" t="s">
        <v>25</v>
      </c>
      <c r="K908" t="s">
        <v>26</v>
      </c>
      <c r="L908" t="s">
        <v>54</v>
      </c>
      <c r="M908" t="s">
        <v>157</v>
      </c>
      <c r="N908" t="s">
        <v>157</v>
      </c>
      <c r="O908">
        <v>1</v>
      </c>
      <c r="P908">
        <v>58330</v>
      </c>
      <c r="Q908">
        <v>0.2</v>
      </c>
      <c r="R908">
        <v>40860</v>
      </c>
      <c r="S908" t="s">
        <v>29</v>
      </c>
      <c r="T908" t="s">
        <v>30</v>
      </c>
      <c r="U908">
        <v>4</v>
      </c>
      <c r="V908" t="s">
        <v>31</v>
      </c>
      <c r="W908">
        <f>excelsalesdata[[#This Row],[Quantity]]*excelsalesdata[[#This Row],[Unit_Price]]</f>
        <v>58330</v>
      </c>
      <c r="X908">
        <f>excelsalesdata[[#This Row],[Gross_sales]]*excelsalesdata[[#This Row],[Discount_%]]</f>
        <v>11666</v>
      </c>
      <c r="Y908">
        <f>excelsalesdata[[#This Row],[Gross_sales]]-excelsalesdata[[#This Row],[Discount_amt]]</f>
        <v>46664</v>
      </c>
      <c r="Z908" s="4">
        <f>excelsalesdata[[#This Row],[Net_sales]]-excelsalesdata[[#This Row],[Cost]]</f>
        <v>5804</v>
      </c>
      <c r="AA908" s="5">
        <f>excelsalesdata[[#This Row],[Profit]]/excelsalesdata[[#This Row],[Net_sales]]</f>
        <v>0.12437853591633807</v>
      </c>
      <c r="AB908" s="4">
        <f>YEAR(excelsalesdata[[#This Row],[Order_Date]])</f>
        <v>2027</v>
      </c>
      <c r="AC908" s="4" t="str">
        <f>TEXT(excelsalesdata[[#This Row],[Order_Date]],"mmm")</f>
        <v>Oct</v>
      </c>
      <c r="AD908" s="4" t="str">
        <f>"Q"&amp;ROUNDUP(MONTH(excelsalesdata[[#This Row],[Order_Date]])/3,0)</f>
        <v>Q4</v>
      </c>
    </row>
    <row r="909" spans="1:30" x14ac:dyDescent="0.35">
      <c r="A909" t="s">
        <v>1672</v>
      </c>
      <c r="B909" s="3">
        <v>46667</v>
      </c>
      <c r="C909" t="s">
        <v>1673</v>
      </c>
      <c r="D909" t="s">
        <v>532</v>
      </c>
      <c r="E909" t="str">
        <f>TRIM(excelsalesdata[[#This Row],[Customer_Name]])</f>
        <v>Ananya Mehta</v>
      </c>
      <c r="F909" t="s">
        <v>44</v>
      </c>
      <c r="G909">
        <v>18</v>
      </c>
      <c r="H909" t="s">
        <v>114</v>
      </c>
      <c r="I909" t="str">
        <f>TRIM(excelsalesdata[[#This Row],[City]])</f>
        <v>Hyderabad</v>
      </c>
      <c r="J909" t="s">
        <v>115</v>
      </c>
      <c r="K909" t="s">
        <v>47</v>
      </c>
      <c r="L909" t="s">
        <v>93</v>
      </c>
      <c r="M909" t="s">
        <v>718</v>
      </c>
      <c r="N909" t="s">
        <v>718</v>
      </c>
      <c r="O909">
        <v>4</v>
      </c>
      <c r="P909">
        <v>1880</v>
      </c>
      <c r="Q909">
        <v>0.15</v>
      </c>
      <c r="R909">
        <v>920</v>
      </c>
      <c r="S909" t="s">
        <v>80</v>
      </c>
      <c r="T909" t="s">
        <v>81</v>
      </c>
      <c r="U909">
        <v>0</v>
      </c>
      <c r="V909" t="s">
        <v>40</v>
      </c>
      <c r="W909">
        <f>excelsalesdata[[#This Row],[Quantity]]*excelsalesdata[[#This Row],[Unit_Price]]</f>
        <v>7520</v>
      </c>
      <c r="X909">
        <f>excelsalesdata[[#This Row],[Gross_sales]]*excelsalesdata[[#This Row],[Discount_%]]</f>
        <v>1128</v>
      </c>
      <c r="Y909">
        <f>excelsalesdata[[#This Row],[Gross_sales]]-excelsalesdata[[#This Row],[Discount_amt]]</f>
        <v>6392</v>
      </c>
      <c r="Z909" s="4">
        <f>excelsalesdata[[#This Row],[Net_sales]]-excelsalesdata[[#This Row],[Cost]]</f>
        <v>5472</v>
      </c>
      <c r="AA909" s="5">
        <f>excelsalesdata[[#This Row],[Profit]]/excelsalesdata[[#This Row],[Net_sales]]</f>
        <v>0.85607008760951186</v>
      </c>
      <c r="AB909" s="4">
        <f>YEAR(excelsalesdata[[#This Row],[Order_Date]])</f>
        <v>2027</v>
      </c>
      <c r="AC909" s="4" t="str">
        <f>TEXT(excelsalesdata[[#This Row],[Order_Date]],"mmm")</f>
        <v>Oct</v>
      </c>
      <c r="AD909" s="4" t="str">
        <f>"Q"&amp;ROUNDUP(MONTH(excelsalesdata[[#This Row],[Order_Date]])/3,0)</f>
        <v>Q4</v>
      </c>
    </row>
    <row r="910" spans="1:30" x14ac:dyDescent="0.35">
      <c r="A910" t="s">
        <v>1674</v>
      </c>
      <c r="B910" s="3">
        <v>46668</v>
      </c>
      <c r="C910" t="s">
        <v>537</v>
      </c>
      <c r="D910" t="s">
        <v>294</v>
      </c>
      <c r="E910" t="str">
        <f>TRIM(excelsalesdata[[#This Row],[Customer_Name]])</f>
        <v>Ananya Gupta</v>
      </c>
      <c r="F910" t="s">
        <v>44</v>
      </c>
      <c r="G910">
        <v>24</v>
      </c>
      <c r="H910" t="s">
        <v>78</v>
      </c>
      <c r="I910" t="str">
        <f>TRIM(excelsalesdata[[#This Row],[City]])</f>
        <v>Guwahati</v>
      </c>
      <c r="J910" t="s">
        <v>79</v>
      </c>
      <c r="K910" t="s">
        <v>37</v>
      </c>
      <c r="L910" t="s">
        <v>38</v>
      </c>
      <c r="M910" t="s">
        <v>119</v>
      </c>
      <c r="N910" t="s">
        <v>119</v>
      </c>
      <c r="O910">
        <v>2</v>
      </c>
      <c r="P910">
        <v>8370</v>
      </c>
      <c r="Q910">
        <v>0.25</v>
      </c>
      <c r="R910">
        <v>5460</v>
      </c>
      <c r="S910" t="s">
        <v>151</v>
      </c>
      <c r="T910" t="s">
        <v>30</v>
      </c>
      <c r="U910">
        <v>3</v>
      </c>
      <c r="V910" t="s">
        <v>40</v>
      </c>
      <c r="W910">
        <f>excelsalesdata[[#This Row],[Quantity]]*excelsalesdata[[#This Row],[Unit_Price]]</f>
        <v>16740</v>
      </c>
      <c r="X910">
        <f>excelsalesdata[[#This Row],[Gross_sales]]*excelsalesdata[[#This Row],[Discount_%]]</f>
        <v>4185</v>
      </c>
      <c r="Y910">
        <f>excelsalesdata[[#This Row],[Gross_sales]]-excelsalesdata[[#This Row],[Discount_amt]]</f>
        <v>12555</v>
      </c>
      <c r="Z910" s="4">
        <f>excelsalesdata[[#This Row],[Net_sales]]-excelsalesdata[[#This Row],[Cost]]</f>
        <v>7095</v>
      </c>
      <c r="AA910" s="5">
        <f>excelsalesdata[[#This Row],[Profit]]/excelsalesdata[[#This Row],[Net_sales]]</f>
        <v>0.56511350059737153</v>
      </c>
      <c r="AB910" s="4">
        <f>YEAR(excelsalesdata[[#This Row],[Order_Date]])</f>
        <v>2027</v>
      </c>
      <c r="AC910" s="4" t="str">
        <f>TEXT(excelsalesdata[[#This Row],[Order_Date]],"mmm")</f>
        <v>Oct</v>
      </c>
      <c r="AD910" s="4" t="str">
        <f>"Q"&amp;ROUNDUP(MONTH(excelsalesdata[[#This Row],[Order_Date]])/3,0)</f>
        <v>Q4</v>
      </c>
    </row>
    <row r="911" spans="1:30" x14ac:dyDescent="0.35">
      <c r="A911" t="s">
        <v>1675</v>
      </c>
      <c r="B911" s="3">
        <v>46669</v>
      </c>
      <c r="C911" t="s">
        <v>42</v>
      </c>
      <c r="D911" t="s">
        <v>490</v>
      </c>
      <c r="E911" t="str">
        <f>TRIM(excelsalesdata[[#This Row],[Customer_Name]])</f>
        <v>Aditya Singh</v>
      </c>
      <c r="F911" t="s">
        <v>44</v>
      </c>
      <c r="G911">
        <v>55</v>
      </c>
      <c r="H911" t="s">
        <v>24</v>
      </c>
      <c r="I911" t="str">
        <f>TRIM(excelsalesdata[[#This Row],[City]])</f>
        <v>Pune</v>
      </c>
      <c r="J911" t="s">
        <v>25</v>
      </c>
      <c r="K911" t="s">
        <v>26</v>
      </c>
      <c r="L911" t="s">
        <v>103</v>
      </c>
      <c r="M911" t="s">
        <v>238</v>
      </c>
      <c r="N911" t="s">
        <v>238</v>
      </c>
      <c r="O911">
        <v>2</v>
      </c>
      <c r="P911">
        <v>4320</v>
      </c>
      <c r="Q911">
        <v>0</v>
      </c>
      <c r="R911">
        <v>2730</v>
      </c>
      <c r="S911" t="s">
        <v>80</v>
      </c>
      <c r="T911" t="s">
        <v>30</v>
      </c>
      <c r="U911">
        <v>3</v>
      </c>
      <c r="V911" t="s">
        <v>40</v>
      </c>
      <c r="W911">
        <f>excelsalesdata[[#This Row],[Quantity]]*excelsalesdata[[#This Row],[Unit_Price]]</f>
        <v>8640</v>
      </c>
      <c r="X911">
        <f>excelsalesdata[[#This Row],[Gross_sales]]*excelsalesdata[[#This Row],[Discount_%]]</f>
        <v>0</v>
      </c>
      <c r="Y911">
        <f>excelsalesdata[[#This Row],[Gross_sales]]-excelsalesdata[[#This Row],[Discount_amt]]</f>
        <v>8640</v>
      </c>
      <c r="Z911" s="4">
        <f>excelsalesdata[[#This Row],[Net_sales]]-excelsalesdata[[#This Row],[Cost]]</f>
        <v>5910</v>
      </c>
      <c r="AA911" s="5">
        <f>excelsalesdata[[#This Row],[Profit]]/excelsalesdata[[#This Row],[Net_sales]]</f>
        <v>0.68402777777777779</v>
      </c>
      <c r="AB911" s="4">
        <f>YEAR(excelsalesdata[[#This Row],[Order_Date]])</f>
        <v>2027</v>
      </c>
      <c r="AC911" s="4" t="str">
        <f>TEXT(excelsalesdata[[#This Row],[Order_Date]],"mmm")</f>
        <v>Oct</v>
      </c>
      <c r="AD911" s="4" t="str">
        <f>"Q"&amp;ROUNDUP(MONTH(excelsalesdata[[#This Row],[Order_Date]])/3,0)</f>
        <v>Q4</v>
      </c>
    </row>
    <row r="912" spans="1:30" x14ac:dyDescent="0.35">
      <c r="A912" t="s">
        <v>1676</v>
      </c>
      <c r="B912" s="3">
        <v>46670</v>
      </c>
      <c r="C912" t="s">
        <v>1189</v>
      </c>
      <c r="D912" t="s">
        <v>488</v>
      </c>
      <c r="E912" t="str">
        <f>TRIM(excelsalesdata[[#This Row],[Customer_Name]])</f>
        <v>Nisha Singh</v>
      </c>
      <c r="F912" t="s">
        <v>44</v>
      </c>
      <c r="G912">
        <v>20</v>
      </c>
      <c r="H912" t="s">
        <v>114</v>
      </c>
      <c r="I912" t="str">
        <f>TRIM(excelsalesdata[[#This Row],[City]])</f>
        <v>Hyderabad</v>
      </c>
      <c r="J912" t="s">
        <v>115</v>
      </c>
      <c r="K912" t="s">
        <v>47</v>
      </c>
      <c r="L912" t="s">
        <v>85</v>
      </c>
      <c r="M912" t="s">
        <v>251</v>
      </c>
      <c r="N912" t="s">
        <v>251</v>
      </c>
      <c r="O912">
        <v>3</v>
      </c>
      <c r="P912">
        <v>2970</v>
      </c>
      <c r="Q912">
        <v>0.2</v>
      </c>
      <c r="R912">
        <v>1840</v>
      </c>
      <c r="S912" t="s">
        <v>29</v>
      </c>
      <c r="T912" t="s">
        <v>30</v>
      </c>
      <c r="U912">
        <v>8</v>
      </c>
      <c r="V912" t="s">
        <v>40</v>
      </c>
      <c r="W912">
        <f>excelsalesdata[[#This Row],[Quantity]]*excelsalesdata[[#This Row],[Unit_Price]]</f>
        <v>8910</v>
      </c>
      <c r="X912">
        <f>excelsalesdata[[#This Row],[Gross_sales]]*excelsalesdata[[#This Row],[Discount_%]]</f>
        <v>1782</v>
      </c>
      <c r="Y912">
        <f>excelsalesdata[[#This Row],[Gross_sales]]-excelsalesdata[[#This Row],[Discount_amt]]</f>
        <v>7128</v>
      </c>
      <c r="Z912" s="4">
        <f>excelsalesdata[[#This Row],[Net_sales]]-excelsalesdata[[#This Row],[Cost]]</f>
        <v>5288</v>
      </c>
      <c r="AA912" s="5">
        <f>excelsalesdata[[#This Row],[Profit]]/excelsalesdata[[#This Row],[Net_sales]]</f>
        <v>0.74186307519640848</v>
      </c>
      <c r="AB912" s="4">
        <f>YEAR(excelsalesdata[[#This Row],[Order_Date]])</f>
        <v>2027</v>
      </c>
      <c r="AC912" s="4" t="str">
        <f>TEXT(excelsalesdata[[#This Row],[Order_Date]],"mmm")</f>
        <v>Oct</v>
      </c>
      <c r="AD912" s="4" t="str">
        <f>"Q"&amp;ROUNDUP(MONTH(excelsalesdata[[#This Row],[Order_Date]])/3,0)</f>
        <v>Q4</v>
      </c>
    </row>
    <row r="913" spans="1:30" x14ac:dyDescent="0.35">
      <c r="A913" t="s">
        <v>1677</v>
      </c>
      <c r="B913" s="3">
        <v>46671</v>
      </c>
      <c r="C913" t="s">
        <v>69</v>
      </c>
      <c r="D913" t="s">
        <v>619</v>
      </c>
      <c r="E913" t="str">
        <f>TRIM(excelsalesdata[[#This Row],[Customer_Name]])</f>
        <v>Aarav Naidu</v>
      </c>
      <c r="F913" t="s">
        <v>44</v>
      </c>
      <c r="G913">
        <v>43</v>
      </c>
      <c r="H913" t="s">
        <v>185</v>
      </c>
      <c r="I913" t="str">
        <f>TRIM(excelsalesdata[[#This Row],[City]])</f>
        <v>Lucknow</v>
      </c>
      <c r="J913" t="s">
        <v>186</v>
      </c>
      <c r="K913" t="s">
        <v>61</v>
      </c>
      <c r="L913" t="s">
        <v>38</v>
      </c>
      <c r="M913" t="s">
        <v>39</v>
      </c>
      <c r="N913" t="s">
        <v>39</v>
      </c>
      <c r="O913">
        <v>1</v>
      </c>
      <c r="P913">
        <v>6660</v>
      </c>
      <c r="Q913">
        <v>0.25</v>
      </c>
      <c r="R913">
        <v>4360</v>
      </c>
      <c r="S913" t="s">
        <v>67</v>
      </c>
      <c r="T913" t="s">
        <v>81</v>
      </c>
      <c r="U913">
        <v>0</v>
      </c>
      <c r="V913" t="s">
        <v>31</v>
      </c>
      <c r="W913">
        <f>excelsalesdata[[#This Row],[Quantity]]*excelsalesdata[[#This Row],[Unit_Price]]</f>
        <v>6660</v>
      </c>
      <c r="X913">
        <f>excelsalesdata[[#This Row],[Gross_sales]]*excelsalesdata[[#This Row],[Discount_%]]</f>
        <v>1665</v>
      </c>
      <c r="Y913">
        <f>excelsalesdata[[#This Row],[Gross_sales]]-excelsalesdata[[#This Row],[Discount_amt]]</f>
        <v>4995</v>
      </c>
      <c r="Z913" s="4">
        <f>excelsalesdata[[#This Row],[Net_sales]]-excelsalesdata[[#This Row],[Cost]]</f>
        <v>635</v>
      </c>
      <c r="AA913" s="5">
        <f>excelsalesdata[[#This Row],[Profit]]/excelsalesdata[[#This Row],[Net_sales]]</f>
        <v>0.12712712712712712</v>
      </c>
      <c r="AB913" s="4">
        <f>YEAR(excelsalesdata[[#This Row],[Order_Date]])</f>
        <v>2027</v>
      </c>
      <c r="AC913" s="4" t="str">
        <f>TEXT(excelsalesdata[[#This Row],[Order_Date]],"mmm")</f>
        <v>Oct</v>
      </c>
      <c r="AD913" s="4" t="str">
        <f>"Q"&amp;ROUNDUP(MONTH(excelsalesdata[[#This Row],[Order_Date]])/3,0)</f>
        <v>Q4</v>
      </c>
    </row>
    <row r="914" spans="1:30" x14ac:dyDescent="0.35">
      <c r="A914" t="s">
        <v>1678</v>
      </c>
      <c r="B914" s="3">
        <v>46672</v>
      </c>
      <c r="C914" t="s">
        <v>361</v>
      </c>
      <c r="D914" t="s">
        <v>544</v>
      </c>
      <c r="E914" t="str">
        <f>TRIM(excelsalesdata[[#This Row],[Customer_Name]])</f>
        <v>Kavya Iyer</v>
      </c>
      <c r="F914" t="s">
        <v>44</v>
      </c>
      <c r="G914">
        <v>20</v>
      </c>
      <c r="H914" t="s">
        <v>114</v>
      </c>
      <c r="I914" t="str">
        <f>TRIM(excelsalesdata[[#This Row],[City]])</f>
        <v>Hyderabad</v>
      </c>
      <c r="J914" t="s">
        <v>115</v>
      </c>
      <c r="K914" t="s">
        <v>47</v>
      </c>
      <c r="L914" t="s">
        <v>85</v>
      </c>
      <c r="M914" t="s">
        <v>251</v>
      </c>
      <c r="N914" t="s">
        <v>251</v>
      </c>
      <c r="O914">
        <v>2</v>
      </c>
      <c r="P914">
        <v>3010</v>
      </c>
      <c r="Q914">
        <v>0</v>
      </c>
      <c r="R914">
        <v>1930</v>
      </c>
      <c r="S914" t="s">
        <v>80</v>
      </c>
      <c r="T914" t="s">
        <v>30</v>
      </c>
      <c r="U914">
        <v>2</v>
      </c>
      <c r="V914" t="s">
        <v>40</v>
      </c>
      <c r="W914">
        <f>excelsalesdata[[#This Row],[Quantity]]*excelsalesdata[[#This Row],[Unit_Price]]</f>
        <v>6020</v>
      </c>
      <c r="X914">
        <f>excelsalesdata[[#This Row],[Gross_sales]]*excelsalesdata[[#This Row],[Discount_%]]</f>
        <v>0</v>
      </c>
      <c r="Y914">
        <f>excelsalesdata[[#This Row],[Gross_sales]]-excelsalesdata[[#This Row],[Discount_amt]]</f>
        <v>6020</v>
      </c>
      <c r="Z914" s="4">
        <f>excelsalesdata[[#This Row],[Net_sales]]-excelsalesdata[[#This Row],[Cost]]</f>
        <v>4090</v>
      </c>
      <c r="AA914" s="5">
        <f>excelsalesdata[[#This Row],[Profit]]/excelsalesdata[[#This Row],[Net_sales]]</f>
        <v>0.67940199335548168</v>
      </c>
      <c r="AB914" s="4">
        <f>YEAR(excelsalesdata[[#This Row],[Order_Date]])</f>
        <v>2027</v>
      </c>
      <c r="AC914" s="4" t="str">
        <f>TEXT(excelsalesdata[[#This Row],[Order_Date]],"mmm")</f>
        <v>Oct</v>
      </c>
      <c r="AD914" s="4" t="str">
        <f>"Q"&amp;ROUNDUP(MONTH(excelsalesdata[[#This Row],[Order_Date]])/3,0)</f>
        <v>Q4</v>
      </c>
    </row>
    <row r="915" spans="1:30" x14ac:dyDescent="0.35">
      <c r="A915" t="s">
        <v>1679</v>
      </c>
      <c r="B915" s="3">
        <v>46673</v>
      </c>
      <c r="C915" t="s">
        <v>210</v>
      </c>
      <c r="D915" t="s">
        <v>944</v>
      </c>
      <c r="E915" t="str">
        <f>TRIM(excelsalesdata[[#This Row],[Customer_Name]])</f>
        <v>Kavya Gupta</v>
      </c>
      <c r="F915" t="s">
        <v>23</v>
      </c>
      <c r="G915">
        <v>25</v>
      </c>
      <c r="H915" t="s">
        <v>60</v>
      </c>
      <c r="I915" t="str">
        <f>TRIM(excelsalesdata[[#This Row],[City]])</f>
        <v>Chandigarh</v>
      </c>
      <c r="J915" t="s">
        <v>60</v>
      </c>
      <c r="K915" t="s">
        <v>61</v>
      </c>
      <c r="L915" t="s">
        <v>54</v>
      </c>
      <c r="M915" t="s">
        <v>129</v>
      </c>
      <c r="N915" t="s">
        <v>129</v>
      </c>
      <c r="O915">
        <v>3</v>
      </c>
      <c r="P915">
        <v>17580</v>
      </c>
      <c r="Q915">
        <v>0.05</v>
      </c>
      <c r="R915">
        <v>12090</v>
      </c>
      <c r="S915" t="s">
        <v>80</v>
      </c>
      <c r="T915" t="s">
        <v>30</v>
      </c>
      <c r="U915">
        <v>1</v>
      </c>
      <c r="V915" t="s">
        <v>31</v>
      </c>
      <c r="W915">
        <f>excelsalesdata[[#This Row],[Quantity]]*excelsalesdata[[#This Row],[Unit_Price]]</f>
        <v>52740</v>
      </c>
      <c r="X915">
        <f>excelsalesdata[[#This Row],[Gross_sales]]*excelsalesdata[[#This Row],[Discount_%]]</f>
        <v>2637</v>
      </c>
      <c r="Y915">
        <f>excelsalesdata[[#This Row],[Gross_sales]]-excelsalesdata[[#This Row],[Discount_amt]]</f>
        <v>50103</v>
      </c>
      <c r="Z915" s="4">
        <f>excelsalesdata[[#This Row],[Net_sales]]-excelsalesdata[[#This Row],[Cost]]</f>
        <v>38013</v>
      </c>
      <c r="AA915" s="5">
        <f>excelsalesdata[[#This Row],[Profit]]/excelsalesdata[[#This Row],[Net_sales]]</f>
        <v>0.75869708400694569</v>
      </c>
      <c r="AB915" s="4">
        <f>YEAR(excelsalesdata[[#This Row],[Order_Date]])</f>
        <v>2027</v>
      </c>
      <c r="AC915" s="4" t="str">
        <f>TEXT(excelsalesdata[[#This Row],[Order_Date]],"mmm")</f>
        <v>Oct</v>
      </c>
      <c r="AD915" s="4" t="str">
        <f>"Q"&amp;ROUNDUP(MONTH(excelsalesdata[[#This Row],[Order_Date]])/3,0)</f>
        <v>Q4</v>
      </c>
    </row>
    <row r="916" spans="1:30" x14ac:dyDescent="0.35">
      <c r="A916" t="s">
        <v>1680</v>
      </c>
      <c r="B916" s="3">
        <v>46674</v>
      </c>
      <c r="C916" t="s">
        <v>1681</v>
      </c>
      <c r="D916" t="s">
        <v>972</v>
      </c>
      <c r="E916" t="str">
        <f>TRIM(excelsalesdata[[#This Row],[Customer_Name]])</f>
        <v>Ananya Reddy</v>
      </c>
      <c r="F916" t="s">
        <v>23</v>
      </c>
      <c r="G916">
        <v>19</v>
      </c>
      <c r="H916" t="s">
        <v>190</v>
      </c>
      <c r="I916" t="str">
        <f>TRIM(excelsalesdata[[#This Row],[City]])</f>
        <v>Ahmedabad</v>
      </c>
      <c r="J916" t="s">
        <v>191</v>
      </c>
      <c r="K916" t="s">
        <v>26</v>
      </c>
      <c r="L916" t="s">
        <v>54</v>
      </c>
      <c r="M916" t="s">
        <v>55</v>
      </c>
      <c r="N916" t="s">
        <v>55</v>
      </c>
      <c r="O916">
        <v>1</v>
      </c>
      <c r="P916">
        <v>7190</v>
      </c>
      <c r="Q916">
        <v>0</v>
      </c>
      <c r="R916">
        <v>4670</v>
      </c>
      <c r="S916" t="s">
        <v>80</v>
      </c>
      <c r="T916" t="s">
        <v>30</v>
      </c>
      <c r="U916">
        <v>4</v>
      </c>
      <c r="V916" t="s">
        <v>31</v>
      </c>
      <c r="W916">
        <f>excelsalesdata[[#This Row],[Quantity]]*excelsalesdata[[#This Row],[Unit_Price]]</f>
        <v>7190</v>
      </c>
      <c r="X916">
        <f>excelsalesdata[[#This Row],[Gross_sales]]*excelsalesdata[[#This Row],[Discount_%]]</f>
        <v>0</v>
      </c>
      <c r="Y916">
        <f>excelsalesdata[[#This Row],[Gross_sales]]-excelsalesdata[[#This Row],[Discount_amt]]</f>
        <v>7190</v>
      </c>
      <c r="Z916" s="4">
        <f>excelsalesdata[[#This Row],[Net_sales]]-excelsalesdata[[#This Row],[Cost]]</f>
        <v>2520</v>
      </c>
      <c r="AA916" s="5">
        <f>excelsalesdata[[#This Row],[Profit]]/excelsalesdata[[#This Row],[Net_sales]]</f>
        <v>0.35048678720445064</v>
      </c>
      <c r="AB916" s="4">
        <f>YEAR(excelsalesdata[[#This Row],[Order_Date]])</f>
        <v>2027</v>
      </c>
      <c r="AC916" s="4" t="str">
        <f>TEXT(excelsalesdata[[#This Row],[Order_Date]],"mmm")</f>
        <v>Oct</v>
      </c>
      <c r="AD916" s="4" t="str">
        <f>"Q"&amp;ROUNDUP(MONTH(excelsalesdata[[#This Row],[Order_Date]])/3,0)</f>
        <v>Q4</v>
      </c>
    </row>
    <row r="917" spans="1:30" x14ac:dyDescent="0.35">
      <c r="A917" t="s">
        <v>1682</v>
      </c>
      <c r="B917" s="3">
        <v>46675</v>
      </c>
      <c r="C917" t="s">
        <v>1662</v>
      </c>
      <c r="D917" t="s">
        <v>479</v>
      </c>
      <c r="E917" t="str">
        <f>TRIM(excelsalesdata[[#This Row],[Customer_Name]])</f>
        <v>Karan Kumar</v>
      </c>
      <c r="F917" t="s">
        <v>23</v>
      </c>
      <c r="G917">
        <v>56</v>
      </c>
      <c r="H917" t="s">
        <v>45</v>
      </c>
      <c r="I917" t="str">
        <f>TRIM(excelsalesdata[[#This Row],[City]])</f>
        <v>Kochi</v>
      </c>
      <c r="J917" t="s">
        <v>46</v>
      </c>
      <c r="K917" t="s">
        <v>47</v>
      </c>
      <c r="L917" t="s">
        <v>27</v>
      </c>
      <c r="M917" t="s">
        <v>195</v>
      </c>
      <c r="N917" t="s">
        <v>195</v>
      </c>
      <c r="O917">
        <v>2</v>
      </c>
      <c r="P917">
        <v>2130</v>
      </c>
      <c r="Q917">
        <v>0.1</v>
      </c>
      <c r="R917">
        <v>1200</v>
      </c>
      <c r="S917" t="s">
        <v>151</v>
      </c>
      <c r="T917" t="s">
        <v>99</v>
      </c>
      <c r="U917">
        <v>3</v>
      </c>
      <c r="V917" t="s">
        <v>31</v>
      </c>
      <c r="W917">
        <f>excelsalesdata[[#This Row],[Quantity]]*excelsalesdata[[#This Row],[Unit_Price]]</f>
        <v>4260</v>
      </c>
      <c r="X917">
        <f>excelsalesdata[[#This Row],[Gross_sales]]*excelsalesdata[[#This Row],[Discount_%]]</f>
        <v>426</v>
      </c>
      <c r="Y917">
        <f>excelsalesdata[[#This Row],[Gross_sales]]-excelsalesdata[[#This Row],[Discount_amt]]</f>
        <v>3834</v>
      </c>
      <c r="Z917" s="4">
        <f>excelsalesdata[[#This Row],[Net_sales]]-excelsalesdata[[#This Row],[Cost]]</f>
        <v>2634</v>
      </c>
      <c r="AA917" s="5">
        <f>excelsalesdata[[#This Row],[Profit]]/excelsalesdata[[#This Row],[Net_sales]]</f>
        <v>0.68701095461658845</v>
      </c>
      <c r="AB917" s="4">
        <f>YEAR(excelsalesdata[[#This Row],[Order_Date]])</f>
        <v>2027</v>
      </c>
      <c r="AC917" s="4" t="str">
        <f>TEXT(excelsalesdata[[#This Row],[Order_Date]],"mmm")</f>
        <v>Oct</v>
      </c>
      <c r="AD917" s="4" t="str">
        <f>"Q"&amp;ROUNDUP(MONTH(excelsalesdata[[#This Row],[Order_Date]])/3,0)</f>
        <v>Q4</v>
      </c>
    </row>
    <row r="918" spans="1:30" x14ac:dyDescent="0.35">
      <c r="A918" t="s">
        <v>1683</v>
      </c>
      <c r="B918" s="3">
        <v>46676</v>
      </c>
      <c r="C918" t="s">
        <v>117</v>
      </c>
      <c r="D918" t="s">
        <v>463</v>
      </c>
      <c r="E918" t="str">
        <f>TRIM(excelsalesdata[[#This Row],[Customer_Name]])</f>
        <v>Kavya Sharma</v>
      </c>
      <c r="F918" t="s">
        <v>23</v>
      </c>
      <c r="G918">
        <v>29</v>
      </c>
      <c r="H918" t="s">
        <v>52</v>
      </c>
      <c r="I918" t="str">
        <f>TRIM(excelsalesdata[[#This Row],[City]])</f>
        <v>Bengaluru</v>
      </c>
      <c r="J918" t="s">
        <v>53</v>
      </c>
      <c r="K918" t="s">
        <v>47</v>
      </c>
      <c r="L918" t="s">
        <v>54</v>
      </c>
      <c r="M918" t="s">
        <v>157</v>
      </c>
      <c r="N918" t="s">
        <v>157</v>
      </c>
      <c r="O918">
        <v>3</v>
      </c>
      <c r="P918">
        <v>56310</v>
      </c>
      <c r="Q918">
        <v>0.1</v>
      </c>
      <c r="R918">
        <v>40600</v>
      </c>
      <c r="S918" t="s">
        <v>67</v>
      </c>
      <c r="T918" t="s">
        <v>99</v>
      </c>
      <c r="U918">
        <v>1</v>
      </c>
      <c r="V918" t="s">
        <v>40</v>
      </c>
      <c r="W918">
        <f>excelsalesdata[[#This Row],[Quantity]]*excelsalesdata[[#This Row],[Unit_Price]]</f>
        <v>168930</v>
      </c>
      <c r="X918">
        <f>excelsalesdata[[#This Row],[Gross_sales]]*excelsalesdata[[#This Row],[Discount_%]]</f>
        <v>16893</v>
      </c>
      <c r="Y918">
        <f>excelsalesdata[[#This Row],[Gross_sales]]-excelsalesdata[[#This Row],[Discount_amt]]</f>
        <v>152037</v>
      </c>
      <c r="Z918" s="4">
        <f>excelsalesdata[[#This Row],[Net_sales]]-excelsalesdata[[#This Row],[Cost]]</f>
        <v>111437</v>
      </c>
      <c r="AA918" s="5">
        <f>excelsalesdata[[#This Row],[Profit]]/excelsalesdata[[#This Row],[Net_sales]]</f>
        <v>0.73295974006327402</v>
      </c>
      <c r="AB918" s="4">
        <f>YEAR(excelsalesdata[[#This Row],[Order_Date]])</f>
        <v>2027</v>
      </c>
      <c r="AC918" s="4" t="str">
        <f>TEXT(excelsalesdata[[#This Row],[Order_Date]],"mmm")</f>
        <v>Oct</v>
      </c>
      <c r="AD918" s="4" t="str">
        <f>"Q"&amp;ROUNDUP(MONTH(excelsalesdata[[#This Row],[Order_Date]])/3,0)</f>
        <v>Q4</v>
      </c>
    </row>
    <row r="919" spans="1:30" x14ac:dyDescent="0.35">
      <c r="A919" t="s">
        <v>1684</v>
      </c>
      <c r="B919" s="3">
        <v>46677</v>
      </c>
      <c r="C919" t="s">
        <v>1487</v>
      </c>
      <c r="D919" t="s">
        <v>1029</v>
      </c>
      <c r="E919" t="str">
        <f>TRIM(excelsalesdata[[#This Row],[Customer_Name]])</f>
        <v>Kavya Reddy</v>
      </c>
      <c r="F919" t="s">
        <v>23</v>
      </c>
      <c r="G919">
        <v>26</v>
      </c>
      <c r="H919" t="s">
        <v>185</v>
      </c>
      <c r="I919" t="str">
        <f>TRIM(excelsalesdata[[#This Row],[City]])</f>
        <v>Lucknow</v>
      </c>
      <c r="J919" t="s">
        <v>186</v>
      </c>
      <c r="K919" t="s">
        <v>61</v>
      </c>
      <c r="L919" t="s">
        <v>85</v>
      </c>
      <c r="M919" t="s">
        <v>202</v>
      </c>
      <c r="N919" t="s">
        <v>202</v>
      </c>
      <c r="O919">
        <v>1</v>
      </c>
      <c r="P919">
        <v>930</v>
      </c>
      <c r="Q919">
        <v>0.15</v>
      </c>
      <c r="R919">
        <v>420</v>
      </c>
      <c r="S919" t="s">
        <v>29</v>
      </c>
      <c r="T919" t="s">
        <v>30</v>
      </c>
      <c r="U919">
        <v>5</v>
      </c>
      <c r="V919" t="s">
        <v>40</v>
      </c>
      <c r="W919">
        <f>excelsalesdata[[#This Row],[Quantity]]*excelsalesdata[[#This Row],[Unit_Price]]</f>
        <v>930</v>
      </c>
      <c r="X919">
        <f>excelsalesdata[[#This Row],[Gross_sales]]*excelsalesdata[[#This Row],[Discount_%]]</f>
        <v>139.5</v>
      </c>
      <c r="Y919">
        <f>excelsalesdata[[#This Row],[Gross_sales]]-excelsalesdata[[#This Row],[Discount_amt]]</f>
        <v>790.5</v>
      </c>
      <c r="Z919" s="4">
        <f>excelsalesdata[[#This Row],[Net_sales]]-excelsalesdata[[#This Row],[Cost]]</f>
        <v>370.5</v>
      </c>
      <c r="AA919" s="5">
        <f>excelsalesdata[[#This Row],[Profit]]/excelsalesdata[[#This Row],[Net_sales]]</f>
        <v>0.46869070208728653</v>
      </c>
      <c r="AB919" s="4">
        <f>YEAR(excelsalesdata[[#This Row],[Order_Date]])</f>
        <v>2027</v>
      </c>
      <c r="AC919" s="4" t="str">
        <f>TEXT(excelsalesdata[[#This Row],[Order_Date]],"mmm")</f>
        <v>Oct</v>
      </c>
      <c r="AD919" s="4" t="str">
        <f>"Q"&amp;ROUNDUP(MONTH(excelsalesdata[[#This Row],[Order_Date]])/3,0)</f>
        <v>Q4</v>
      </c>
    </row>
    <row r="920" spans="1:30" x14ac:dyDescent="0.35">
      <c r="A920" t="s">
        <v>1685</v>
      </c>
      <c r="B920" s="3">
        <v>46678</v>
      </c>
      <c r="C920" t="s">
        <v>763</v>
      </c>
      <c r="D920" t="s">
        <v>175</v>
      </c>
      <c r="E920" t="str">
        <f>TRIM(excelsalesdata[[#This Row],[Customer_Name]])</f>
        <v>Kavya Naidu</v>
      </c>
      <c r="F920" t="s">
        <v>23</v>
      </c>
      <c r="G920">
        <v>27</v>
      </c>
      <c r="H920" t="s">
        <v>168</v>
      </c>
      <c r="I920" t="str">
        <f>TRIM(excelsalesdata[[#This Row],[City]])</f>
        <v>Delhi</v>
      </c>
      <c r="J920" t="s">
        <v>168</v>
      </c>
      <c r="K920" t="s">
        <v>61</v>
      </c>
      <c r="L920" t="s">
        <v>27</v>
      </c>
      <c r="M920" t="s">
        <v>48</v>
      </c>
      <c r="N920" t="s">
        <v>48</v>
      </c>
      <c r="O920">
        <v>1</v>
      </c>
      <c r="P920">
        <v>970</v>
      </c>
      <c r="Q920">
        <v>0.15</v>
      </c>
      <c r="R920">
        <v>450</v>
      </c>
      <c r="S920" t="s">
        <v>80</v>
      </c>
      <c r="T920" t="s">
        <v>81</v>
      </c>
      <c r="U920">
        <v>0</v>
      </c>
      <c r="V920" t="s">
        <v>40</v>
      </c>
      <c r="W920">
        <f>excelsalesdata[[#This Row],[Quantity]]*excelsalesdata[[#This Row],[Unit_Price]]</f>
        <v>970</v>
      </c>
      <c r="X920">
        <f>excelsalesdata[[#This Row],[Gross_sales]]*excelsalesdata[[#This Row],[Discount_%]]</f>
        <v>145.5</v>
      </c>
      <c r="Y920">
        <f>excelsalesdata[[#This Row],[Gross_sales]]-excelsalesdata[[#This Row],[Discount_amt]]</f>
        <v>824.5</v>
      </c>
      <c r="Z920" s="4">
        <f>excelsalesdata[[#This Row],[Net_sales]]-excelsalesdata[[#This Row],[Cost]]</f>
        <v>374.5</v>
      </c>
      <c r="AA920" s="5">
        <f>excelsalesdata[[#This Row],[Profit]]/excelsalesdata[[#This Row],[Net_sales]]</f>
        <v>0.45421467556094602</v>
      </c>
      <c r="AB920" s="4">
        <f>YEAR(excelsalesdata[[#This Row],[Order_Date]])</f>
        <v>2027</v>
      </c>
      <c r="AC920" s="4" t="str">
        <f>TEXT(excelsalesdata[[#This Row],[Order_Date]],"mmm")</f>
        <v>Oct</v>
      </c>
      <c r="AD920" s="4" t="str">
        <f>"Q"&amp;ROUNDUP(MONTH(excelsalesdata[[#This Row],[Order_Date]])/3,0)</f>
        <v>Q4</v>
      </c>
    </row>
    <row r="921" spans="1:30" x14ac:dyDescent="0.35">
      <c r="A921" t="s">
        <v>1686</v>
      </c>
      <c r="B921" s="3">
        <v>46679</v>
      </c>
      <c r="C921" t="s">
        <v>599</v>
      </c>
      <c r="D921" t="s">
        <v>830</v>
      </c>
      <c r="E921" t="str">
        <f>TRIM(excelsalesdata[[#This Row],[Customer_Name]])</f>
        <v>Rohan Bhat</v>
      </c>
      <c r="F921" t="s">
        <v>44</v>
      </c>
      <c r="G921">
        <v>55</v>
      </c>
      <c r="H921" t="s">
        <v>78</v>
      </c>
      <c r="I921" t="str">
        <f>TRIM(excelsalesdata[[#This Row],[City]])</f>
        <v>Guwahati</v>
      </c>
      <c r="J921" t="s">
        <v>79</v>
      </c>
      <c r="K921" t="s">
        <v>37</v>
      </c>
      <c r="L921" t="s">
        <v>85</v>
      </c>
      <c r="M921" t="s">
        <v>202</v>
      </c>
      <c r="N921" t="s">
        <v>202</v>
      </c>
      <c r="O921">
        <v>2</v>
      </c>
      <c r="P921">
        <v>970</v>
      </c>
      <c r="Q921">
        <v>0.05</v>
      </c>
      <c r="R921">
        <v>410</v>
      </c>
      <c r="S921" t="s">
        <v>105</v>
      </c>
      <c r="T921" t="s">
        <v>30</v>
      </c>
      <c r="U921">
        <v>3</v>
      </c>
      <c r="V921" t="s">
        <v>31</v>
      </c>
      <c r="W921">
        <f>excelsalesdata[[#This Row],[Quantity]]*excelsalesdata[[#This Row],[Unit_Price]]</f>
        <v>1940</v>
      </c>
      <c r="X921">
        <f>excelsalesdata[[#This Row],[Gross_sales]]*excelsalesdata[[#This Row],[Discount_%]]</f>
        <v>97</v>
      </c>
      <c r="Y921">
        <f>excelsalesdata[[#This Row],[Gross_sales]]-excelsalesdata[[#This Row],[Discount_amt]]</f>
        <v>1843</v>
      </c>
      <c r="Z921" s="4">
        <f>excelsalesdata[[#This Row],[Net_sales]]-excelsalesdata[[#This Row],[Cost]]</f>
        <v>1433</v>
      </c>
      <c r="AA921" s="5">
        <f>excelsalesdata[[#This Row],[Profit]]/excelsalesdata[[#This Row],[Net_sales]]</f>
        <v>0.77753662506782417</v>
      </c>
      <c r="AB921" s="4">
        <f>YEAR(excelsalesdata[[#This Row],[Order_Date]])</f>
        <v>2027</v>
      </c>
      <c r="AC921" s="4" t="str">
        <f>TEXT(excelsalesdata[[#This Row],[Order_Date]],"mmm")</f>
        <v>Oct</v>
      </c>
      <c r="AD921" s="4" t="str">
        <f>"Q"&amp;ROUNDUP(MONTH(excelsalesdata[[#This Row],[Order_Date]])/3,0)</f>
        <v>Q4</v>
      </c>
    </row>
    <row r="922" spans="1:30" x14ac:dyDescent="0.35">
      <c r="A922" t="s">
        <v>1687</v>
      </c>
      <c r="B922" s="3">
        <v>46680</v>
      </c>
      <c r="C922" t="s">
        <v>1390</v>
      </c>
      <c r="D922" t="s">
        <v>285</v>
      </c>
      <c r="E922" t="str">
        <f>TRIM(excelsalesdata[[#This Row],[Customer_Name]])</f>
        <v>Aditya Bhat</v>
      </c>
      <c r="F922" t="s">
        <v>44</v>
      </c>
      <c r="G922">
        <v>20</v>
      </c>
      <c r="H922" t="s">
        <v>24</v>
      </c>
      <c r="I922" t="str">
        <f>TRIM(excelsalesdata[[#This Row],[City]])</f>
        <v>Pune</v>
      </c>
      <c r="J922" t="s">
        <v>25</v>
      </c>
      <c r="K922" t="s">
        <v>26</v>
      </c>
      <c r="L922" t="s">
        <v>54</v>
      </c>
      <c r="M922" t="s">
        <v>62</v>
      </c>
      <c r="N922" t="s">
        <v>62</v>
      </c>
      <c r="O922">
        <v>4</v>
      </c>
      <c r="P922">
        <v>23390</v>
      </c>
      <c r="Q922">
        <v>0.25</v>
      </c>
      <c r="R922">
        <v>16100</v>
      </c>
      <c r="S922" t="s">
        <v>29</v>
      </c>
      <c r="T922" t="s">
        <v>30</v>
      </c>
      <c r="U922">
        <v>1</v>
      </c>
      <c r="V922" t="s">
        <v>40</v>
      </c>
      <c r="W922">
        <f>excelsalesdata[[#This Row],[Quantity]]*excelsalesdata[[#This Row],[Unit_Price]]</f>
        <v>93560</v>
      </c>
      <c r="X922">
        <f>excelsalesdata[[#This Row],[Gross_sales]]*excelsalesdata[[#This Row],[Discount_%]]</f>
        <v>23390</v>
      </c>
      <c r="Y922">
        <f>excelsalesdata[[#This Row],[Gross_sales]]-excelsalesdata[[#This Row],[Discount_amt]]</f>
        <v>70170</v>
      </c>
      <c r="Z922" s="4">
        <f>excelsalesdata[[#This Row],[Net_sales]]-excelsalesdata[[#This Row],[Cost]]</f>
        <v>54070</v>
      </c>
      <c r="AA922" s="5">
        <f>excelsalesdata[[#This Row],[Profit]]/excelsalesdata[[#This Row],[Net_sales]]</f>
        <v>0.77055721818440925</v>
      </c>
      <c r="AB922" s="4">
        <f>YEAR(excelsalesdata[[#This Row],[Order_Date]])</f>
        <v>2027</v>
      </c>
      <c r="AC922" s="4" t="str">
        <f>TEXT(excelsalesdata[[#This Row],[Order_Date]],"mmm")</f>
        <v>Oct</v>
      </c>
      <c r="AD922" s="4" t="str">
        <f>"Q"&amp;ROUNDUP(MONTH(excelsalesdata[[#This Row],[Order_Date]])/3,0)</f>
        <v>Q4</v>
      </c>
    </row>
    <row r="923" spans="1:30" x14ac:dyDescent="0.35">
      <c r="A923" t="s">
        <v>1688</v>
      </c>
      <c r="B923" s="3">
        <v>46681</v>
      </c>
      <c r="C923" t="s">
        <v>854</v>
      </c>
      <c r="D923" t="s">
        <v>154</v>
      </c>
      <c r="E923" t="str">
        <f>TRIM(excelsalesdata[[#This Row],[Customer_Name]])</f>
        <v>Rohan Rao</v>
      </c>
      <c r="F923" t="s">
        <v>23</v>
      </c>
      <c r="G923">
        <v>46</v>
      </c>
      <c r="H923" t="s">
        <v>24</v>
      </c>
      <c r="I923" t="str">
        <f>TRIM(excelsalesdata[[#This Row],[City]])</f>
        <v>Pune</v>
      </c>
      <c r="J923" t="s">
        <v>25</v>
      </c>
      <c r="K923" t="s">
        <v>26</v>
      </c>
      <c r="L923" t="s">
        <v>54</v>
      </c>
      <c r="M923" t="s">
        <v>157</v>
      </c>
      <c r="N923" t="s">
        <v>157</v>
      </c>
      <c r="O923">
        <v>1</v>
      </c>
      <c r="P923">
        <v>52170</v>
      </c>
      <c r="Q923">
        <v>0.15</v>
      </c>
      <c r="R923">
        <v>43390</v>
      </c>
      <c r="S923" t="s">
        <v>80</v>
      </c>
      <c r="T923" t="s">
        <v>30</v>
      </c>
      <c r="U923">
        <v>2</v>
      </c>
      <c r="V923" t="s">
        <v>40</v>
      </c>
      <c r="W923">
        <f>excelsalesdata[[#This Row],[Quantity]]*excelsalesdata[[#This Row],[Unit_Price]]</f>
        <v>52170</v>
      </c>
      <c r="X923">
        <f>excelsalesdata[[#This Row],[Gross_sales]]*excelsalesdata[[#This Row],[Discount_%]]</f>
        <v>7825.5</v>
      </c>
      <c r="Y923">
        <f>excelsalesdata[[#This Row],[Gross_sales]]-excelsalesdata[[#This Row],[Discount_amt]]</f>
        <v>44344.5</v>
      </c>
      <c r="Z923" s="4">
        <f>excelsalesdata[[#This Row],[Net_sales]]-excelsalesdata[[#This Row],[Cost]]</f>
        <v>954.5</v>
      </c>
      <c r="AA923" s="5">
        <f>excelsalesdata[[#This Row],[Profit]]/excelsalesdata[[#This Row],[Net_sales]]</f>
        <v>2.1524653564703629E-2</v>
      </c>
      <c r="AB923" s="4">
        <f>YEAR(excelsalesdata[[#This Row],[Order_Date]])</f>
        <v>2027</v>
      </c>
      <c r="AC923" s="4" t="str">
        <f>TEXT(excelsalesdata[[#This Row],[Order_Date]],"mmm")</f>
        <v>Oct</v>
      </c>
      <c r="AD923" s="4" t="str">
        <f>"Q"&amp;ROUNDUP(MONTH(excelsalesdata[[#This Row],[Order_Date]])/3,0)</f>
        <v>Q4</v>
      </c>
    </row>
    <row r="924" spans="1:30" x14ac:dyDescent="0.35">
      <c r="A924" t="s">
        <v>1689</v>
      </c>
      <c r="B924" s="3">
        <v>46682</v>
      </c>
      <c r="C924" t="s">
        <v>1690</v>
      </c>
      <c r="D924" t="s">
        <v>770</v>
      </c>
      <c r="E924" t="str">
        <f>TRIM(excelsalesdata[[#This Row],[Customer_Name]])</f>
        <v>Karan Naidu</v>
      </c>
      <c r="F924" t="s">
        <v>44</v>
      </c>
      <c r="G924">
        <v>50</v>
      </c>
      <c r="H924" t="s">
        <v>78</v>
      </c>
      <c r="I924" t="str">
        <f>TRIM(excelsalesdata[[#This Row],[City]])</f>
        <v>Guwahati</v>
      </c>
      <c r="J924" t="s">
        <v>79</v>
      </c>
      <c r="K924" t="s">
        <v>37</v>
      </c>
      <c r="L924" t="s">
        <v>27</v>
      </c>
      <c r="M924" t="s">
        <v>195</v>
      </c>
      <c r="N924" t="s">
        <v>195</v>
      </c>
      <c r="O924">
        <v>1</v>
      </c>
      <c r="P924">
        <v>2300</v>
      </c>
      <c r="Q924">
        <v>0</v>
      </c>
      <c r="R924">
        <v>1160</v>
      </c>
      <c r="S924" t="s">
        <v>105</v>
      </c>
      <c r="T924" t="s">
        <v>74</v>
      </c>
      <c r="U924">
        <v>2</v>
      </c>
      <c r="V924" t="s">
        <v>40</v>
      </c>
      <c r="W924">
        <f>excelsalesdata[[#This Row],[Quantity]]*excelsalesdata[[#This Row],[Unit_Price]]</f>
        <v>2300</v>
      </c>
      <c r="X924">
        <f>excelsalesdata[[#This Row],[Gross_sales]]*excelsalesdata[[#This Row],[Discount_%]]</f>
        <v>0</v>
      </c>
      <c r="Y924">
        <f>excelsalesdata[[#This Row],[Gross_sales]]-excelsalesdata[[#This Row],[Discount_amt]]</f>
        <v>2300</v>
      </c>
      <c r="Z924" s="4">
        <f>excelsalesdata[[#This Row],[Net_sales]]-excelsalesdata[[#This Row],[Cost]]</f>
        <v>1140</v>
      </c>
      <c r="AA924" s="5">
        <f>excelsalesdata[[#This Row],[Profit]]/excelsalesdata[[#This Row],[Net_sales]]</f>
        <v>0.4956521739130435</v>
      </c>
      <c r="AB924" s="4">
        <f>YEAR(excelsalesdata[[#This Row],[Order_Date]])</f>
        <v>2027</v>
      </c>
      <c r="AC924" s="4" t="str">
        <f>TEXT(excelsalesdata[[#This Row],[Order_Date]],"mmm")</f>
        <v>Oct</v>
      </c>
      <c r="AD924" s="4" t="str">
        <f>"Q"&amp;ROUNDUP(MONTH(excelsalesdata[[#This Row],[Order_Date]])/3,0)</f>
        <v>Q4</v>
      </c>
    </row>
    <row r="925" spans="1:30" x14ac:dyDescent="0.35">
      <c r="A925" t="s">
        <v>1691</v>
      </c>
      <c r="B925" s="3">
        <v>46683</v>
      </c>
      <c r="C925" t="s">
        <v>304</v>
      </c>
      <c r="D925" t="s">
        <v>65</v>
      </c>
      <c r="E925" t="str">
        <f>TRIM(excelsalesdata[[#This Row],[Customer_Name]])</f>
        <v>Aarav Nair</v>
      </c>
      <c r="F925" t="s">
        <v>44</v>
      </c>
      <c r="G925">
        <v>36</v>
      </c>
      <c r="H925" t="s">
        <v>98</v>
      </c>
      <c r="I925" t="str">
        <f>TRIM(excelsalesdata[[#This Row],[City]])</f>
        <v>Mumbai</v>
      </c>
      <c r="J925" t="s">
        <v>25</v>
      </c>
      <c r="K925" t="s">
        <v>26</v>
      </c>
      <c r="L925" t="s">
        <v>103</v>
      </c>
      <c r="M925" t="s">
        <v>238</v>
      </c>
      <c r="N925" t="s">
        <v>238</v>
      </c>
      <c r="O925">
        <v>2</v>
      </c>
      <c r="P925">
        <v>4390</v>
      </c>
      <c r="Q925">
        <v>0.1</v>
      </c>
      <c r="R925">
        <v>2630</v>
      </c>
      <c r="S925" t="s">
        <v>80</v>
      </c>
      <c r="T925" t="s">
        <v>30</v>
      </c>
      <c r="U925">
        <v>3</v>
      </c>
      <c r="V925" t="s">
        <v>31</v>
      </c>
      <c r="W925">
        <f>excelsalesdata[[#This Row],[Quantity]]*excelsalesdata[[#This Row],[Unit_Price]]</f>
        <v>8780</v>
      </c>
      <c r="X925">
        <f>excelsalesdata[[#This Row],[Gross_sales]]*excelsalesdata[[#This Row],[Discount_%]]</f>
        <v>878</v>
      </c>
      <c r="Y925">
        <f>excelsalesdata[[#This Row],[Gross_sales]]-excelsalesdata[[#This Row],[Discount_amt]]</f>
        <v>7902</v>
      </c>
      <c r="Z925" s="4">
        <f>excelsalesdata[[#This Row],[Net_sales]]-excelsalesdata[[#This Row],[Cost]]</f>
        <v>5272</v>
      </c>
      <c r="AA925" s="5">
        <f>excelsalesdata[[#This Row],[Profit]]/excelsalesdata[[#This Row],[Net_sales]]</f>
        <v>0.66717286762844852</v>
      </c>
      <c r="AB925" s="4">
        <f>YEAR(excelsalesdata[[#This Row],[Order_Date]])</f>
        <v>2027</v>
      </c>
      <c r="AC925" s="4" t="str">
        <f>TEXT(excelsalesdata[[#This Row],[Order_Date]],"mmm")</f>
        <v>Oct</v>
      </c>
      <c r="AD925" s="4" t="str">
        <f>"Q"&amp;ROUNDUP(MONTH(excelsalesdata[[#This Row],[Order_Date]])/3,0)</f>
        <v>Q4</v>
      </c>
    </row>
    <row r="926" spans="1:30" x14ac:dyDescent="0.35">
      <c r="A926" t="s">
        <v>1692</v>
      </c>
      <c r="B926" s="3">
        <v>46684</v>
      </c>
      <c r="C926" t="s">
        <v>1308</v>
      </c>
      <c r="D926" t="s">
        <v>132</v>
      </c>
      <c r="E926" t="str">
        <f>TRIM(excelsalesdata[[#This Row],[Customer_Name]])</f>
        <v>Vivaan Das</v>
      </c>
      <c r="F926" t="s">
        <v>44</v>
      </c>
      <c r="G926">
        <v>57</v>
      </c>
      <c r="H926" t="s">
        <v>185</v>
      </c>
      <c r="I926" t="str">
        <f>TRIM(excelsalesdata[[#This Row],[City]])</f>
        <v>Lucknow</v>
      </c>
      <c r="J926" t="s">
        <v>186</v>
      </c>
      <c r="K926" t="s">
        <v>61</v>
      </c>
      <c r="L926" t="s">
        <v>54</v>
      </c>
      <c r="M926" t="s">
        <v>62</v>
      </c>
      <c r="N926" t="s">
        <v>62</v>
      </c>
      <c r="O926">
        <v>4</v>
      </c>
      <c r="P926">
        <v>22240</v>
      </c>
      <c r="Q926">
        <v>0.05</v>
      </c>
      <c r="R926">
        <v>16170</v>
      </c>
      <c r="S926" t="s">
        <v>67</v>
      </c>
      <c r="T926" t="s">
        <v>74</v>
      </c>
      <c r="U926">
        <v>4</v>
      </c>
      <c r="V926" t="s">
        <v>31</v>
      </c>
      <c r="W926">
        <f>excelsalesdata[[#This Row],[Quantity]]*excelsalesdata[[#This Row],[Unit_Price]]</f>
        <v>88960</v>
      </c>
      <c r="X926">
        <f>excelsalesdata[[#This Row],[Gross_sales]]*excelsalesdata[[#This Row],[Discount_%]]</f>
        <v>4448</v>
      </c>
      <c r="Y926">
        <f>excelsalesdata[[#This Row],[Gross_sales]]-excelsalesdata[[#This Row],[Discount_amt]]</f>
        <v>84512</v>
      </c>
      <c r="Z926" s="4">
        <f>excelsalesdata[[#This Row],[Net_sales]]-excelsalesdata[[#This Row],[Cost]]</f>
        <v>68342</v>
      </c>
      <c r="AA926" s="5">
        <f>excelsalesdata[[#This Row],[Profit]]/excelsalesdata[[#This Row],[Net_sales]]</f>
        <v>0.808666224914805</v>
      </c>
      <c r="AB926" s="4">
        <f>YEAR(excelsalesdata[[#This Row],[Order_Date]])</f>
        <v>2027</v>
      </c>
      <c r="AC926" s="4" t="str">
        <f>TEXT(excelsalesdata[[#This Row],[Order_Date]],"mmm")</f>
        <v>Oct</v>
      </c>
      <c r="AD926" s="4" t="str">
        <f>"Q"&amp;ROUNDUP(MONTH(excelsalesdata[[#This Row],[Order_Date]])/3,0)</f>
        <v>Q4</v>
      </c>
    </row>
    <row r="927" spans="1:30" x14ac:dyDescent="0.35">
      <c r="A927" t="s">
        <v>1693</v>
      </c>
      <c r="B927" s="3">
        <v>46685</v>
      </c>
      <c r="C927" t="s">
        <v>410</v>
      </c>
      <c r="D927" t="s">
        <v>925</v>
      </c>
      <c r="E927" t="str">
        <f>TRIM(excelsalesdata[[#This Row],[Customer_Name]])</f>
        <v>Ananya Rao</v>
      </c>
      <c r="F927" t="s">
        <v>44</v>
      </c>
      <c r="G927">
        <v>32</v>
      </c>
      <c r="H927" t="s">
        <v>98</v>
      </c>
      <c r="I927" t="str">
        <f>TRIM(excelsalesdata[[#This Row],[City]])</f>
        <v>Mumbai</v>
      </c>
      <c r="J927" t="s">
        <v>25</v>
      </c>
      <c r="K927" t="s">
        <v>26</v>
      </c>
      <c r="L927" t="s">
        <v>27</v>
      </c>
      <c r="M927" t="s">
        <v>195</v>
      </c>
      <c r="N927" t="s">
        <v>195</v>
      </c>
      <c r="O927">
        <v>1</v>
      </c>
      <c r="P927">
        <v>2310</v>
      </c>
      <c r="Q927">
        <v>0.2</v>
      </c>
      <c r="R927">
        <v>1220</v>
      </c>
      <c r="S927" t="s">
        <v>80</v>
      </c>
      <c r="T927" t="s">
        <v>99</v>
      </c>
      <c r="U927">
        <v>2</v>
      </c>
      <c r="V927" t="s">
        <v>40</v>
      </c>
      <c r="W927">
        <f>excelsalesdata[[#This Row],[Quantity]]*excelsalesdata[[#This Row],[Unit_Price]]</f>
        <v>2310</v>
      </c>
      <c r="X927">
        <f>excelsalesdata[[#This Row],[Gross_sales]]*excelsalesdata[[#This Row],[Discount_%]]</f>
        <v>462</v>
      </c>
      <c r="Y927">
        <f>excelsalesdata[[#This Row],[Gross_sales]]-excelsalesdata[[#This Row],[Discount_amt]]</f>
        <v>1848</v>
      </c>
      <c r="Z927" s="4">
        <f>excelsalesdata[[#This Row],[Net_sales]]-excelsalesdata[[#This Row],[Cost]]</f>
        <v>628</v>
      </c>
      <c r="AA927" s="5">
        <f>excelsalesdata[[#This Row],[Profit]]/excelsalesdata[[#This Row],[Net_sales]]</f>
        <v>0.33982683982683981</v>
      </c>
      <c r="AB927" s="4">
        <f>YEAR(excelsalesdata[[#This Row],[Order_Date]])</f>
        <v>2027</v>
      </c>
      <c r="AC927" s="4" t="str">
        <f>TEXT(excelsalesdata[[#This Row],[Order_Date]],"mmm")</f>
        <v>Oct</v>
      </c>
      <c r="AD927" s="4" t="str">
        <f>"Q"&amp;ROUNDUP(MONTH(excelsalesdata[[#This Row],[Order_Date]])/3,0)</f>
        <v>Q4</v>
      </c>
    </row>
    <row r="928" spans="1:30" x14ac:dyDescent="0.35">
      <c r="A928" t="s">
        <v>1694</v>
      </c>
      <c r="B928" s="3">
        <v>46686</v>
      </c>
      <c r="C928" t="s">
        <v>1137</v>
      </c>
      <c r="D928" t="s">
        <v>1381</v>
      </c>
      <c r="E928" t="str">
        <f>TRIM(excelsalesdata[[#This Row],[Customer_Name]])</f>
        <v>Aditya Joshi</v>
      </c>
      <c r="F928" t="s">
        <v>44</v>
      </c>
      <c r="G928">
        <v>29</v>
      </c>
      <c r="H928" t="s">
        <v>78</v>
      </c>
      <c r="I928" t="str">
        <f>TRIM(excelsalesdata[[#This Row],[City]])</f>
        <v>Guwahati</v>
      </c>
      <c r="J928" t="s">
        <v>79</v>
      </c>
      <c r="K928" t="s">
        <v>37</v>
      </c>
      <c r="L928" t="s">
        <v>93</v>
      </c>
      <c r="M928" t="s">
        <v>135</v>
      </c>
      <c r="N928" t="s">
        <v>135</v>
      </c>
      <c r="O928">
        <v>2</v>
      </c>
      <c r="P928">
        <v>1720</v>
      </c>
      <c r="Q928">
        <v>0.15</v>
      </c>
      <c r="R928">
        <v>1000</v>
      </c>
      <c r="S928" t="s">
        <v>80</v>
      </c>
      <c r="T928" t="s">
        <v>30</v>
      </c>
      <c r="U928">
        <v>10</v>
      </c>
      <c r="V928" t="s">
        <v>31</v>
      </c>
      <c r="W928">
        <f>excelsalesdata[[#This Row],[Quantity]]*excelsalesdata[[#This Row],[Unit_Price]]</f>
        <v>3440</v>
      </c>
      <c r="X928">
        <f>excelsalesdata[[#This Row],[Gross_sales]]*excelsalesdata[[#This Row],[Discount_%]]</f>
        <v>516</v>
      </c>
      <c r="Y928">
        <f>excelsalesdata[[#This Row],[Gross_sales]]-excelsalesdata[[#This Row],[Discount_amt]]</f>
        <v>2924</v>
      </c>
      <c r="Z928" s="4">
        <f>excelsalesdata[[#This Row],[Net_sales]]-excelsalesdata[[#This Row],[Cost]]</f>
        <v>1924</v>
      </c>
      <c r="AA928" s="5">
        <f>excelsalesdata[[#This Row],[Profit]]/excelsalesdata[[#This Row],[Net_sales]]</f>
        <v>0.65800273597811221</v>
      </c>
      <c r="AB928" s="4">
        <f>YEAR(excelsalesdata[[#This Row],[Order_Date]])</f>
        <v>2027</v>
      </c>
      <c r="AC928" s="4" t="str">
        <f>TEXT(excelsalesdata[[#This Row],[Order_Date]],"mmm")</f>
        <v>Oct</v>
      </c>
      <c r="AD928" s="4" t="str">
        <f>"Q"&amp;ROUNDUP(MONTH(excelsalesdata[[#This Row],[Order_Date]])/3,0)</f>
        <v>Q4</v>
      </c>
    </row>
    <row r="929" spans="1:30" x14ac:dyDescent="0.35">
      <c r="A929" t="s">
        <v>1695</v>
      </c>
      <c r="B929" s="3">
        <v>46687</v>
      </c>
      <c r="C929" t="s">
        <v>261</v>
      </c>
      <c r="D929" t="s">
        <v>128</v>
      </c>
      <c r="E929" t="str">
        <f>TRIM(excelsalesdata[[#This Row],[Customer_Name]])</f>
        <v>Sneha Singh</v>
      </c>
      <c r="F929" t="s">
        <v>44</v>
      </c>
      <c r="G929">
        <v>29</v>
      </c>
      <c r="H929" t="s">
        <v>114</v>
      </c>
      <c r="I929" t="str">
        <f>TRIM(excelsalesdata[[#This Row],[City]])</f>
        <v>Hyderabad</v>
      </c>
      <c r="J929" t="s">
        <v>115</v>
      </c>
      <c r="K929" t="s">
        <v>47</v>
      </c>
      <c r="L929" t="s">
        <v>103</v>
      </c>
      <c r="M929" t="s">
        <v>104</v>
      </c>
      <c r="N929" t="s">
        <v>104</v>
      </c>
      <c r="O929">
        <v>1</v>
      </c>
      <c r="P929">
        <v>8370</v>
      </c>
      <c r="Q929">
        <v>0.05</v>
      </c>
      <c r="R929">
        <v>5320</v>
      </c>
      <c r="S929" t="s">
        <v>67</v>
      </c>
      <c r="T929" t="s">
        <v>30</v>
      </c>
      <c r="U929">
        <v>4</v>
      </c>
      <c r="V929" t="s">
        <v>40</v>
      </c>
      <c r="W929">
        <f>excelsalesdata[[#This Row],[Quantity]]*excelsalesdata[[#This Row],[Unit_Price]]</f>
        <v>8370</v>
      </c>
      <c r="X929">
        <f>excelsalesdata[[#This Row],[Gross_sales]]*excelsalesdata[[#This Row],[Discount_%]]</f>
        <v>418.5</v>
      </c>
      <c r="Y929">
        <f>excelsalesdata[[#This Row],[Gross_sales]]-excelsalesdata[[#This Row],[Discount_amt]]</f>
        <v>7951.5</v>
      </c>
      <c r="Z929" s="4">
        <f>excelsalesdata[[#This Row],[Net_sales]]-excelsalesdata[[#This Row],[Cost]]</f>
        <v>2631.5</v>
      </c>
      <c r="AA929" s="5">
        <f>excelsalesdata[[#This Row],[Profit]]/excelsalesdata[[#This Row],[Net_sales]]</f>
        <v>0.33094384707287933</v>
      </c>
      <c r="AB929" s="4">
        <f>YEAR(excelsalesdata[[#This Row],[Order_Date]])</f>
        <v>2027</v>
      </c>
      <c r="AC929" s="4" t="str">
        <f>TEXT(excelsalesdata[[#This Row],[Order_Date]],"mmm")</f>
        <v>Oct</v>
      </c>
      <c r="AD929" s="4" t="str">
        <f>"Q"&amp;ROUNDUP(MONTH(excelsalesdata[[#This Row],[Order_Date]])/3,0)</f>
        <v>Q4</v>
      </c>
    </row>
    <row r="930" spans="1:30" x14ac:dyDescent="0.35">
      <c r="A930" t="s">
        <v>1696</v>
      </c>
      <c r="B930" s="3">
        <v>46688</v>
      </c>
      <c r="C930" t="s">
        <v>575</v>
      </c>
      <c r="D930" t="s">
        <v>59</v>
      </c>
      <c r="E930" t="str">
        <f>TRIM(excelsalesdata[[#This Row],[Customer_Name]])</f>
        <v>Nisha Naidu</v>
      </c>
      <c r="F930" t="s">
        <v>44</v>
      </c>
      <c r="G930">
        <v>46</v>
      </c>
      <c r="H930" t="s">
        <v>185</v>
      </c>
      <c r="I930" t="str">
        <f>TRIM(excelsalesdata[[#This Row],[City]])</f>
        <v>Lucknow</v>
      </c>
      <c r="J930" t="s">
        <v>186</v>
      </c>
      <c r="K930" t="s">
        <v>61</v>
      </c>
      <c r="L930" t="s">
        <v>27</v>
      </c>
      <c r="M930" t="s">
        <v>48</v>
      </c>
      <c r="N930" t="s">
        <v>48</v>
      </c>
      <c r="O930">
        <v>2</v>
      </c>
      <c r="P930">
        <v>910</v>
      </c>
      <c r="Q930">
        <v>0.05</v>
      </c>
      <c r="R930">
        <v>460</v>
      </c>
      <c r="S930" t="s">
        <v>56</v>
      </c>
      <c r="T930" t="s">
        <v>30</v>
      </c>
      <c r="U930">
        <v>6</v>
      </c>
      <c r="V930" t="s">
        <v>31</v>
      </c>
      <c r="W930">
        <f>excelsalesdata[[#This Row],[Quantity]]*excelsalesdata[[#This Row],[Unit_Price]]</f>
        <v>1820</v>
      </c>
      <c r="X930">
        <f>excelsalesdata[[#This Row],[Gross_sales]]*excelsalesdata[[#This Row],[Discount_%]]</f>
        <v>91</v>
      </c>
      <c r="Y930">
        <f>excelsalesdata[[#This Row],[Gross_sales]]-excelsalesdata[[#This Row],[Discount_amt]]</f>
        <v>1729</v>
      </c>
      <c r="Z930" s="4">
        <f>excelsalesdata[[#This Row],[Net_sales]]-excelsalesdata[[#This Row],[Cost]]</f>
        <v>1269</v>
      </c>
      <c r="AA930" s="5">
        <f>excelsalesdata[[#This Row],[Profit]]/excelsalesdata[[#This Row],[Net_sales]]</f>
        <v>0.7339502602660497</v>
      </c>
      <c r="AB930" s="4">
        <f>YEAR(excelsalesdata[[#This Row],[Order_Date]])</f>
        <v>2027</v>
      </c>
      <c r="AC930" s="4" t="str">
        <f>TEXT(excelsalesdata[[#This Row],[Order_Date]],"mmm")</f>
        <v>Oct</v>
      </c>
      <c r="AD930" s="4" t="str">
        <f>"Q"&amp;ROUNDUP(MONTH(excelsalesdata[[#This Row],[Order_Date]])/3,0)</f>
        <v>Q4</v>
      </c>
    </row>
    <row r="931" spans="1:30" x14ac:dyDescent="0.35">
      <c r="A931" t="s">
        <v>1697</v>
      </c>
      <c r="B931" s="3">
        <v>46689</v>
      </c>
      <c r="C931" t="s">
        <v>568</v>
      </c>
      <c r="D931" t="s">
        <v>291</v>
      </c>
      <c r="E931" t="str">
        <f>TRIM(excelsalesdata[[#This Row],[Customer_Name]])</f>
        <v>Vikram Patel</v>
      </c>
      <c r="F931" t="s">
        <v>44</v>
      </c>
      <c r="G931">
        <v>57</v>
      </c>
      <c r="H931" t="s">
        <v>190</v>
      </c>
      <c r="I931" t="str">
        <f>TRIM(excelsalesdata[[#This Row],[City]])</f>
        <v>Ahmedabad</v>
      </c>
      <c r="J931" t="s">
        <v>191</v>
      </c>
      <c r="K931" t="s">
        <v>26</v>
      </c>
      <c r="L931" t="s">
        <v>54</v>
      </c>
      <c r="M931" t="s">
        <v>62</v>
      </c>
      <c r="N931" t="s">
        <v>62</v>
      </c>
      <c r="O931">
        <v>3</v>
      </c>
      <c r="P931">
        <v>22400</v>
      </c>
      <c r="Q931">
        <v>0.25</v>
      </c>
      <c r="R931">
        <v>15080</v>
      </c>
      <c r="S931" t="s">
        <v>29</v>
      </c>
      <c r="T931" t="s">
        <v>30</v>
      </c>
      <c r="U931">
        <v>3</v>
      </c>
      <c r="V931" t="s">
        <v>31</v>
      </c>
      <c r="W931">
        <f>excelsalesdata[[#This Row],[Quantity]]*excelsalesdata[[#This Row],[Unit_Price]]</f>
        <v>67200</v>
      </c>
      <c r="X931">
        <f>excelsalesdata[[#This Row],[Gross_sales]]*excelsalesdata[[#This Row],[Discount_%]]</f>
        <v>16800</v>
      </c>
      <c r="Y931">
        <f>excelsalesdata[[#This Row],[Gross_sales]]-excelsalesdata[[#This Row],[Discount_amt]]</f>
        <v>50400</v>
      </c>
      <c r="Z931" s="4">
        <f>excelsalesdata[[#This Row],[Net_sales]]-excelsalesdata[[#This Row],[Cost]]</f>
        <v>35320</v>
      </c>
      <c r="AA931" s="5">
        <f>excelsalesdata[[#This Row],[Profit]]/excelsalesdata[[#This Row],[Net_sales]]</f>
        <v>0.70079365079365075</v>
      </c>
      <c r="AB931" s="4">
        <f>YEAR(excelsalesdata[[#This Row],[Order_Date]])</f>
        <v>2027</v>
      </c>
      <c r="AC931" s="4" t="str">
        <f>TEXT(excelsalesdata[[#This Row],[Order_Date]],"mmm")</f>
        <v>Oct</v>
      </c>
      <c r="AD931" s="4" t="str">
        <f>"Q"&amp;ROUNDUP(MONTH(excelsalesdata[[#This Row],[Order_Date]])/3,0)</f>
        <v>Q4</v>
      </c>
    </row>
    <row r="932" spans="1:30" x14ac:dyDescent="0.35">
      <c r="A932" t="s">
        <v>1698</v>
      </c>
      <c r="B932" s="3">
        <v>46690</v>
      </c>
      <c r="C932" t="s">
        <v>478</v>
      </c>
      <c r="D932" t="s">
        <v>325</v>
      </c>
      <c r="E932" t="str">
        <f>TRIM(excelsalesdata[[#This Row],[Customer_Name]])</f>
        <v>Ishita Iyer</v>
      </c>
      <c r="F932" t="s">
        <v>44</v>
      </c>
      <c r="G932">
        <v>53</v>
      </c>
      <c r="H932" t="s">
        <v>78</v>
      </c>
      <c r="I932" t="str">
        <f>TRIM(excelsalesdata[[#This Row],[City]])</f>
        <v>Guwahati</v>
      </c>
      <c r="J932" t="s">
        <v>79</v>
      </c>
      <c r="K932" t="s">
        <v>37</v>
      </c>
      <c r="L932" t="s">
        <v>27</v>
      </c>
      <c r="M932" t="s">
        <v>295</v>
      </c>
      <c r="N932" t="s">
        <v>295</v>
      </c>
      <c r="O932">
        <v>3</v>
      </c>
      <c r="P932">
        <v>4070</v>
      </c>
      <c r="Q932">
        <v>0</v>
      </c>
      <c r="R932">
        <v>2530</v>
      </c>
      <c r="S932" t="s">
        <v>80</v>
      </c>
      <c r="T932" t="s">
        <v>30</v>
      </c>
      <c r="U932">
        <v>3</v>
      </c>
      <c r="V932" t="s">
        <v>40</v>
      </c>
      <c r="W932">
        <f>excelsalesdata[[#This Row],[Quantity]]*excelsalesdata[[#This Row],[Unit_Price]]</f>
        <v>12210</v>
      </c>
      <c r="X932">
        <f>excelsalesdata[[#This Row],[Gross_sales]]*excelsalesdata[[#This Row],[Discount_%]]</f>
        <v>0</v>
      </c>
      <c r="Y932">
        <f>excelsalesdata[[#This Row],[Gross_sales]]-excelsalesdata[[#This Row],[Discount_amt]]</f>
        <v>12210</v>
      </c>
      <c r="Z932" s="4">
        <f>excelsalesdata[[#This Row],[Net_sales]]-excelsalesdata[[#This Row],[Cost]]</f>
        <v>9680</v>
      </c>
      <c r="AA932" s="5">
        <f>excelsalesdata[[#This Row],[Profit]]/excelsalesdata[[#This Row],[Net_sales]]</f>
        <v>0.7927927927927928</v>
      </c>
      <c r="AB932" s="4">
        <f>YEAR(excelsalesdata[[#This Row],[Order_Date]])</f>
        <v>2027</v>
      </c>
      <c r="AC932" s="4" t="str">
        <f>TEXT(excelsalesdata[[#This Row],[Order_Date]],"mmm")</f>
        <v>Oct</v>
      </c>
      <c r="AD932" s="4" t="str">
        <f>"Q"&amp;ROUNDUP(MONTH(excelsalesdata[[#This Row],[Order_Date]])/3,0)</f>
        <v>Q4</v>
      </c>
    </row>
    <row r="933" spans="1:30" x14ac:dyDescent="0.35">
      <c r="A933" t="s">
        <v>1699</v>
      </c>
      <c r="B933" s="3">
        <v>46691</v>
      </c>
      <c r="C933" t="s">
        <v>517</v>
      </c>
      <c r="D933" t="s">
        <v>241</v>
      </c>
      <c r="E933" t="str">
        <f>TRIM(excelsalesdata[[#This Row],[Customer_Name]])</f>
        <v>Rahul Kumar</v>
      </c>
      <c r="F933" t="s">
        <v>23</v>
      </c>
      <c r="G933">
        <v>52</v>
      </c>
      <c r="H933" t="s">
        <v>98</v>
      </c>
      <c r="I933" t="str">
        <f>TRIM(excelsalesdata[[#This Row],[City]])</f>
        <v>Mumbai</v>
      </c>
      <c r="J933" t="s">
        <v>25</v>
      </c>
      <c r="K933" t="s">
        <v>26</v>
      </c>
      <c r="L933" t="s">
        <v>38</v>
      </c>
      <c r="M933" t="s">
        <v>119</v>
      </c>
      <c r="N933" t="s">
        <v>119</v>
      </c>
      <c r="O933">
        <v>1</v>
      </c>
      <c r="P933">
        <v>8010</v>
      </c>
      <c r="Q933">
        <v>0.1</v>
      </c>
      <c r="R933">
        <v>5660</v>
      </c>
      <c r="S933" t="s">
        <v>105</v>
      </c>
      <c r="T933" t="s">
        <v>30</v>
      </c>
      <c r="U933">
        <v>3</v>
      </c>
      <c r="V933" t="s">
        <v>40</v>
      </c>
      <c r="W933">
        <f>excelsalesdata[[#This Row],[Quantity]]*excelsalesdata[[#This Row],[Unit_Price]]</f>
        <v>8010</v>
      </c>
      <c r="X933">
        <f>excelsalesdata[[#This Row],[Gross_sales]]*excelsalesdata[[#This Row],[Discount_%]]</f>
        <v>801</v>
      </c>
      <c r="Y933">
        <f>excelsalesdata[[#This Row],[Gross_sales]]-excelsalesdata[[#This Row],[Discount_amt]]</f>
        <v>7209</v>
      </c>
      <c r="Z933" s="4">
        <f>excelsalesdata[[#This Row],[Net_sales]]-excelsalesdata[[#This Row],[Cost]]</f>
        <v>1549</v>
      </c>
      <c r="AA933" s="5">
        <f>excelsalesdata[[#This Row],[Profit]]/excelsalesdata[[#This Row],[Net_sales]]</f>
        <v>0.21487030101262311</v>
      </c>
      <c r="AB933" s="4">
        <f>YEAR(excelsalesdata[[#This Row],[Order_Date]])</f>
        <v>2027</v>
      </c>
      <c r="AC933" s="4" t="str">
        <f>TEXT(excelsalesdata[[#This Row],[Order_Date]],"mmm")</f>
        <v>Oct</v>
      </c>
      <c r="AD933" s="4" t="str">
        <f>"Q"&amp;ROUNDUP(MONTH(excelsalesdata[[#This Row],[Order_Date]])/3,0)</f>
        <v>Q4</v>
      </c>
    </row>
    <row r="934" spans="1:30" x14ac:dyDescent="0.35">
      <c r="A934" t="s">
        <v>1700</v>
      </c>
      <c r="B934" s="3">
        <v>46692</v>
      </c>
      <c r="C934" t="s">
        <v>287</v>
      </c>
      <c r="D934" t="s">
        <v>128</v>
      </c>
      <c r="E934" t="str">
        <f>TRIM(excelsalesdata[[#This Row],[Customer_Name]])</f>
        <v>Sneha Singh</v>
      </c>
      <c r="F934" t="s">
        <v>44</v>
      </c>
      <c r="G934">
        <v>32</v>
      </c>
      <c r="H934" t="s">
        <v>98</v>
      </c>
      <c r="I934" t="str">
        <f>TRIM(excelsalesdata[[#This Row],[City]])</f>
        <v>Mumbai</v>
      </c>
      <c r="J934" t="s">
        <v>25</v>
      </c>
      <c r="K934" t="s">
        <v>26</v>
      </c>
      <c r="L934" t="s">
        <v>54</v>
      </c>
      <c r="M934" t="s">
        <v>157</v>
      </c>
      <c r="N934" t="s">
        <v>157</v>
      </c>
      <c r="O934">
        <v>1</v>
      </c>
      <c r="P934">
        <v>53980</v>
      </c>
      <c r="Q934">
        <v>0</v>
      </c>
      <c r="R934">
        <v>41820</v>
      </c>
      <c r="S934" t="s">
        <v>29</v>
      </c>
      <c r="T934" t="s">
        <v>30</v>
      </c>
      <c r="U934">
        <v>3</v>
      </c>
      <c r="V934" t="s">
        <v>40</v>
      </c>
      <c r="W934">
        <f>excelsalesdata[[#This Row],[Quantity]]*excelsalesdata[[#This Row],[Unit_Price]]</f>
        <v>53980</v>
      </c>
      <c r="X934">
        <f>excelsalesdata[[#This Row],[Gross_sales]]*excelsalesdata[[#This Row],[Discount_%]]</f>
        <v>0</v>
      </c>
      <c r="Y934">
        <f>excelsalesdata[[#This Row],[Gross_sales]]-excelsalesdata[[#This Row],[Discount_amt]]</f>
        <v>53980</v>
      </c>
      <c r="Z934" s="4">
        <f>excelsalesdata[[#This Row],[Net_sales]]-excelsalesdata[[#This Row],[Cost]]</f>
        <v>12160</v>
      </c>
      <c r="AA934" s="5">
        <f>excelsalesdata[[#This Row],[Profit]]/excelsalesdata[[#This Row],[Net_sales]]</f>
        <v>0.22526861800666914</v>
      </c>
      <c r="AB934" s="4">
        <f>YEAR(excelsalesdata[[#This Row],[Order_Date]])</f>
        <v>2027</v>
      </c>
      <c r="AC934" s="4" t="str">
        <f>TEXT(excelsalesdata[[#This Row],[Order_Date]],"mmm")</f>
        <v>Nov</v>
      </c>
      <c r="AD934" s="4" t="str">
        <f>"Q"&amp;ROUNDUP(MONTH(excelsalesdata[[#This Row],[Order_Date]])/3,0)</f>
        <v>Q4</v>
      </c>
    </row>
    <row r="935" spans="1:30" x14ac:dyDescent="0.35">
      <c r="A935" t="s">
        <v>1701</v>
      </c>
      <c r="B935" s="3">
        <v>46693</v>
      </c>
      <c r="C935" t="s">
        <v>852</v>
      </c>
      <c r="D935" t="s">
        <v>1703</v>
      </c>
      <c r="E935" t="str">
        <f>TRIM(excelsalesdata[[#This Row],[Customer_Name]])</f>
        <v>Meera Patel</v>
      </c>
      <c r="F935" t="s">
        <v>44</v>
      </c>
      <c r="G935">
        <v>37</v>
      </c>
      <c r="H935" t="s">
        <v>71</v>
      </c>
      <c r="I935" t="str">
        <f>TRIM(excelsalesdata[[#This Row],[City]])</f>
        <v>Bhubaneswar</v>
      </c>
      <c r="J935" t="s">
        <v>72</v>
      </c>
      <c r="K935" t="s">
        <v>37</v>
      </c>
      <c r="L935" t="s">
        <v>38</v>
      </c>
      <c r="M935" t="s">
        <v>161</v>
      </c>
      <c r="N935" t="s">
        <v>161</v>
      </c>
      <c r="O935">
        <v>5</v>
      </c>
      <c r="P935">
        <v>28700</v>
      </c>
      <c r="Q935">
        <v>0.1</v>
      </c>
      <c r="R935">
        <v>21040</v>
      </c>
      <c r="S935" t="s">
        <v>67</v>
      </c>
      <c r="T935" t="s">
        <v>30</v>
      </c>
      <c r="U935">
        <v>1</v>
      </c>
      <c r="V935" t="s">
        <v>31</v>
      </c>
      <c r="W935">
        <f>excelsalesdata[[#This Row],[Quantity]]*excelsalesdata[[#This Row],[Unit_Price]]</f>
        <v>143500</v>
      </c>
      <c r="X935">
        <f>excelsalesdata[[#This Row],[Gross_sales]]*excelsalesdata[[#This Row],[Discount_%]]</f>
        <v>14350</v>
      </c>
      <c r="Y935">
        <f>excelsalesdata[[#This Row],[Gross_sales]]-excelsalesdata[[#This Row],[Discount_amt]]</f>
        <v>129150</v>
      </c>
      <c r="Z935" s="4">
        <f>excelsalesdata[[#This Row],[Net_sales]]-excelsalesdata[[#This Row],[Cost]]</f>
        <v>108110</v>
      </c>
      <c r="AA935" s="5">
        <f>excelsalesdata[[#This Row],[Profit]]/excelsalesdata[[#This Row],[Net_sales]]</f>
        <v>0.83708865660085174</v>
      </c>
      <c r="AB935" s="4">
        <f>YEAR(excelsalesdata[[#This Row],[Order_Date]])</f>
        <v>2027</v>
      </c>
      <c r="AC935" s="4" t="str">
        <f>TEXT(excelsalesdata[[#This Row],[Order_Date]],"mmm")</f>
        <v>Nov</v>
      </c>
      <c r="AD935" s="4" t="str">
        <f>"Q"&amp;ROUNDUP(MONTH(excelsalesdata[[#This Row],[Order_Date]])/3,0)</f>
        <v>Q4</v>
      </c>
    </row>
    <row r="936" spans="1:30" x14ac:dyDescent="0.35">
      <c r="A936" t="s">
        <v>1702</v>
      </c>
      <c r="B936" s="3">
        <v>46694</v>
      </c>
      <c r="C936" t="s">
        <v>521</v>
      </c>
      <c r="D936" t="s">
        <v>154</v>
      </c>
      <c r="E936" t="str">
        <f>TRIM(excelsalesdata[[#This Row],[Customer_Name]])</f>
        <v>Rohan Rao</v>
      </c>
      <c r="F936" t="s">
        <v>44</v>
      </c>
      <c r="G936">
        <v>47</v>
      </c>
      <c r="H936" t="s">
        <v>78</v>
      </c>
      <c r="I936" t="str">
        <f>TRIM(excelsalesdata[[#This Row],[City]])</f>
        <v>Guwahati</v>
      </c>
      <c r="J936" t="s">
        <v>79</v>
      </c>
      <c r="K936" t="s">
        <v>37</v>
      </c>
      <c r="L936" t="s">
        <v>27</v>
      </c>
      <c r="M936" t="s">
        <v>123</v>
      </c>
      <c r="N936" t="s">
        <v>123</v>
      </c>
      <c r="O936">
        <v>1</v>
      </c>
      <c r="P936">
        <v>2760</v>
      </c>
      <c r="Q936">
        <v>0.1</v>
      </c>
      <c r="R936">
        <v>1560</v>
      </c>
      <c r="S936" t="s">
        <v>29</v>
      </c>
      <c r="T936" t="s">
        <v>30</v>
      </c>
      <c r="U936">
        <v>8</v>
      </c>
      <c r="V936" t="s">
        <v>31</v>
      </c>
      <c r="W936">
        <f>excelsalesdata[[#This Row],[Quantity]]*excelsalesdata[[#This Row],[Unit_Price]]</f>
        <v>2760</v>
      </c>
      <c r="X936">
        <f>excelsalesdata[[#This Row],[Gross_sales]]*excelsalesdata[[#This Row],[Discount_%]]</f>
        <v>276</v>
      </c>
      <c r="Y936">
        <f>excelsalesdata[[#This Row],[Gross_sales]]-excelsalesdata[[#This Row],[Discount_amt]]</f>
        <v>2484</v>
      </c>
      <c r="Z936" s="4">
        <f>excelsalesdata[[#This Row],[Net_sales]]-excelsalesdata[[#This Row],[Cost]]</f>
        <v>924</v>
      </c>
      <c r="AA936" s="5">
        <f>excelsalesdata[[#This Row],[Profit]]/excelsalesdata[[#This Row],[Net_sales]]</f>
        <v>0.3719806763285024</v>
      </c>
      <c r="AB936" s="4">
        <f>YEAR(excelsalesdata[[#This Row],[Order_Date]])</f>
        <v>2027</v>
      </c>
      <c r="AC936" s="4" t="str">
        <f>TEXT(excelsalesdata[[#This Row],[Order_Date]],"mmm")</f>
        <v>Nov</v>
      </c>
      <c r="AD936" s="4" t="str">
        <f>"Q"&amp;ROUNDUP(MONTH(excelsalesdata[[#This Row],[Order_Date]])/3,0)</f>
        <v>Q4</v>
      </c>
    </row>
    <row r="937" spans="1:30" x14ac:dyDescent="0.35">
      <c r="A937" t="s">
        <v>1704</v>
      </c>
      <c r="B937" s="3">
        <v>46695</v>
      </c>
      <c r="C937" t="s">
        <v>660</v>
      </c>
      <c r="D937" t="s">
        <v>849</v>
      </c>
      <c r="E937" t="str">
        <f>TRIM(excelsalesdata[[#This Row],[Customer_Name]])</f>
        <v>Rohan Nair</v>
      </c>
      <c r="F937" t="s">
        <v>23</v>
      </c>
      <c r="G937">
        <v>50</v>
      </c>
      <c r="H937" t="s">
        <v>98</v>
      </c>
      <c r="I937" t="str">
        <f>TRIM(excelsalesdata[[#This Row],[City]])</f>
        <v>Mumbai</v>
      </c>
      <c r="J937" t="s">
        <v>25</v>
      </c>
      <c r="K937" t="s">
        <v>26</v>
      </c>
      <c r="L937" t="s">
        <v>38</v>
      </c>
      <c r="M937" t="s">
        <v>73</v>
      </c>
      <c r="N937" t="s">
        <v>73</v>
      </c>
      <c r="O937">
        <v>4</v>
      </c>
      <c r="P937">
        <v>4820</v>
      </c>
      <c r="Q937">
        <v>0.25</v>
      </c>
      <c r="R937">
        <v>3310</v>
      </c>
      <c r="S937" t="s">
        <v>56</v>
      </c>
      <c r="T937" t="s">
        <v>30</v>
      </c>
      <c r="U937">
        <v>2</v>
      </c>
      <c r="V937" t="s">
        <v>40</v>
      </c>
      <c r="W937">
        <f>excelsalesdata[[#This Row],[Quantity]]*excelsalesdata[[#This Row],[Unit_Price]]</f>
        <v>19280</v>
      </c>
      <c r="X937">
        <f>excelsalesdata[[#This Row],[Gross_sales]]*excelsalesdata[[#This Row],[Discount_%]]</f>
        <v>4820</v>
      </c>
      <c r="Y937">
        <f>excelsalesdata[[#This Row],[Gross_sales]]-excelsalesdata[[#This Row],[Discount_amt]]</f>
        <v>14460</v>
      </c>
      <c r="Z937" s="4">
        <f>excelsalesdata[[#This Row],[Net_sales]]-excelsalesdata[[#This Row],[Cost]]</f>
        <v>11150</v>
      </c>
      <c r="AA937" s="5">
        <f>excelsalesdata[[#This Row],[Profit]]/excelsalesdata[[#This Row],[Net_sales]]</f>
        <v>0.77109266943291843</v>
      </c>
      <c r="AB937" s="4">
        <f>YEAR(excelsalesdata[[#This Row],[Order_Date]])</f>
        <v>2027</v>
      </c>
      <c r="AC937" s="4" t="str">
        <f>TEXT(excelsalesdata[[#This Row],[Order_Date]],"mmm")</f>
        <v>Nov</v>
      </c>
      <c r="AD937" s="4" t="str">
        <f>"Q"&amp;ROUNDUP(MONTH(excelsalesdata[[#This Row],[Order_Date]])/3,0)</f>
        <v>Q4</v>
      </c>
    </row>
    <row r="938" spans="1:30" x14ac:dyDescent="0.35">
      <c r="A938" t="s">
        <v>1705</v>
      </c>
      <c r="B938" s="3">
        <v>46696</v>
      </c>
      <c r="C938" t="s">
        <v>1182</v>
      </c>
      <c r="D938" t="s">
        <v>1108</v>
      </c>
      <c r="E938" t="str">
        <f>TRIM(excelsalesdata[[#This Row],[Customer_Name]])</f>
        <v>Rohan Verma</v>
      </c>
      <c r="F938" t="s">
        <v>44</v>
      </c>
      <c r="G938">
        <v>44</v>
      </c>
      <c r="H938" t="s">
        <v>71</v>
      </c>
      <c r="I938" t="str">
        <f>TRIM(excelsalesdata[[#This Row],[City]])</f>
        <v>Bhubaneswar</v>
      </c>
      <c r="J938" t="s">
        <v>72</v>
      </c>
      <c r="K938" t="s">
        <v>37</v>
      </c>
      <c r="L938" t="s">
        <v>54</v>
      </c>
      <c r="M938" t="s">
        <v>62</v>
      </c>
      <c r="N938" t="s">
        <v>62</v>
      </c>
      <c r="O938">
        <v>1</v>
      </c>
      <c r="P938">
        <v>22130</v>
      </c>
      <c r="Q938">
        <v>0.2</v>
      </c>
      <c r="R938">
        <v>14800</v>
      </c>
      <c r="S938" t="s">
        <v>67</v>
      </c>
      <c r="T938" t="s">
        <v>30</v>
      </c>
      <c r="U938">
        <v>4</v>
      </c>
      <c r="V938" t="s">
        <v>40</v>
      </c>
      <c r="W938">
        <f>excelsalesdata[[#This Row],[Quantity]]*excelsalesdata[[#This Row],[Unit_Price]]</f>
        <v>22130</v>
      </c>
      <c r="X938">
        <f>excelsalesdata[[#This Row],[Gross_sales]]*excelsalesdata[[#This Row],[Discount_%]]</f>
        <v>4426</v>
      </c>
      <c r="Y938">
        <f>excelsalesdata[[#This Row],[Gross_sales]]-excelsalesdata[[#This Row],[Discount_amt]]</f>
        <v>17704</v>
      </c>
      <c r="Z938" s="4">
        <f>excelsalesdata[[#This Row],[Net_sales]]-excelsalesdata[[#This Row],[Cost]]</f>
        <v>2904</v>
      </c>
      <c r="AA938" s="5">
        <f>excelsalesdata[[#This Row],[Profit]]/excelsalesdata[[#This Row],[Net_sales]]</f>
        <v>0.16403072751920469</v>
      </c>
      <c r="AB938" s="4">
        <f>YEAR(excelsalesdata[[#This Row],[Order_Date]])</f>
        <v>2027</v>
      </c>
      <c r="AC938" s="4" t="str">
        <f>TEXT(excelsalesdata[[#This Row],[Order_Date]],"mmm")</f>
        <v>Nov</v>
      </c>
      <c r="AD938" s="4" t="str">
        <f>"Q"&amp;ROUNDUP(MONTH(excelsalesdata[[#This Row],[Order_Date]])/3,0)</f>
        <v>Q4</v>
      </c>
    </row>
    <row r="939" spans="1:30" x14ac:dyDescent="0.35">
      <c r="A939" t="s">
        <v>1706</v>
      </c>
      <c r="B939" s="3">
        <v>46697</v>
      </c>
      <c r="C939" t="s">
        <v>577</v>
      </c>
      <c r="D939" t="s">
        <v>693</v>
      </c>
      <c r="E939" t="str">
        <f>TRIM(excelsalesdata[[#This Row],[Customer_Name]])</f>
        <v>Ishita Shah</v>
      </c>
      <c r="F939" t="s">
        <v>23</v>
      </c>
      <c r="G939">
        <v>42</v>
      </c>
      <c r="H939" t="s">
        <v>35</v>
      </c>
      <c r="I939" t="str">
        <f>TRIM(excelsalesdata[[#This Row],[City]])</f>
        <v>Kolkata</v>
      </c>
      <c r="J939" t="s">
        <v>36</v>
      </c>
      <c r="K939" t="s">
        <v>37</v>
      </c>
      <c r="L939" t="s">
        <v>93</v>
      </c>
      <c r="M939" t="s">
        <v>375</v>
      </c>
      <c r="N939" t="s">
        <v>375</v>
      </c>
      <c r="O939">
        <v>3</v>
      </c>
      <c r="P939">
        <v>2170</v>
      </c>
      <c r="Q939">
        <v>0.1</v>
      </c>
      <c r="R939">
        <v>1150</v>
      </c>
      <c r="S939" t="s">
        <v>56</v>
      </c>
      <c r="T939" t="s">
        <v>30</v>
      </c>
      <c r="U939">
        <v>4</v>
      </c>
      <c r="V939" t="s">
        <v>40</v>
      </c>
      <c r="W939">
        <f>excelsalesdata[[#This Row],[Quantity]]*excelsalesdata[[#This Row],[Unit_Price]]</f>
        <v>6510</v>
      </c>
      <c r="X939">
        <f>excelsalesdata[[#This Row],[Gross_sales]]*excelsalesdata[[#This Row],[Discount_%]]</f>
        <v>651</v>
      </c>
      <c r="Y939">
        <f>excelsalesdata[[#This Row],[Gross_sales]]-excelsalesdata[[#This Row],[Discount_amt]]</f>
        <v>5859</v>
      </c>
      <c r="Z939" s="4">
        <f>excelsalesdata[[#This Row],[Net_sales]]-excelsalesdata[[#This Row],[Cost]]</f>
        <v>4709</v>
      </c>
      <c r="AA939" s="5">
        <f>excelsalesdata[[#This Row],[Profit]]/excelsalesdata[[#This Row],[Net_sales]]</f>
        <v>0.80372077146270693</v>
      </c>
      <c r="AB939" s="4">
        <f>YEAR(excelsalesdata[[#This Row],[Order_Date]])</f>
        <v>2027</v>
      </c>
      <c r="AC939" s="4" t="str">
        <f>TEXT(excelsalesdata[[#This Row],[Order_Date]],"mmm")</f>
        <v>Nov</v>
      </c>
      <c r="AD939" s="4" t="str">
        <f>"Q"&amp;ROUNDUP(MONTH(excelsalesdata[[#This Row],[Order_Date]])/3,0)</f>
        <v>Q4</v>
      </c>
    </row>
    <row r="940" spans="1:30" x14ac:dyDescent="0.35">
      <c r="A940" t="s">
        <v>1707</v>
      </c>
      <c r="B940" s="3">
        <v>46698</v>
      </c>
      <c r="C940" t="s">
        <v>1367</v>
      </c>
      <c r="D940" t="s">
        <v>138</v>
      </c>
      <c r="E940" t="str">
        <f>TRIM(excelsalesdata[[#This Row],[Customer_Name]])</f>
        <v>Vikram Bhat</v>
      </c>
      <c r="F940" t="s">
        <v>23</v>
      </c>
      <c r="G940">
        <v>55</v>
      </c>
      <c r="H940" t="s">
        <v>35</v>
      </c>
      <c r="I940" t="str">
        <f>TRIM(excelsalesdata[[#This Row],[City]])</f>
        <v>Kolkata</v>
      </c>
      <c r="J940" t="s">
        <v>36</v>
      </c>
      <c r="K940" t="s">
        <v>37</v>
      </c>
      <c r="L940" t="s">
        <v>38</v>
      </c>
      <c r="M940" t="s">
        <v>39</v>
      </c>
      <c r="N940" t="s">
        <v>39</v>
      </c>
      <c r="O940">
        <v>4</v>
      </c>
      <c r="P940">
        <v>6380</v>
      </c>
      <c r="Q940">
        <v>0.15</v>
      </c>
      <c r="R940">
        <v>4290</v>
      </c>
      <c r="S940" t="s">
        <v>29</v>
      </c>
      <c r="T940" t="s">
        <v>30</v>
      </c>
      <c r="U940">
        <v>2</v>
      </c>
      <c r="V940" t="s">
        <v>40</v>
      </c>
      <c r="W940">
        <f>excelsalesdata[[#This Row],[Quantity]]*excelsalesdata[[#This Row],[Unit_Price]]</f>
        <v>25520</v>
      </c>
      <c r="X940">
        <f>excelsalesdata[[#This Row],[Gross_sales]]*excelsalesdata[[#This Row],[Discount_%]]</f>
        <v>3828</v>
      </c>
      <c r="Y940">
        <f>excelsalesdata[[#This Row],[Gross_sales]]-excelsalesdata[[#This Row],[Discount_amt]]</f>
        <v>21692</v>
      </c>
      <c r="Z940" s="4">
        <f>excelsalesdata[[#This Row],[Net_sales]]-excelsalesdata[[#This Row],[Cost]]</f>
        <v>17402</v>
      </c>
      <c r="AA940" s="5">
        <f>excelsalesdata[[#This Row],[Profit]]/excelsalesdata[[#This Row],[Net_sales]]</f>
        <v>0.80223123732251522</v>
      </c>
      <c r="AB940" s="4">
        <f>YEAR(excelsalesdata[[#This Row],[Order_Date]])</f>
        <v>2027</v>
      </c>
      <c r="AC940" s="4" t="str">
        <f>TEXT(excelsalesdata[[#This Row],[Order_Date]],"mmm")</f>
        <v>Nov</v>
      </c>
      <c r="AD940" s="4" t="str">
        <f>"Q"&amp;ROUNDUP(MONTH(excelsalesdata[[#This Row],[Order_Date]])/3,0)</f>
        <v>Q4</v>
      </c>
    </row>
    <row r="941" spans="1:30" x14ac:dyDescent="0.35">
      <c r="A941" t="s">
        <v>1708</v>
      </c>
      <c r="B941" s="3">
        <v>46699</v>
      </c>
      <c r="C941" t="s">
        <v>773</v>
      </c>
      <c r="D941" t="s">
        <v>194</v>
      </c>
      <c r="E941" t="str">
        <f>TRIM(excelsalesdata[[#This Row],[Customer_Name]])</f>
        <v>Aditya Reddy</v>
      </c>
      <c r="F941" t="s">
        <v>44</v>
      </c>
      <c r="G941">
        <v>49</v>
      </c>
      <c r="H941" t="s">
        <v>78</v>
      </c>
      <c r="I941" t="str">
        <f>TRIM(excelsalesdata[[#This Row],[City]])</f>
        <v>Guwahati</v>
      </c>
      <c r="J941" t="s">
        <v>79</v>
      </c>
      <c r="K941" t="s">
        <v>37</v>
      </c>
      <c r="L941" t="s">
        <v>54</v>
      </c>
      <c r="M941" t="s">
        <v>66</v>
      </c>
      <c r="N941" t="s">
        <v>66</v>
      </c>
      <c r="O941">
        <v>1</v>
      </c>
      <c r="P941">
        <v>2520</v>
      </c>
      <c r="Q941">
        <v>0.1</v>
      </c>
      <c r="R941">
        <v>1440</v>
      </c>
      <c r="S941" t="s">
        <v>151</v>
      </c>
      <c r="T941" t="s">
        <v>81</v>
      </c>
      <c r="U941">
        <v>0</v>
      </c>
      <c r="V941" t="s">
        <v>40</v>
      </c>
      <c r="W941">
        <f>excelsalesdata[[#This Row],[Quantity]]*excelsalesdata[[#This Row],[Unit_Price]]</f>
        <v>2520</v>
      </c>
      <c r="X941">
        <f>excelsalesdata[[#This Row],[Gross_sales]]*excelsalesdata[[#This Row],[Discount_%]]</f>
        <v>252</v>
      </c>
      <c r="Y941">
        <f>excelsalesdata[[#This Row],[Gross_sales]]-excelsalesdata[[#This Row],[Discount_amt]]</f>
        <v>2268</v>
      </c>
      <c r="Z941" s="4">
        <f>excelsalesdata[[#This Row],[Net_sales]]-excelsalesdata[[#This Row],[Cost]]</f>
        <v>828</v>
      </c>
      <c r="AA941" s="5">
        <f>excelsalesdata[[#This Row],[Profit]]/excelsalesdata[[#This Row],[Net_sales]]</f>
        <v>0.36507936507936506</v>
      </c>
      <c r="AB941" s="4">
        <f>YEAR(excelsalesdata[[#This Row],[Order_Date]])</f>
        <v>2027</v>
      </c>
      <c r="AC941" s="4" t="str">
        <f>TEXT(excelsalesdata[[#This Row],[Order_Date]],"mmm")</f>
        <v>Nov</v>
      </c>
      <c r="AD941" s="4" t="str">
        <f>"Q"&amp;ROUNDUP(MONTH(excelsalesdata[[#This Row],[Order_Date]])/3,0)</f>
        <v>Q4</v>
      </c>
    </row>
    <row r="942" spans="1:30" x14ac:dyDescent="0.35">
      <c r="A942" t="s">
        <v>1709</v>
      </c>
      <c r="B942" s="3">
        <v>46700</v>
      </c>
      <c r="C942" t="s">
        <v>494</v>
      </c>
      <c r="D942" t="s">
        <v>160</v>
      </c>
      <c r="E942" t="str">
        <f>TRIM(excelsalesdata[[#This Row],[Customer_Name]])</f>
        <v>Nisha Bhat</v>
      </c>
      <c r="F942" t="s">
        <v>44</v>
      </c>
      <c r="G942">
        <v>25</v>
      </c>
      <c r="H942" t="s">
        <v>71</v>
      </c>
      <c r="I942" t="str">
        <f>TRIM(excelsalesdata[[#This Row],[City]])</f>
        <v>Bhubaneswar</v>
      </c>
      <c r="J942" t="s">
        <v>72</v>
      </c>
      <c r="K942" t="s">
        <v>37</v>
      </c>
      <c r="L942" t="s">
        <v>103</v>
      </c>
      <c r="M942" t="s">
        <v>347</v>
      </c>
      <c r="N942" t="s">
        <v>347</v>
      </c>
      <c r="O942">
        <v>2</v>
      </c>
      <c r="P942">
        <v>12730</v>
      </c>
      <c r="Q942">
        <v>0.15</v>
      </c>
      <c r="R942">
        <v>8110</v>
      </c>
      <c r="S942" t="s">
        <v>80</v>
      </c>
      <c r="T942" t="s">
        <v>30</v>
      </c>
      <c r="U942">
        <v>1</v>
      </c>
      <c r="V942" t="s">
        <v>40</v>
      </c>
      <c r="W942">
        <f>excelsalesdata[[#This Row],[Quantity]]*excelsalesdata[[#This Row],[Unit_Price]]</f>
        <v>25460</v>
      </c>
      <c r="X942">
        <f>excelsalesdata[[#This Row],[Gross_sales]]*excelsalesdata[[#This Row],[Discount_%]]</f>
        <v>3819</v>
      </c>
      <c r="Y942">
        <f>excelsalesdata[[#This Row],[Gross_sales]]-excelsalesdata[[#This Row],[Discount_amt]]</f>
        <v>21641</v>
      </c>
      <c r="Z942" s="4">
        <f>excelsalesdata[[#This Row],[Net_sales]]-excelsalesdata[[#This Row],[Cost]]</f>
        <v>13531</v>
      </c>
      <c r="AA942" s="5">
        <f>excelsalesdata[[#This Row],[Profit]]/excelsalesdata[[#This Row],[Net_sales]]</f>
        <v>0.62524837114735921</v>
      </c>
      <c r="AB942" s="4">
        <f>YEAR(excelsalesdata[[#This Row],[Order_Date]])</f>
        <v>2027</v>
      </c>
      <c r="AC942" s="4" t="str">
        <f>TEXT(excelsalesdata[[#This Row],[Order_Date]],"mmm")</f>
        <v>Nov</v>
      </c>
      <c r="AD942" s="4" t="str">
        <f>"Q"&amp;ROUNDUP(MONTH(excelsalesdata[[#This Row],[Order_Date]])/3,0)</f>
        <v>Q4</v>
      </c>
    </row>
    <row r="943" spans="1:30" x14ac:dyDescent="0.35">
      <c r="A943" t="s">
        <v>1710</v>
      </c>
      <c r="B943" s="3">
        <v>46701</v>
      </c>
      <c r="C943" t="s">
        <v>979</v>
      </c>
      <c r="D943" t="s">
        <v>664</v>
      </c>
      <c r="E943" t="str">
        <f>TRIM(excelsalesdata[[#This Row],[Customer_Name]])</f>
        <v>Ishita Reddy</v>
      </c>
      <c r="F943" t="s">
        <v>23</v>
      </c>
      <c r="G943">
        <v>50</v>
      </c>
      <c r="H943" t="s">
        <v>190</v>
      </c>
      <c r="I943" t="str">
        <f>TRIM(excelsalesdata[[#This Row],[City]])</f>
        <v>Ahmedabad</v>
      </c>
      <c r="J943" t="s">
        <v>191</v>
      </c>
      <c r="K943" t="s">
        <v>26</v>
      </c>
      <c r="L943" t="s">
        <v>27</v>
      </c>
      <c r="M943" t="s">
        <v>28</v>
      </c>
      <c r="N943" t="s">
        <v>28</v>
      </c>
      <c r="O943">
        <v>2</v>
      </c>
      <c r="P943">
        <v>3440</v>
      </c>
      <c r="Q943">
        <v>0.2</v>
      </c>
      <c r="R943">
        <v>2090</v>
      </c>
      <c r="S943" t="s">
        <v>105</v>
      </c>
      <c r="T943" t="s">
        <v>74</v>
      </c>
      <c r="U943">
        <v>6</v>
      </c>
      <c r="V943" t="s">
        <v>31</v>
      </c>
      <c r="W943">
        <f>excelsalesdata[[#This Row],[Quantity]]*excelsalesdata[[#This Row],[Unit_Price]]</f>
        <v>6880</v>
      </c>
      <c r="X943">
        <f>excelsalesdata[[#This Row],[Gross_sales]]*excelsalesdata[[#This Row],[Discount_%]]</f>
        <v>1376</v>
      </c>
      <c r="Y943">
        <f>excelsalesdata[[#This Row],[Gross_sales]]-excelsalesdata[[#This Row],[Discount_amt]]</f>
        <v>5504</v>
      </c>
      <c r="Z943" s="4">
        <f>excelsalesdata[[#This Row],[Net_sales]]-excelsalesdata[[#This Row],[Cost]]</f>
        <v>3414</v>
      </c>
      <c r="AA943" s="5">
        <f>excelsalesdata[[#This Row],[Profit]]/excelsalesdata[[#This Row],[Net_sales]]</f>
        <v>0.62027616279069764</v>
      </c>
      <c r="AB943" s="4">
        <f>YEAR(excelsalesdata[[#This Row],[Order_Date]])</f>
        <v>2027</v>
      </c>
      <c r="AC943" s="4" t="str">
        <f>TEXT(excelsalesdata[[#This Row],[Order_Date]],"mmm")</f>
        <v>Nov</v>
      </c>
      <c r="AD943" s="4" t="str">
        <f>"Q"&amp;ROUNDUP(MONTH(excelsalesdata[[#This Row],[Order_Date]])/3,0)</f>
        <v>Q4</v>
      </c>
    </row>
    <row r="944" spans="1:30" x14ac:dyDescent="0.35">
      <c r="A944" t="s">
        <v>1711</v>
      </c>
      <c r="B944" s="3">
        <v>46702</v>
      </c>
      <c r="C944" t="s">
        <v>1028</v>
      </c>
      <c r="D944" t="s">
        <v>1226</v>
      </c>
      <c r="E944" t="str">
        <f>TRIM(excelsalesdata[[#This Row],[Customer_Name]])</f>
        <v>Vikram Reddy</v>
      </c>
      <c r="F944" t="s">
        <v>44</v>
      </c>
      <c r="G944">
        <v>25</v>
      </c>
      <c r="H944" t="s">
        <v>98</v>
      </c>
      <c r="I944" t="str">
        <f>TRIM(excelsalesdata[[#This Row],[City]])</f>
        <v>Mumbai</v>
      </c>
      <c r="J944" t="s">
        <v>25</v>
      </c>
      <c r="K944" t="s">
        <v>26</v>
      </c>
      <c r="L944" t="s">
        <v>54</v>
      </c>
      <c r="M944" t="s">
        <v>157</v>
      </c>
      <c r="N944" t="s">
        <v>157</v>
      </c>
      <c r="O944">
        <v>5</v>
      </c>
      <c r="P944">
        <v>55190</v>
      </c>
      <c r="Q944">
        <v>0.2</v>
      </c>
      <c r="R944">
        <v>42320</v>
      </c>
      <c r="S944" t="s">
        <v>67</v>
      </c>
      <c r="T944" t="s">
        <v>30</v>
      </c>
      <c r="U944">
        <v>4</v>
      </c>
      <c r="V944" t="s">
        <v>40</v>
      </c>
      <c r="W944">
        <f>excelsalesdata[[#This Row],[Quantity]]*excelsalesdata[[#This Row],[Unit_Price]]</f>
        <v>275950</v>
      </c>
      <c r="X944">
        <f>excelsalesdata[[#This Row],[Gross_sales]]*excelsalesdata[[#This Row],[Discount_%]]</f>
        <v>55190</v>
      </c>
      <c r="Y944">
        <f>excelsalesdata[[#This Row],[Gross_sales]]-excelsalesdata[[#This Row],[Discount_amt]]</f>
        <v>220760</v>
      </c>
      <c r="Z944" s="4">
        <f>excelsalesdata[[#This Row],[Net_sales]]-excelsalesdata[[#This Row],[Cost]]</f>
        <v>178440</v>
      </c>
      <c r="AA944" s="5">
        <f>excelsalesdata[[#This Row],[Profit]]/excelsalesdata[[#This Row],[Net_sales]]</f>
        <v>0.80829860481971372</v>
      </c>
      <c r="AB944" s="4">
        <f>YEAR(excelsalesdata[[#This Row],[Order_Date]])</f>
        <v>2027</v>
      </c>
      <c r="AC944" s="4" t="str">
        <f>TEXT(excelsalesdata[[#This Row],[Order_Date]],"mmm")</f>
        <v>Nov</v>
      </c>
      <c r="AD944" s="4" t="str">
        <f>"Q"&amp;ROUNDUP(MONTH(excelsalesdata[[#This Row],[Order_Date]])/3,0)</f>
        <v>Q4</v>
      </c>
    </row>
    <row r="945" spans="1:30" x14ac:dyDescent="0.35">
      <c r="A945" t="s">
        <v>1712</v>
      </c>
      <c r="B945" s="3">
        <v>46703</v>
      </c>
      <c r="C945" t="s">
        <v>1713</v>
      </c>
      <c r="D945" t="s">
        <v>631</v>
      </c>
      <c r="E945" t="str">
        <f>TRIM(excelsalesdata[[#This Row],[Customer_Name]])</f>
        <v>Diya Naidu</v>
      </c>
      <c r="F945" t="s">
        <v>44</v>
      </c>
      <c r="G945">
        <v>53</v>
      </c>
      <c r="H945" t="s">
        <v>98</v>
      </c>
      <c r="I945" t="str">
        <f>TRIM(excelsalesdata[[#This Row],[City]])</f>
        <v>Mumbai</v>
      </c>
      <c r="J945" t="s">
        <v>25</v>
      </c>
      <c r="K945" t="s">
        <v>26</v>
      </c>
      <c r="L945" t="s">
        <v>54</v>
      </c>
      <c r="M945" t="s">
        <v>129</v>
      </c>
      <c r="N945" t="s">
        <v>129</v>
      </c>
      <c r="O945">
        <v>2</v>
      </c>
      <c r="P945">
        <v>16790</v>
      </c>
      <c r="Q945">
        <v>0.05</v>
      </c>
      <c r="R945">
        <v>12280</v>
      </c>
      <c r="S945" t="s">
        <v>105</v>
      </c>
      <c r="T945" t="s">
        <v>30</v>
      </c>
      <c r="U945">
        <v>2</v>
      </c>
      <c r="V945" t="s">
        <v>40</v>
      </c>
      <c r="W945">
        <f>excelsalesdata[[#This Row],[Quantity]]*excelsalesdata[[#This Row],[Unit_Price]]</f>
        <v>33580</v>
      </c>
      <c r="X945">
        <f>excelsalesdata[[#This Row],[Gross_sales]]*excelsalesdata[[#This Row],[Discount_%]]</f>
        <v>1679</v>
      </c>
      <c r="Y945">
        <f>excelsalesdata[[#This Row],[Gross_sales]]-excelsalesdata[[#This Row],[Discount_amt]]</f>
        <v>31901</v>
      </c>
      <c r="Z945" s="4">
        <f>excelsalesdata[[#This Row],[Net_sales]]-excelsalesdata[[#This Row],[Cost]]</f>
        <v>19621</v>
      </c>
      <c r="AA945" s="5">
        <f>excelsalesdata[[#This Row],[Profit]]/excelsalesdata[[#This Row],[Net_sales]]</f>
        <v>0.61505908905676943</v>
      </c>
      <c r="AB945" s="4">
        <f>YEAR(excelsalesdata[[#This Row],[Order_Date]])</f>
        <v>2027</v>
      </c>
      <c r="AC945" s="4" t="str">
        <f>TEXT(excelsalesdata[[#This Row],[Order_Date]],"mmm")</f>
        <v>Nov</v>
      </c>
      <c r="AD945" s="4" t="str">
        <f>"Q"&amp;ROUNDUP(MONTH(excelsalesdata[[#This Row],[Order_Date]])/3,0)</f>
        <v>Q4</v>
      </c>
    </row>
    <row r="946" spans="1:30" x14ac:dyDescent="0.35">
      <c r="A946" t="s">
        <v>1714</v>
      </c>
      <c r="B946" s="3">
        <v>46704</v>
      </c>
      <c r="C946" t="s">
        <v>153</v>
      </c>
      <c r="D946" t="s">
        <v>160</v>
      </c>
      <c r="E946" t="str">
        <f>TRIM(excelsalesdata[[#This Row],[Customer_Name]])</f>
        <v>Nisha Bhat</v>
      </c>
      <c r="F946" t="s">
        <v>23</v>
      </c>
      <c r="G946">
        <v>41</v>
      </c>
      <c r="H946" t="s">
        <v>24</v>
      </c>
      <c r="I946" t="str">
        <f>TRIM(excelsalesdata[[#This Row],[City]])</f>
        <v>Pune</v>
      </c>
      <c r="J946" t="s">
        <v>25</v>
      </c>
      <c r="K946" t="s">
        <v>26</v>
      </c>
      <c r="L946" t="s">
        <v>93</v>
      </c>
      <c r="M946" t="s">
        <v>206</v>
      </c>
      <c r="N946" t="s">
        <v>206</v>
      </c>
      <c r="O946">
        <v>1</v>
      </c>
      <c r="P946">
        <v>670</v>
      </c>
      <c r="Q946">
        <v>0.15</v>
      </c>
      <c r="R946">
        <v>310</v>
      </c>
      <c r="S946" t="s">
        <v>80</v>
      </c>
      <c r="T946" t="s">
        <v>30</v>
      </c>
      <c r="U946">
        <v>2</v>
      </c>
      <c r="V946" t="s">
        <v>40</v>
      </c>
      <c r="W946">
        <f>excelsalesdata[[#This Row],[Quantity]]*excelsalesdata[[#This Row],[Unit_Price]]</f>
        <v>670</v>
      </c>
      <c r="X946">
        <f>excelsalesdata[[#This Row],[Gross_sales]]*excelsalesdata[[#This Row],[Discount_%]]</f>
        <v>100.5</v>
      </c>
      <c r="Y946">
        <f>excelsalesdata[[#This Row],[Gross_sales]]-excelsalesdata[[#This Row],[Discount_amt]]</f>
        <v>569.5</v>
      </c>
      <c r="Z946" s="4">
        <f>excelsalesdata[[#This Row],[Net_sales]]-excelsalesdata[[#This Row],[Cost]]</f>
        <v>259.5</v>
      </c>
      <c r="AA946" s="5">
        <f>excelsalesdata[[#This Row],[Profit]]/excelsalesdata[[#This Row],[Net_sales]]</f>
        <v>0.45566286215978929</v>
      </c>
      <c r="AB946" s="4">
        <f>YEAR(excelsalesdata[[#This Row],[Order_Date]])</f>
        <v>2027</v>
      </c>
      <c r="AC946" s="4" t="str">
        <f>TEXT(excelsalesdata[[#This Row],[Order_Date]],"mmm")</f>
        <v>Nov</v>
      </c>
      <c r="AD946" s="4" t="str">
        <f>"Q"&amp;ROUNDUP(MONTH(excelsalesdata[[#This Row],[Order_Date]])/3,0)</f>
        <v>Q4</v>
      </c>
    </row>
    <row r="947" spans="1:30" x14ac:dyDescent="0.35">
      <c r="A947" t="s">
        <v>1715</v>
      </c>
      <c r="B947" s="3">
        <v>46705</v>
      </c>
      <c r="C947" t="s">
        <v>1417</v>
      </c>
      <c r="D947" t="s">
        <v>77</v>
      </c>
      <c r="E947" t="str">
        <f>TRIM(excelsalesdata[[#This Row],[Customer_Name]])</f>
        <v>Kavya Rao</v>
      </c>
      <c r="F947" t="s">
        <v>23</v>
      </c>
      <c r="G947">
        <v>49</v>
      </c>
      <c r="H947" t="s">
        <v>60</v>
      </c>
      <c r="I947" t="str">
        <f>TRIM(excelsalesdata[[#This Row],[City]])</f>
        <v>Chandigarh</v>
      </c>
      <c r="J947" t="s">
        <v>60</v>
      </c>
      <c r="K947" t="s">
        <v>61</v>
      </c>
      <c r="L947" t="s">
        <v>54</v>
      </c>
      <c r="M947" t="s">
        <v>62</v>
      </c>
      <c r="N947" t="s">
        <v>62</v>
      </c>
      <c r="O947">
        <v>2</v>
      </c>
      <c r="P947">
        <v>21260</v>
      </c>
      <c r="Q947">
        <v>0.05</v>
      </c>
      <c r="R947">
        <v>15870</v>
      </c>
      <c r="S947" t="s">
        <v>29</v>
      </c>
      <c r="T947" t="s">
        <v>30</v>
      </c>
      <c r="U947">
        <v>5</v>
      </c>
      <c r="V947" t="s">
        <v>31</v>
      </c>
      <c r="W947">
        <f>excelsalesdata[[#This Row],[Quantity]]*excelsalesdata[[#This Row],[Unit_Price]]</f>
        <v>42520</v>
      </c>
      <c r="X947">
        <f>excelsalesdata[[#This Row],[Gross_sales]]*excelsalesdata[[#This Row],[Discount_%]]</f>
        <v>2126</v>
      </c>
      <c r="Y947">
        <f>excelsalesdata[[#This Row],[Gross_sales]]-excelsalesdata[[#This Row],[Discount_amt]]</f>
        <v>40394</v>
      </c>
      <c r="Z947" s="4">
        <f>excelsalesdata[[#This Row],[Net_sales]]-excelsalesdata[[#This Row],[Cost]]</f>
        <v>24524</v>
      </c>
      <c r="AA947" s="5">
        <f>excelsalesdata[[#This Row],[Profit]]/excelsalesdata[[#This Row],[Net_sales]]</f>
        <v>0.60711986928751793</v>
      </c>
      <c r="AB947" s="4">
        <f>YEAR(excelsalesdata[[#This Row],[Order_Date]])</f>
        <v>2027</v>
      </c>
      <c r="AC947" s="4" t="str">
        <f>TEXT(excelsalesdata[[#This Row],[Order_Date]],"mmm")</f>
        <v>Nov</v>
      </c>
      <c r="AD947" s="4" t="str">
        <f>"Q"&amp;ROUNDUP(MONTH(excelsalesdata[[#This Row],[Order_Date]])/3,0)</f>
        <v>Q4</v>
      </c>
    </row>
    <row r="948" spans="1:30" x14ac:dyDescent="0.35">
      <c r="A948" t="s">
        <v>1716</v>
      </c>
      <c r="B948" s="3">
        <v>46706</v>
      </c>
      <c r="C948" t="s">
        <v>696</v>
      </c>
      <c r="D948" t="s">
        <v>899</v>
      </c>
      <c r="E948" t="str">
        <f>TRIM(excelsalesdata[[#This Row],[Customer_Name]])</f>
        <v>Arjun Shah</v>
      </c>
      <c r="F948" t="s">
        <v>23</v>
      </c>
      <c r="G948">
        <v>49</v>
      </c>
      <c r="H948" t="s">
        <v>185</v>
      </c>
      <c r="I948" t="str">
        <f>TRIM(excelsalesdata[[#This Row],[City]])</f>
        <v>Lucknow</v>
      </c>
      <c r="J948" t="s">
        <v>186</v>
      </c>
      <c r="K948" t="s">
        <v>61</v>
      </c>
      <c r="L948" t="s">
        <v>27</v>
      </c>
      <c r="M948" t="s">
        <v>295</v>
      </c>
      <c r="N948" t="s">
        <v>295</v>
      </c>
      <c r="O948">
        <v>1</v>
      </c>
      <c r="P948">
        <v>4440</v>
      </c>
      <c r="Q948">
        <v>0</v>
      </c>
      <c r="R948">
        <v>2600</v>
      </c>
      <c r="S948" t="s">
        <v>29</v>
      </c>
      <c r="T948" t="s">
        <v>30</v>
      </c>
      <c r="U948">
        <v>4</v>
      </c>
      <c r="V948" t="s">
        <v>31</v>
      </c>
      <c r="W948">
        <f>excelsalesdata[[#This Row],[Quantity]]*excelsalesdata[[#This Row],[Unit_Price]]</f>
        <v>4440</v>
      </c>
      <c r="X948">
        <f>excelsalesdata[[#This Row],[Gross_sales]]*excelsalesdata[[#This Row],[Discount_%]]</f>
        <v>0</v>
      </c>
      <c r="Y948">
        <f>excelsalesdata[[#This Row],[Gross_sales]]-excelsalesdata[[#This Row],[Discount_amt]]</f>
        <v>4440</v>
      </c>
      <c r="Z948" s="4">
        <f>excelsalesdata[[#This Row],[Net_sales]]-excelsalesdata[[#This Row],[Cost]]</f>
        <v>1840</v>
      </c>
      <c r="AA948" s="5">
        <f>excelsalesdata[[#This Row],[Profit]]/excelsalesdata[[#This Row],[Net_sales]]</f>
        <v>0.4144144144144144</v>
      </c>
      <c r="AB948" s="4">
        <f>YEAR(excelsalesdata[[#This Row],[Order_Date]])</f>
        <v>2027</v>
      </c>
      <c r="AC948" s="4" t="str">
        <f>TEXT(excelsalesdata[[#This Row],[Order_Date]],"mmm")</f>
        <v>Nov</v>
      </c>
      <c r="AD948" s="4" t="str">
        <f>"Q"&amp;ROUNDUP(MONTH(excelsalesdata[[#This Row],[Order_Date]])/3,0)</f>
        <v>Q4</v>
      </c>
    </row>
    <row r="949" spans="1:30" x14ac:dyDescent="0.35">
      <c r="A949" t="s">
        <v>1717</v>
      </c>
      <c r="B949" s="3">
        <v>46707</v>
      </c>
      <c r="C949" t="s">
        <v>1718</v>
      </c>
      <c r="D949" t="s">
        <v>469</v>
      </c>
      <c r="E949" t="str">
        <f>TRIM(excelsalesdata[[#This Row],[Customer_Name]])</f>
        <v>Rahul Joshi</v>
      </c>
      <c r="F949" t="s">
        <v>23</v>
      </c>
      <c r="G949">
        <v>52</v>
      </c>
      <c r="H949" t="s">
        <v>98</v>
      </c>
      <c r="I949" t="str">
        <f>TRIM(excelsalesdata[[#This Row],[City]])</f>
        <v>Mumbai</v>
      </c>
      <c r="J949" t="s">
        <v>25</v>
      </c>
      <c r="K949" t="s">
        <v>26</v>
      </c>
      <c r="L949" t="s">
        <v>54</v>
      </c>
      <c r="M949" t="s">
        <v>62</v>
      </c>
      <c r="N949" t="s">
        <v>62</v>
      </c>
      <c r="O949">
        <v>1</v>
      </c>
      <c r="P949">
        <v>21020</v>
      </c>
      <c r="Q949">
        <v>0</v>
      </c>
      <c r="R949">
        <v>15410</v>
      </c>
      <c r="S949" t="s">
        <v>67</v>
      </c>
      <c r="T949" t="s">
        <v>30</v>
      </c>
      <c r="U949">
        <v>3</v>
      </c>
      <c r="V949" t="s">
        <v>31</v>
      </c>
      <c r="W949">
        <f>excelsalesdata[[#This Row],[Quantity]]*excelsalesdata[[#This Row],[Unit_Price]]</f>
        <v>21020</v>
      </c>
      <c r="X949">
        <f>excelsalesdata[[#This Row],[Gross_sales]]*excelsalesdata[[#This Row],[Discount_%]]</f>
        <v>0</v>
      </c>
      <c r="Y949">
        <f>excelsalesdata[[#This Row],[Gross_sales]]-excelsalesdata[[#This Row],[Discount_amt]]</f>
        <v>21020</v>
      </c>
      <c r="Z949" s="4">
        <f>excelsalesdata[[#This Row],[Net_sales]]-excelsalesdata[[#This Row],[Cost]]</f>
        <v>5610</v>
      </c>
      <c r="AA949" s="5">
        <f>excelsalesdata[[#This Row],[Profit]]/excelsalesdata[[#This Row],[Net_sales]]</f>
        <v>0.26688867745004757</v>
      </c>
      <c r="AB949" s="4">
        <f>YEAR(excelsalesdata[[#This Row],[Order_Date]])</f>
        <v>2027</v>
      </c>
      <c r="AC949" s="4" t="str">
        <f>TEXT(excelsalesdata[[#This Row],[Order_Date]],"mmm")</f>
        <v>Nov</v>
      </c>
      <c r="AD949" s="4" t="str">
        <f>"Q"&amp;ROUNDUP(MONTH(excelsalesdata[[#This Row],[Order_Date]])/3,0)</f>
        <v>Q4</v>
      </c>
    </row>
    <row r="950" spans="1:30" x14ac:dyDescent="0.35">
      <c r="A950" t="s">
        <v>1719</v>
      </c>
      <c r="B950" s="3">
        <v>46708</v>
      </c>
      <c r="C950" t="s">
        <v>878</v>
      </c>
      <c r="D950" t="s">
        <v>403</v>
      </c>
      <c r="E950" t="str">
        <f>TRIM(excelsalesdata[[#This Row],[Customer_Name]])</f>
        <v>Diya Iyer</v>
      </c>
      <c r="F950" t="s">
        <v>23</v>
      </c>
      <c r="G950">
        <v>39</v>
      </c>
      <c r="H950" t="s">
        <v>60</v>
      </c>
      <c r="I950" t="str">
        <f>TRIM(excelsalesdata[[#This Row],[City]])</f>
        <v>Chandigarh</v>
      </c>
      <c r="J950" t="s">
        <v>60</v>
      </c>
      <c r="K950" t="s">
        <v>61</v>
      </c>
      <c r="L950" t="s">
        <v>85</v>
      </c>
      <c r="M950" t="s">
        <v>172</v>
      </c>
      <c r="N950" t="s">
        <v>172</v>
      </c>
      <c r="O950">
        <v>3</v>
      </c>
      <c r="P950">
        <v>4660</v>
      </c>
      <c r="Q950">
        <v>0.15</v>
      </c>
      <c r="R950">
        <v>2700</v>
      </c>
      <c r="S950" t="s">
        <v>67</v>
      </c>
      <c r="T950" t="s">
        <v>81</v>
      </c>
      <c r="U950">
        <v>0</v>
      </c>
      <c r="V950" t="s">
        <v>40</v>
      </c>
      <c r="W950">
        <f>excelsalesdata[[#This Row],[Quantity]]*excelsalesdata[[#This Row],[Unit_Price]]</f>
        <v>13980</v>
      </c>
      <c r="X950">
        <f>excelsalesdata[[#This Row],[Gross_sales]]*excelsalesdata[[#This Row],[Discount_%]]</f>
        <v>2097</v>
      </c>
      <c r="Y950">
        <f>excelsalesdata[[#This Row],[Gross_sales]]-excelsalesdata[[#This Row],[Discount_amt]]</f>
        <v>11883</v>
      </c>
      <c r="Z950" s="4">
        <f>excelsalesdata[[#This Row],[Net_sales]]-excelsalesdata[[#This Row],[Cost]]</f>
        <v>9183</v>
      </c>
      <c r="AA950" s="5">
        <f>excelsalesdata[[#This Row],[Profit]]/excelsalesdata[[#This Row],[Net_sales]]</f>
        <v>0.772784650340823</v>
      </c>
      <c r="AB950" s="4">
        <f>YEAR(excelsalesdata[[#This Row],[Order_Date]])</f>
        <v>2027</v>
      </c>
      <c r="AC950" s="4" t="str">
        <f>TEXT(excelsalesdata[[#This Row],[Order_Date]],"mmm")</f>
        <v>Nov</v>
      </c>
      <c r="AD950" s="4" t="str">
        <f>"Q"&amp;ROUNDUP(MONTH(excelsalesdata[[#This Row],[Order_Date]])/3,0)</f>
        <v>Q4</v>
      </c>
    </row>
    <row r="951" spans="1:30" x14ac:dyDescent="0.35">
      <c r="A951" t="s">
        <v>1720</v>
      </c>
      <c r="B951" s="3">
        <v>46709</v>
      </c>
      <c r="C951" t="s">
        <v>1063</v>
      </c>
      <c r="D951" t="s">
        <v>382</v>
      </c>
      <c r="E951" t="str">
        <f>TRIM(excelsalesdata[[#This Row],[Customer_Name]])</f>
        <v>Rahul Sharma</v>
      </c>
      <c r="F951" t="s">
        <v>44</v>
      </c>
      <c r="G951">
        <v>35</v>
      </c>
      <c r="H951" t="s">
        <v>114</v>
      </c>
      <c r="I951" t="str">
        <f>TRIM(excelsalesdata[[#This Row],[City]])</f>
        <v>Hyderabad</v>
      </c>
      <c r="J951" t="s">
        <v>115</v>
      </c>
      <c r="K951" t="s">
        <v>47</v>
      </c>
      <c r="L951" t="s">
        <v>103</v>
      </c>
      <c r="M951" t="s">
        <v>312</v>
      </c>
      <c r="N951" t="s">
        <v>312</v>
      </c>
      <c r="O951">
        <v>2</v>
      </c>
      <c r="P951">
        <v>6030</v>
      </c>
      <c r="Q951">
        <v>0.1</v>
      </c>
      <c r="R951">
        <v>4160</v>
      </c>
      <c r="S951" t="s">
        <v>80</v>
      </c>
      <c r="T951" t="s">
        <v>30</v>
      </c>
      <c r="U951">
        <v>3</v>
      </c>
      <c r="V951" t="s">
        <v>40</v>
      </c>
      <c r="W951">
        <f>excelsalesdata[[#This Row],[Quantity]]*excelsalesdata[[#This Row],[Unit_Price]]</f>
        <v>12060</v>
      </c>
      <c r="X951">
        <f>excelsalesdata[[#This Row],[Gross_sales]]*excelsalesdata[[#This Row],[Discount_%]]</f>
        <v>1206</v>
      </c>
      <c r="Y951">
        <f>excelsalesdata[[#This Row],[Gross_sales]]-excelsalesdata[[#This Row],[Discount_amt]]</f>
        <v>10854</v>
      </c>
      <c r="Z951" s="4">
        <f>excelsalesdata[[#This Row],[Net_sales]]-excelsalesdata[[#This Row],[Cost]]</f>
        <v>6694</v>
      </c>
      <c r="AA951" s="5">
        <f>excelsalesdata[[#This Row],[Profit]]/excelsalesdata[[#This Row],[Net_sales]]</f>
        <v>0.6167311590197162</v>
      </c>
      <c r="AB951" s="4">
        <f>YEAR(excelsalesdata[[#This Row],[Order_Date]])</f>
        <v>2027</v>
      </c>
      <c r="AC951" s="4" t="str">
        <f>TEXT(excelsalesdata[[#This Row],[Order_Date]],"mmm")</f>
        <v>Nov</v>
      </c>
      <c r="AD951" s="4" t="str">
        <f>"Q"&amp;ROUNDUP(MONTH(excelsalesdata[[#This Row],[Order_Date]])/3,0)</f>
        <v>Q4</v>
      </c>
    </row>
    <row r="952" spans="1:30" x14ac:dyDescent="0.35">
      <c r="A952" t="s">
        <v>1721</v>
      </c>
      <c r="B952" s="3">
        <v>46710</v>
      </c>
      <c r="C952" t="s">
        <v>628</v>
      </c>
      <c r="D952" t="s">
        <v>1013</v>
      </c>
      <c r="E952" t="str">
        <f>TRIM(excelsalesdata[[#This Row],[Customer_Name]])</f>
        <v>Aarav Mehta</v>
      </c>
      <c r="F952" t="s">
        <v>23</v>
      </c>
      <c r="G952">
        <v>46</v>
      </c>
      <c r="H952" t="s">
        <v>52</v>
      </c>
      <c r="I952" t="str">
        <f>TRIM(excelsalesdata[[#This Row],[City]])</f>
        <v>Bengaluru</v>
      </c>
      <c r="J952" t="s">
        <v>53</v>
      </c>
      <c r="K952" t="s">
        <v>47</v>
      </c>
      <c r="L952" t="s">
        <v>27</v>
      </c>
      <c r="M952" t="s">
        <v>48</v>
      </c>
      <c r="N952" t="s">
        <v>48</v>
      </c>
      <c r="O952">
        <v>3</v>
      </c>
      <c r="P952">
        <v>920</v>
      </c>
      <c r="Q952">
        <v>0.05</v>
      </c>
      <c r="R952">
        <v>430</v>
      </c>
      <c r="S952" t="s">
        <v>29</v>
      </c>
      <c r="T952" t="s">
        <v>30</v>
      </c>
      <c r="U952">
        <v>5</v>
      </c>
      <c r="V952" t="s">
        <v>31</v>
      </c>
      <c r="W952">
        <f>excelsalesdata[[#This Row],[Quantity]]*excelsalesdata[[#This Row],[Unit_Price]]</f>
        <v>2760</v>
      </c>
      <c r="X952">
        <f>excelsalesdata[[#This Row],[Gross_sales]]*excelsalesdata[[#This Row],[Discount_%]]</f>
        <v>138</v>
      </c>
      <c r="Y952">
        <f>excelsalesdata[[#This Row],[Gross_sales]]-excelsalesdata[[#This Row],[Discount_amt]]</f>
        <v>2622</v>
      </c>
      <c r="Z952" s="4">
        <f>excelsalesdata[[#This Row],[Net_sales]]-excelsalesdata[[#This Row],[Cost]]</f>
        <v>2192</v>
      </c>
      <c r="AA952" s="5">
        <f>excelsalesdata[[#This Row],[Profit]]/excelsalesdata[[#This Row],[Net_sales]]</f>
        <v>0.83600305110602591</v>
      </c>
      <c r="AB952" s="4">
        <f>YEAR(excelsalesdata[[#This Row],[Order_Date]])</f>
        <v>2027</v>
      </c>
      <c r="AC952" s="4" t="str">
        <f>TEXT(excelsalesdata[[#This Row],[Order_Date]],"mmm")</f>
        <v>Nov</v>
      </c>
      <c r="AD952" s="4" t="str">
        <f>"Q"&amp;ROUNDUP(MONTH(excelsalesdata[[#This Row],[Order_Date]])/3,0)</f>
        <v>Q4</v>
      </c>
    </row>
    <row r="953" spans="1:30" x14ac:dyDescent="0.35">
      <c r="A953" t="s">
        <v>1722</v>
      </c>
      <c r="B953" s="3">
        <v>46711</v>
      </c>
      <c r="C953" t="s">
        <v>671</v>
      </c>
      <c r="D953" t="s">
        <v>426</v>
      </c>
      <c r="E953" t="str">
        <f>TRIM(excelsalesdata[[#This Row],[Customer_Name]])</f>
        <v>Kavya Verma</v>
      </c>
      <c r="F953" t="s">
        <v>44</v>
      </c>
      <c r="G953">
        <v>41</v>
      </c>
      <c r="H953" t="s">
        <v>185</v>
      </c>
      <c r="I953" t="str">
        <f>TRIM(excelsalesdata[[#This Row],[City]])</f>
        <v>Lucknow</v>
      </c>
      <c r="J953" t="s">
        <v>186</v>
      </c>
      <c r="K953" t="s">
        <v>61</v>
      </c>
      <c r="L953" t="s">
        <v>38</v>
      </c>
      <c r="M953" t="s">
        <v>119</v>
      </c>
      <c r="N953" t="s">
        <v>119</v>
      </c>
      <c r="O953">
        <v>4</v>
      </c>
      <c r="P953">
        <v>9090</v>
      </c>
      <c r="Q953">
        <v>0.1</v>
      </c>
      <c r="R953">
        <v>5730</v>
      </c>
      <c r="S953" t="s">
        <v>56</v>
      </c>
      <c r="T953" t="s">
        <v>30</v>
      </c>
      <c r="U953">
        <v>1</v>
      </c>
      <c r="V953" t="s">
        <v>40</v>
      </c>
      <c r="W953">
        <f>excelsalesdata[[#This Row],[Quantity]]*excelsalesdata[[#This Row],[Unit_Price]]</f>
        <v>36360</v>
      </c>
      <c r="X953">
        <f>excelsalesdata[[#This Row],[Gross_sales]]*excelsalesdata[[#This Row],[Discount_%]]</f>
        <v>3636</v>
      </c>
      <c r="Y953">
        <f>excelsalesdata[[#This Row],[Gross_sales]]-excelsalesdata[[#This Row],[Discount_amt]]</f>
        <v>32724</v>
      </c>
      <c r="Z953" s="4">
        <f>excelsalesdata[[#This Row],[Net_sales]]-excelsalesdata[[#This Row],[Cost]]</f>
        <v>26994</v>
      </c>
      <c r="AA953" s="5">
        <f>excelsalesdata[[#This Row],[Profit]]/excelsalesdata[[#This Row],[Net_sales]]</f>
        <v>0.82489915658232493</v>
      </c>
      <c r="AB953" s="4">
        <f>YEAR(excelsalesdata[[#This Row],[Order_Date]])</f>
        <v>2027</v>
      </c>
      <c r="AC953" s="4" t="str">
        <f>TEXT(excelsalesdata[[#This Row],[Order_Date]],"mmm")</f>
        <v>Nov</v>
      </c>
      <c r="AD953" s="4" t="str">
        <f>"Q"&amp;ROUNDUP(MONTH(excelsalesdata[[#This Row],[Order_Date]])/3,0)</f>
        <v>Q4</v>
      </c>
    </row>
    <row r="954" spans="1:30" x14ac:dyDescent="0.35">
      <c r="A954" t="s">
        <v>1723</v>
      </c>
      <c r="B954" s="3">
        <v>46712</v>
      </c>
      <c r="C954" t="s">
        <v>236</v>
      </c>
      <c r="D954" t="s">
        <v>385</v>
      </c>
      <c r="E954" t="str">
        <f>TRIM(excelsalesdata[[#This Row],[Customer_Name]])</f>
        <v>Diya Verma</v>
      </c>
      <c r="F954" t="s">
        <v>23</v>
      </c>
      <c r="G954">
        <v>34</v>
      </c>
      <c r="H954" t="s">
        <v>71</v>
      </c>
      <c r="I954" t="str">
        <f>TRIM(excelsalesdata[[#This Row],[City]])</f>
        <v>Bhubaneswar</v>
      </c>
      <c r="J954" t="s">
        <v>72</v>
      </c>
      <c r="K954" t="s">
        <v>37</v>
      </c>
      <c r="L954" t="s">
        <v>54</v>
      </c>
      <c r="M954" t="s">
        <v>55</v>
      </c>
      <c r="N954" t="s">
        <v>55</v>
      </c>
      <c r="O954">
        <v>1</v>
      </c>
      <c r="P954">
        <v>6470</v>
      </c>
      <c r="Q954">
        <v>0</v>
      </c>
      <c r="R954">
        <v>4350</v>
      </c>
      <c r="S954" t="s">
        <v>29</v>
      </c>
      <c r="T954" t="s">
        <v>30</v>
      </c>
      <c r="U954">
        <v>5</v>
      </c>
      <c r="V954" t="s">
        <v>40</v>
      </c>
      <c r="W954">
        <f>excelsalesdata[[#This Row],[Quantity]]*excelsalesdata[[#This Row],[Unit_Price]]</f>
        <v>6470</v>
      </c>
      <c r="X954">
        <f>excelsalesdata[[#This Row],[Gross_sales]]*excelsalesdata[[#This Row],[Discount_%]]</f>
        <v>0</v>
      </c>
      <c r="Y954">
        <f>excelsalesdata[[#This Row],[Gross_sales]]-excelsalesdata[[#This Row],[Discount_amt]]</f>
        <v>6470</v>
      </c>
      <c r="Z954" s="4">
        <f>excelsalesdata[[#This Row],[Net_sales]]-excelsalesdata[[#This Row],[Cost]]</f>
        <v>2120</v>
      </c>
      <c r="AA954" s="5">
        <f>excelsalesdata[[#This Row],[Profit]]/excelsalesdata[[#This Row],[Net_sales]]</f>
        <v>0.32766615146831529</v>
      </c>
      <c r="AB954" s="4">
        <f>YEAR(excelsalesdata[[#This Row],[Order_Date]])</f>
        <v>2027</v>
      </c>
      <c r="AC954" s="4" t="str">
        <f>TEXT(excelsalesdata[[#This Row],[Order_Date]],"mmm")</f>
        <v>Nov</v>
      </c>
      <c r="AD954" s="4" t="str">
        <f>"Q"&amp;ROUNDUP(MONTH(excelsalesdata[[#This Row],[Order_Date]])/3,0)</f>
        <v>Q4</v>
      </c>
    </row>
    <row r="955" spans="1:30" x14ac:dyDescent="0.35">
      <c r="A955" t="s">
        <v>1724</v>
      </c>
      <c r="B955" s="3">
        <v>46713</v>
      </c>
      <c r="C955" t="s">
        <v>722</v>
      </c>
      <c r="D955" t="s">
        <v>591</v>
      </c>
      <c r="E955" t="str">
        <f>TRIM(excelsalesdata[[#This Row],[Customer_Name]])</f>
        <v>Ishita Rao</v>
      </c>
      <c r="F955" t="s">
        <v>44</v>
      </c>
      <c r="G955">
        <v>57</v>
      </c>
      <c r="H955" t="s">
        <v>52</v>
      </c>
      <c r="I955" t="str">
        <f>TRIM(excelsalesdata[[#This Row],[City]])</f>
        <v>Bengaluru</v>
      </c>
      <c r="J955" t="s">
        <v>53</v>
      </c>
      <c r="K955" t="s">
        <v>47</v>
      </c>
      <c r="L955" t="s">
        <v>54</v>
      </c>
      <c r="M955" t="s">
        <v>66</v>
      </c>
      <c r="N955" t="s">
        <v>66</v>
      </c>
      <c r="O955">
        <v>1</v>
      </c>
      <c r="P955">
        <v>2520</v>
      </c>
      <c r="Q955">
        <v>0.1</v>
      </c>
      <c r="R955">
        <v>1470</v>
      </c>
      <c r="S955" t="s">
        <v>56</v>
      </c>
      <c r="T955" t="s">
        <v>30</v>
      </c>
      <c r="U955">
        <v>3</v>
      </c>
      <c r="V955" t="s">
        <v>40</v>
      </c>
      <c r="W955">
        <f>excelsalesdata[[#This Row],[Quantity]]*excelsalesdata[[#This Row],[Unit_Price]]</f>
        <v>2520</v>
      </c>
      <c r="X955">
        <f>excelsalesdata[[#This Row],[Gross_sales]]*excelsalesdata[[#This Row],[Discount_%]]</f>
        <v>252</v>
      </c>
      <c r="Y955">
        <f>excelsalesdata[[#This Row],[Gross_sales]]-excelsalesdata[[#This Row],[Discount_amt]]</f>
        <v>2268</v>
      </c>
      <c r="Z955" s="4">
        <f>excelsalesdata[[#This Row],[Net_sales]]-excelsalesdata[[#This Row],[Cost]]</f>
        <v>798</v>
      </c>
      <c r="AA955" s="5">
        <f>excelsalesdata[[#This Row],[Profit]]/excelsalesdata[[#This Row],[Net_sales]]</f>
        <v>0.35185185185185186</v>
      </c>
      <c r="AB955" s="4">
        <f>YEAR(excelsalesdata[[#This Row],[Order_Date]])</f>
        <v>2027</v>
      </c>
      <c r="AC955" s="4" t="str">
        <f>TEXT(excelsalesdata[[#This Row],[Order_Date]],"mmm")</f>
        <v>Nov</v>
      </c>
      <c r="AD955" s="4" t="str">
        <f>"Q"&amp;ROUNDUP(MONTH(excelsalesdata[[#This Row],[Order_Date]])/3,0)</f>
        <v>Q4</v>
      </c>
    </row>
    <row r="956" spans="1:30" x14ac:dyDescent="0.35">
      <c r="A956" t="s">
        <v>1725</v>
      </c>
      <c r="B956" s="3">
        <v>46714</v>
      </c>
      <c r="C956" t="s">
        <v>940</v>
      </c>
      <c r="D956" t="s">
        <v>479</v>
      </c>
      <c r="E956" t="str">
        <f>TRIM(excelsalesdata[[#This Row],[Customer_Name]])</f>
        <v>Karan Kumar</v>
      </c>
      <c r="F956" t="s">
        <v>23</v>
      </c>
      <c r="G956">
        <v>20</v>
      </c>
      <c r="H956" t="s">
        <v>35</v>
      </c>
      <c r="I956" t="str">
        <f>TRIM(excelsalesdata[[#This Row],[City]])</f>
        <v>Kolkata</v>
      </c>
      <c r="J956" t="s">
        <v>36</v>
      </c>
      <c r="K956" t="s">
        <v>37</v>
      </c>
      <c r="L956" t="s">
        <v>103</v>
      </c>
      <c r="M956" t="s">
        <v>178</v>
      </c>
      <c r="N956" t="s">
        <v>178</v>
      </c>
      <c r="O956">
        <v>1</v>
      </c>
      <c r="P956">
        <v>1710</v>
      </c>
      <c r="Q956">
        <v>0.15</v>
      </c>
      <c r="R956">
        <v>960</v>
      </c>
      <c r="S956" t="s">
        <v>29</v>
      </c>
      <c r="T956" t="s">
        <v>30</v>
      </c>
      <c r="U956">
        <v>2</v>
      </c>
      <c r="V956" t="s">
        <v>40</v>
      </c>
      <c r="W956">
        <f>excelsalesdata[[#This Row],[Quantity]]*excelsalesdata[[#This Row],[Unit_Price]]</f>
        <v>1710</v>
      </c>
      <c r="X956">
        <f>excelsalesdata[[#This Row],[Gross_sales]]*excelsalesdata[[#This Row],[Discount_%]]</f>
        <v>256.5</v>
      </c>
      <c r="Y956">
        <f>excelsalesdata[[#This Row],[Gross_sales]]-excelsalesdata[[#This Row],[Discount_amt]]</f>
        <v>1453.5</v>
      </c>
      <c r="Z956" s="4">
        <f>excelsalesdata[[#This Row],[Net_sales]]-excelsalesdata[[#This Row],[Cost]]</f>
        <v>493.5</v>
      </c>
      <c r="AA956" s="5">
        <f>excelsalesdata[[#This Row],[Profit]]/excelsalesdata[[#This Row],[Net_sales]]</f>
        <v>0.33952528379772962</v>
      </c>
      <c r="AB956" s="4">
        <f>YEAR(excelsalesdata[[#This Row],[Order_Date]])</f>
        <v>2027</v>
      </c>
      <c r="AC956" s="4" t="str">
        <f>TEXT(excelsalesdata[[#This Row],[Order_Date]],"mmm")</f>
        <v>Nov</v>
      </c>
      <c r="AD956" s="4" t="str">
        <f>"Q"&amp;ROUNDUP(MONTH(excelsalesdata[[#This Row],[Order_Date]])/3,0)</f>
        <v>Q4</v>
      </c>
    </row>
    <row r="957" spans="1:30" x14ac:dyDescent="0.35">
      <c r="A957" t="s">
        <v>1726</v>
      </c>
      <c r="B957" s="3">
        <v>46715</v>
      </c>
      <c r="C957" t="s">
        <v>728</v>
      </c>
      <c r="D957" t="s">
        <v>591</v>
      </c>
      <c r="E957" t="str">
        <f>TRIM(excelsalesdata[[#This Row],[Customer_Name]])</f>
        <v>Ishita Rao</v>
      </c>
      <c r="F957" t="s">
        <v>44</v>
      </c>
      <c r="G957">
        <v>18</v>
      </c>
      <c r="H957" t="s">
        <v>78</v>
      </c>
      <c r="I957" t="str">
        <f>TRIM(excelsalesdata[[#This Row],[City]])</f>
        <v>Guwahati</v>
      </c>
      <c r="J957" t="s">
        <v>79</v>
      </c>
      <c r="K957" t="s">
        <v>37</v>
      </c>
      <c r="L957" t="s">
        <v>93</v>
      </c>
      <c r="M957" t="s">
        <v>94</v>
      </c>
      <c r="N957" t="s">
        <v>94</v>
      </c>
      <c r="O957">
        <v>2</v>
      </c>
      <c r="P957">
        <v>490</v>
      </c>
      <c r="Q957">
        <v>0.05</v>
      </c>
      <c r="R957">
        <v>220</v>
      </c>
      <c r="S957" t="s">
        <v>151</v>
      </c>
      <c r="T957" t="s">
        <v>81</v>
      </c>
      <c r="U957">
        <v>0</v>
      </c>
      <c r="V957" t="s">
        <v>40</v>
      </c>
      <c r="W957">
        <f>excelsalesdata[[#This Row],[Quantity]]*excelsalesdata[[#This Row],[Unit_Price]]</f>
        <v>980</v>
      </c>
      <c r="X957">
        <f>excelsalesdata[[#This Row],[Gross_sales]]*excelsalesdata[[#This Row],[Discount_%]]</f>
        <v>49</v>
      </c>
      <c r="Y957">
        <f>excelsalesdata[[#This Row],[Gross_sales]]-excelsalesdata[[#This Row],[Discount_amt]]</f>
        <v>931</v>
      </c>
      <c r="Z957" s="4">
        <f>excelsalesdata[[#This Row],[Net_sales]]-excelsalesdata[[#This Row],[Cost]]</f>
        <v>711</v>
      </c>
      <c r="AA957" s="5">
        <f>excelsalesdata[[#This Row],[Profit]]/excelsalesdata[[#This Row],[Net_sales]]</f>
        <v>0.76369495166487644</v>
      </c>
      <c r="AB957" s="4">
        <f>YEAR(excelsalesdata[[#This Row],[Order_Date]])</f>
        <v>2027</v>
      </c>
      <c r="AC957" s="4" t="str">
        <f>TEXT(excelsalesdata[[#This Row],[Order_Date]],"mmm")</f>
        <v>Nov</v>
      </c>
      <c r="AD957" s="4" t="str">
        <f>"Q"&amp;ROUNDUP(MONTH(excelsalesdata[[#This Row],[Order_Date]])/3,0)</f>
        <v>Q4</v>
      </c>
    </row>
    <row r="958" spans="1:30" x14ac:dyDescent="0.35">
      <c r="A958" t="s">
        <v>1727</v>
      </c>
      <c r="B958" s="3">
        <v>46716</v>
      </c>
      <c r="C958" t="s">
        <v>1728</v>
      </c>
      <c r="D958" t="s">
        <v>933</v>
      </c>
      <c r="E958" t="str">
        <f>TRIM(excelsalesdata[[#This Row],[Customer_Name]])</f>
        <v>Sneha Patel</v>
      </c>
      <c r="F958" t="s">
        <v>44</v>
      </c>
      <c r="G958">
        <v>42</v>
      </c>
      <c r="H958" t="s">
        <v>52</v>
      </c>
      <c r="I958" t="str">
        <f>TRIM(excelsalesdata[[#This Row],[City]])</f>
        <v>Bengaluru</v>
      </c>
      <c r="J958" t="s">
        <v>53</v>
      </c>
      <c r="K958" t="s">
        <v>47</v>
      </c>
      <c r="L958" t="s">
        <v>54</v>
      </c>
      <c r="M958" t="s">
        <v>62</v>
      </c>
      <c r="N958" t="s">
        <v>62</v>
      </c>
      <c r="O958">
        <v>3</v>
      </c>
      <c r="P958">
        <v>22930</v>
      </c>
      <c r="Q958">
        <v>0</v>
      </c>
      <c r="R958">
        <v>15640</v>
      </c>
      <c r="S958" t="s">
        <v>67</v>
      </c>
      <c r="T958" t="s">
        <v>30</v>
      </c>
      <c r="U958">
        <v>3</v>
      </c>
      <c r="V958" t="s">
        <v>40</v>
      </c>
      <c r="W958">
        <f>excelsalesdata[[#This Row],[Quantity]]*excelsalesdata[[#This Row],[Unit_Price]]</f>
        <v>68790</v>
      </c>
      <c r="X958">
        <f>excelsalesdata[[#This Row],[Gross_sales]]*excelsalesdata[[#This Row],[Discount_%]]</f>
        <v>0</v>
      </c>
      <c r="Y958">
        <f>excelsalesdata[[#This Row],[Gross_sales]]-excelsalesdata[[#This Row],[Discount_amt]]</f>
        <v>68790</v>
      </c>
      <c r="Z958" s="4">
        <f>excelsalesdata[[#This Row],[Net_sales]]-excelsalesdata[[#This Row],[Cost]]</f>
        <v>53150</v>
      </c>
      <c r="AA958" s="5">
        <f>excelsalesdata[[#This Row],[Profit]]/excelsalesdata[[#This Row],[Net_sales]]</f>
        <v>0.77264137229248442</v>
      </c>
      <c r="AB958" s="4">
        <f>YEAR(excelsalesdata[[#This Row],[Order_Date]])</f>
        <v>2027</v>
      </c>
      <c r="AC958" s="4" t="str">
        <f>TEXT(excelsalesdata[[#This Row],[Order_Date]],"mmm")</f>
        <v>Nov</v>
      </c>
      <c r="AD958" s="4" t="str">
        <f>"Q"&amp;ROUNDUP(MONTH(excelsalesdata[[#This Row],[Order_Date]])/3,0)</f>
        <v>Q4</v>
      </c>
    </row>
    <row r="959" spans="1:30" x14ac:dyDescent="0.35">
      <c r="A959" t="s">
        <v>1729</v>
      </c>
      <c r="B959" s="3">
        <v>46717</v>
      </c>
      <c r="C959" t="s">
        <v>609</v>
      </c>
      <c r="D959" t="s">
        <v>1235</v>
      </c>
      <c r="E959" t="str">
        <f>TRIM(excelsalesdata[[#This Row],[Customer_Name]])</f>
        <v>Priya Nair</v>
      </c>
      <c r="F959" t="s">
        <v>44</v>
      </c>
      <c r="G959">
        <v>53</v>
      </c>
      <c r="H959" t="s">
        <v>52</v>
      </c>
      <c r="I959" t="str">
        <f>TRIM(excelsalesdata[[#This Row],[City]])</f>
        <v>Bengaluru</v>
      </c>
      <c r="J959" t="s">
        <v>53</v>
      </c>
      <c r="K959" t="s">
        <v>47</v>
      </c>
      <c r="L959" t="s">
        <v>27</v>
      </c>
      <c r="M959" t="s">
        <v>28</v>
      </c>
      <c r="N959" t="s">
        <v>28</v>
      </c>
      <c r="O959">
        <v>1</v>
      </c>
      <c r="P959">
        <v>3660</v>
      </c>
      <c r="Q959">
        <v>0.25</v>
      </c>
      <c r="R959">
        <v>2080</v>
      </c>
      <c r="S959" t="s">
        <v>80</v>
      </c>
      <c r="T959" t="s">
        <v>30</v>
      </c>
      <c r="U959">
        <v>4</v>
      </c>
      <c r="V959" t="s">
        <v>40</v>
      </c>
      <c r="W959">
        <f>excelsalesdata[[#This Row],[Quantity]]*excelsalesdata[[#This Row],[Unit_Price]]</f>
        <v>3660</v>
      </c>
      <c r="X959">
        <f>excelsalesdata[[#This Row],[Gross_sales]]*excelsalesdata[[#This Row],[Discount_%]]</f>
        <v>915</v>
      </c>
      <c r="Y959">
        <f>excelsalesdata[[#This Row],[Gross_sales]]-excelsalesdata[[#This Row],[Discount_amt]]</f>
        <v>2745</v>
      </c>
      <c r="Z959" s="4">
        <f>excelsalesdata[[#This Row],[Net_sales]]-excelsalesdata[[#This Row],[Cost]]</f>
        <v>665</v>
      </c>
      <c r="AA959" s="5">
        <f>excelsalesdata[[#This Row],[Profit]]/excelsalesdata[[#This Row],[Net_sales]]</f>
        <v>0.24225865209471767</v>
      </c>
      <c r="AB959" s="4">
        <f>YEAR(excelsalesdata[[#This Row],[Order_Date]])</f>
        <v>2027</v>
      </c>
      <c r="AC959" s="4" t="str">
        <f>TEXT(excelsalesdata[[#This Row],[Order_Date]],"mmm")</f>
        <v>Nov</v>
      </c>
      <c r="AD959" s="4" t="str">
        <f>"Q"&amp;ROUNDUP(MONTH(excelsalesdata[[#This Row],[Order_Date]])/3,0)</f>
        <v>Q4</v>
      </c>
    </row>
    <row r="960" spans="1:30" x14ac:dyDescent="0.35">
      <c r="A960" t="s">
        <v>1730</v>
      </c>
      <c r="B960" s="3">
        <v>46718</v>
      </c>
      <c r="C960" t="s">
        <v>818</v>
      </c>
      <c r="D960" t="s">
        <v>664</v>
      </c>
      <c r="E960" t="str">
        <f>TRIM(excelsalesdata[[#This Row],[Customer_Name]])</f>
        <v>Ishita Reddy</v>
      </c>
      <c r="F960" t="s">
        <v>23</v>
      </c>
      <c r="G960">
        <v>39</v>
      </c>
      <c r="H960" t="s">
        <v>109</v>
      </c>
      <c r="I960" t="str">
        <f>TRIM(excelsalesdata[[#This Row],[City]])</f>
        <v>Mysuru</v>
      </c>
      <c r="J960" t="s">
        <v>53</v>
      </c>
      <c r="K960" t="s">
        <v>47</v>
      </c>
      <c r="L960" t="s">
        <v>103</v>
      </c>
      <c r="M960" t="s">
        <v>104</v>
      </c>
      <c r="N960" t="s">
        <v>104</v>
      </c>
      <c r="O960">
        <v>1</v>
      </c>
      <c r="P960">
        <v>8300</v>
      </c>
      <c r="Q960">
        <v>0.05</v>
      </c>
      <c r="R960">
        <v>5530</v>
      </c>
      <c r="S960" t="s">
        <v>80</v>
      </c>
      <c r="T960" t="s">
        <v>30</v>
      </c>
      <c r="U960">
        <v>4</v>
      </c>
      <c r="V960" t="s">
        <v>40</v>
      </c>
      <c r="W960">
        <f>excelsalesdata[[#This Row],[Quantity]]*excelsalesdata[[#This Row],[Unit_Price]]</f>
        <v>8300</v>
      </c>
      <c r="X960">
        <f>excelsalesdata[[#This Row],[Gross_sales]]*excelsalesdata[[#This Row],[Discount_%]]</f>
        <v>415</v>
      </c>
      <c r="Y960">
        <f>excelsalesdata[[#This Row],[Gross_sales]]-excelsalesdata[[#This Row],[Discount_amt]]</f>
        <v>7885</v>
      </c>
      <c r="Z960" s="4">
        <f>excelsalesdata[[#This Row],[Net_sales]]-excelsalesdata[[#This Row],[Cost]]</f>
        <v>2355</v>
      </c>
      <c r="AA960" s="5">
        <f>excelsalesdata[[#This Row],[Profit]]/excelsalesdata[[#This Row],[Net_sales]]</f>
        <v>0.29866835764109068</v>
      </c>
      <c r="AB960" s="4">
        <f>YEAR(excelsalesdata[[#This Row],[Order_Date]])</f>
        <v>2027</v>
      </c>
      <c r="AC960" s="4" t="str">
        <f>TEXT(excelsalesdata[[#This Row],[Order_Date]],"mmm")</f>
        <v>Nov</v>
      </c>
      <c r="AD960" s="4" t="str">
        <f>"Q"&amp;ROUNDUP(MONTH(excelsalesdata[[#This Row],[Order_Date]])/3,0)</f>
        <v>Q4</v>
      </c>
    </row>
    <row r="961" spans="1:30" x14ac:dyDescent="0.35">
      <c r="A961" t="s">
        <v>1731</v>
      </c>
      <c r="B961" s="3">
        <v>46719</v>
      </c>
      <c r="C961" t="s">
        <v>351</v>
      </c>
      <c r="D961" t="s">
        <v>1202</v>
      </c>
      <c r="E961" t="str">
        <f>TRIM(excelsalesdata[[#This Row],[Customer_Name]])</f>
        <v>Ishita Naidu</v>
      </c>
      <c r="F961" t="s">
        <v>44</v>
      </c>
      <c r="G961">
        <v>27</v>
      </c>
      <c r="H961" t="s">
        <v>52</v>
      </c>
      <c r="I961" t="str">
        <f>TRIM(excelsalesdata[[#This Row],[City]])</f>
        <v>Bengaluru</v>
      </c>
      <c r="J961" t="s">
        <v>53</v>
      </c>
      <c r="K961" t="s">
        <v>47</v>
      </c>
      <c r="L961" t="s">
        <v>27</v>
      </c>
      <c r="M961" t="s">
        <v>195</v>
      </c>
      <c r="N961" t="s">
        <v>195</v>
      </c>
      <c r="O961">
        <v>5</v>
      </c>
      <c r="P961">
        <v>2300</v>
      </c>
      <c r="Q961">
        <v>0.1</v>
      </c>
      <c r="R961">
        <v>1250</v>
      </c>
      <c r="S961" t="s">
        <v>29</v>
      </c>
      <c r="T961" t="s">
        <v>30</v>
      </c>
      <c r="U961">
        <v>4</v>
      </c>
      <c r="V961" t="s">
        <v>40</v>
      </c>
      <c r="W961">
        <f>excelsalesdata[[#This Row],[Quantity]]*excelsalesdata[[#This Row],[Unit_Price]]</f>
        <v>11500</v>
      </c>
      <c r="X961">
        <f>excelsalesdata[[#This Row],[Gross_sales]]*excelsalesdata[[#This Row],[Discount_%]]</f>
        <v>1150</v>
      </c>
      <c r="Y961">
        <f>excelsalesdata[[#This Row],[Gross_sales]]-excelsalesdata[[#This Row],[Discount_amt]]</f>
        <v>10350</v>
      </c>
      <c r="Z961" s="4">
        <f>excelsalesdata[[#This Row],[Net_sales]]-excelsalesdata[[#This Row],[Cost]]</f>
        <v>9100</v>
      </c>
      <c r="AA961" s="5">
        <f>excelsalesdata[[#This Row],[Profit]]/excelsalesdata[[#This Row],[Net_sales]]</f>
        <v>0.87922705314009664</v>
      </c>
      <c r="AB961" s="4">
        <f>YEAR(excelsalesdata[[#This Row],[Order_Date]])</f>
        <v>2027</v>
      </c>
      <c r="AC961" s="4" t="str">
        <f>TEXT(excelsalesdata[[#This Row],[Order_Date]],"mmm")</f>
        <v>Nov</v>
      </c>
      <c r="AD961" s="4" t="str">
        <f>"Q"&amp;ROUNDUP(MONTH(excelsalesdata[[#This Row],[Order_Date]])/3,0)</f>
        <v>Q4</v>
      </c>
    </row>
    <row r="962" spans="1:30" x14ac:dyDescent="0.35">
      <c r="A962" t="s">
        <v>1732</v>
      </c>
      <c r="B962" s="3">
        <v>46720</v>
      </c>
      <c r="C962" t="s">
        <v>509</v>
      </c>
      <c r="D962" t="s">
        <v>937</v>
      </c>
      <c r="E962" t="str">
        <f>TRIM(excelsalesdata[[#This Row],[Customer_Name]])</f>
        <v>Vikram Singh</v>
      </c>
      <c r="F962" t="s">
        <v>23</v>
      </c>
      <c r="G962">
        <v>20</v>
      </c>
      <c r="H962" t="s">
        <v>185</v>
      </c>
      <c r="I962" t="str">
        <f>TRIM(excelsalesdata[[#This Row],[City]])</f>
        <v>Lucknow</v>
      </c>
      <c r="J962" t="s">
        <v>186</v>
      </c>
      <c r="K962" t="s">
        <v>61</v>
      </c>
      <c r="L962" t="s">
        <v>38</v>
      </c>
      <c r="M962" t="s">
        <v>73</v>
      </c>
      <c r="N962" t="s">
        <v>73</v>
      </c>
      <c r="O962">
        <v>1</v>
      </c>
      <c r="P962">
        <v>5120</v>
      </c>
      <c r="Q962">
        <v>0.2</v>
      </c>
      <c r="R962">
        <v>3340</v>
      </c>
      <c r="S962" t="s">
        <v>56</v>
      </c>
      <c r="T962" t="s">
        <v>30</v>
      </c>
      <c r="U962">
        <v>2</v>
      </c>
      <c r="V962" t="s">
        <v>40</v>
      </c>
      <c r="W962">
        <f>excelsalesdata[[#This Row],[Quantity]]*excelsalesdata[[#This Row],[Unit_Price]]</f>
        <v>5120</v>
      </c>
      <c r="X962">
        <f>excelsalesdata[[#This Row],[Gross_sales]]*excelsalesdata[[#This Row],[Discount_%]]</f>
        <v>1024</v>
      </c>
      <c r="Y962">
        <f>excelsalesdata[[#This Row],[Gross_sales]]-excelsalesdata[[#This Row],[Discount_amt]]</f>
        <v>4096</v>
      </c>
      <c r="Z962" s="4">
        <f>excelsalesdata[[#This Row],[Net_sales]]-excelsalesdata[[#This Row],[Cost]]</f>
        <v>756</v>
      </c>
      <c r="AA962" s="5">
        <f>excelsalesdata[[#This Row],[Profit]]/excelsalesdata[[#This Row],[Net_sales]]</f>
        <v>0.1845703125</v>
      </c>
      <c r="AB962" s="4">
        <f>YEAR(excelsalesdata[[#This Row],[Order_Date]])</f>
        <v>2027</v>
      </c>
      <c r="AC962" s="4" t="str">
        <f>TEXT(excelsalesdata[[#This Row],[Order_Date]],"mmm")</f>
        <v>Nov</v>
      </c>
      <c r="AD962" s="4" t="str">
        <f>"Q"&amp;ROUNDUP(MONTH(excelsalesdata[[#This Row],[Order_Date]])/3,0)</f>
        <v>Q4</v>
      </c>
    </row>
    <row r="963" spans="1:30" x14ac:dyDescent="0.35">
      <c r="A963" t="s">
        <v>1733</v>
      </c>
      <c r="B963" s="3">
        <v>46721</v>
      </c>
      <c r="C963" t="s">
        <v>361</v>
      </c>
      <c r="D963" t="s">
        <v>1703</v>
      </c>
      <c r="E963" t="str">
        <f>TRIM(excelsalesdata[[#This Row],[Customer_Name]])</f>
        <v>Meera Patel</v>
      </c>
      <c r="F963" t="s">
        <v>23</v>
      </c>
      <c r="G963">
        <v>38</v>
      </c>
      <c r="H963" t="s">
        <v>114</v>
      </c>
      <c r="I963" t="str">
        <f>TRIM(excelsalesdata[[#This Row],[City]])</f>
        <v>Hyderabad</v>
      </c>
      <c r="J963" t="s">
        <v>115</v>
      </c>
      <c r="K963" t="s">
        <v>47</v>
      </c>
      <c r="L963" t="s">
        <v>103</v>
      </c>
      <c r="M963" t="s">
        <v>178</v>
      </c>
      <c r="N963" t="s">
        <v>178</v>
      </c>
      <c r="O963">
        <v>2</v>
      </c>
      <c r="P963">
        <v>1910</v>
      </c>
      <c r="Q963">
        <v>0.1</v>
      </c>
      <c r="R963">
        <v>910</v>
      </c>
      <c r="S963" t="s">
        <v>56</v>
      </c>
      <c r="T963" t="s">
        <v>30</v>
      </c>
      <c r="U963">
        <v>4</v>
      </c>
      <c r="V963" t="s">
        <v>40</v>
      </c>
      <c r="W963">
        <f>excelsalesdata[[#This Row],[Quantity]]*excelsalesdata[[#This Row],[Unit_Price]]</f>
        <v>3820</v>
      </c>
      <c r="X963">
        <f>excelsalesdata[[#This Row],[Gross_sales]]*excelsalesdata[[#This Row],[Discount_%]]</f>
        <v>382</v>
      </c>
      <c r="Y963">
        <f>excelsalesdata[[#This Row],[Gross_sales]]-excelsalesdata[[#This Row],[Discount_amt]]</f>
        <v>3438</v>
      </c>
      <c r="Z963" s="4">
        <f>excelsalesdata[[#This Row],[Net_sales]]-excelsalesdata[[#This Row],[Cost]]</f>
        <v>2528</v>
      </c>
      <c r="AA963" s="5">
        <f>excelsalesdata[[#This Row],[Profit]]/excelsalesdata[[#This Row],[Net_sales]]</f>
        <v>0.73531122745782429</v>
      </c>
      <c r="AB963" s="4">
        <f>YEAR(excelsalesdata[[#This Row],[Order_Date]])</f>
        <v>2027</v>
      </c>
      <c r="AC963" s="4" t="str">
        <f>TEXT(excelsalesdata[[#This Row],[Order_Date]],"mmm")</f>
        <v>Nov</v>
      </c>
      <c r="AD963" s="4" t="str">
        <f>"Q"&amp;ROUNDUP(MONTH(excelsalesdata[[#This Row],[Order_Date]])/3,0)</f>
        <v>Q4</v>
      </c>
    </row>
    <row r="964" spans="1:30" x14ac:dyDescent="0.35">
      <c r="A964" t="s">
        <v>1734</v>
      </c>
      <c r="B964" s="3">
        <v>46722</v>
      </c>
      <c r="C964" t="s">
        <v>748</v>
      </c>
      <c r="D964" t="s">
        <v>1051</v>
      </c>
      <c r="E964" t="str">
        <f>TRIM(excelsalesdata[[#This Row],[Customer_Name]])</f>
        <v>Aarav Das</v>
      </c>
      <c r="F964" t="s">
        <v>44</v>
      </c>
      <c r="G964">
        <v>21</v>
      </c>
      <c r="H964" t="s">
        <v>190</v>
      </c>
      <c r="I964" t="str">
        <f>TRIM(excelsalesdata[[#This Row],[City]])</f>
        <v>Ahmedabad</v>
      </c>
      <c r="J964" t="s">
        <v>191</v>
      </c>
      <c r="K964" t="s">
        <v>26</v>
      </c>
      <c r="L964" t="s">
        <v>103</v>
      </c>
      <c r="M964" t="s">
        <v>238</v>
      </c>
      <c r="N964" t="s">
        <v>238</v>
      </c>
      <c r="O964">
        <v>3</v>
      </c>
      <c r="P964">
        <v>4510</v>
      </c>
      <c r="Q964">
        <v>0</v>
      </c>
      <c r="R964">
        <v>2640</v>
      </c>
      <c r="S964" t="s">
        <v>29</v>
      </c>
      <c r="T964" t="s">
        <v>30</v>
      </c>
      <c r="U964">
        <v>2</v>
      </c>
      <c r="V964" t="s">
        <v>31</v>
      </c>
      <c r="W964">
        <f>excelsalesdata[[#This Row],[Quantity]]*excelsalesdata[[#This Row],[Unit_Price]]</f>
        <v>13530</v>
      </c>
      <c r="X964">
        <f>excelsalesdata[[#This Row],[Gross_sales]]*excelsalesdata[[#This Row],[Discount_%]]</f>
        <v>0</v>
      </c>
      <c r="Y964">
        <f>excelsalesdata[[#This Row],[Gross_sales]]-excelsalesdata[[#This Row],[Discount_amt]]</f>
        <v>13530</v>
      </c>
      <c r="Z964" s="4">
        <f>excelsalesdata[[#This Row],[Net_sales]]-excelsalesdata[[#This Row],[Cost]]</f>
        <v>10890</v>
      </c>
      <c r="AA964" s="5">
        <f>excelsalesdata[[#This Row],[Profit]]/excelsalesdata[[#This Row],[Net_sales]]</f>
        <v>0.80487804878048785</v>
      </c>
      <c r="AB964" s="4">
        <f>YEAR(excelsalesdata[[#This Row],[Order_Date]])</f>
        <v>2027</v>
      </c>
      <c r="AC964" s="4" t="str">
        <f>TEXT(excelsalesdata[[#This Row],[Order_Date]],"mmm")</f>
        <v>Dec</v>
      </c>
      <c r="AD964" s="4" t="str">
        <f>"Q"&amp;ROUNDUP(MONTH(excelsalesdata[[#This Row],[Order_Date]])/3,0)</f>
        <v>Q4</v>
      </c>
    </row>
    <row r="965" spans="1:30" x14ac:dyDescent="0.35">
      <c r="A965" t="s">
        <v>1735</v>
      </c>
      <c r="B965" s="3">
        <v>46723</v>
      </c>
      <c r="C965" t="s">
        <v>929</v>
      </c>
      <c r="D965" t="s">
        <v>532</v>
      </c>
      <c r="E965" t="str">
        <f>TRIM(excelsalesdata[[#This Row],[Customer_Name]])</f>
        <v>Ananya Mehta</v>
      </c>
      <c r="F965" t="s">
        <v>44</v>
      </c>
      <c r="G965">
        <v>45</v>
      </c>
      <c r="H965" t="s">
        <v>98</v>
      </c>
      <c r="I965" t="str">
        <f>TRIM(excelsalesdata[[#This Row],[City]])</f>
        <v>Mumbai</v>
      </c>
      <c r="J965" t="s">
        <v>25</v>
      </c>
      <c r="K965" t="s">
        <v>26</v>
      </c>
      <c r="L965" t="s">
        <v>27</v>
      </c>
      <c r="M965" t="s">
        <v>28</v>
      </c>
      <c r="N965" t="s">
        <v>28</v>
      </c>
      <c r="O965">
        <v>1</v>
      </c>
      <c r="P965">
        <v>3500</v>
      </c>
      <c r="Q965">
        <v>0.2</v>
      </c>
      <c r="R965">
        <v>2180</v>
      </c>
      <c r="S965" t="s">
        <v>29</v>
      </c>
      <c r="T965" t="s">
        <v>74</v>
      </c>
      <c r="U965">
        <v>3</v>
      </c>
      <c r="V965" t="s">
        <v>40</v>
      </c>
      <c r="W965">
        <f>excelsalesdata[[#This Row],[Quantity]]*excelsalesdata[[#This Row],[Unit_Price]]</f>
        <v>3500</v>
      </c>
      <c r="X965">
        <f>excelsalesdata[[#This Row],[Gross_sales]]*excelsalesdata[[#This Row],[Discount_%]]</f>
        <v>700</v>
      </c>
      <c r="Y965">
        <f>excelsalesdata[[#This Row],[Gross_sales]]-excelsalesdata[[#This Row],[Discount_amt]]</f>
        <v>2800</v>
      </c>
      <c r="Z965" s="4">
        <f>excelsalesdata[[#This Row],[Net_sales]]-excelsalesdata[[#This Row],[Cost]]</f>
        <v>620</v>
      </c>
      <c r="AA965" s="5">
        <f>excelsalesdata[[#This Row],[Profit]]/excelsalesdata[[#This Row],[Net_sales]]</f>
        <v>0.22142857142857142</v>
      </c>
      <c r="AB965" s="4">
        <f>YEAR(excelsalesdata[[#This Row],[Order_Date]])</f>
        <v>2027</v>
      </c>
      <c r="AC965" s="4" t="str">
        <f>TEXT(excelsalesdata[[#This Row],[Order_Date]],"mmm")</f>
        <v>Dec</v>
      </c>
      <c r="AD965" s="4" t="str">
        <f>"Q"&amp;ROUNDUP(MONTH(excelsalesdata[[#This Row],[Order_Date]])/3,0)</f>
        <v>Q4</v>
      </c>
    </row>
    <row r="966" spans="1:30" x14ac:dyDescent="0.35">
      <c r="A966" t="s">
        <v>1736</v>
      </c>
      <c r="B966" s="3">
        <v>46724</v>
      </c>
      <c r="C966" t="s">
        <v>698</v>
      </c>
      <c r="D966" t="s">
        <v>164</v>
      </c>
      <c r="E966" t="str">
        <f>TRIM(excelsalesdata[[#This Row],[Customer_Name]])</f>
        <v>Priya Naidu</v>
      </c>
      <c r="F966" t="s">
        <v>44</v>
      </c>
      <c r="G966">
        <v>42</v>
      </c>
      <c r="H966" t="s">
        <v>190</v>
      </c>
      <c r="I966" t="str">
        <f>TRIM(excelsalesdata[[#This Row],[City]])</f>
        <v>Ahmedabad</v>
      </c>
      <c r="J966" t="s">
        <v>191</v>
      </c>
      <c r="K966" t="s">
        <v>26</v>
      </c>
      <c r="L966" t="s">
        <v>103</v>
      </c>
      <c r="M966" t="s">
        <v>312</v>
      </c>
      <c r="N966" t="s">
        <v>312</v>
      </c>
      <c r="O966">
        <v>3</v>
      </c>
      <c r="P966">
        <v>6910</v>
      </c>
      <c r="Q966">
        <v>0.1</v>
      </c>
      <c r="R966">
        <v>4400</v>
      </c>
      <c r="S966" t="s">
        <v>56</v>
      </c>
      <c r="T966" t="s">
        <v>30</v>
      </c>
      <c r="U966">
        <v>6</v>
      </c>
      <c r="V966" t="s">
        <v>40</v>
      </c>
      <c r="W966">
        <f>excelsalesdata[[#This Row],[Quantity]]*excelsalesdata[[#This Row],[Unit_Price]]</f>
        <v>20730</v>
      </c>
      <c r="X966">
        <f>excelsalesdata[[#This Row],[Gross_sales]]*excelsalesdata[[#This Row],[Discount_%]]</f>
        <v>2073</v>
      </c>
      <c r="Y966">
        <f>excelsalesdata[[#This Row],[Gross_sales]]-excelsalesdata[[#This Row],[Discount_amt]]</f>
        <v>18657</v>
      </c>
      <c r="Z966" s="4">
        <f>excelsalesdata[[#This Row],[Net_sales]]-excelsalesdata[[#This Row],[Cost]]</f>
        <v>14257</v>
      </c>
      <c r="AA966" s="5">
        <f>excelsalesdata[[#This Row],[Profit]]/excelsalesdata[[#This Row],[Net_sales]]</f>
        <v>0.76416358471351231</v>
      </c>
      <c r="AB966" s="4">
        <f>YEAR(excelsalesdata[[#This Row],[Order_Date]])</f>
        <v>2027</v>
      </c>
      <c r="AC966" s="4" t="str">
        <f>TEXT(excelsalesdata[[#This Row],[Order_Date]],"mmm")</f>
        <v>Dec</v>
      </c>
      <c r="AD966" s="4" t="str">
        <f>"Q"&amp;ROUNDUP(MONTH(excelsalesdata[[#This Row],[Order_Date]])/3,0)</f>
        <v>Q4</v>
      </c>
    </row>
    <row r="967" spans="1:30" x14ac:dyDescent="0.35">
      <c r="A967" t="s">
        <v>1737</v>
      </c>
      <c r="B967" s="3">
        <v>46725</v>
      </c>
      <c r="C967" t="s">
        <v>1053</v>
      </c>
      <c r="D967" t="s">
        <v>776</v>
      </c>
      <c r="E967" t="str">
        <f>TRIM(excelsalesdata[[#This Row],[Customer_Name]])</f>
        <v>Ananya Shah</v>
      </c>
      <c r="F967" t="s">
        <v>23</v>
      </c>
      <c r="G967">
        <v>55</v>
      </c>
      <c r="H967" t="s">
        <v>98</v>
      </c>
      <c r="I967" t="str">
        <f>TRIM(excelsalesdata[[#This Row],[City]])</f>
        <v>Mumbai</v>
      </c>
      <c r="J967" t="s">
        <v>25</v>
      </c>
      <c r="K967" t="s">
        <v>26</v>
      </c>
      <c r="L967" t="s">
        <v>27</v>
      </c>
      <c r="M967" t="s">
        <v>123</v>
      </c>
      <c r="N967" t="s">
        <v>123</v>
      </c>
      <c r="O967">
        <v>1</v>
      </c>
      <c r="P967">
        <v>2770</v>
      </c>
      <c r="Q967">
        <v>0.25</v>
      </c>
      <c r="R967">
        <v>1590</v>
      </c>
      <c r="S967" t="s">
        <v>80</v>
      </c>
      <c r="T967" t="s">
        <v>30</v>
      </c>
      <c r="U967">
        <v>4</v>
      </c>
      <c r="V967" t="s">
        <v>40</v>
      </c>
      <c r="W967">
        <f>excelsalesdata[[#This Row],[Quantity]]*excelsalesdata[[#This Row],[Unit_Price]]</f>
        <v>2770</v>
      </c>
      <c r="X967">
        <f>excelsalesdata[[#This Row],[Gross_sales]]*excelsalesdata[[#This Row],[Discount_%]]</f>
        <v>692.5</v>
      </c>
      <c r="Y967">
        <f>excelsalesdata[[#This Row],[Gross_sales]]-excelsalesdata[[#This Row],[Discount_amt]]</f>
        <v>2077.5</v>
      </c>
      <c r="Z967" s="4">
        <f>excelsalesdata[[#This Row],[Net_sales]]-excelsalesdata[[#This Row],[Cost]]</f>
        <v>487.5</v>
      </c>
      <c r="AA967" s="5">
        <f>excelsalesdata[[#This Row],[Profit]]/excelsalesdata[[#This Row],[Net_sales]]</f>
        <v>0.23465703971119134</v>
      </c>
      <c r="AB967" s="4">
        <f>YEAR(excelsalesdata[[#This Row],[Order_Date]])</f>
        <v>2027</v>
      </c>
      <c r="AC967" s="4" t="str">
        <f>TEXT(excelsalesdata[[#This Row],[Order_Date]],"mmm")</f>
        <v>Dec</v>
      </c>
      <c r="AD967" s="4" t="str">
        <f>"Q"&amp;ROUNDUP(MONTH(excelsalesdata[[#This Row],[Order_Date]])/3,0)</f>
        <v>Q4</v>
      </c>
    </row>
    <row r="968" spans="1:30" x14ac:dyDescent="0.35">
      <c r="A968" t="s">
        <v>1738</v>
      </c>
      <c r="B968" s="3">
        <v>46726</v>
      </c>
      <c r="C968" t="s">
        <v>1086</v>
      </c>
      <c r="D968" t="s">
        <v>352</v>
      </c>
      <c r="E968" t="str">
        <f>TRIM(excelsalesdata[[#This Row],[Customer_Name]])</f>
        <v>Meera Mehta</v>
      </c>
      <c r="F968" t="s">
        <v>23</v>
      </c>
      <c r="G968">
        <v>48</v>
      </c>
      <c r="H968" t="s">
        <v>60</v>
      </c>
      <c r="I968" t="str">
        <f>TRIM(excelsalesdata[[#This Row],[City]])</f>
        <v>Chandigarh</v>
      </c>
      <c r="J968" t="s">
        <v>60</v>
      </c>
      <c r="K968" t="s">
        <v>61</v>
      </c>
      <c r="L968" t="s">
        <v>38</v>
      </c>
      <c r="M968" t="s">
        <v>161</v>
      </c>
      <c r="N968" t="s">
        <v>161</v>
      </c>
      <c r="O968">
        <v>2</v>
      </c>
      <c r="P968">
        <v>28260</v>
      </c>
      <c r="Q968">
        <v>0</v>
      </c>
      <c r="R968">
        <v>19820</v>
      </c>
      <c r="S968" t="s">
        <v>29</v>
      </c>
      <c r="T968" t="s">
        <v>30</v>
      </c>
      <c r="U968">
        <v>4</v>
      </c>
      <c r="V968" t="s">
        <v>40</v>
      </c>
      <c r="W968">
        <f>excelsalesdata[[#This Row],[Quantity]]*excelsalesdata[[#This Row],[Unit_Price]]</f>
        <v>56520</v>
      </c>
      <c r="X968">
        <f>excelsalesdata[[#This Row],[Gross_sales]]*excelsalesdata[[#This Row],[Discount_%]]</f>
        <v>0</v>
      </c>
      <c r="Y968">
        <f>excelsalesdata[[#This Row],[Gross_sales]]-excelsalesdata[[#This Row],[Discount_amt]]</f>
        <v>56520</v>
      </c>
      <c r="Z968" s="4">
        <f>excelsalesdata[[#This Row],[Net_sales]]-excelsalesdata[[#This Row],[Cost]]</f>
        <v>36700</v>
      </c>
      <c r="AA968" s="5">
        <f>excelsalesdata[[#This Row],[Profit]]/excelsalesdata[[#This Row],[Net_sales]]</f>
        <v>0.64932767162066529</v>
      </c>
      <c r="AB968" s="4">
        <f>YEAR(excelsalesdata[[#This Row],[Order_Date]])</f>
        <v>2027</v>
      </c>
      <c r="AC968" s="4" t="str">
        <f>TEXT(excelsalesdata[[#This Row],[Order_Date]],"mmm")</f>
        <v>Dec</v>
      </c>
      <c r="AD968" s="4" t="str">
        <f>"Q"&amp;ROUNDUP(MONTH(excelsalesdata[[#This Row],[Order_Date]])/3,0)</f>
        <v>Q4</v>
      </c>
    </row>
    <row r="969" spans="1:30" x14ac:dyDescent="0.35">
      <c r="A969" t="s">
        <v>1739</v>
      </c>
      <c r="B969" s="3">
        <v>46727</v>
      </c>
      <c r="C969" t="s">
        <v>816</v>
      </c>
      <c r="D969" t="s">
        <v>474</v>
      </c>
      <c r="E969" t="str">
        <f>TRIM(excelsalesdata[[#This Row],[Customer_Name]])</f>
        <v>Arjun Gupta</v>
      </c>
      <c r="F969" t="s">
        <v>44</v>
      </c>
      <c r="G969">
        <v>51</v>
      </c>
      <c r="H969" t="s">
        <v>60</v>
      </c>
      <c r="I969" t="str">
        <f>TRIM(excelsalesdata[[#This Row],[City]])</f>
        <v>Chandigarh</v>
      </c>
      <c r="J969" t="s">
        <v>60</v>
      </c>
      <c r="K969" t="s">
        <v>61</v>
      </c>
      <c r="L969" t="s">
        <v>27</v>
      </c>
      <c r="M969" t="s">
        <v>28</v>
      </c>
      <c r="N969" t="s">
        <v>28</v>
      </c>
      <c r="O969">
        <v>2</v>
      </c>
      <c r="P969">
        <v>3240</v>
      </c>
      <c r="Q969">
        <v>0</v>
      </c>
      <c r="R969">
        <v>2060</v>
      </c>
      <c r="S969" t="s">
        <v>80</v>
      </c>
      <c r="T969" t="s">
        <v>30</v>
      </c>
      <c r="U969">
        <v>2</v>
      </c>
      <c r="V969" t="s">
        <v>40</v>
      </c>
      <c r="W969">
        <f>excelsalesdata[[#This Row],[Quantity]]*excelsalesdata[[#This Row],[Unit_Price]]</f>
        <v>6480</v>
      </c>
      <c r="X969">
        <f>excelsalesdata[[#This Row],[Gross_sales]]*excelsalesdata[[#This Row],[Discount_%]]</f>
        <v>0</v>
      </c>
      <c r="Y969">
        <f>excelsalesdata[[#This Row],[Gross_sales]]-excelsalesdata[[#This Row],[Discount_amt]]</f>
        <v>6480</v>
      </c>
      <c r="Z969" s="4">
        <f>excelsalesdata[[#This Row],[Net_sales]]-excelsalesdata[[#This Row],[Cost]]</f>
        <v>4420</v>
      </c>
      <c r="AA969" s="5">
        <f>excelsalesdata[[#This Row],[Profit]]/excelsalesdata[[#This Row],[Net_sales]]</f>
        <v>0.6820987654320988</v>
      </c>
      <c r="AB969" s="4">
        <f>YEAR(excelsalesdata[[#This Row],[Order_Date]])</f>
        <v>2027</v>
      </c>
      <c r="AC969" s="4" t="str">
        <f>TEXT(excelsalesdata[[#This Row],[Order_Date]],"mmm")</f>
        <v>Dec</v>
      </c>
      <c r="AD969" s="4" t="str">
        <f>"Q"&amp;ROUNDUP(MONTH(excelsalesdata[[#This Row],[Order_Date]])/3,0)</f>
        <v>Q4</v>
      </c>
    </row>
    <row r="970" spans="1:30" x14ac:dyDescent="0.35">
      <c r="A970" t="s">
        <v>1740</v>
      </c>
      <c r="B970" s="3">
        <v>46728</v>
      </c>
      <c r="C970" t="s">
        <v>1741</v>
      </c>
      <c r="D970" t="s">
        <v>34</v>
      </c>
      <c r="E970" t="str">
        <f>TRIM(excelsalesdata[[#This Row],[Customer_Name]])</f>
        <v>Priya Singh</v>
      </c>
      <c r="F970" t="s">
        <v>23</v>
      </c>
      <c r="G970">
        <v>57</v>
      </c>
      <c r="H970" t="s">
        <v>45</v>
      </c>
      <c r="I970" t="str">
        <f>TRIM(excelsalesdata[[#This Row],[City]])</f>
        <v>Kochi</v>
      </c>
      <c r="J970" t="s">
        <v>46</v>
      </c>
      <c r="K970" t="s">
        <v>47</v>
      </c>
      <c r="L970" t="s">
        <v>54</v>
      </c>
      <c r="M970" t="s">
        <v>157</v>
      </c>
      <c r="N970" t="s">
        <v>157</v>
      </c>
      <c r="O970">
        <v>1</v>
      </c>
      <c r="P970">
        <v>54350</v>
      </c>
      <c r="Q970">
        <v>0.15</v>
      </c>
      <c r="R970">
        <v>42520</v>
      </c>
      <c r="S970" t="s">
        <v>29</v>
      </c>
      <c r="T970" t="s">
        <v>30</v>
      </c>
      <c r="U970">
        <v>7</v>
      </c>
      <c r="V970" t="s">
        <v>31</v>
      </c>
      <c r="W970">
        <f>excelsalesdata[[#This Row],[Quantity]]*excelsalesdata[[#This Row],[Unit_Price]]</f>
        <v>54350</v>
      </c>
      <c r="X970">
        <f>excelsalesdata[[#This Row],[Gross_sales]]*excelsalesdata[[#This Row],[Discount_%]]</f>
        <v>8152.5</v>
      </c>
      <c r="Y970">
        <f>excelsalesdata[[#This Row],[Gross_sales]]-excelsalesdata[[#This Row],[Discount_amt]]</f>
        <v>46197.5</v>
      </c>
      <c r="Z970" s="4">
        <f>excelsalesdata[[#This Row],[Net_sales]]-excelsalesdata[[#This Row],[Cost]]</f>
        <v>3677.5</v>
      </c>
      <c r="AA970" s="5">
        <f>excelsalesdata[[#This Row],[Profit]]/excelsalesdata[[#This Row],[Net_sales]]</f>
        <v>7.9603874668542671E-2</v>
      </c>
      <c r="AB970" s="4">
        <f>YEAR(excelsalesdata[[#This Row],[Order_Date]])</f>
        <v>2027</v>
      </c>
      <c r="AC970" s="4" t="str">
        <f>TEXT(excelsalesdata[[#This Row],[Order_Date]],"mmm")</f>
        <v>Dec</v>
      </c>
      <c r="AD970" s="4" t="str">
        <f>"Q"&amp;ROUNDUP(MONTH(excelsalesdata[[#This Row],[Order_Date]])/3,0)</f>
        <v>Q4</v>
      </c>
    </row>
    <row r="971" spans="1:30" x14ac:dyDescent="0.35">
      <c r="A971" t="s">
        <v>1742</v>
      </c>
      <c r="B971" s="3">
        <v>46729</v>
      </c>
      <c r="C971" t="s">
        <v>1665</v>
      </c>
      <c r="D971" t="s">
        <v>479</v>
      </c>
      <c r="E971" t="str">
        <f>TRIM(excelsalesdata[[#This Row],[Customer_Name]])</f>
        <v>Karan Kumar</v>
      </c>
      <c r="F971" t="s">
        <v>23</v>
      </c>
      <c r="G971">
        <v>23</v>
      </c>
      <c r="H971" t="s">
        <v>98</v>
      </c>
      <c r="I971" t="str">
        <f>TRIM(excelsalesdata[[#This Row],[City]])</f>
        <v>Mumbai</v>
      </c>
      <c r="J971" t="s">
        <v>25</v>
      </c>
      <c r="K971" t="s">
        <v>26</v>
      </c>
      <c r="L971" t="s">
        <v>54</v>
      </c>
      <c r="M971" t="s">
        <v>129</v>
      </c>
      <c r="N971" t="s">
        <v>129</v>
      </c>
      <c r="O971">
        <v>1</v>
      </c>
      <c r="P971">
        <v>17400</v>
      </c>
      <c r="Q971">
        <v>0.25</v>
      </c>
      <c r="R971">
        <v>12090</v>
      </c>
      <c r="S971" t="s">
        <v>29</v>
      </c>
      <c r="T971" t="s">
        <v>30</v>
      </c>
      <c r="U971">
        <v>6</v>
      </c>
      <c r="V971" t="s">
        <v>31</v>
      </c>
      <c r="W971">
        <f>excelsalesdata[[#This Row],[Quantity]]*excelsalesdata[[#This Row],[Unit_Price]]</f>
        <v>17400</v>
      </c>
      <c r="X971">
        <f>excelsalesdata[[#This Row],[Gross_sales]]*excelsalesdata[[#This Row],[Discount_%]]</f>
        <v>4350</v>
      </c>
      <c r="Y971">
        <f>excelsalesdata[[#This Row],[Gross_sales]]-excelsalesdata[[#This Row],[Discount_amt]]</f>
        <v>13050</v>
      </c>
      <c r="Z971" s="4">
        <f>excelsalesdata[[#This Row],[Net_sales]]-excelsalesdata[[#This Row],[Cost]]</f>
        <v>960</v>
      </c>
      <c r="AA971" s="5">
        <f>excelsalesdata[[#This Row],[Profit]]/excelsalesdata[[#This Row],[Net_sales]]</f>
        <v>7.3563218390804597E-2</v>
      </c>
      <c r="AB971" s="4">
        <f>YEAR(excelsalesdata[[#This Row],[Order_Date]])</f>
        <v>2027</v>
      </c>
      <c r="AC971" s="4" t="str">
        <f>TEXT(excelsalesdata[[#This Row],[Order_Date]],"mmm")</f>
        <v>Dec</v>
      </c>
      <c r="AD971" s="4" t="str">
        <f>"Q"&amp;ROUNDUP(MONTH(excelsalesdata[[#This Row],[Order_Date]])/3,0)</f>
        <v>Q4</v>
      </c>
    </row>
    <row r="972" spans="1:30" x14ac:dyDescent="0.35">
      <c r="A972" t="s">
        <v>1743</v>
      </c>
      <c r="B972" s="3">
        <v>46730</v>
      </c>
      <c r="C972" t="s">
        <v>1436</v>
      </c>
      <c r="D972" t="s">
        <v>43</v>
      </c>
      <c r="E972" t="str">
        <f>TRIM(excelsalesdata[[#This Row],[Customer_Name]])</f>
        <v>Nisha Nair</v>
      </c>
      <c r="F972" t="s">
        <v>23</v>
      </c>
      <c r="G972">
        <v>32</v>
      </c>
      <c r="H972" t="s">
        <v>155</v>
      </c>
      <c r="I972" t="str">
        <f>TRIM(excelsalesdata[[#This Row],[City]])</f>
        <v>Chennai</v>
      </c>
      <c r="J972" t="s">
        <v>156</v>
      </c>
      <c r="K972" t="s">
        <v>47</v>
      </c>
      <c r="L972" t="s">
        <v>54</v>
      </c>
      <c r="M972" t="s">
        <v>157</v>
      </c>
      <c r="N972" t="s">
        <v>157</v>
      </c>
      <c r="O972">
        <v>2</v>
      </c>
      <c r="P972">
        <v>57920</v>
      </c>
      <c r="Q972">
        <v>0</v>
      </c>
      <c r="R972">
        <v>43770</v>
      </c>
      <c r="S972" t="s">
        <v>67</v>
      </c>
      <c r="T972" t="s">
        <v>30</v>
      </c>
      <c r="U972">
        <v>1</v>
      </c>
      <c r="V972" t="s">
        <v>31</v>
      </c>
      <c r="W972">
        <f>excelsalesdata[[#This Row],[Quantity]]*excelsalesdata[[#This Row],[Unit_Price]]</f>
        <v>115840</v>
      </c>
      <c r="X972">
        <f>excelsalesdata[[#This Row],[Gross_sales]]*excelsalesdata[[#This Row],[Discount_%]]</f>
        <v>0</v>
      </c>
      <c r="Y972">
        <f>excelsalesdata[[#This Row],[Gross_sales]]-excelsalesdata[[#This Row],[Discount_amt]]</f>
        <v>115840</v>
      </c>
      <c r="Z972" s="4">
        <f>excelsalesdata[[#This Row],[Net_sales]]-excelsalesdata[[#This Row],[Cost]]</f>
        <v>72070</v>
      </c>
      <c r="AA972" s="5">
        <f>excelsalesdata[[#This Row],[Profit]]/excelsalesdata[[#This Row],[Net_sales]]</f>
        <v>0.62215124309392267</v>
      </c>
      <c r="AB972" s="4">
        <f>YEAR(excelsalesdata[[#This Row],[Order_Date]])</f>
        <v>2027</v>
      </c>
      <c r="AC972" s="4" t="str">
        <f>TEXT(excelsalesdata[[#This Row],[Order_Date]],"mmm")</f>
        <v>Dec</v>
      </c>
      <c r="AD972" s="4" t="str">
        <f>"Q"&amp;ROUNDUP(MONTH(excelsalesdata[[#This Row],[Order_Date]])/3,0)</f>
        <v>Q4</v>
      </c>
    </row>
    <row r="973" spans="1:30" x14ac:dyDescent="0.35">
      <c r="A973" t="s">
        <v>1744</v>
      </c>
      <c r="B973" s="3">
        <v>46731</v>
      </c>
      <c r="C973" t="s">
        <v>812</v>
      </c>
      <c r="D973" t="s">
        <v>426</v>
      </c>
      <c r="E973" t="str">
        <f>TRIM(excelsalesdata[[#This Row],[Customer_Name]])</f>
        <v>Kavya Verma</v>
      </c>
      <c r="F973" t="s">
        <v>23</v>
      </c>
      <c r="G973">
        <v>20</v>
      </c>
      <c r="H973" t="s">
        <v>155</v>
      </c>
      <c r="I973" t="str">
        <f>TRIM(excelsalesdata[[#This Row],[City]])</f>
        <v>Chennai</v>
      </c>
      <c r="J973" t="s">
        <v>156</v>
      </c>
      <c r="K973" t="s">
        <v>47</v>
      </c>
      <c r="L973" t="s">
        <v>103</v>
      </c>
      <c r="M973" t="s">
        <v>312</v>
      </c>
      <c r="N973" t="s">
        <v>312</v>
      </c>
      <c r="O973">
        <v>1</v>
      </c>
      <c r="P973">
        <v>6890</v>
      </c>
      <c r="Q973">
        <v>0.2</v>
      </c>
      <c r="R973">
        <v>4250</v>
      </c>
      <c r="S973" t="s">
        <v>56</v>
      </c>
      <c r="T973" t="s">
        <v>30</v>
      </c>
      <c r="U973">
        <v>2</v>
      </c>
      <c r="V973" t="s">
        <v>31</v>
      </c>
      <c r="W973">
        <f>excelsalesdata[[#This Row],[Quantity]]*excelsalesdata[[#This Row],[Unit_Price]]</f>
        <v>6890</v>
      </c>
      <c r="X973">
        <f>excelsalesdata[[#This Row],[Gross_sales]]*excelsalesdata[[#This Row],[Discount_%]]</f>
        <v>1378</v>
      </c>
      <c r="Y973">
        <f>excelsalesdata[[#This Row],[Gross_sales]]-excelsalesdata[[#This Row],[Discount_amt]]</f>
        <v>5512</v>
      </c>
      <c r="Z973" s="4">
        <f>excelsalesdata[[#This Row],[Net_sales]]-excelsalesdata[[#This Row],[Cost]]</f>
        <v>1262</v>
      </c>
      <c r="AA973" s="5">
        <f>excelsalesdata[[#This Row],[Profit]]/excelsalesdata[[#This Row],[Net_sales]]</f>
        <v>0.22895500725689405</v>
      </c>
      <c r="AB973" s="4">
        <f>YEAR(excelsalesdata[[#This Row],[Order_Date]])</f>
        <v>2027</v>
      </c>
      <c r="AC973" s="4" t="str">
        <f>TEXT(excelsalesdata[[#This Row],[Order_Date]],"mmm")</f>
        <v>Dec</v>
      </c>
      <c r="AD973" s="4" t="str">
        <f>"Q"&amp;ROUNDUP(MONTH(excelsalesdata[[#This Row],[Order_Date]])/3,0)</f>
        <v>Q4</v>
      </c>
    </row>
    <row r="974" spans="1:30" x14ac:dyDescent="0.35">
      <c r="A974" t="s">
        <v>1745</v>
      </c>
      <c r="B974" s="3">
        <v>46732</v>
      </c>
      <c r="C974" t="s">
        <v>346</v>
      </c>
      <c r="D974" t="s">
        <v>792</v>
      </c>
      <c r="E974" t="str">
        <f>TRIM(excelsalesdata[[#This Row],[Customer_Name]])</f>
        <v>Nisha Das</v>
      </c>
      <c r="F974" t="s">
        <v>44</v>
      </c>
      <c r="G974">
        <v>58</v>
      </c>
      <c r="H974" t="s">
        <v>133</v>
      </c>
      <c r="I974" t="str">
        <f>TRIM(excelsalesdata[[#This Row],[City]])</f>
        <v>Jaipur</v>
      </c>
      <c r="J974" t="s">
        <v>134</v>
      </c>
      <c r="K974" t="s">
        <v>61</v>
      </c>
      <c r="L974" t="s">
        <v>103</v>
      </c>
      <c r="M974" t="s">
        <v>104</v>
      </c>
      <c r="N974" t="s">
        <v>104</v>
      </c>
      <c r="O974">
        <v>5</v>
      </c>
      <c r="P974">
        <v>8610</v>
      </c>
      <c r="Q974">
        <v>0.2</v>
      </c>
      <c r="R974">
        <v>5850</v>
      </c>
      <c r="S974" t="s">
        <v>105</v>
      </c>
      <c r="T974" t="s">
        <v>30</v>
      </c>
      <c r="U974">
        <v>1</v>
      </c>
      <c r="V974" t="s">
        <v>40</v>
      </c>
      <c r="W974">
        <f>excelsalesdata[[#This Row],[Quantity]]*excelsalesdata[[#This Row],[Unit_Price]]</f>
        <v>43050</v>
      </c>
      <c r="X974">
        <f>excelsalesdata[[#This Row],[Gross_sales]]*excelsalesdata[[#This Row],[Discount_%]]</f>
        <v>8610</v>
      </c>
      <c r="Y974">
        <f>excelsalesdata[[#This Row],[Gross_sales]]-excelsalesdata[[#This Row],[Discount_amt]]</f>
        <v>34440</v>
      </c>
      <c r="Z974" s="4">
        <f>excelsalesdata[[#This Row],[Net_sales]]-excelsalesdata[[#This Row],[Cost]]</f>
        <v>28590</v>
      </c>
      <c r="AA974" s="5">
        <f>excelsalesdata[[#This Row],[Profit]]/excelsalesdata[[#This Row],[Net_sales]]</f>
        <v>0.83013937282229966</v>
      </c>
      <c r="AB974" s="4">
        <f>YEAR(excelsalesdata[[#This Row],[Order_Date]])</f>
        <v>2027</v>
      </c>
      <c r="AC974" s="4" t="str">
        <f>TEXT(excelsalesdata[[#This Row],[Order_Date]],"mmm")</f>
        <v>Dec</v>
      </c>
      <c r="AD974" s="4" t="str">
        <f>"Q"&amp;ROUNDUP(MONTH(excelsalesdata[[#This Row],[Order_Date]])/3,0)</f>
        <v>Q4</v>
      </c>
    </row>
    <row r="975" spans="1:30" x14ac:dyDescent="0.35">
      <c r="A975" t="s">
        <v>1746</v>
      </c>
      <c r="B975" s="3">
        <v>46733</v>
      </c>
      <c r="C975" t="s">
        <v>549</v>
      </c>
      <c r="D975" t="s">
        <v>1374</v>
      </c>
      <c r="E975" t="str">
        <f>TRIM(excelsalesdata[[#This Row],[Customer_Name]])</f>
        <v>Karan Joshi</v>
      </c>
      <c r="F975" t="s">
        <v>44</v>
      </c>
      <c r="G975">
        <v>18</v>
      </c>
      <c r="H975" t="s">
        <v>24</v>
      </c>
      <c r="I975" t="str">
        <f>TRIM(excelsalesdata[[#This Row],[City]])</f>
        <v>Pune</v>
      </c>
      <c r="J975" t="s">
        <v>25</v>
      </c>
      <c r="K975" t="s">
        <v>26</v>
      </c>
      <c r="L975" t="s">
        <v>38</v>
      </c>
      <c r="M975" t="s">
        <v>39</v>
      </c>
      <c r="N975" t="s">
        <v>39</v>
      </c>
      <c r="O975">
        <v>2</v>
      </c>
      <c r="P975">
        <v>6290</v>
      </c>
      <c r="Q975">
        <v>0.05</v>
      </c>
      <c r="R975">
        <v>4100</v>
      </c>
      <c r="S975" t="s">
        <v>151</v>
      </c>
      <c r="T975" t="s">
        <v>30</v>
      </c>
      <c r="U975">
        <v>5</v>
      </c>
      <c r="V975" t="s">
        <v>40</v>
      </c>
      <c r="W975">
        <f>excelsalesdata[[#This Row],[Quantity]]*excelsalesdata[[#This Row],[Unit_Price]]</f>
        <v>12580</v>
      </c>
      <c r="X975">
        <f>excelsalesdata[[#This Row],[Gross_sales]]*excelsalesdata[[#This Row],[Discount_%]]</f>
        <v>629</v>
      </c>
      <c r="Y975">
        <f>excelsalesdata[[#This Row],[Gross_sales]]-excelsalesdata[[#This Row],[Discount_amt]]</f>
        <v>11951</v>
      </c>
      <c r="Z975" s="4">
        <f>excelsalesdata[[#This Row],[Net_sales]]-excelsalesdata[[#This Row],[Cost]]</f>
        <v>7851</v>
      </c>
      <c r="AA975" s="5">
        <f>excelsalesdata[[#This Row],[Profit]]/excelsalesdata[[#This Row],[Net_sales]]</f>
        <v>0.65693247426993562</v>
      </c>
      <c r="AB975" s="4">
        <f>YEAR(excelsalesdata[[#This Row],[Order_Date]])</f>
        <v>2027</v>
      </c>
      <c r="AC975" s="4" t="str">
        <f>TEXT(excelsalesdata[[#This Row],[Order_Date]],"mmm")</f>
        <v>Dec</v>
      </c>
      <c r="AD975" s="4" t="str">
        <f>"Q"&amp;ROUNDUP(MONTH(excelsalesdata[[#This Row],[Order_Date]])/3,0)</f>
        <v>Q4</v>
      </c>
    </row>
    <row r="976" spans="1:30" x14ac:dyDescent="0.35">
      <c r="A976" t="s">
        <v>1747</v>
      </c>
      <c r="B976" s="3">
        <v>46734</v>
      </c>
      <c r="C976" t="s">
        <v>324</v>
      </c>
      <c r="D976" t="s">
        <v>1238</v>
      </c>
      <c r="E976" t="str">
        <f>TRIM(excelsalesdata[[#This Row],[Customer_Name]])</f>
        <v>Rahul Das</v>
      </c>
      <c r="F976" t="s">
        <v>23</v>
      </c>
      <c r="G976">
        <v>47</v>
      </c>
      <c r="H976" t="s">
        <v>190</v>
      </c>
      <c r="I976" t="str">
        <f>TRIM(excelsalesdata[[#This Row],[City]])</f>
        <v>Ahmedabad</v>
      </c>
      <c r="J976" t="s">
        <v>191</v>
      </c>
      <c r="K976" t="s">
        <v>26</v>
      </c>
      <c r="L976" t="s">
        <v>54</v>
      </c>
      <c r="M976" t="s">
        <v>55</v>
      </c>
      <c r="N976" t="s">
        <v>55</v>
      </c>
      <c r="O976">
        <v>2</v>
      </c>
      <c r="P976">
        <v>6640</v>
      </c>
      <c r="Q976">
        <v>0.1</v>
      </c>
      <c r="R976">
        <v>4720</v>
      </c>
      <c r="S976" t="s">
        <v>80</v>
      </c>
      <c r="T976" t="s">
        <v>81</v>
      </c>
      <c r="U976">
        <v>0</v>
      </c>
      <c r="V976" t="s">
        <v>40</v>
      </c>
      <c r="W976">
        <f>excelsalesdata[[#This Row],[Quantity]]*excelsalesdata[[#This Row],[Unit_Price]]</f>
        <v>13280</v>
      </c>
      <c r="X976">
        <f>excelsalesdata[[#This Row],[Gross_sales]]*excelsalesdata[[#This Row],[Discount_%]]</f>
        <v>1328</v>
      </c>
      <c r="Y976">
        <f>excelsalesdata[[#This Row],[Gross_sales]]-excelsalesdata[[#This Row],[Discount_amt]]</f>
        <v>11952</v>
      </c>
      <c r="Z976" s="4">
        <f>excelsalesdata[[#This Row],[Net_sales]]-excelsalesdata[[#This Row],[Cost]]</f>
        <v>7232</v>
      </c>
      <c r="AA976" s="5">
        <f>excelsalesdata[[#This Row],[Profit]]/excelsalesdata[[#This Row],[Net_sales]]</f>
        <v>0.60508701472556892</v>
      </c>
      <c r="AB976" s="4">
        <f>YEAR(excelsalesdata[[#This Row],[Order_Date]])</f>
        <v>2027</v>
      </c>
      <c r="AC976" s="4" t="str">
        <f>TEXT(excelsalesdata[[#This Row],[Order_Date]],"mmm")</f>
        <v>Dec</v>
      </c>
      <c r="AD976" s="4" t="str">
        <f>"Q"&amp;ROUNDUP(MONTH(excelsalesdata[[#This Row],[Order_Date]])/3,0)</f>
        <v>Q4</v>
      </c>
    </row>
    <row r="977" spans="1:30" x14ac:dyDescent="0.35">
      <c r="A977" t="s">
        <v>1748</v>
      </c>
      <c r="B977" s="3">
        <v>46735</v>
      </c>
      <c r="C977" t="s">
        <v>633</v>
      </c>
      <c r="D977" t="s">
        <v>352</v>
      </c>
      <c r="E977" t="str">
        <f>TRIM(excelsalesdata[[#This Row],[Customer_Name]])</f>
        <v>Meera Mehta</v>
      </c>
      <c r="F977" t="s">
        <v>44</v>
      </c>
      <c r="G977">
        <v>56</v>
      </c>
      <c r="H977" t="s">
        <v>185</v>
      </c>
      <c r="I977" t="str">
        <f>TRIM(excelsalesdata[[#This Row],[City]])</f>
        <v>Lucknow</v>
      </c>
      <c r="J977" t="s">
        <v>186</v>
      </c>
      <c r="K977" t="s">
        <v>61</v>
      </c>
      <c r="L977" t="s">
        <v>103</v>
      </c>
      <c r="M977" t="s">
        <v>238</v>
      </c>
      <c r="N977" t="s">
        <v>238</v>
      </c>
      <c r="O977">
        <v>1</v>
      </c>
      <c r="P977">
        <v>3980</v>
      </c>
      <c r="Q977">
        <v>0</v>
      </c>
      <c r="R977">
        <v>2760</v>
      </c>
      <c r="S977" t="s">
        <v>56</v>
      </c>
      <c r="T977" t="s">
        <v>30</v>
      </c>
      <c r="U977">
        <v>5</v>
      </c>
      <c r="V977" t="s">
        <v>31</v>
      </c>
      <c r="W977">
        <f>excelsalesdata[[#This Row],[Quantity]]*excelsalesdata[[#This Row],[Unit_Price]]</f>
        <v>3980</v>
      </c>
      <c r="X977">
        <f>excelsalesdata[[#This Row],[Gross_sales]]*excelsalesdata[[#This Row],[Discount_%]]</f>
        <v>0</v>
      </c>
      <c r="Y977">
        <f>excelsalesdata[[#This Row],[Gross_sales]]-excelsalesdata[[#This Row],[Discount_amt]]</f>
        <v>3980</v>
      </c>
      <c r="Z977" s="4">
        <f>excelsalesdata[[#This Row],[Net_sales]]-excelsalesdata[[#This Row],[Cost]]</f>
        <v>1220</v>
      </c>
      <c r="AA977" s="5">
        <f>excelsalesdata[[#This Row],[Profit]]/excelsalesdata[[#This Row],[Net_sales]]</f>
        <v>0.30653266331658291</v>
      </c>
      <c r="AB977" s="4">
        <f>YEAR(excelsalesdata[[#This Row],[Order_Date]])</f>
        <v>2027</v>
      </c>
      <c r="AC977" s="4" t="str">
        <f>TEXT(excelsalesdata[[#This Row],[Order_Date]],"mmm")</f>
        <v>Dec</v>
      </c>
      <c r="AD977" s="4" t="str">
        <f>"Q"&amp;ROUNDUP(MONTH(excelsalesdata[[#This Row],[Order_Date]])/3,0)</f>
        <v>Q4</v>
      </c>
    </row>
    <row r="978" spans="1:30" x14ac:dyDescent="0.35">
      <c r="A978" t="s">
        <v>1749</v>
      </c>
      <c r="B978" s="3">
        <v>46736</v>
      </c>
      <c r="C978" t="s">
        <v>1728</v>
      </c>
      <c r="D978" t="s">
        <v>610</v>
      </c>
      <c r="E978" t="str">
        <f>TRIM(excelsalesdata[[#This Row],[Customer_Name]])</f>
        <v>Priya Das</v>
      </c>
      <c r="F978" t="s">
        <v>44</v>
      </c>
      <c r="G978">
        <v>38</v>
      </c>
      <c r="H978" t="s">
        <v>52</v>
      </c>
      <c r="I978" t="str">
        <f>TRIM(excelsalesdata[[#This Row],[City]])</f>
        <v>Bengaluru</v>
      </c>
      <c r="J978" t="s">
        <v>53</v>
      </c>
      <c r="K978" t="s">
        <v>47</v>
      </c>
      <c r="L978" t="s">
        <v>27</v>
      </c>
      <c r="M978" t="s">
        <v>195</v>
      </c>
      <c r="N978" t="s">
        <v>195</v>
      </c>
      <c r="O978">
        <v>1</v>
      </c>
      <c r="P978">
        <v>2220</v>
      </c>
      <c r="Q978">
        <v>0.25</v>
      </c>
      <c r="R978">
        <v>1220</v>
      </c>
      <c r="S978" t="s">
        <v>151</v>
      </c>
      <c r="T978" t="s">
        <v>30</v>
      </c>
      <c r="U978">
        <v>5</v>
      </c>
      <c r="V978" t="s">
        <v>40</v>
      </c>
      <c r="W978">
        <f>excelsalesdata[[#This Row],[Quantity]]*excelsalesdata[[#This Row],[Unit_Price]]</f>
        <v>2220</v>
      </c>
      <c r="X978">
        <f>excelsalesdata[[#This Row],[Gross_sales]]*excelsalesdata[[#This Row],[Discount_%]]</f>
        <v>555</v>
      </c>
      <c r="Y978">
        <f>excelsalesdata[[#This Row],[Gross_sales]]-excelsalesdata[[#This Row],[Discount_amt]]</f>
        <v>1665</v>
      </c>
      <c r="Z978" s="4">
        <f>excelsalesdata[[#This Row],[Net_sales]]-excelsalesdata[[#This Row],[Cost]]</f>
        <v>445</v>
      </c>
      <c r="AA978" s="5">
        <f>excelsalesdata[[#This Row],[Profit]]/excelsalesdata[[#This Row],[Net_sales]]</f>
        <v>0.26726726726726729</v>
      </c>
      <c r="AB978" s="4">
        <f>YEAR(excelsalesdata[[#This Row],[Order_Date]])</f>
        <v>2027</v>
      </c>
      <c r="AC978" s="4" t="str">
        <f>TEXT(excelsalesdata[[#This Row],[Order_Date]],"mmm")</f>
        <v>Dec</v>
      </c>
      <c r="AD978" s="4" t="str">
        <f>"Q"&amp;ROUNDUP(MONTH(excelsalesdata[[#This Row],[Order_Date]])/3,0)</f>
        <v>Q4</v>
      </c>
    </row>
    <row r="979" spans="1:30" x14ac:dyDescent="0.35">
      <c r="A979" t="s">
        <v>1750</v>
      </c>
      <c r="B979" s="3">
        <v>46737</v>
      </c>
      <c r="C979" t="s">
        <v>1751</v>
      </c>
      <c r="D979" t="s">
        <v>305</v>
      </c>
      <c r="E979" t="str">
        <f>TRIM(excelsalesdata[[#This Row],[Customer_Name]])</f>
        <v>Priya Reddy</v>
      </c>
      <c r="F979" t="s">
        <v>44</v>
      </c>
      <c r="G979">
        <v>45</v>
      </c>
      <c r="H979" t="s">
        <v>71</v>
      </c>
      <c r="I979" t="str">
        <f>TRIM(excelsalesdata[[#This Row],[City]])</f>
        <v>Bhubaneswar</v>
      </c>
      <c r="J979" t="s">
        <v>72</v>
      </c>
      <c r="K979" t="s">
        <v>37</v>
      </c>
      <c r="L979" t="s">
        <v>93</v>
      </c>
      <c r="M979" t="s">
        <v>135</v>
      </c>
      <c r="N979" t="s">
        <v>135</v>
      </c>
      <c r="O979">
        <v>1</v>
      </c>
      <c r="P979">
        <v>1750</v>
      </c>
      <c r="Q979">
        <v>0.25</v>
      </c>
      <c r="R979">
        <v>1020</v>
      </c>
      <c r="S979" t="s">
        <v>80</v>
      </c>
      <c r="T979" t="s">
        <v>30</v>
      </c>
      <c r="U979">
        <v>3</v>
      </c>
      <c r="V979" t="s">
        <v>40</v>
      </c>
      <c r="W979">
        <f>excelsalesdata[[#This Row],[Quantity]]*excelsalesdata[[#This Row],[Unit_Price]]</f>
        <v>1750</v>
      </c>
      <c r="X979">
        <f>excelsalesdata[[#This Row],[Gross_sales]]*excelsalesdata[[#This Row],[Discount_%]]</f>
        <v>437.5</v>
      </c>
      <c r="Y979">
        <f>excelsalesdata[[#This Row],[Gross_sales]]-excelsalesdata[[#This Row],[Discount_amt]]</f>
        <v>1312.5</v>
      </c>
      <c r="Z979" s="4">
        <f>excelsalesdata[[#This Row],[Net_sales]]-excelsalesdata[[#This Row],[Cost]]</f>
        <v>292.5</v>
      </c>
      <c r="AA979" s="5">
        <f>excelsalesdata[[#This Row],[Profit]]/excelsalesdata[[#This Row],[Net_sales]]</f>
        <v>0.22285714285714286</v>
      </c>
      <c r="AB979" s="4">
        <f>YEAR(excelsalesdata[[#This Row],[Order_Date]])</f>
        <v>2027</v>
      </c>
      <c r="AC979" s="4" t="str">
        <f>TEXT(excelsalesdata[[#This Row],[Order_Date]],"mmm")</f>
        <v>Dec</v>
      </c>
      <c r="AD979" s="4" t="str">
        <f>"Q"&amp;ROUNDUP(MONTH(excelsalesdata[[#This Row],[Order_Date]])/3,0)</f>
        <v>Q4</v>
      </c>
    </row>
    <row r="980" spans="1:30" x14ac:dyDescent="0.35">
      <c r="A980" t="s">
        <v>1752</v>
      </c>
      <c r="B980" s="3">
        <v>46738</v>
      </c>
      <c r="C980" t="s">
        <v>1036</v>
      </c>
      <c r="D980" t="s">
        <v>194</v>
      </c>
      <c r="E980" t="str">
        <f>TRIM(excelsalesdata[[#This Row],[Customer_Name]])</f>
        <v>Aditya Reddy</v>
      </c>
      <c r="F980" t="s">
        <v>23</v>
      </c>
      <c r="G980">
        <v>19</v>
      </c>
      <c r="H980" t="s">
        <v>133</v>
      </c>
      <c r="I980" t="str">
        <f>TRIM(excelsalesdata[[#This Row],[City]])</f>
        <v>Jaipur</v>
      </c>
      <c r="J980" t="s">
        <v>134</v>
      </c>
      <c r="K980" t="s">
        <v>61</v>
      </c>
      <c r="L980" t="s">
        <v>54</v>
      </c>
      <c r="M980" t="s">
        <v>62</v>
      </c>
      <c r="N980" t="s">
        <v>62</v>
      </c>
      <c r="O980">
        <v>2</v>
      </c>
      <c r="P980">
        <v>20960</v>
      </c>
      <c r="Q980">
        <v>0.05</v>
      </c>
      <c r="R980">
        <v>15040</v>
      </c>
      <c r="S980" t="s">
        <v>151</v>
      </c>
      <c r="T980" t="s">
        <v>30</v>
      </c>
      <c r="U980">
        <v>4</v>
      </c>
      <c r="V980" t="s">
        <v>40</v>
      </c>
      <c r="W980">
        <f>excelsalesdata[[#This Row],[Quantity]]*excelsalesdata[[#This Row],[Unit_Price]]</f>
        <v>41920</v>
      </c>
      <c r="X980">
        <f>excelsalesdata[[#This Row],[Gross_sales]]*excelsalesdata[[#This Row],[Discount_%]]</f>
        <v>2096</v>
      </c>
      <c r="Y980">
        <f>excelsalesdata[[#This Row],[Gross_sales]]-excelsalesdata[[#This Row],[Discount_amt]]</f>
        <v>39824</v>
      </c>
      <c r="Z980" s="4">
        <f>excelsalesdata[[#This Row],[Net_sales]]-excelsalesdata[[#This Row],[Cost]]</f>
        <v>24784</v>
      </c>
      <c r="AA980" s="5">
        <f>excelsalesdata[[#This Row],[Profit]]/excelsalesdata[[#This Row],[Net_sales]]</f>
        <v>0.62233828846926476</v>
      </c>
      <c r="AB980" s="4">
        <f>YEAR(excelsalesdata[[#This Row],[Order_Date]])</f>
        <v>2027</v>
      </c>
      <c r="AC980" s="4" t="str">
        <f>TEXT(excelsalesdata[[#This Row],[Order_Date]],"mmm")</f>
        <v>Dec</v>
      </c>
      <c r="AD980" s="4" t="str">
        <f>"Q"&amp;ROUNDUP(MONTH(excelsalesdata[[#This Row],[Order_Date]])/3,0)</f>
        <v>Q4</v>
      </c>
    </row>
    <row r="981" spans="1:30" x14ac:dyDescent="0.35">
      <c r="A981" t="s">
        <v>1753</v>
      </c>
      <c r="B981" s="3">
        <v>46739</v>
      </c>
      <c r="C981" t="s">
        <v>1161</v>
      </c>
      <c r="D981" t="s">
        <v>1756</v>
      </c>
      <c r="E981" t="str">
        <f>TRIM(excelsalesdata[[#This Row],[Customer_Name]])</f>
        <v>Meera Rao</v>
      </c>
      <c r="F981" t="s">
        <v>23</v>
      </c>
      <c r="G981">
        <v>30</v>
      </c>
      <c r="H981" t="s">
        <v>52</v>
      </c>
      <c r="I981" t="str">
        <f>TRIM(excelsalesdata[[#This Row],[City]])</f>
        <v>Bengaluru</v>
      </c>
      <c r="J981" t="s">
        <v>53</v>
      </c>
      <c r="K981" t="s">
        <v>47</v>
      </c>
      <c r="L981" t="s">
        <v>54</v>
      </c>
      <c r="M981" t="s">
        <v>62</v>
      </c>
      <c r="N981" t="s">
        <v>62</v>
      </c>
      <c r="O981">
        <v>1</v>
      </c>
      <c r="P981">
        <v>20550</v>
      </c>
      <c r="Q981">
        <v>0.1</v>
      </c>
      <c r="R981">
        <v>15850</v>
      </c>
      <c r="S981" t="s">
        <v>105</v>
      </c>
      <c r="T981" t="s">
        <v>30</v>
      </c>
      <c r="U981">
        <v>4</v>
      </c>
      <c r="V981" t="s">
        <v>40</v>
      </c>
      <c r="W981">
        <f>excelsalesdata[[#This Row],[Quantity]]*excelsalesdata[[#This Row],[Unit_Price]]</f>
        <v>20550</v>
      </c>
      <c r="X981">
        <f>excelsalesdata[[#This Row],[Gross_sales]]*excelsalesdata[[#This Row],[Discount_%]]</f>
        <v>2055</v>
      </c>
      <c r="Y981">
        <f>excelsalesdata[[#This Row],[Gross_sales]]-excelsalesdata[[#This Row],[Discount_amt]]</f>
        <v>18495</v>
      </c>
      <c r="Z981" s="4">
        <f>excelsalesdata[[#This Row],[Net_sales]]-excelsalesdata[[#This Row],[Cost]]</f>
        <v>2645</v>
      </c>
      <c r="AA981" s="5">
        <f>excelsalesdata[[#This Row],[Profit]]/excelsalesdata[[#This Row],[Net_sales]]</f>
        <v>0.14301162476344959</v>
      </c>
      <c r="AB981" s="4">
        <f>YEAR(excelsalesdata[[#This Row],[Order_Date]])</f>
        <v>2027</v>
      </c>
      <c r="AC981" s="4" t="str">
        <f>TEXT(excelsalesdata[[#This Row],[Order_Date]],"mmm")</f>
        <v>Dec</v>
      </c>
      <c r="AD981" s="4" t="str">
        <f>"Q"&amp;ROUNDUP(MONTH(excelsalesdata[[#This Row],[Order_Date]])/3,0)</f>
        <v>Q4</v>
      </c>
    </row>
    <row r="982" spans="1:30" x14ac:dyDescent="0.35">
      <c r="A982" t="s">
        <v>1754</v>
      </c>
      <c r="B982" s="3">
        <v>46740</v>
      </c>
      <c r="C982" t="s">
        <v>1755</v>
      </c>
      <c r="D982" t="s">
        <v>279</v>
      </c>
      <c r="E982" t="str">
        <f>TRIM(excelsalesdata[[#This Row],[Customer_Name]])</f>
        <v>Vivaan Patel</v>
      </c>
      <c r="F982" t="s">
        <v>44</v>
      </c>
      <c r="G982">
        <v>19</v>
      </c>
      <c r="H982" t="s">
        <v>78</v>
      </c>
      <c r="I982" t="str">
        <f>TRIM(excelsalesdata[[#This Row],[City]])</f>
        <v>Guwahati</v>
      </c>
      <c r="J982" t="s">
        <v>79</v>
      </c>
      <c r="K982" t="s">
        <v>37</v>
      </c>
      <c r="L982" t="s">
        <v>27</v>
      </c>
      <c r="M982" t="s">
        <v>195</v>
      </c>
      <c r="N982" t="s">
        <v>195</v>
      </c>
      <c r="O982">
        <v>1</v>
      </c>
      <c r="P982">
        <v>2080</v>
      </c>
      <c r="Q982">
        <v>0.2</v>
      </c>
      <c r="R982">
        <v>1190</v>
      </c>
      <c r="S982" t="s">
        <v>67</v>
      </c>
      <c r="T982" t="s">
        <v>74</v>
      </c>
      <c r="U982">
        <v>3</v>
      </c>
      <c r="V982" t="s">
        <v>31</v>
      </c>
      <c r="W982">
        <f>excelsalesdata[[#This Row],[Quantity]]*excelsalesdata[[#This Row],[Unit_Price]]</f>
        <v>2080</v>
      </c>
      <c r="X982">
        <f>excelsalesdata[[#This Row],[Gross_sales]]*excelsalesdata[[#This Row],[Discount_%]]</f>
        <v>416</v>
      </c>
      <c r="Y982">
        <f>excelsalesdata[[#This Row],[Gross_sales]]-excelsalesdata[[#This Row],[Discount_amt]]</f>
        <v>1664</v>
      </c>
      <c r="Z982" s="4">
        <f>excelsalesdata[[#This Row],[Net_sales]]-excelsalesdata[[#This Row],[Cost]]</f>
        <v>474</v>
      </c>
      <c r="AA982" s="5">
        <f>excelsalesdata[[#This Row],[Profit]]/excelsalesdata[[#This Row],[Net_sales]]</f>
        <v>0.28485576923076922</v>
      </c>
      <c r="AB982" s="4">
        <f>YEAR(excelsalesdata[[#This Row],[Order_Date]])</f>
        <v>2027</v>
      </c>
      <c r="AC982" s="4" t="str">
        <f>TEXT(excelsalesdata[[#This Row],[Order_Date]],"mmm")</f>
        <v>Dec</v>
      </c>
      <c r="AD982" s="4" t="str">
        <f>"Q"&amp;ROUNDUP(MONTH(excelsalesdata[[#This Row],[Order_Date]])/3,0)</f>
        <v>Q4</v>
      </c>
    </row>
    <row r="983" spans="1:30" x14ac:dyDescent="0.35">
      <c r="A983" t="s">
        <v>1757</v>
      </c>
      <c r="B983" s="3">
        <v>46741</v>
      </c>
      <c r="C983" t="s">
        <v>1317</v>
      </c>
      <c r="D983" t="s">
        <v>1044</v>
      </c>
      <c r="E983" t="str">
        <f>TRIM(excelsalesdata[[#This Row],[Customer_Name]])</f>
        <v>Ananya Bhat</v>
      </c>
      <c r="F983" t="s">
        <v>44</v>
      </c>
      <c r="G983">
        <v>50</v>
      </c>
      <c r="H983" t="s">
        <v>98</v>
      </c>
      <c r="I983" t="str">
        <f>TRIM(excelsalesdata[[#This Row],[City]])</f>
        <v>Mumbai</v>
      </c>
      <c r="J983" t="s">
        <v>25</v>
      </c>
      <c r="K983" t="s">
        <v>26</v>
      </c>
      <c r="L983" t="s">
        <v>93</v>
      </c>
      <c r="M983" t="s">
        <v>135</v>
      </c>
      <c r="N983" t="s">
        <v>135</v>
      </c>
      <c r="O983">
        <v>3</v>
      </c>
      <c r="P983">
        <v>1720</v>
      </c>
      <c r="Q983">
        <v>0.1</v>
      </c>
      <c r="R983">
        <v>1000</v>
      </c>
      <c r="S983" t="s">
        <v>80</v>
      </c>
      <c r="T983" t="s">
        <v>81</v>
      </c>
      <c r="U983">
        <v>0</v>
      </c>
      <c r="V983" t="s">
        <v>31</v>
      </c>
      <c r="W983">
        <f>excelsalesdata[[#This Row],[Quantity]]*excelsalesdata[[#This Row],[Unit_Price]]</f>
        <v>5160</v>
      </c>
      <c r="X983">
        <f>excelsalesdata[[#This Row],[Gross_sales]]*excelsalesdata[[#This Row],[Discount_%]]</f>
        <v>516</v>
      </c>
      <c r="Y983">
        <f>excelsalesdata[[#This Row],[Gross_sales]]-excelsalesdata[[#This Row],[Discount_amt]]</f>
        <v>4644</v>
      </c>
      <c r="Z983" s="4">
        <f>excelsalesdata[[#This Row],[Net_sales]]-excelsalesdata[[#This Row],[Cost]]</f>
        <v>3644</v>
      </c>
      <c r="AA983" s="5">
        <f>excelsalesdata[[#This Row],[Profit]]/excelsalesdata[[#This Row],[Net_sales]]</f>
        <v>0.78466838931955207</v>
      </c>
      <c r="AB983" s="4">
        <f>YEAR(excelsalesdata[[#This Row],[Order_Date]])</f>
        <v>2027</v>
      </c>
      <c r="AC983" s="4" t="str">
        <f>TEXT(excelsalesdata[[#This Row],[Order_Date]],"mmm")</f>
        <v>Dec</v>
      </c>
      <c r="AD983" s="4" t="str">
        <f>"Q"&amp;ROUNDUP(MONTH(excelsalesdata[[#This Row],[Order_Date]])/3,0)</f>
        <v>Q4</v>
      </c>
    </row>
    <row r="984" spans="1:30" x14ac:dyDescent="0.35">
      <c r="A984" t="s">
        <v>1758</v>
      </c>
      <c r="B984" s="3">
        <v>46742</v>
      </c>
      <c r="C984" t="s">
        <v>1759</v>
      </c>
      <c r="D984" t="s">
        <v>593</v>
      </c>
      <c r="E984" t="str">
        <f>TRIM(excelsalesdata[[#This Row],[Customer_Name]])</f>
        <v>Nisha Gupta</v>
      </c>
      <c r="F984" t="s">
        <v>23</v>
      </c>
      <c r="G984">
        <v>41</v>
      </c>
      <c r="H984" t="s">
        <v>78</v>
      </c>
      <c r="I984" t="str">
        <f>TRIM(excelsalesdata[[#This Row],[City]])</f>
        <v>Guwahati</v>
      </c>
      <c r="J984" t="s">
        <v>79</v>
      </c>
      <c r="K984" t="s">
        <v>37</v>
      </c>
      <c r="L984" t="s">
        <v>103</v>
      </c>
      <c r="M984" t="s">
        <v>104</v>
      </c>
      <c r="N984" t="s">
        <v>104</v>
      </c>
      <c r="O984">
        <v>1</v>
      </c>
      <c r="P984">
        <v>8300</v>
      </c>
      <c r="Q984">
        <v>0.05</v>
      </c>
      <c r="R984">
        <v>5350</v>
      </c>
      <c r="S984" t="s">
        <v>29</v>
      </c>
      <c r="T984" t="s">
        <v>30</v>
      </c>
      <c r="U984">
        <v>6</v>
      </c>
      <c r="V984" t="s">
        <v>40</v>
      </c>
      <c r="W984">
        <f>excelsalesdata[[#This Row],[Quantity]]*excelsalesdata[[#This Row],[Unit_Price]]</f>
        <v>8300</v>
      </c>
      <c r="X984">
        <f>excelsalesdata[[#This Row],[Gross_sales]]*excelsalesdata[[#This Row],[Discount_%]]</f>
        <v>415</v>
      </c>
      <c r="Y984">
        <f>excelsalesdata[[#This Row],[Gross_sales]]-excelsalesdata[[#This Row],[Discount_amt]]</f>
        <v>7885</v>
      </c>
      <c r="Z984" s="4">
        <f>excelsalesdata[[#This Row],[Net_sales]]-excelsalesdata[[#This Row],[Cost]]</f>
        <v>2535</v>
      </c>
      <c r="AA984" s="5">
        <f>excelsalesdata[[#This Row],[Profit]]/excelsalesdata[[#This Row],[Net_sales]]</f>
        <v>0.32149651236525045</v>
      </c>
      <c r="AB984" s="4">
        <f>YEAR(excelsalesdata[[#This Row],[Order_Date]])</f>
        <v>2027</v>
      </c>
      <c r="AC984" s="4" t="str">
        <f>TEXT(excelsalesdata[[#This Row],[Order_Date]],"mmm")</f>
        <v>Dec</v>
      </c>
      <c r="AD984" s="4" t="str">
        <f>"Q"&amp;ROUNDUP(MONTH(excelsalesdata[[#This Row],[Order_Date]])/3,0)</f>
        <v>Q4</v>
      </c>
    </row>
    <row r="985" spans="1:30" x14ac:dyDescent="0.35">
      <c r="A985" t="s">
        <v>1760</v>
      </c>
      <c r="B985" s="3">
        <v>46743</v>
      </c>
      <c r="C985" t="s">
        <v>852</v>
      </c>
      <c r="D985" t="s">
        <v>776</v>
      </c>
      <c r="E985" t="str">
        <f>TRIM(excelsalesdata[[#This Row],[Customer_Name]])</f>
        <v>Ananya Shah</v>
      </c>
      <c r="F985" t="s">
        <v>23</v>
      </c>
      <c r="G985">
        <v>24</v>
      </c>
      <c r="H985" t="s">
        <v>114</v>
      </c>
      <c r="I985" t="str">
        <f>TRIM(excelsalesdata[[#This Row],[City]])</f>
        <v>Hyderabad</v>
      </c>
      <c r="J985" t="s">
        <v>115</v>
      </c>
      <c r="K985" t="s">
        <v>47</v>
      </c>
      <c r="L985" t="s">
        <v>54</v>
      </c>
      <c r="M985" t="s">
        <v>62</v>
      </c>
      <c r="N985" t="s">
        <v>62</v>
      </c>
      <c r="O985">
        <v>3</v>
      </c>
      <c r="P985">
        <v>22130</v>
      </c>
      <c r="Q985">
        <v>0.2</v>
      </c>
      <c r="R985">
        <v>14820</v>
      </c>
      <c r="S985" t="s">
        <v>105</v>
      </c>
      <c r="T985" t="s">
        <v>30</v>
      </c>
      <c r="U985">
        <v>4</v>
      </c>
      <c r="V985" t="s">
        <v>31</v>
      </c>
      <c r="W985">
        <f>excelsalesdata[[#This Row],[Quantity]]*excelsalesdata[[#This Row],[Unit_Price]]</f>
        <v>66390</v>
      </c>
      <c r="X985">
        <f>excelsalesdata[[#This Row],[Gross_sales]]*excelsalesdata[[#This Row],[Discount_%]]</f>
        <v>13278</v>
      </c>
      <c r="Y985">
        <f>excelsalesdata[[#This Row],[Gross_sales]]-excelsalesdata[[#This Row],[Discount_amt]]</f>
        <v>53112</v>
      </c>
      <c r="Z985" s="4">
        <f>excelsalesdata[[#This Row],[Net_sales]]-excelsalesdata[[#This Row],[Cost]]</f>
        <v>38292</v>
      </c>
      <c r="AA985" s="5">
        <f>excelsalesdata[[#This Row],[Profit]]/excelsalesdata[[#This Row],[Net_sales]]</f>
        <v>0.72096701310438316</v>
      </c>
      <c r="AB985" s="4">
        <f>YEAR(excelsalesdata[[#This Row],[Order_Date]])</f>
        <v>2027</v>
      </c>
      <c r="AC985" s="4" t="str">
        <f>TEXT(excelsalesdata[[#This Row],[Order_Date]],"mmm")</f>
        <v>Dec</v>
      </c>
      <c r="AD985" s="4" t="str">
        <f>"Q"&amp;ROUNDUP(MONTH(excelsalesdata[[#This Row],[Order_Date]])/3,0)</f>
        <v>Q4</v>
      </c>
    </row>
    <row r="986" spans="1:30" x14ac:dyDescent="0.35">
      <c r="A986" t="s">
        <v>1761</v>
      </c>
      <c r="B986" s="3">
        <v>46744</v>
      </c>
      <c r="C986" t="s">
        <v>1378</v>
      </c>
      <c r="D986" t="s">
        <v>189</v>
      </c>
      <c r="E986" t="str">
        <f>TRIM(excelsalesdata[[#This Row],[Customer_Name]])</f>
        <v>Aarav Reddy</v>
      </c>
      <c r="F986" t="s">
        <v>44</v>
      </c>
      <c r="G986">
        <v>22</v>
      </c>
      <c r="H986" t="s">
        <v>114</v>
      </c>
      <c r="I986" t="str">
        <f>TRIM(excelsalesdata[[#This Row],[City]])</f>
        <v>Hyderabad</v>
      </c>
      <c r="J986" t="s">
        <v>115</v>
      </c>
      <c r="K986" t="s">
        <v>47</v>
      </c>
      <c r="L986" t="s">
        <v>38</v>
      </c>
      <c r="M986" t="s">
        <v>255</v>
      </c>
      <c r="N986" t="s">
        <v>255</v>
      </c>
      <c r="O986">
        <v>4</v>
      </c>
      <c r="P986">
        <v>4270</v>
      </c>
      <c r="Q986">
        <v>0.05</v>
      </c>
      <c r="R986">
        <v>2920</v>
      </c>
      <c r="S986" t="s">
        <v>67</v>
      </c>
      <c r="T986" t="s">
        <v>81</v>
      </c>
      <c r="U986">
        <v>0</v>
      </c>
      <c r="V986" t="s">
        <v>40</v>
      </c>
      <c r="W986">
        <f>excelsalesdata[[#This Row],[Quantity]]*excelsalesdata[[#This Row],[Unit_Price]]</f>
        <v>17080</v>
      </c>
      <c r="X986">
        <f>excelsalesdata[[#This Row],[Gross_sales]]*excelsalesdata[[#This Row],[Discount_%]]</f>
        <v>854</v>
      </c>
      <c r="Y986">
        <f>excelsalesdata[[#This Row],[Gross_sales]]-excelsalesdata[[#This Row],[Discount_amt]]</f>
        <v>16226</v>
      </c>
      <c r="Z986" s="4">
        <f>excelsalesdata[[#This Row],[Net_sales]]-excelsalesdata[[#This Row],[Cost]]</f>
        <v>13306</v>
      </c>
      <c r="AA986" s="5">
        <f>excelsalesdata[[#This Row],[Profit]]/excelsalesdata[[#This Row],[Net_sales]]</f>
        <v>0.8200419080488105</v>
      </c>
      <c r="AB986" s="4">
        <f>YEAR(excelsalesdata[[#This Row],[Order_Date]])</f>
        <v>2027</v>
      </c>
      <c r="AC986" s="4" t="str">
        <f>TEXT(excelsalesdata[[#This Row],[Order_Date]],"mmm")</f>
        <v>Dec</v>
      </c>
      <c r="AD986" s="4" t="str">
        <f>"Q"&amp;ROUNDUP(MONTH(excelsalesdata[[#This Row],[Order_Date]])/3,0)</f>
        <v>Q4</v>
      </c>
    </row>
    <row r="987" spans="1:30" x14ac:dyDescent="0.35">
      <c r="A987" t="s">
        <v>1762</v>
      </c>
      <c r="B987" s="3">
        <v>46745</v>
      </c>
      <c r="C987" t="s">
        <v>1426</v>
      </c>
      <c r="D987" t="s">
        <v>311</v>
      </c>
      <c r="E987" t="str">
        <f>TRIM(excelsalesdata[[#This Row],[Customer_Name]])</f>
        <v>Karan Verma</v>
      </c>
      <c r="F987" t="s">
        <v>44</v>
      </c>
      <c r="G987">
        <v>31</v>
      </c>
      <c r="H987" t="s">
        <v>78</v>
      </c>
      <c r="I987" t="str">
        <f>TRIM(excelsalesdata[[#This Row],[City]])</f>
        <v>Guwahati</v>
      </c>
      <c r="J987" t="s">
        <v>79</v>
      </c>
      <c r="K987" t="s">
        <v>37</v>
      </c>
      <c r="L987" t="s">
        <v>38</v>
      </c>
      <c r="M987" t="s">
        <v>73</v>
      </c>
      <c r="N987" t="s">
        <v>73</v>
      </c>
      <c r="O987">
        <v>1</v>
      </c>
      <c r="P987">
        <v>4660</v>
      </c>
      <c r="Q987">
        <v>0.1</v>
      </c>
      <c r="R987">
        <v>3220</v>
      </c>
      <c r="S987" t="s">
        <v>67</v>
      </c>
      <c r="T987" t="s">
        <v>99</v>
      </c>
      <c r="U987">
        <v>3</v>
      </c>
      <c r="V987" t="s">
        <v>40</v>
      </c>
      <c r="W987">
        <f>excelsalesdata[[#This Row],[Quantity]]*excelsalesdata[[#This Row],[Unit_Price]]</f>
        <v>4660</v>
      </c>
      <c r="X987">
        <f>excelsalesdata[[#This Row],[Gross_sales]]*excelsalesdata[[#This Row],[Discount_%]]</f>
        <v>466</v>
      </c>
      <c r="Y987">
        <f>excelsalesdata[[#This Row],[Gross_sales]]-excelsalesdata[[#This Row],[Discount_amt]]</f>
        <v>4194</v>
      </c>
      <c r="Z987" s="4">
        <f>excelsalesdata[[#This Row],[Net_sales]]-excelsalesdata[[#This Row],[Cost]]</f>
        <v>974</v>
      </c>
      <c r="AA987" s="5">
        <f>excelsalesdata[[#This Row],[Profit]]/excelsalesdata[[#This Row],[Net_sales]]</f>
        <v>0.23223652837386743</v>
      </c>
      <c r="AB987" s="4">
        <f>YEAR(excelsalesdata[[#This Row],[Order_Date]])</f>
        <v>2027</v>
      </c>
      <c r="AC987" s="4" t="str">
        <f>TEXT(excelsalesdata[[#This Row],[Order_Date]],"mmm")</f>
        <v>Dec</v>
      </c>
      <c r="AD987" s="4" t="str">
        <f>"Q"&amp;ROUNDUP(MONTH(excelsalesdata[[#This Row],[Order_Date]])/3,0)</f>
        <v>Q4</v>
      </c>
    </row>
    <row r="988" spans="1:30" x14ac:dyDescent="0.35">
      <c r="A988" t="s">
        <v>1763</v>
      </c>
      <c r="B988" s="3">
        <v>46746</v>
      </c>
      <c r="C988" t="s">
        <v>789</v>
      </c>
      <c r="D988" t="s">
        <v>610</v>
      </c>
      <c r="E988" t="str">
        <f>TRIM(excelsalesdata[[#This Row],[Customer_Name]])</f>
        <v>Priya Das</v>
      </c>
      <c r="F988" t="s">
        <v>44</v>
      </c>
      <c r="G988">
        <v>55</v>
      </c>
      <c r="H988" t="s">
        <v>78</v>
      </c>
      <c r="I988" t="str">
        <f>TRIM(excelsalesdata[[#This Row],[City]])</f>
        <v>Guwahati</v>
      </c>
      <c r="J988" t="s">
        <v>79</v>
      </c>
      <c r="K988" t="s">
        <v>37</v>
      </c>
      <c r="L988" t="s">
        <v>103</v>
      </c>
      <c r="M988" t="s">
        <v>312</v>
      </c>
      <c r="N988" t="s">
        <v>312</v>
      </c>
      <c r="O988">
        <v>1</v>
      </c>
      <c r="P988">
        <v>6540</v>
      </c>
      <c r="Q988">
        <v>0.05</v>
      </c>
      <c r="R988">
        <v>4260</v>
      </c>
      <c r="S988" t="s">
        <v>67</v>
      </c>
      <c r="T988" t="s">
        <v>30</v>
      </c>
      <c r="U988">
        <v>2</v>
      </c>
      <c r="V988" t="s">
        <v>40</v>
      </c>
      <c r="W988">
        <f>excelsalesdata[[#This Row],[Quantity]]*excelsalesdata[[#This Row],[Unit_Price]]</f>
        <v>6540</v>
      </c>
      <c r="X988">
        <f>excelsalesdata[[#This Row],[Gross_sales]]*excelsalesdata[[#This Row],[Discount_%]]</f>
        <v>327</v>
      </c>
      <c r="Y988">
        <f>excelsalesdata[[#This Row],[Gross_sales]]-excelsalesdata[[#This Row],[Discount_amt]]</f>
        <v>6213</v>
      </c>
      <c r="Z988" s="4">
        <f>excelsalesdata[[#This Row],[Net_sales]]-excelsalesdata[[#This Row],[Cost]]</f>
        <v>1953</v>
      </c>
      <c r="AA988" s="5">
        <f>excelsalesdata[[#This Row],[Profit]]/excelsalesdata[[#This Row],[Net_sales]]</f>
        <v>0.31434089811685179</v>
      </c>
      <c r="AB988" s="4">
        <f>YEAR(excelsalesdata[[#This Row],[Order_Date]])</f>
        <v>2027</v>
      </c>
      <c r="AC988" s="4" t="str">
        <f>TEXT(excelsalesdata[[#This Row],[Order_Date]],"mmm")</f>
        <v>Dec</v>
      </c>
      <c r="AD988" s="4" t="str">
        <f>"Q"&amp;ROUNDUP(MONTH(excelsalesdata[[#This Row],[Order_Date]])/3,0)</f>
        <v>Q4</v>
      </c>
    </row>
    <row r="989" spans="1:30" x14ac:dyDescent="0.35">
      <c r="A989" t="s">
        <v>1764</v>
      </c>
      <c r="B989" s="3">
        <v>46747</v>
      </c>
      <c r="C989" t="s">
        <v>599</v>
      </c>
      <c r="D989" t="s">
        <v>141</v>
      </c>
      <c r="E989" t="str">
        <f>TRIM(excelsalesdata[[#This Row],[Customer_Name]])</f>
        <v>Aarav Kumar</v>
      </c>
      <c r="F989" t="s">
        <v>44</v>
      </c>
      <c r="G989">
        <v>51</v>
      </c>
      <c r="H989" t="s">
        <v>185</v>
      </c>
      <c r="I989" t="str">
        <f>TRIM(excelsalesdata[[#This Row],[City]])</f>
        <v>Lucknow</v>
      </c>
      <c r="J989" t="s">
        <v>186</v>
      </c>
      <c r="K989" t="s">
        <v>61</v>
      </c>
      <c r="L989" t="s">
        <v>38</v>
      </c>
      <c r="M989" t="s">
        <v>73</v>
      </c>
      <c r="N989" t="s">
        <v>73</v>
      </c>
      <c r="O989">
        <v>4</v>
      </c>
      <c r="P989">
        <v>5210</v>
      </c>
      <c r="Q989">
        <v>0.15</v>
      </c>
      <c r="R989">
        <v>3120</v>
      </c>
      <c r="S989" t="s">
        <v>29</v>
      </c>
      <c r="T989" t="s">
        <v>74</v>
      </c>
      <c r="U989">
        <v>1</v>
      </c>
      <c r="V989" t="s">
        <v>31</v>
      </c>
      <c r="W989">
        <f>excelsalesdata[[#This Row],[Quantity]]*excelsalesdata[[#This Row],[Unit_Price]]</f>
        <v>20840</v>
      </c>
      <c r="X989">
        <f>excelsalesdata[[#This Row],[Gross_sales]]*excelsalesdata[[#This Row],[Discount_%]]</f>
        <v>3126</v>
      </c>
      <c r="Y989">
        <f>excelsalesdata[[#This Row],[Gross_sales]]-excelsalesdata[[#This Row],[Discount_amt]]</f>
        <v>17714</v>
      </c>
      <c r="Z989" s="4">
        <f>excelsalesdata[[#This Row],[Net_sales]]-excelsalesdata[[#This Row],[Cost]]</f>
        <v>14594</v>
      </c>
      <c r="AA989" s="5">
        <f>excelsalesdata[[#This Row],[Profit]]/excelsalesdata[[#This Row],[Net_sales]]</f>
        <v>0.82386812690527267</v>
      </c>
      <c r="AB989" s="4">
        <f>YEAR(excelsalesdata[[#This Row],[Order_Date]])</f>
        <v>2027</v>
      </c>
      <c r="AC989" s="4" t="str">
        <f>TEXT(excelsalesdata[[#This Row],[Order_Date]],"mmm")</f>
        <v>Dec</v>
      </c>
      <c r="AD989" s="4" t="str">
        <f>"Q"&amp;ROUNDUP(MONTH(excelsalesdata[[#This Row],[Order_Date]])/3,0)</f>
        <v>Q4</v>
      </c>
    </row>
    <row r="990" spans="1:30" x14ac:dyDescent="0.35">
      <c r="A990" t="s">
        <v>1765</v>
      </c>
      <c r="B990" s="3">
        <v>46748</v>
      </c>
      <c r="C990" t="s">
        <v>1582</v>
      </c>
      <c r="D990" t="s">
        <v>420</v>
      </c>
      <c r="E990" t="str">
        <f>TRIM(excelsalesdata[[#This Row],[Customer_Name]])</f>
        <v>Vivaan Mehta</v>
      </c>
      <c r="F990" t="s">
        <v>23</v>
      </c>
      <c r="G990">
        <v>59</v>
      </c>
      <c r="H990" t="s">
        <v>60</v>
      </c>
      <c r="I990" t="str">
        <f>TRIM(excelsalesdata[[#This Row],[City]])</f>
        <v>Chandigarh</v>
      </c>
      <c r="J990" t="s">
        <v>60</v>
      </c>
      <c r="K990" t="s">
        <v>61</v>
      </c>
      <c r="L990" t="s">
        <v>38</v>
      </c>
      <c r="M990" t="s">
        <v>161</v>
      </c>
      <c r="N990" t="s">
        <v>161</v>
      </c>
      <c r="O990">
        <v>1</v>
      </c>
      <c r="P990">
        <v>27700</v>
      </c>
      <c r="Q990">
        <v>0.2</v>
      </c>
      <c r="R990">
        <v>19530</v>
      </c>
      <c r="S990" t="s">
        <v>105</v>
      </c>
      <c r="T990" t="s">
        <v>81</v>
      </c>
      <c r="U990">
        <v>0</v>
      </c>
      <c r="V990" t="s">
        <v>40</v>
      </c>
      <c r="W990">
        <f>excelsalesdata[[#This Row],[Quantity]]*excelsalesdata[[#This Row],[Unit_Price]]</f>
        <v>27700</v>
      </c>
      <c r="X990">
        <f>excelsalesdata[[#This Row],[Gross_sales]]*excelsalesdata[[#This Row],[Discount_%]]</f>
        <v>5540</v>
      </c>
      <c r="Y990">
        <f>excelsalesdata[[#This Row],[Gross_sales]]-excelsalesdata[[#This Row],[Discount_amt]]</f>
        <v>22160</v>
      </c>
      <c r="Z990" s="4">
        <f>excelsalesdata[[#This Row],[Net_sales]]-excelsalesdata[[#This Row],[Cost]]</f>
        <v>2630</v>
      </c>
      <c r="AA990" s="5">
        <f>excelsalesdata[[#This Row],[Profit]]/excelsalesdata[[#This Row],[Net_sales]]</f>
        <v>0.11868231046931407</v>
      </c>
      <c r="AB990" s="4">
        <f>YEAR(excelsalesdata[[#This Row],[Order_Date]])</f>
        <v>2027</v>
      </c>
      <c r="AC990" s="4" t="str">
        <f>TEXT(excelsalesdata[[#This Row],[Order_Date]],"mmm")</f>
        <v>Dec</v>
      </c>
      <c r="AD990" s="4" t="str">
        <f>"Q"&amp;ROUNDUP(MONTH(excelsalesdata[[#This Row],[Order_Date]])/3,0)</f>
        <v>Q4</v>
      </c>
    </row>
    <row r="991" spans="1:30" x14ac:dyDescent="0.35">
      <c r="A991" t="s">
        <v>1766</v>
      </c>
      <c r="B991" s="3">
        <v>46749</v>
      </c>
      <c r="C991" t="s">
        <v>1513</v>
      </c>
      <c r="D991" t="s">
        <v>371</v>
      </c>
      <c r="E991" t="str">
        <f>TRIM(excelsalesdata[[#This Row],[Customer_Name]])</f>
        <v>Karan Bhat</v>
      </c>
      <c r="F991" t="s">
        <v>23</v>
      </c>
      <c r="G991">
        <v>26</v>
      </c>
      <c r="H991" t="s">
        <v>35</v>
      </c>
      <c r="I991" t="str">
        <f>TRIM(excelsalesdata[[#This Row],[City]])</f>
        <v>Kolkata</v>
      </c>
      <c r="J991" t="s">
        <v>36</v>
      </c>
      <c r="K991" t="s">
        <v>37</v>
      </c>
      <c r="L991" t="s">
        <v>54</v>
      </c>
      <c r="M991" t="s">
        <v>129</v>
      </c>
      <c r="N991" t="s">
        <v>129</v>
      </c>
      <c r="O991">
        <v>1</v>
      </c>
      <c r="P991">
        <v>17540</v>
      </c>
      <c r="Q991">
        <v>0.1</v>
      </c>
      <c r="R991">
        <v>12670</v>
      </c>
      <c r="S991" t="s">
        <v>29</v>
      </c>
      <c r="T991" t="s">
        <v>30</v>
      </c>
      <c r="U991">
        <v>3</v>
      </c>
      <c r="V991" t="s">
        <v>40</v>
      </c>
      <c r="W991">
        <f>excelsalesdata[[#This Row],[Quantity]]*excelsalesdata[[#This Row],[Unit_Price]]</f>
        <v>17540</v>
      </c>
      <c r="X991">
        <f>excelsalesdata[[#This Row],[Gross_sales]]*excelsalesdata[[#This Row],[Discount_%]]</f>
        <v>1754</v>
      </c>
      <c r="Y991">
        <f>excelsalesdata[[#This Row],[Gross_sales]]-excelsalesdata[[#This Row],[Discount_amt]]</f>
        <v>15786</v>
      </c>
      <c r="Z991" s="4">
        <f>excelsalesdata[[#This Row],[Net_sales]]-excelsalesdata[[#This Row],[Cost]]</f>
        <v>3116</v>
      </c>
      <c r="AA991" s="5">
        <f>excelsalesdata[[#This Row],[Profit]]/excelsalesdata[[#This Row],[Net_sales]]</f>
        <v>0.19739009248701381</v>
      </c>
      <c r="AB991" s="4">
        <f>YEAR(excelsalesdata[[#This Row],[Order_Date]])</f>
        <v>2027</v>
      </c>
      <c r="AC991" s="4" t="str">
        <f>TEXT(excelsalesdata[[#This Row],[Order_Date]],"mmm")</f>
        <v>Dec</v>
      </c>
      <c r="AD991" s="4" t="str">
        <f>"Q"&amp;ROUNDUP(MONTH(excelsalesdata[[#This Row],[Order_Date]])/3,0)</f>
        <v>Q4</v>
      </c>
    </row>
    <row r="992" spans="1:30" x14ac:dyDescent="0.35">
      <c r="A992" t="s">
        <v>1767</v>
      </c>
      <c r="B992" s="3">
        <v>46750</v>
      </c>
      <c r="C992" t="s">
        <v>69</v>
      </c>
      <c r="D992" t="s">
        <v>194</v>
      </c>
      <c r="E992" t="str">
        <f>TRIM(excelsalesdata[[#This Row],[Customer_Name]])</f>
        <v>Aditya Reddy</v>
      </c>
      <c r="F992" t="s">
        <v>44</v>
      </c>
      <c r="G992">
        <v>35</v>
      </c>
      <c r="H992" t="s">
        <v>98</v>
      </c>
      <c r="I992" t="str">
        <f>TRIM(excelsalesdata[[#This Row],[City]])</f>
        <v>Mumbai</v>
      </c>
      <c r="J992" t="s">
        <v>25</v>
      </c>
      <c r="K992" t="s">
        <v>26</v>
      </c>
      <c r="L992" t="s">
        <v>103</v>
      </c>
      <c r="M992" t="s">
        <v>104</v>
      </c>
      <c r="N992" t="s">
        <v>104</v>
      </c>
      <c r="O992">
        <v>1</v>
      </c>
      <c r="P992">
        <v>9110</v>
      </c>
      <c r="Q992">
        <v>0</v>
      </c>
      <c r="R992">
        <v>5340</v>
      </c>
      <c r="S992" t="s">
        <v>80</v>
      </c>
      <c r="T992" t="s">
        <v>30</v>
      </c>
      <c r="U992">
        <v>2</v>
      </c>
      <c r="V992" t="s">
        <v>31</v>
      </c>
      <c r="W992">
        <f>excelsalesdata[[#This Row],[Quantity]]*excelsalesdata[[#This Row],[Unit_Price]]</f>
        <v>9110</v>
      </c>
      <c r="X992">
        <f>excelsalesdata[[#This Row],[Gross_sales]]*excelsalesdata[[#This Row],[Discount_%]]</f>
        <v>0</v>
      </c>
      <c r="Y992">
        <f>excelsalesdata[[#This Row],[Gross_sales]]-excelsalesdata[[#This Row],[Discount_amt]]</f>
        <v>9110</v>
      </c>
      <c r="Z992" s="4">
        <f>excelsalesdata[[#This Row],[Net_sales]]-excelsalesdata[[#This Row],[Cost]]</f>
        <v>3770</v>
      </c>
      <c r="AA992" s="5">
        <f>excelsalesdata[[#This Row],[Profit]]/excelsalesdata[[#This Row],[Net_sales]]</f>
        <v>0.4138309549945115</v>
      </c>
      <c r="AB992" s="4">
        <f>YEAR(excelsalesdata[[#This Row],[Order_Date]])</f>
        <v>2027</v>
      </c>
      <c r="AC992" s="4" t="str">
        <f>TEXT(excelsalesdata[[#This Row],[Order_Date]],"mmm")</f>
        <v>Dec</v>
      </c>
      <c r="AD992" s="4" t="str">
        <f>"Q"&amp;ROUNDUP(MONTH(excelsalesdata[[#This Row],[Order_Date]])/3,0)</f>
        <v>Q4</v>
      </c>
    </row>
    <row r="993" spans="1:30" x14ac:dyDescent="0.35">
      <c r="A993" t="s">
        <v>1768</v>
      </c>
      <c r="B993" s="3">
        <v>46751</v>
      </c>
      <c r="C993" t="s">
        <v>1161</v>
      </c>
      <c r="D993" t="s">
        <v>426</v>
      </c>
      <c r="E993" t="str">
        <f>TRIM(excelsalesdata[[#This Row],[Customer_Name]])</f>
        <v>Kavya Verma</v>
      </c>
      <c r="F993" t="s">
        <v>44</v>
      </c>
      <c r="G993">
        <v>46</v>
      </c>
      <c r="H993" t="s">
        <v>168</v>
      </c>
      <c r="I993" t="str">
        <f>TRIM(excelsalesdata[[#This Row],[City]])</f>
        <v>Delhi</v>
      </c>
      <c r="J993" t="s">
        <v>168</v>
      </c>
      <c r="K993" t="s">
        <v>61</v>
      </c>
      <c r="L993" t="s">
        <v>85</v>
      </c>
      <c r="M993" t="s">
        <v>172</v>
      </c>
      <c r="N993" t="s">
        <v>172</v>
      </c>
      <c r="O993">
        <v>2</v>
      </c>
      <c r="P993">
        <v>4840</v>
      </c>
      <c r="Q993">
        <v>0</v>
      </c>
      <c r="R993">
        <v>2780</v>
      </c>
      <c r="S993" t="s">
        <v>67</v>
      </c>
      <c r="T993" t="s">
        <v>81</v>
      </c>
      <c r="U993">
        <v>0</v>
      </c>
      <c r="V993" t="s">
        <v>40</v>
      </c>
      <c r="W993">
        <f>excelsalesdata[[#This Row],[Quantity]]*excelsalesdata[[#This Row],[Unit_Price]]</f>
        <v>9680</v>
      </c>
      <c r="X993">
        <f>excelsalesdata[[#This Row],[Gross_sales]]*excelsalesdata[[#This Row],[Discount_%]]</f>
        <v>0</v>
      </c>
      <c r="Y993">
        <f>excelsalesdata[[#This Row],[Gross_sales]]-excelsalesdata[[#This Row],[Discount_amt]]</f>
        <v>9680</v>
      </c>
      <c r="Z993" s="4">
        <f>excelsalesdata[[#This Row],[Net_sales]]-excelsalesdata[[#This Row],[Cost]]</f>
        <v>6900</v>
      </c>
      <c r="AA993" s="5">
        <f>excelsalesdata[[#This Row],[Profit]]/excelsalesdata[[#This Row],[Net_sales]]</f>
        <v>0.71280991735537191</v>
      </c>
      <c r="AB993" s="4">
        <f>YEAR(excelsalesdata[[#This Row],[Order_Date]])</f>
        <v>2027</v>
      </c>
      <c r="AC993" s="4" t="str">
        <f>TEXT(excelsalesdata[[#This Row],[Order_Date]],"mmm")</f>
        <v>Dec</v>
      </c>
      <c r="AD993" s="4" t="str">
        <f>"Q"&amp;ROUNDUP(MONTH(excelsalesdata[[#This Row],[Order_Date]])/3,0)</f>
        <v>Q4</v>
      </c>
    </row>
    <row r="994" spans="1:30" x14ac:dyDescent="0.35">
      <c r="A994" t="s">
        <v>1769</v>
      </c>
      <c r="B994" s="3">
        <v>46752</v>
      </c>
      <c r="C994" t="s">
        <v>982</v>
      </c>
      <c r="D994" t="s">
        <v>285</v>
      </c>
      <c r="E994" t="str">
        <f>TRIM(excelsalesdata[[#This Row],[Customer_Name]])</f>
        <v>Aditya Bhat</v>
      </c>
      <c r="F994" t="s">
        <v>44</v>
      </c>
      <c r="G994">
        <v>30</v>
      </c>
      <c r="H994" t="s">
        <v>133</v>
      </c>
      <c r="I994" t="str">
        <f>TRIM(excelsalesdata[[#This Row],[City]])</f>
        <v>Jaipur</v>
      </c>
      <c r="J994" t="s">
        <v>134</v>
      </c>
      <c r="K994" t="s">
        <v>61</v>
      </c>
      <c r="L994" t="s">
        <v>27</v>
      </c>
      <c r="M994" t="s">
        <v>123</v>
      </c>
      <c r="N994" t="s">
        <v>123</v>
      </c>
      <c r="O994">
        <v>3</v>
      </c>
      <c r="P994">
        <v>2940</v>
      </c>
      <c r="Q994">
        <v>0.15</v>
      </c>
      <c r="R994">
        <v>1520</v>
      </c>
      <c r="S994" t="s">
        <v>105</v>
      </c>
      <c r="T994" t="s">
        <v>30</v>
      </c>
      <c r="U994">
        <v>3</v>
      </c>
      <c r="V994" t="s">
        <v>40</v>
      </c>
      <c r="W994">
        <f>excelsalesdata[[#This Row],[Quantity]]*excelsalesdata[[#This Row],[Unit_Price]]</f>
        <v>8820</v>
      </c>
      <c r="X994">
        <f>excelsalesdata[[#This Row],[Gross_sales]]*excelsalesdata[[#This Row],[Discount_%]]</f>
        <v>1323</v>
      </c>
      <c r="Y994">
        <f>excelsalesdata[[#This Row],[Gross_sales]]-excelsalesdata[[#This Row],[Discount_amt]]</f>
        <v>7497</v>
      </c>
      <c r="Z994" s="4">
        <f>excelsalesdata[[#This Row],[Net_sales]]-excelsalesdata[[#This Row],[Cost]]</f>
        <v>5977</v>
      </c>
      <c r="AA994" s="5">
        <f>excelsalesdata[[#This Row],[Profit]]/excelsalesdata[[#This Row],[Net_sales]]</f>
        <v>0.79725223422702418</v>
      </c>
      <c r="AB994" s="4">
        <f>YEAR(excelsalesdata[[#This Row],[Order_Date]])</f>
        <v>2027</v>
      </c>
      <c r="AC994" s="4" t="str">
        <f>TEXT(excelsalesdata[[#This Row],[Order_Date]],"mmm")</f>
        <v>Dec</v>
      </c>
      <c r="AD994" s="4" t="str">
        <f>"Q"&amp;ROUNDUP(MONTH(excelsalesdata[[#This Row],[Order_Date]])/3,0)</f>
        <v>Q4</v>
      </c>
    </row>
    <row r="995" spans="1:30" x14ac:dyDescent="0.35">
      <c r="A995" t="s">
        <v>1770</v>
      </c>
      <c r="B995" s="3">
        <v>46753</v>
      </c>
      <c r="C995" t="s">
        <v>1771</v>
      </c>
      <c r="D995" t="s">
        <v>1092</v>
      </c>
      <c r="E995" t="str">
        <f>TRIM(excelsalesdata[[#This Row],[Customer_Name]])</f>
        <v>Rahul Shah</v>
      </c>
      <c r="F995" t="s">
        <v>23</v>
      </c>
      <c r="G995">
        <v>31</v>
      </c>
      <c r="H995" t="s">
        <v>168</v>
      </c>
      <c r="I995" t="str">
        <f>TRIM(excelsalesdata[[#This Row],[City]])</f>
        <v>Delhi</v>
      </c>
      <c r="J995" t="s">
        <v>168</v>
      </c>
      <c r="K995" t="s">
        <v>61</v>
      </c>
      <c r="L995" t="s">
        <v>93</v>
      </c>
      <c r="M995" t="s">
        <v>206</v>
      </c>
      <c r="N995" t="s">
        <v>206</v>
      </c>
      <c r="O995">
        <v>1</v>
      </c>
      <c r="P995">
        <v>690</v>
      </c>
      <c r="Q995">
        <v>0.05</v>
      </c>
      <c r="R995">
        <v>300</v>
      </c>
      <c r="S995" t="s">
        <v>105</v>
      </c>
      <c r="T995" t="s">
        <v>30</v>
      </c>
      <c r="U995">
        <v>6</v>
      </c>
      <c r="V995" t="s">
        <v>40</v>
      </c>
      <c r="W995">
        <f>excelsalesdata[[#This Row],[Quantity]]*excelsalesdata[[#This Row],[Unit_Price]]</f>
        <v>690</v>
      </c>
      <c r="X995">
        <f>excelsalesdata[[#This Row],[Gross_sales]]*excelsalesdata[[#This Row],[Discount_%]]</f>
        <v>34.5</v>
      </c>
      <c r="Y995">
        <f>excelsalesdata[[#This Row],[Gross_sales]]-excelsalesdata[[#This Row],[Discount_amt]]</f>
        <v>655.5</v>
      </c>
      <c r="Z995" s="4">
        <f>excelsalesdata[[#This Row],[Net_sales]]-excelsalesdata[[#This Row],[Cost]]</f>
        <v>355.5</v>
      </c>
      <c r="AA995" s="5">
        <f>excelsalesdata[[#This Row],[Profit]]/excelsalesdata[[#This Row],[Net_sales]]</f>
        <v>0.54233409610983985</v>
      </c>
      <c r="AB995" s="4">
        <f>YEAR(excelsalesdata[[#This Row],[Order_Date]])</f>
        <v>2028</v>
      </c>
      <c r="AC995" s="4" t="str">
        <f>TEXT(excelsalesdata[[#This Row],[Order_Date]],"mmm")</f>
        <v>Jan</v>
      </c>
      <c r="AD995" s="4" t="str">
        <f>"Q"&amp;ROUNDUP(MONTH(excelsalesdata[[#This Row],[Order_Date]])/3,0)</f>
        <v>Q1</v>
      </c>
    </row>
    <row r="996" spans="1:30" x14ac:dyDescent="0.35">
      <c r="A996" t="s">
        <v>1772</v>
      </c>
      <c r="B996" s="3">
        <v>46754</v>
      </c>
      <c r="C996" t="s">
        <v>278</v>
      </c>
      <c r="D996" t="s">
        <v>231</v>
      </c>
      <c r="E996" t="str">
        <f>TRIM(excelsalesdata[[#This Row],[Customer_Name]])</f>
        <v>Ananya Verma</v>
      </c>
      <c r="F996" t="s">
        <v>23</v>
      </c>
      <c r="G996">
        <v>47</v>
      </c>
      <c r="H996" t="s">
        <v>109</v>
      </c>
      <c r="I996" t="str">
        <f>TRIM(excelsalesdata[[#This Row],[City]])</f>
        <v>Mysuru</v>
      </c>
      <c r="J996" t="s">
        <v>53</v>
      </c>
      <c r="K996" t="s">
        <v>47</v>
      </c>
      <c r="L996" t="s">
        <v>27</v>
      </c>
      <c r="M996" t="s">
        <v>295</v>
      </c>
      <c r="N996" t="s">
        <v>295</v>
      </c>
      <c r="O996">
        <v>1</v>
      </c>
      <c r="P996">
        <v>4320</v>
      </c>
      <c r="Q996">
        <v>0.15</v>
      </c>
      <c r="R996">
        <v>2500</v>
      </c>
      <c r="S996" t="s">
        <v>29</v>
      </c>
      <c r="T996" t="s">
        <v>30</v>
      </c>
      <c r="U996">
        <v>3</v>
      </c>
      <c r="V996" t="s">
        <v>40</v>
      </c>
      <c r="W996">
        <f>excelsalesdata[[#This Row],[Quantity]]*excelsalesdata[[#This Row],[Unit_Price]]</f>
        <v>4320</v>
      </c>
      <c r="X996">
        <f>excelsalesdata[[#This Row],[Gross_sales]]*excelsalesdata[[#This Row],[Discount_%]]</f>
        <v>648</v>
      </c>
      <c r="Y996">
        <f>excelsalesdata[[#This Row],[Gross_sales]]-excelsalesdata[[#This Row],[Discount_amt]]</f>
        <v>3672</v>
      </c>
      <c r="Z996" s="4">
        <f>excelsalesdata[[#This Row],[Net_sales]]-excelsalesdata[[#This Row],[Cost]]</f>
        <v>1172</v>
      </c>
      <c r="AA996" s="5">
        <f>excelsalesdata[[#This Row],[Profit]]/excelsalesdata[[#This Row],[Net_sales]]</f>
        <v>0.31917211328976036</v>
      </c>
      <c r="AB996" s="4">
        <f>YEAR(excelsalesdata[[#This Row],[Order_Date]])</f>
        <v>2028</v>
      </c>
      <c r="AC996" s="4" t="str">
        <f>TEXT(excelsalesdata[[#This Row],[Order_Date]],"mmm")</f>
        <v>Jan</v>
      </c>
      <c r="AD996" s="4" t="str">
        <f>"Q"&amp;ROUNDUP(MONTH(excelsalesdata[[#This Row],[Order_Date]])/3,0)</f>
        <v>Q1</v>
      </c>
    </row>
    <row r="997" spans="1:30" x14ac:dyDescent="0.35">
      <c r="A997" t="s">
        <v>1773</v>
      </c>
      <c r="B997" s="3">
        <v>46755</v>
      </c>
      <c r="C997" t="s">
        <v>1141</v>
      </c>
      <c r="D997" t="s">
        <v>455</v>
      </c>
      <c r="E997" t="str">
        <f>TRIM(excelsalesdata[[#This Row],[Customer_Name]])</f>
        <v>Karan Reddy</v>
      </c>
      <c r="F997" t="s">
        <v>23</v>
      </c>
      <c r="G997">
        <v>59</v>
      </c>
      <c r="H997" t="s">
        <v>133</v>
      </c>
      <c r="I997" t="str">
        <f>TRIM(excelsalesdata[[#This Row],[City]])</f>
        <v>Jaipur</v>
      </c>
      <c r="J997" t="s">
        <v>134</v>
      </c>
      <c r="K997" t="s">
        <v>61</v>
      </c>
      <c r="L997" t="s">
        <v>93</v>
      </c>
      <c r="M997" t="s">
        <v>718</v>
      </c>
      <c r="N997" t="s">
        <v>718</v>
      </c>
      <c r="O997">
        <v>2</v>
      </c>
      <c r="P997">
        <v>1850</v>
      </c>
      <c r="Q997">
        <v>0</v>
      </c>
      <c r="R997">
        <v>900</v>
      </c>
      <c r="S997" t="s">
        <v>29</v>
      </c>
      <c r="T997" t="s">
        <v>30</v>
      </c>
      <c r="U997">
        <v>8</v>
      </c>
      <c r="V997" t="s">
        <v>40</v>
      </c>
      <c r="W997">
        <f>excelsalesdata[[#This Row],[Quantity]]*excelsalesdata[[#This Row],[Unit_Price]]</f>
        <v>3700</v>
      </c>
      <c r="X997">
        <f>excelsalesdata[[#This Row],[Gross_sales]]*excelsalesdata[[#This Row],[Discount_%]]</f>
        <v>0</v>
      </c>
      <c r="Y997">
        <f>excelsalesdata[[#This Row],[Gross_sales]]-excelsalesdata[[#This Row],[Discount_amt]]</f>
        <v>3700</v>
      </c>
      <c r="Z997" s="4">
        <f>excelsalesdata[[#This Row],[Net_sales]]-excelsalesdata[[#This Row],[Cost]]</f>
        <v>2800</v>
      </c>
      <c r="AA997" s="5">
        <f>excelsalesdata[[#This Row],[Profit]]/excelsalesdata[[#This Row],[Net_sales]]</f>
        <v>0.7567567567567568</v>
      </c>
      <c r="AB997" s="4">
        <f>YEAR(excelsalesdata[[#This Row],[Order_Date]])</f>
        <v>2028</v>
      </c>
      <c r="AC997" s="4" t="str">
        <f>TEXT(excelsalesdata[[#This Row],[Order_Date]],"mmm")</f>
        <v>Jan</v>
      </c>
      <c r="AD997" s="4" t="str">
        <f>"Q"&amp;ROUNDUP(MONTH(excelsalesdata[[#This Row],[Order_Date]])/3,0)</f>
        <v>Q1</v>
      </c>
    </row>
    <row r="998" spans="1:30" x14ac:dyDescent="0.35">
      <c r="A998" t="s">
        <v>1774</v>
      </c>
      <c r="B998" s="3">
        <v>46756</v>
      </c>
      <c r="C998" t="s">
        <v>64</v>
      </c>
      <c r="D998" t="s">
        <v>403</v>
      </c>
      <c r="E998" t="str">
        <f>TRIM(excelsalesdata[[#This Row],[Customer_Name]])</f>
        <v>Diya Iyer</v>
      </c>
      <c r="F998" t="s">
        <v>44</v>
      </c>
      <c r="G998">
        <v>34</v>
      </c>
      <c r="H998" t="s">
        <v>52</v>
      </c>
      <c r="I998" t="str">
        <f>TRIM(excelsalesdata[[#This Row],[City]])</f>
        <v>Bengaluru</v>
      </c>
      <c r="J998" t="s">
        <v>53</v>
      </c>
      <c r="K998" t="s">
        <v>47</v>
      </c>
      <c r="L998" t="s">
        <v>38</v>
      </c>
      <c r="M998" t="s">
        <v>119</v>
      </c>
      <c r="N998" t="s">
        <v>119</v>
      </c>
      <c r="O998">
        <v>4</v>
      </c>
      <c r="P998">
        <v>8880</v>
      </c>
      <c r="Q998">
        <v>0.25</v>
      </c>
      <c r="R998">
        <v>5490</v>
      </c>
      <c r="S998" t="s">
        <v>29</v>
      </c>
      <c r="T998" t="s">
        <v>30</v>
      </c>
      <c r="U998">
        <v>1</v>
      </c>
      <c r="V998" t="s">
        <v>31</v>
      </c>
      <c r="W998">
        <f>excelsalesdata[[#This Row],[Quantity]]*excelsalesdata[[#This Row],[Unit_Price]]</f>
        <v>35520</v>
      </c>
      <c r="X998">
        <f>excelsalesdata[[#This Row],[Gross_sales]]*excelsalesdata[[#This Row],[Discount_%]]</f>
        <v>8880</v>
      </c>
      <c r="Y998">
        <f>excelsalesdata[[#This Row],[Gross_sales]]-excelsalesdata[[#This Row],[Discount_amt]]</f>
        <v>26640</v>
      </c>
      <c r="Z998" s="4">
        <f>excelsalesdata[[#This Row],[Net_sales]]-excelsalesdata[[#This Row],[Cost]]</f>
        <v>21150</v>
      </c>
      <c r="AA998" s="5">
        <f>excelsalesdata[[#This Row],[Profit]]/excelsalesdata[[#This Row],[Net_sales]]</f>
        <v>0.79391891891891897</v>
      </c>
      <c r="AB998" s="4">
        <f>YEAR(excelsalesdata[[#This Row],[Order_Date]])</f>
        <v>2028</v>
      </c>
      <c r="AC998" s="4" t="str">
        <f>TEXT(excelsalesdata[[#This Row],[Order_Date]],"mmm")</f>
        <v>Jan</v>
      </c>
      <c r="AD998" s="4" t="str">
        <f>"Q"&amp;ROUNDUP(MONTH(excelsalesdata[[#This Row],[Order_Date]])/3,0)</f>
        <v>Q1</v>
      </c>
    </row>
    <row r="999" spans="1:30" x14ac:dyDescent="0.35">
      <c r="A999" t="s">
        <v>1775</v>
      </c>
      <c r="B999" s="3">
        <v>46757</v>
      </c>
      <c r="C999" t="s">
        <v>1776</v>
      </c>
      <c r="D999" t="s">
        <v>806</v>
      </c>
      <c r="E999" t="str">
        <f>TRIM(excelsalesdata[[#This Row],[Customer_Name]])</f>
        <v>Karan Patel</v>
      </c>
      <c r="F999" t="s">
        <v>44</v>
      </c>
      <c r="G999">
        <v>36</v>
      </c>
      <c r="H999" t="s">
        <v>109</v>
      </c>
      <c r="I999" t="str">
        <f>TRIM(excelsalesdata[[#This Row],[City]])</f>
        <v>Mysuru</v>
      </c>
      <c r="J999" t="s">
        <v>53</v>
      </c>
      <c r="K999" t="s">
        <v>47</v>
      </c>
      <c r="L999" t="s">
        <v>54</v>
      </c>
      <c r="M999" t="s">
        <v>55</v>
      </c>
      <c r="N999" t="s">
        <v>55</v>
      </c>
      <c r="O999">
        <v>2</v>
      </c>
      <c r="P999">
        <v>7450</v>
      </c>
      <c r="Q999">
        <v>0.05</v>
      </c>
      <c r="R999">
        <v>4670</v>
      </c>
      <c r="S999" t="s">
        <v>105</v>
      </c>
      <c r="T999" t="s">
        <v>30</v>
      </c>
      <c r="U999">
        <v>5</v>
      </c>
      <c r="V999" t="s">
        <v>40</v>
      </c>
      <c r="W999">
        <f>excelsalesdata[[#This Row],[Quantity]]*excelsalesdata[[#This Row],[Unit_Price]]</f>
        <v>14900</v>
      </c>
      <c r="X999">
        <f>excelsalesdata[[#This Row],[Gross_sales]]*excelsalesdata[[#This Row],[Discount_%]]</f>
        <v>745</v>
      </c>
      <c r="Y999">
        <f>excelsalesdata[[#This Row],[Gross_sales]]-excelsalesdata[[#This Row],[Discount_amt]]</f>
        <v>14155</v>
      </c>
      <c r="Z999" s="4">
        <f>excelsalesdata[[#This Row],[Net_sales]]-excelsalesdata[[#This Row],[Cost]]</f>
        <v>9485</v>
      </c>
      <c r="AA999" s="5">
        <f>excelsalesdata[[#This Row],[Profit]]/excelsalesdata[[#This Row],[Net_sales]]</f>
        <v>0.67008124337689867</v>
      </c>
      <c r="AB999" s="4">
        <f>YEAR(excelsalesdata[[#This Row],[Order_Date]])</f>
        <v>2028</v>
      </c>
      <c r="AC999" s="4" t="str">
        <f>TEXT(excelsalesdata[[#This Row],[Order_Date]],"mmm")</f>
        <v>Jan</v>
      </c>
      <c r="AD999" s="4" t="str">
        <f>"Q"&amp;ROUNDUP(MONTH(excelsalesdata[[#This Row],[Order_Date]])/3,0)</f>
        <v>Q1</v>
      </c>
    </row>
    <row r="1000" spans="1:30" x14ac:dyDescent="0.35">
      <c r="A1000" t="s">
        <v>1777</v>
      </c>
      <c r="B1000" s="3">
        <v>46758</v>
      </c>
      <c r="C1000" t="s">
        <v>243</v>
      </c>
      <c r="D1000" t="s">
        <v>311</v>
      </c>
      <c r="E1000" t="str">
        <f>TRIM(excelsalesdata[[#This Row],[Customer_Name]])</f>
        <v>Karan Verma</v>
      </c>
      <c r="F1000" t="s">
        <v>23</v>
      </c>
      <c r="G1000">
        <v>49</v>
      </c>
      <c r="H1000" t="s">
        <v>109</v>
      </c>
      <c r="I1000" t="str">
        <f>TRIM(excelsalesdata[[#This Row],[City]])</f>
        <v>Mysuru</v>
      </c>
      <c r="J1000" t="s">
        <v>53</v>
      </c>
      <c r="K1000" t="s">
        <v>47</v>
      </c>
      <c r="L1000" t="s">
        <v>54</v>
      </c>
      <c r="M1000" t="s">
        <v>62</v>
      </c>
      <c r="N1000" t="s">
        <v>62</v>
      </c>
      <c r="O1000">
        <v>1</v>
      </c>
      <c r="P1000">
        <v>23310</v>
      </c>
      <c r="Q1000">
        <v>0</v>
      </c>
      <c r="R1000">
        <v>16110</v>
      </c>
      <c r="S1000" t="s">
        <v>105</v>
      </c>
      <c r="T1000" t="s">
        <v>30</v>
      </c>
      <c r="U1000">
        <v>1</v>
      </c>
      <c r="V1000" t="s">
        <v>40</v>
      </c>
      <c r="W1000">
        <f>excelsalesdata[[#This Row],[Quantity]]*excelsalesdata[[#This Row],[Unit_Price]]</f>
        <v>23310</v>
      </c>
      <c r="X1000">
        <f>excelsalesdata[[#This Row],[Gross_sales]]*excelsalesdata[[#This Row],[Discount_%]]</f>
        <v>0</v>
      </c>
      <c r="Y1000">
        <f>excelsalesdata[[#This Row],[Gross_sales]]-excelsalesdata[[#This Row],[Discount_amt]]</f>
        <v>23310</v>
      </c>
      <c r="Z1000" s="4">
        <f>excelsalesdata[[#This Row],[Net_sales]]-excelsalesdata[[#This Row],[Cost]]</f>
        <v>7200</v>
      </c>
      <c r="AA1000" s="5">
        <f>excelsalesdata[[#This Row],[Profit]]/excelsalesdata[[#This Row],[Net_sales]]</f>
        <v>0.30888030888030887</v>
      </c>
      <c r="AB1000" s="4">
        <f>YEAR(excelsalesdata[[#This Row],[Order_Date]])</f>
        <v>2028</v>
      </c>
      <c r="AC1000" s="4" t="str">
        <f>TEXT(excelsalesdata[[#This Row],[Order_Date]],"mmm")</f>
        <v>Jan</v>
      </c>
      <c r="AD1000" s="4" t="str">
        <f>"Q"&amp;ROUNDUP(MONTH(excelsalesdata[[#This Row],[Order_Date]])/3,0)</f>
        <v>Q1</v>
      </c>
    </row>
    <row r="1001" spans="1:30" x14ac:dyDescent="0.35">
      <c r="A1001" t="s">
        <v>1778</v>
      </c>
      <c r="B1001" s="3">
        <v>46759</v>
      </c>
      <c r="C1001" t="s">
        <v>1417</v>
      </c>
      <c r="D1001" t="s">
        <v>1427</v>
      </c>
      <c r="E1001" t="str">
        <f>TRIM(excelsalesdata[[#This Row],[Customer_Name]])</f>
        <v>Diya Das</v>
      </c>
      <c r="F1001" t="s">
        <v>23</v>
      </c>
      <c r="G1001">
        <v>19</v>
      </c>
      <c r="H1001" t="s">
        <v>78</v>
      </c>
      <c r="I1001" t="str">
        <f>TRIM(excelsalesdata[[#This Row],[City]])</f>
        <v>Guwahati</v>
      </c>
      <c r="J1001" t="s">
        <v>79</v>
      </c>
      <c r="K1001" t="s">
        <v>37</v>
      </c>
      <c r="L1001" t="s">
        <v>27</v>
      </c>
      <c r="M1001" t="s">
        <v>195</v>
      </c>
      <c r="N1001" t="s">
        <v>195</v>
      </c>
      <c r="O1001">
        <v>2</v>
      </c>
      <c r="P1001">
        <v>2220</v>
      </c>
      <c r="Q1001">
        <v>0.2</v>
      </c>
      <c r="R1001">
        <v>1260</v>
      </c>
      <c r="S1001" t="s">
        <v>105</v>
      </c>
      <c r="T1001" t="s">
        <v>30</v>
      </c>
      <c r="U1001">
        <v>2</v>
      </c>
      <c r="V1001" t="s">
        <v>31</v>
      </c>
      <c r="W1001">
        <f>excelsalesdata[[#This Row],[Quantity]]*excelsalesdata[[#This Row],[Unit_Price]]</f>
        <v>4440</v>
      </c>
      <c r="X1001">
        <f>excelsalesdata[[#This Row],[Gross_sales]]*excelsalesdata[[#This Row],[Discount_%]]</f>
        <v>888</v>
      </c>
      <c r="Y1001">
        <f>excelsalesdata[[#This Row],[Gross_sales]]-excelsalesdata[[#This Row],[Discount_amt]]</f>
        <v>3552</v>
      </c>
      <c r="Z1001" s="4">
        <f>excelsalesdata[[#This Row],[Net_sales]]-excelsalesdata[[#This Row],[Cost]]</f>
        <v>2292</v>
      </c>
      <c r="AA1001" s="5">
        <f>excelsalesdata[[#This Row],[Profit]]/excelsalesdata[[#This Row],[Net_sales]]</f>
        <v>0.64527027027027029</v>
      </c>
      <c r="AB1001" s="4">
        <f>YEAR(excelsalesdata[[#This Row],[Order_Date]])</f>
        <v>2028</v>
      </c>
      <c r="AC1001" s="4" t="str">
        <f>TEXT(excelsalesdata[[#This Row],[Order_Date]],"mmm")</f>
        <v>Jan</v>
      </c>
      <c r="AD1001" s="4" t="str">
        <f>"Q"&amp;ROUNDUP(MONTH(excelsalesdata[[#This Row],[Order_Date]])/3,0)</f>
        <v>Q1</v>
      </c>
    </row>
    <row r="1002" spans="1:30" x14ac:dyDescent="0.35">
      <c r="A1002" t="s">
        <v>1779</v>
      </c>
      <c r="B1002" s="3">
        <v>46760</v>
      </c>
      <c r="C1002" t="s">
        <v>1780</v>
      </c>
      <c r="D1002" t="s">
        <v>499</v>
      </c>
      <c r="E1002" t="str">
        <f>TRIM(excelsalesdata[[#This Row],[Customer_Name]])</f>
        <v>Aditya Nair</v>
      </c>
      <c r="F1002" t="s">
        <v>44</v>
      </c>
      <c r="G1002">
        <v>34</v>
      </c>
      <c r="H1002" t="s">
        <v>185</v>
      </c>
      <c r="I1002" t="str">
        <f>TRIM(excelsalesdata[[#This Row],[City]])</f>
        <v>Lucknow</v>
      </c>
      <c r="J1002" t="s">
        <v>186</v>
      </c>
      <c r="K1002" t="s">
        <v>61</v>
      </c>
      <c r="L1002" t="s">
        <v>103</v>
      </c>
      <c r="M1002" t="s">
        <v>104</v>
      </c>
      <c r="N1002" t="s">
        <v>104</v>
      </c>
      <c r="O1002">
        <v>1</v>
      </c>
      <c r="P1002">
        <v>8670</v>
      </c>
      <c r="Q1002">
        <v>0.05</v>
      </c>
      <c r="R1002">
        <v>5360</v>
      </c>
      <c r="S1002" t="s">
        <v>80</v>
      </c>
      <c r="T1002" t="s">
        <v>30</v>
      </c>
      <c r="U1002">
        <v>6</v>
      </c>
      <c r="V1002" t="s">
        <v>40</v>
      </c>
      <c r="W1002">
        <f>excelsalesdata[[#This Row],[Quantity]]*excelsalesdata[[#This Row],[Unit_Price]]</f>
        <v>8670</v>
      </c>
      <c r="X1002">
        <f>excelsalesdata[[#This Row],[Gross_sales]]*excelsalesdata[[#This Row],[Discount_%]]</f>
        <v>433.5</v>
      </c>
      <c r="Y1002">
        <f>excelsalesdata[[#This Row],[Gross_sales]]-excelsalesdata[[#This Row],[Discount_amt]]</f>
        <v>8236.5</v>
      </c>
      <c r="Z1002" s="4">
        <f>excelsalesdata[[#This Row],[Net_sales]]-excelsalesdata[[#This Row],[Cost]]</f>
        <v>2876.5</v>
      </c>
      <c r="AA1002" s="5">
        <f>excelsalesdata[[#This Row],[Profit]]/excelsalesdata[[#This Row],[Net_sales]]</f>
        <v>0.34923814727129243</v>
      </c>
      <c r="AB1002" s="4">
        <f>YEAR(excelsalesdata[[#This Row],[Order_Date]])</f>
        <v>2028</v>
      </c>
      <c r="AC1002" s="4" t="str">
        <f>TEXT(excelsalesdata[[#This Row],[Order_Date]],"mmm")</f>
        <v>Jan</v>
      </c>
      <c r="AD1002" s="4" t="str">
        <f>"Q"&amp;ROUNDUP(MONTH(excelsalesdata[[#This Row],[Order_Date]])/3,0)</f>
        <v>Q1</v>
      </c>
    </row>
    <row r="1003" spans="1:30" x14ac:dyDescent="0.35">
      <c r="A1003" t="s">
        <v>1781</v>
      </c>
      <c r="B1003" s="3">
        <v>46761</v>
      </c>
      <c r="C1003" t="s">
        <v>1782</v>
      </c>
      <c r="D1003" t="s">
        <v>305</v>
      </c>
      <c r="E1003" t="str">
        <f>TRIM(excelsalesdata[[#This Row],[Customer_Name]])</f>
        <v>Priya Reddy</v>
      </c>
      <c r="F1003" t="s">
        <v>23</v>
      </c>
      <c r="G1003">
        <v>57</v>
      </c>
      <c r="H1003" t="s">
        <v>24</v>
      </c>
      <c r="I1003" t="str">
        <f>TRIM(excelsalesdata[[#This Row],[City]])</f>
        <v>Pune</v>
      </c>
      <c r="J1003" t="s">
        <v>25</v>
      </c>
      <c r="K1003" t="s">
        <v>26</v>
      </c>
      <c r="L1003" t="s">
        <v>93</v>
      </c>
      <c r="M1003" t="s">
        <v>375</v>
      </c>
      <c r="N1003" t="s">
        <v>375</v>
      </c>
      <c r="O1003">
        <v>5</v>
      </c>
      <c r="P1003">
        <v>2260</v>
      </c>
      <c r="Q1003">
        <v>0.1</v>
      </c>
      <c r="R1003">
        <v>1200</v>
      </c>
      <c r="S1003" t="s">
        <v>29</v>
      </c>
      <c r="T1003" t="s">
        <v>30</v>
      </c>
      <c r="U1003">
        <v>4</v>
      </c>
      <c r="V1003" t="s">
        <v>40</v>
      </c>
      <c r="W1003">
        <f>excelsalesdata[[#This Row],[Quantity]]*excelsalesdata[[#This Row],[Unit_Price]]</f>
        <v>11300</v>
      </c>
      <c r="X1003">
        <f>excelsalesdata[[#This Row],[Gross_sales]]*excelsalesdata[[#This Row],[Discount_%]]</f>
        <v>1130</v>
      </c>
      <c r="Y1003">
        <f>excelsalesdata[[#This Row],[Gross_sales]]-excelsalesdata[[#This Row],[Discount_amt]]</f>
        <v>10170</v>
      </c>
      <c r="Z1003" s="4">
        <f>excelsalesdata[[#This Row],[Net_sales]]-excelsalesdata[[#This Row],[Cost]]</f>
        <v>8970</v>
      </c>
      <c r="AA1003" s="5">
        <f>excelsalesdata[[#This Row],[Profit]]/excelsalesdata[[#This Row],[Net_sales]]</f>
        <v>0.88200589970501475</v>
      </c>
      <c r="AB1003" s="4">
        <f>YEAR(excelsalesdata[[#This Row],[Order_Date]])</f>
        <v>2028</v>
      </c>
      <c r="AC1003" s="4" t="str">
        <f>TEXT(excelsalesdata[[#This Row],[Order_Date]],"mmm")</f>
        <v>Jan</v>
      </c>
      <c r="AD1003" s="4" t="str">
        <f>"Q"&amp;ROUNDUP(MONTH(excelsalesdata[[#This Row],[Order_Date]])/3,0)</f>
        <v>Q1</v>
      </c>
    </row>
    <row r="1004" spans="1:30" x14ac:dyDescent="0.35">
      <c r="A1004" t="s">
        <v>1783</v>
      </c>
      <c r="B1004" s="3">
        <v>46762</v>
      </c>
      <c r="C1004" t="s">
        <v>428</v>
      </c>
      <c r="D1004" t="s">
        <v>1292</v>
      </c>
      <c r="E1004" t="str">
        <f>TRIM(excelsalesdata[[#This Row],[Customer_Name]])</f>
        <v>Sneha Mehta</v>
      </c>
      <c r="F1004" t="s">
        <v>23</v>
      </c>
      <c r="G1004">
        <v>38</v>
      </c>
      <c r="H1004" t="s">
        <v>168</v>
      </c>
      <c r="I1004" t="str">
        <f>TRIM(excelsalesdata[[#This Row],[City]])</f>
        <v>Delhi</v>
      </c>
      <c r="J1004" t="s">
        <v>168</v>
      </c>
      <c r="K1004" t="s">
        <v>61</v>
      </c>
      <c r="L1004" t="s">
        <v>54</v>
      </c>
      <c r="M1004" t="s">
        <v>62</v>
      </c>
      <c r="N1004" t="s">
        <v>62</v>
      </c>
      <c r="O1004">
        <v>2</v>
      </c>
      <c r="P1004">
        <v>20960</v>
      </c>
      <c r="Q1004">
        <v>0</v>
      </c>
      <c r="R1004">
        <v>15850</v>
      </c>
      <c r="S1004" t="s">
        <v>80</v>
      </c>
      <c r="T1004" t="s">
        <v>30</v>
      </c>
      <c r="U1004">
        <v>3</v>
      </c>
      <c r="V1004" t="s">
        <v>40</v>
      </c>
      <c r="W1004">
        <f>excelsalesdata[[#This Row],[Quantity]]*excelsalesdata[[#This Row],[Unit_Price]]</f>
        <v>41920</v>
      </c>
      <c r="X1004">
        <f>excelsalesdata[[#This Row],[Gross_sales]]*excelsalesdata[[#This Row],[Discount_%]]</f>
        <v>0</v>
      </c>
      <c r="Y1004">
        <f>excelsalesdata[[#This Row],[Gross_sales]]-excelsalesdata[[#This Row],[Discount_amt]]</f>
        <v>41920</v>
      </c>
      <c r="Z1004" s="4">
        <f>excelsalesdata[[#This Row],[Net_sales]]-excelsalesdata[[#This Row],[Cost]]</f>
        <v>26070</v>
      </c>
      <c r="AA1004" s="5">
        <f>excelsalesdata[[#This Row],[Profit]]/excelsalesdata[[#This Row],[Net_sales]]</f>
        <v>0.62189885496183206</v>
      </c>
      <c r="AB1004" s="4">
        <f>YEAR(excelsalesdata[[#This Row],[Order_Date]])</f>
        <v>2028</v>
      </c>
      <c r="AC1004" s="4" t="str">
        <f>TEXT(excelsalesdata[[#This Row],[Order_Date]],"mmm")</f>
        <v>Jan</v>
      </c>
      <c r="AD1004" s="4" t="str">
        <f>"Q"&amp;ROUNDUP(MONTH(excelsalesdata[[#This Row],[Order_Date]])/3,0)</f>
        <v>Q1</v>
      </c>
    </row>
    <row r="1005" spans="1:30" x14ac:dyDescent="0.35">
      <c r="A1005" t="s">
        <v>1784</v>
      </c>
      <c r="B1005" s="3">
        <v>46763</v>
      </c>
      <c r="C1005" t="s">
        <v>278</v>
      </c>
      <c r="D1005" t="s">
        <v>463</v>
      </c>
      <c r="E1005" t="str">
        <f>TRIM(excelsalesdata[[#This Row],[Customer_Name]])</f>
        <v>Kavya Sharma</v>
      </c>
      <c r="F1005" t="s">
        <v>23</v>
      </c>
      <c r="G1005">
        <v>21</v>
      </c>
      <c r="H1005" t="s">
        <v>185</v>
      </c>
      <c r="I1005" t="str">
        <f>TRIM(excelsalesdata[[#This Row],[City]])</f>
        <v>Lucknow</v>
      </c>
      <c r="J1005" t="s">
        <v>186</v>
      </c>
      <c r="K1005" t="s">
        <v>61</v>
      </c>
      <c r="L1005" t="s">
        <v>103</v>
      </c>
      <c r="M1005" t="s">
        <v>347</v>
      </c>
      <c r="N1005" t="s">
        <v>347</v>
      </c>
      <c r="O1005">
        <v>3</v>
      </c>
      <c r="P1005">
        <v>11310</v>
      </c>
      <c r="Q1005">
        <v>0.05</v>
      </c>
      <c r="R1005">
        <v>8350</v>
      </c>
      <c r="S1005" t="s">
        <v>105</v>
      </c>
      <c r="T1005" t="s">
        <v>30</v>
      </c>
      <c r="U1005">
        <v>6</v>
      </c>
      <c r="V1005" t="s">
        <v>40</v>
      </c>
      <c r="W1005">
        <f>excelsalesdata[[#This Row],[Quantity]]*excelsalesdata[[#This Row],[Unit_Price]]</f>
        <v>33930</v>
      </c>
      <c r="X1005">
        <f>excelsalesdata[[#This Row],[Gross_sales]]*excelsalesdata[[#This Row],[Discount_%]]</f>
        <v>1696.5</v>
      </c>
      <c r="Y1005">
        <f>excelsalesdata[[#This Row],[Gross_sales]]-excelsalesdata[[#This Row],[Discount_amt]]</f>
        <v>32233.5</v>
      </c>
      <c r="Z1005" s="4">
        <f>excelsalesdata[[#This Row],[Net_sales]]-excelsalesdata[[#This Row],[Cost]]</f>
        <v>23883.5</v>
      </c>
      <c r="AA1005" s="5">
        <f>excelsalesdata[[#This Row],[Profit]]/excelsalesdata[[#This Row],[Net_sales]]</f>
        <v>0.74095273550808938</v>
      </c>
      <c r="AB1005" s="4">
        <f>YEAR(excelsalesdata[[#This Row],[Order_Date]])</f>
        <v>2028</v>
      </c>
      <c r="AC1005" s="4" t="str">
        <f>TEXT(excelsalesdata[[#This Row],[Order_Date]],"mmm")</f>
        <v>Jan</v>
      </c>
      <c r="AD1005" s="4" t="str">
        <f>"Q"&amp;ROUNDUP(MONTH(excelsalesdata[[#This Row],[Order_Date]])/3,0)</f>
        <v>Q1</v>
      </c>
    </row>
    <row r="1006" spans="1:30" x14ac:dyDescent="0.35">
      <c r="A1006" t="s">
        <v>1785</v>
      </c>
      <c r="B1006" s="3">
        <v>46764</v>
      </c>
      <c r="C1006" t="s">
        <v>1476</v>
      </c>
      <c r="D1006" t="s">
        <v>1427</v>
      </c>
      <c r="E1006" t="str">
        <f>TRIM(excelsalesdata[[#This Row],[Customer_Name]])</f>
        <v>Diya Das</v>
      </c>
      <c r="F1006" t="s">
        <v>44</v>
      </c>
      <c r="G1006">
        <v>57</v>
      </c>
      <c r="H1006" t="s">
        <v>109</v>
      </c>
      <c r="I1006" t="str">
        <f>TRIM(excelsalesdata[[#This Row],[City]])</f>
        <v>Mysuru</v>
      </c>
      <c r="J1006" t="s">
        <v>53</v>
      </c>
      <c r="K1006" t="s">
        <v>47</v>
      </c>
      <c r="L1006" t="s">
        <v>38</v>
      </c>
      <c r="M1006" t="s">
        <v>39</v>
      </c>
      <c r="N1006" t="s">
        <v>39</v>
      </c>
      <c r="O1006">
        <v>1</v>
      </c>
      <c r="P1006">
        <v>6740</v>
      </c>
      <c r="Q1006">
        <v>0.05</v>
      </c>
      <c r="R1006">
        <v>4150</v>
      </c>
      <c r="S1006" t="s">
        <v>29</v>
      </c>
      <c r="T1006" t="s">
        <v>30</v>
      </c>
      <c r="U1006">
        <v>4</v>
      </c>
      <c r="V1006" t="s">
        <v>31</v>
      </c>
      <c r="W1006">
        <f>excelsalesdata[[#This Row],[Quantity]]*excelsalesdata[[#This Row],[Unit_Price]]</f>
        <v>6740</v>
      </c>
      <c r="X1006">
        <f>excelsalesdata[[#This Row],[Gross_sales]]*excelsalesdata[[#This Row],[Discount_%]]</f>
        <v>337</v>
      </c>
      <c r="Y1006">
        <f>excelsalesdata[[#This Row],[Gross_sales]]-excelsalesdata[[#This Row],[Discount_amt]]</f>
        <v>6403</v>
      </c>
      <c r="Z1006" s="4">
        <f>excelsalesdata[[#This Row],[Net_sales]]-excelsalesdata[[#This Row],[Cost]]</f>
        <v>2253</v>
      </c>
      <c r="AA1006" s="5">
        <f>excelsalesdata[[#This Row],[Profit]]/excelsalesdata[[#This Row],[Net_sales]]</f>
        <v>0.35186631266593782</v>
      </c>
      <c r="AB1006" s="4">
        <f>YEAR(excelsalesdata[[#This Row],[Order_Date]])</f>
        <v>2028</v>
      </c>
      <c r="AC1006" s="4" t="str">
        <f>TEXT(excelsalesdata[[#This Row],[Order_Date]],"mmm")</f>
        <v>Jan</v>
      </c>
      <c r="AD1006" s="4" t="str">
        <f>"Q"&amp;ROUNDUP(MONTH(excelsalesdata[[#This Row],[Order_Date]])/3,0)</f>
        <v>Q1</v>
      </c>
    </row>
    <row r="1007" spans="1:30" x14ac:dyDescent="0.35">
      <c r="A1007" t="s">
        <v>1786</v>
      </c>
      <c r="B1007" s="3">
        <v>46765</v>
      </c>
      <c r="C1007" t="s">
        <v>506</v>
      </c>
      <c r="D1007" t="s">
        <v>1029</v>
      </c>
      <c r="E1007" t="str">
        <f>TRIM(excelsalesdata[[#This Row],[Customer_Name]])</f>
        <v>Kavya Reddy</v>
      </c>
      <c r="F1007" t="s">
        <v>44</v>
      </c>
      <c r="G1007">
        <v>49</v>
      </c>
      <c r="H1007" t="s">
        <v>24</v>
      </c>
      <c r="I1007" t="str">
        <f>TRIM(excelsalesdata[[#This Row],[City]])</f>
        <v>Pune</v>
      </c>
      <c r="J1007" t="s">
        <v>25</v>
      </c>
      <c r="K1007" t="s">
        <v>26</v>
      </c>
      <c r="L1007" t="s">
        <v>27</v>
      </c>
      <c r="M1007" t="s">
        <v>28</v>
      </c>
      <c r="N1007" t="s">
        <v>28</v>
      </c>
      <c r="O1007">
        <v>1</v>
      </c>
      <c r="P1007">
        <v>3460</v>
      </c>
      <c r="Q1007">
        <v>0.2</v>
      </c>
      <c r="R1007">
        <v>2000</v>
      </c>
      <c r="S1007" t="s">
        <v>29</v>
      </c>
      <c r="T1007" t="s">
        <v>99</v>
      </c>
      <c r="U1007">
        <v>3</v>
      </c>
      <c r="V1007" t="s">
        <v>40</v>
      </c>
      <c r="W1007">
        <f>excelsalesdata[[#This Row],[Quantity]]*excelsalesdata[[#This Row],[Unit_Price]]</f>
        <v>3460</v>
      </c>
      <c r="X1007">
        <f>excelsalesdata[[#This Row],[Gross_sales]]*excelsalesdata[[#This Row],[Discount_%]]</f>
        <v>692</v>
      </c>
      <c r="Y1007">
        <f>excelsalesdata[[#This Row],[Gross_sales]]-excelsalesdata[[#This Row],[Discount_amt]]</f>
        <v>2768</v>
      </c>
      <c r="Z1007" s="4">
        <f>excelsalesdata[[#This Row],[Net_sales]]-excelsalesdata[[#This Row],[Cost]]</f>
        <v>768</v>
      </c>
      <c r="AA1007" s="5">
        <f>excelsalesdata[[#This Row],[Profit]]/excelsalesdata[[#This Row],[Net_sales]]</f>
        <v>0.2774566473988439</v>
      </c>
      <c r="AB1007" s="4">
        <f>YEAR(excelsalesdata[[#This Row],[Order_Date]])</f>
        <v>2028</v>
      </c>
      <c r="AC1007" s="4" t="str">
        <f>TEXT(excelsalesdata[[#This Row],[Order_Date]],"mmm")</f>
        <v>Jan</v>
      </c>
      <c r="AD1007" s="4" t="str">
        <f>"Q"&amp;ROUNDUP(MONTH(excelsalesdata[[#This Row],[Order_Date]])/3,0)</f>
        <v>Q1</v>
      </c>
    </row>
    <row r="1008" spans="1:30" x14ac:dyDescent="0.35">
      <c r="A1008" t="s">
        <v>1787</v>
      </c>
      <c r="B1008" s="3">
        <v>46766</v>
      </c>
      <c r="C1008" t="s">
        <v>521</v>
      </c>
      <c r="D1008" t="s">
        <v>108</v>
      </c>
      <c r="E1008" t="str">
        <f>TRIM(excelsalesdata[[#This Row],[Customer_Name]])</f>
        <v>Vikram Sharma</v>
      </c>
      <c r="F1008" t="s">
        <v>23</v>
      </c>
      <c r="G1008">
        <v>38</v>
      </c>
      <c r="H1008" t="s">
        <v>78</v>
      </c>
      <c r="I1008" t="str">
        <f>TRIM(excelsalesdata[[#This Row],[City]])</f>
        <v>Guwahati</v>
      </c>
      <c r="J1008" t="s">
        <v>79</v>
      </c>
      <c r="K1008" t="s">
        <v>37</v>
      </c>
      <c r="L1008" t="s">
        <v>38</v>
      </c>
      <c r="M1008" t="s">
        <v>119</v>
      </c>
      <c r="N1008" t="s">
        <v>119</v>
      </c>
      <c r="O1008">
        <v>2</v>
      </c>
      <c r="P1008">
        <v>8970</v>
      </c>
      <c r="Q1008">
        <v>0.05</v>
      </c>
      <c r="R1008">
        <v>5570</v>
      </c>
      <c r="S1008" t="s">
        <v>29</v>
      </c>
      <c r="T1008" t="s">
        <v>30</v>
      </c>
      <c r="U1008">
        <v>2</v>
      </c>
      <c r="V1008" t="s">
        <v>31</v>
      </c>
      <c r="W1008">
        <f>excelsalesdata[[#This Row],[Quantity]]*excelsalesdata[[#This Row],[Unit_Price]]</f>
        <v>17940</v>
      </c>
      <c r="X1008">
        <f>excelsalesdata[[#This Row],[Gross_sales]]*excelsalesdata[[#This Row],[Discount_%]]</f>
        <v>897</v>
      </c>
      <c r="Y1008">
        <f>excelsalesdata[[#This Row],[Gross_sales]]-excelsalesdata[[#This Row],[Discount_amt]]</f>
        <v>17043</v>
      </c>
      <c r="Z1008" s="4">
        <f>excelsalesdata[[#This Row],[Net_sales]]-excelsalesdata[[#This Row],[Cost]]</f>
        <v>11473</v>
      </c>
      <c r="AA1008" s="5">
        <f>excelsalesdata[[#This Row],[Profit]]/excelsalesdata[[#This Row],[Net_sales]]</f>
        <v>0.67317960452971892</v>
      </c>
      <c r="AB1008" s="4">
        <f>YEAR(excelsalesdata[[#This Row],[Order_Date]])</f>
        <v>2028</v>
      </c>
      <c r="AC1008" s="4" t="str">
        <f>TEXT(excelsalesdata[[#This Row],[Order_Date]],"mmm")</f>
        <v>Jan</v>
      </c>
      <c r="AD1008" s="4" t="str">
        <f>"Q"&amp;ROUNDUP(MONTH(excelsalesdata[[#This Row],[Order_Date]])/3,0)</f>
        <v>Q1</v>
      </c>
    </row>
    <row r="1009" spans="1:30" x14ac:dyDescent="0.35">
      <c r="A1009" t="s">
        <v>1788</v>
      </c>
      <c r="B1009" s="3">
        <v>46767</v>
      </c>
      <c r="C1009" t="s">
        <v>1789</v>
      </c>
      <c r="D1009" t="s">
        <v>1029</v>
      </c>
      <c r="E1009" t="str">
        <f>TRIM(excelsalesdata[[#This Row],[Customer_Name]])</f>
        <v>Kavya Reddy</v>
      </c>
      <c r="F1009" t="s">
        <v>44</v>
      </c>
      <c r="G1009">
        <v>42</v>
      </c>
      <c r="H1009" t="s">
        <v>60</v>
      </c>
      <c r="I1009" t="str">
        <f>TRIM(excelsalesdata[[#This Row],[City]])</f>
        <v>Chandigarh</v>
      </c>
      <c r="J1009" t="s">
        <v>60</v>
      </c>
      <c r="K1009" t="s">
        <v>61</v>
      </c>
      <c r="L1009" t="s">
        <v>93</v>
      </c>
      <c r="M1009" t="s">
        <v>718</v>
      </c>
      <c r="N1009" t="s">
        <v>718</v>
      </c>
      <c r="O1009">
        <v>3</v>
      </c>
      <c r="P1009">
        <v>1860</v>
      </c>
      <c r="Q1009">
        <v>0</v>
      </c>
      <c r="R1009">
        <v>910</v>
      </c>
      <c r="S1009" t="s">
        <v>29</v>
      </c>
      <c r="T1009" t="s">
        <v>30</v>
      </c>
      <c r="U1009">
        <v>10</v>
      </c>
      <c r="V1009" t="s">
        <v>40</v>
      </c>
      <c r="W1009">
        <f>excelsalesdata[[#This Row],[Quantity]]*excelsalesdata[[#This Row],[Unit_Price]]</f>
        <v>5580</v>
      </c>
      <c r="X1009">
        <f>excelsalesdata[[#This Row],[Gross_sales]]*excelsalesdata[[#This Row],[Discount_%]]</f>
        <v>0</v>
      </c>
      <c r="Y1009">
        <f>excelsalesdata[[#This Row],[Gross_sales]]-excelsalesdata[[#This Row],[Discount_amt]]</f>
        <v>5580</v>
      </c>
      <c r="Z1009" s="4">
        <f>excelsalesdata[[#This Row],[Net_sales]]-excelsalesdata[[#This Row],[Cost]]</f>
        <v>4670</v>
      </c>
      <c r="AA1009" s="5">
        <f>excelsalesdata[[#This Row],[Profit]]/excelsalesdata[[#This Row],[Net_sales]]</f>
        <v>0.8369175627240143</v>
      </c>
      <c r="AB1009" s="4">
        <f>YEAR(excelsalesdata[[#This Row],[Order_Date]])</f>
        <v>2028</v>
      </c>
      <c r="AC1009" s="4" t="str">
        <f>TEXT(excelsalesdata[[#This Row],[Order_Date]],"mmm")</f>
        <v>Jan</v>
      </c>
      <c r="AD1009" s="4" t="str">
        <f>"Q"&amp;ROUNDUP(MONTH(excelsalesdata[[#This Row],[Order_Date]])/3,0)</f>
        <v>Q1</v>
      </c>
    </row>
    <row r="1010" spans="1:30" x14ac:dyDescent="0.35">
      <c r="A1010" t="s">
        <v>1790</v>
      </c>
      <c r="B1010" s="3">
        <v>46768</v>
      </c>
      <c r="C1010" t="s">
        <v>253</v>
      </c>
      <c r="D1010" t="s">
        <v>862</v>
      </c>
      <c r="E1010" t="str">
        <f>TRIM(excelsalesdata[[#This Row],[Customer_Name]])</f>
        <v>Vivaan Iyer</v>
      </c>
      <c r="F1010" t="s">
        <v>44</v>
      </c>
      <c r="G1010">
        <v>36</v>
      </c>
      <c r="H1010" t="s">
        <v>133</v>
      </c>
      <c r="I1010" t="str">
        <f>TRIM(excelsalesdata[[#This Row],[City]])</f>
        <v>Jaipur</v>
      </c>
      <c r="J1010" t="s">
        <v>134</v>
      </c>
      <c r="K1010" t="s">
        <v>61</v>
      </c>
      <c r="L1010" t="s">
        <v>103</v>
      </c>
      <c r="M1010" t="s">
        <v>347</v>
      </c>
      <c r="N1010" t="s">
        <v>347</v>
      </c>
      <c r="O1010">
        <v>2</v>
      </c>
      <c r="P1010">
        <v>12360</v>
      </c>
      <c r="Q1010">
        <v>0.2</v>
      </c>
      <c r="R1010">
        <v>7820</v>
      </c>
      <c r="S1010" t="s">
        <v>80</v>
      </c>
      <c r="T1010" t="s">
        <v>30</v>
      </c>
      <c r="U1010">
        <v>5</v>
      </c>
      <c r="V1010" t="s">
        <v>40</v>
      </c>
      <c r="W1010">
        <f>excelsalesdata[[#This Row],[Quantity]]*excelsalesdata[[#This Row],[Unit_Price]]</f>
        <v>24720</v>
      </c>
      <c r="X1010">
        <f>excelsalesdata[[#This Row],[Gross_sales]]*excelsalesdata[[#This Row],[Discount_%]]</f>
        <v>4944</v>
      </c>
      <c r="Y1010">
        <f>excelsalesdata[[#This Row],[Gross_sales]]-excelsalesdata[[#This Row],[Discount_amt]]</f>
        <v>19776</v>
      </c>
      <c r="Z1010" s="4">
        <f>excelsalesdata[[#This Row],[Net_sales]]-excelsalesdata[[#This Row],[Cost]]</f>
        <v>11956</v>
      </c>
      <c r="AA1010" s="5">
        <f>excelsalesdata[[#This Row],[Profit]]/excelsalesdata[[#This Row],[Net_sales]]</f>
        <v>0.60457119741100329</v>
      </c>
      <c r="AB1010" s="4">
        <f>YEAR(excelsalesdata[[#This Row],[Order_Date]])</f>
        <v>2028</v>
      </c>
      <c r="AC1010" s="4" t="str">
        <f>TEXT(excelsalesdata[[#This Row],[Order_Date]],"mmm")</f>
        <v>Jan</v>
      </c>
      <c r="AD1010" s="4" t="str">
        <f>"Q"&amp;ROUNDUP(MONTH(excelsalesdata[[#This Row],[Order_Date]])/3,0)</f>
        <v>Q1</v>
      </c>
    </row>
    <row r="1011" spans="1:30" x14ac:dyDescent="0.35">
      <c r="A1011" t="s">
        <v>1791</v>
      </c>
      <c r="B1011" s="3">
        <v>46769</v>
      </c>
      <c r="C1011" t="s">
        <v>221</v>
      </c>
      <c r="D1011" t="s">
        <v>635</v>
      </c>
      <c r="E1011" t="str">
        <f>TRIM(excelsalesdata[[#This Row],[Customer_Name]])</f>
        <v>Arjun Singh</v>
      </c>
      <c r="F1011" t="s">
        <v>23</v>
      </c>
      <c r="G1011">
        <v>57</v>
      </c>
      <c r="H1011" t="s">
        <v>185</v>
      </c>
      <c r="I1011" t="str">
        <f>TRIM(excelsalesdata[[#This Row],[City]])</f>
        <v>Lucknow</v>
      </c>
      <c r="J1011" t="s">
        <v>186</v>
      </c>
      <c r="K1011" t="s">
        <v>61</v>
      </c>
      <c r="L1011" t="s">
        <v>54</v>
      </c>
      <c r="M1011" t="s">
        <v>157</v>
      </c>
      <c r="N1011" t="s">
        <v>157</v>
      </c>
      <c r="O1011">
        <v>2</v>
      </c>
      <c r="P1011">
        <v>56470</v>
      </c>
      <c r="Q1011">
        <v>0.25</v>
      </c>
      <c r="R1011">
        <v>42790</v>
      </c>
      <c r="S1011" t="s">
        <v>2848</v>
      </c>
      <c r="T1011" t="s">
        <v>30</v>
      </c>
      <c r="U1011">
        <v>6</v>
      </c>
      <c r="V1011" t="s">
        <v>40</v>
      </c>
      <c r="W1011">
        <f>excelsalesdata[[#This Row],[Quantity]]*excelsalesdata[[#This Row],[Unit_Price]]</f>
        <v>112940</v>
      </c>
      <c r="X1011">
        <f>excelsalesdata[[#This Row],[Gross_sales]]*excelsalesdata[[#This Row],[Discount_%]]</f>
        <v>28235</v>
      </c>
      <c r="Y1011">
        <f>excelsalesdata[[#This Row],[Gross_sales]]-excelsalesdata[[#This Row],[Discount_amt]]</f>
        <v>84705</v>
      </c>
      <c r="Z1011" s="4">
        <f>excelsalesdata[[#This Row],[Net_sales]]-excelsalesdata[[#This Row],[Cost]]</f>
        <v>41915</v>
      </c>
      <c r="AA1011" s="5">
        <f>excelsalesdata[[#This Row],[Profit]]/excelsalesdata[[#This Row],[Net_sales]]</f>
        <v>0.49483501564252408</v>
      </c>
      <c r="AB1011" s="4">
        <f>YEAR(excelsalesdata[[#This Row],[Order_Date]])</f>
        <v>2028</v>
      </c>
      <c r="AC1011" s="4" t="str">
        <f>TEXT(excelsalesdata[[#This Row],[Order_Date]],"mmm")</f>
        <v>Jan</v>
      </c>
      <c r="AD1011" s="4" t="str">
        <f>"Q"&amp;ROUNDUP(MONTH(excelsalesdata[[#This Row],[Order_Date]])/3,0)</f>
        <v>Q1</v>
      </c>
    </row>
    <row r="1012" spans="1:30" x14ac:dyDescent="0.35">
      <c r="A1012" t="s">
        <v>1792</v>
      </c>
      <c r="B1012" s="3">
        <v>46770</v>
      </c>
      <c r="C1012" t="s">
        <v>64</v>
      </c>
      <c r="D1012" t="s">
        <v>1371</v>
      </c>
      <c r="E1012" t="str">
        <f>TRIM(excelsalesdata[[#This Row],[Customer_Name]])</f>
        <v>Aditya Das</v>
      </c>
      <c r="F1012" t="s">
        <v>44</v>
      </c>
      <c r="G1012">
        <v>42</v>
      </c>
      <c r="H1012" t="s">
        <v>78</v>
      </c>
      <c r="I1012" t="str">
        <f>TRIM(excelsalesdata[[#This Row],[City]])</f>
        <v>Guwahati</v>
      </c>
      <c r="J1012" t="s">
        <v>79</v>
      </c>
      <c r="K1012" t="s">
        <v>37</v>
      </c>
      <c r="L1012" t="s">
        <v>54</v>
      </c>
      <c r="M1012" t="s">
        <v>66</v>
      </c>
      <c r="N1012" t="s">
        <v>66</v>
      </c>
      <c r="O1012">
        <v>4</v>
      </c>
      <c r="P1012">
        <v>2690</v>
      </c>
      <c r="Q1012">
        <v>0</v>
      </c>
      <c r="R1012">
        <v>1570</v>
      </c>
      <c r="S1012" t="s">
        <v>56</v>
      </c>
      <c r="T1012" t="s">
        <v>81</v>
      </c>
      <c r="U1012">
        <v>0</v>
      </c>
      <c r="V1012" t="s">
        <v>31</v>
      </c>
      <c r="W1012">
        <f>excelsalesdata[[#This Row],[Quantity]]*excelsalesdata[[#This Row],[Unit_Price]]</f>
        <v>10760</v>
      </c>
      <c r="X1012">
        <f>excelsalesdata[[#This Row],[Gross_sales]]*excelsalesdata[[#This Row],[Discount_%]]</f>
        <v>0</v>
      </c>
      <c r="Y1012">
        <f>excelsalesdata[[#This Row],[Gross_sales]]-excelsalesdata[[#This Row],[Discount_amt]]</f>
        <v>10760</v>
      </c>
      <c r="Z1012" s="4">
        <f>excelsalesdata[[#This Row],[Net_sales]]-excelsalesdata[[#This Row],[Cost]]</f>
        <v>9190</v>
      </c>
      <c r="AA1012" s="5">
        <f>excelsalesdata[[#This Row],[Profit]]/excelsalesdata[[#This Row],[Net_sales]]</f>
        <v>0.85408921933085502</v>
      </c>
      <c r="AB1012" s="4">
        <f>YEAR(excelsalesdata[[#This Row],[Order_Date]])</f>
        <v>2028</v>
      </c>
      <c r="AC1012" s="4" t="str">
        <f>TEXT(excelsalesdata[[#This Row],[Order_Date]],"mmm")</f>
        <v>Jan</v>
      </c>
      <c r="AD1012" s="4" t="str">
        <f>"Q"&amp;ROUNDUP(MONTH(excelsalesdata[[#This Row],[Order_Date]])/3,0)</f>
        <v>Q1</v>
      </c>
    </row>
    <row r="1013" spans="1:30" x14ac:dyDescent="0.35">
      <c r="A1013" t="s">
        <v>1793</v>
      </c>
      <c r="B1013" s="3">
        <v>46771</v>
      </c>
      <c r="C1013" t="s">
        <v>379</v>
      </c>
      <c r="D1013" t="s">
        <v>132</v>
      </c>
      <c r="E1013" t="str">
        <f>TRIM(excelsalesdata[[#This Row],[Customer_Name]])</f>
        <v>Vivaan Das</v>
      </c>
      <c r="F1013" t="s">
        <v>23</v>
      </c>
      <c r="G1013">
        <v>36</v>
      </c>
      <c r="H1013" t="s">
        <v>60</v>
      </c>
      <c r="I1013" t="str">
        <f>TRIM(excelsalesdata[[#This Row],[City]])</f>
        <v>Chandigarh</v>
      </c>
      <c r="J1013" t="s">
        <v>60</v>
      </c>
      <c r="K1013" t="s">
        <v>61</v>
      </c>
      <c r="L1013" t="s">
        <v>85</v>
      </c>
      <c r="M1013" t="s">
        <v>251</v>
      </c>
      <c r="N1013" t="s">
        <v>251</v>
      </c>
      <c r="O1013">
        <v>1</v>
      </c>
      <c r="P1013">
        <v>3150</v>
      </c>
      <c r="Q1013">
        <v>0.05</v>
      </c>
      <c r="R1013">
        <v>1890</v>
      </c>
      <c r="S1013" t="s">
        <v>29</v>
      </c>
      <c r="T1013" t="s">
        <v>30</v>
      </c>
      <c r="U1013">
        <v>5</v>
      </c>
      <c r="V1013" t="s">
        <v>40</v>
      </c>
      <c r="W1013">
        <f>excelsalesdata[[#This Row],[Quantity]]*excelsalesdata[[#This Row],[Unit_Price]]</f>
        <v>3150</v>
      </c>
      <c r="X1013">
        <f>excelsalesdata[[#This Row],[Gross_sales]]*excelsalesdata[[#This Row],[Discount_%]]</f>
        <v>157.5</v>
      </c>
      <c r="Y1013">
        <f>excelsalesdata[[#This Row],[Gross_sales]]-excelsalesdata[[#This Row],[Discount_amt]]</f>
        <v>2992.5</v>
      </c>
      <c r="Z1013" s="4">
        <f>excelsalesdata[[#This Row],[Net_sales]]-excelsalesdata[[#This Row],[Cost]]</f>
        <v>1102.5</v>
      </c>
      <c r="AA1013" s="5">
        <f>excelsalesdata[[#This Row],[Profit]]/excelsalesdata[[#This Row],[Net_sales]]</f>
        <v>0.36842105263157893</v>
      </c>
      <c r="AB1013" s="4">
        <f>YEAR(excelsalesdata[[#This Row],[Order_Date]])</f>
        <v>2028</v>
      </c>
      <c r="AC1013" s="4" t="str">
        <f>TEXT(excelsalesdata[[#This Row],[Order_Date]],"mmm")</f>
        <v>Jan</v>
      </c>
      <c r="AD1013" s="4" t="str">
        <f>"Q"&amp;ROUNDUP(MONTH(excelsalesdata[[#This Row],[Order_Date]])/3,0)</f>
        <v>Q1</v>
      </c>
    </row>
    <row r="1014" spans="1:30" x14ac:dyDescent="0.35">
      <c r="A1014" t="s">
        <v>1794</v>
      </c>
      <c r="B1014" s="3">
        <v>46772</v>
      </c>
      <c r="C1014" t="s">
        <v>381</v>
      </c>
      <c r="D1014" t="s">
        <v>619</v>
      </c>
      <c r="E1014" t="str">
        <f>TRIM(excelsalesdata[[#This Row],[Customer_Name]])</f>
        <v>Aarav Naidu</v>
      </c>
      <c r="F1014" t="s">
        <v>44</v>
      </c>
      <c r="G1014">
        <v>33</v>
      </c>
      <c r="H1014" t="s">
        <v>109</v>
      </c>
      <c r="I1014" t="str">
        <f>TRIM(excelsalesdata[[#This Row],[City]])</f>
        <v>Mysuru</v>
      </c>
      <c r="J1014" t="s">
        <v>53</v>
      </c>
      <c r="K1014" t="s">
        <v>47</v>
      </c>
      <c r="L1014" t="s">
        <v>85</v>
      </c>
      <c r="M1014" t="s">
        <v>251</v>
      </c>
      <c r="N1014" t="s">
        <v>251</v>
      </c>
      <c r="O1014">
        <v>1</v>
      </c>
      <c r="P1014">
        <v>3290</v>
      </c>
      <c r="Q1014">
        <v>0.1</v>
      </c>
      <c r="R1014">
        <v>1910</v>
      </c>
      <c r="S1014" t="s">
        <v>67</v>
      </c>
      <c r="T1014" t="s">
        <v>30</v>
      </c>
      <c r="U1014">
        <v>3</v>
      </c>
      <c r="V1014" t="s">
        <v>40</v>
      </c>
      <c r="W1014">
        <f>excelsalesdata[[#This Row],[Quantity]]*excelsalesdata[[#This Row],[Unit_Price]]</f>
        <v>3290</v>
      </c>
      <c r="X1014">
        <f>excelsalesdata[[#This Row],[Gross_sales]]*excelsalesdata[[#This Row],[Discount_%]]</f>
        <v>329</v>
      </c>
      <c r="Y1014">
        <f>excelsalesdata[[#This Row],[Gross_sales]]-excelsalesdata[[#This Row],[Discount_amt]]</f>
        <v>2961</v>
      </c>
      <c r="Z1014" s="4">
        <f>excelsalesdata[[#This Row],[Net_sales]]-excelsalesdata[[#This Row],[Cost]]</f>
        <v>1051</v>
      </c>
      <c r="AA1014" s="5">
        <f>excelsalesdata[[#This Row],[Profit]]/excelsalesdata[[#This Row],[Net_sales]]</f>
        <v>0.35494765281999324</v>
      </c>
      <c r="AB1014" s="4">
        <f>YEAR(excelsalesdata[[#This Row],[Order_Date]])</f>
        <v>2028</v>
      </c>
      <c r="AC1014" s="4" t="str">
        <f>TEXT(excelsalesdata[[#This Row],[Order_Date]],"mmm")</f>
        <v>Jan</v>
      </c>
      <c r="AD1014" s="4" t="str">
        <f>"Q"&amp;ROUNDUP(MONTH(excelsalesdata[[#This Row],[Order_Date]])/3,0)</f>
        <v>Q1</v>
      </c>
    </row>
    <row r="1015" spans="1:30" x14ac:dyDescent="0.35">
      <c r="A1015" t="s">
        <v>1795</v>
      </c>
      <c r="B1015" s="3">
        <v>46773</v>
      </c>
      <c r="C1015" t="s">
        <v>549</v>
      </c>
      <c r="D1015" t="s">
        <v>786</v>
      </c>
      <c r="E1015" t="str">
        <f>TRIM(excelsalesdata[[#This Row],[Customer_Name]])</f>
        <v>Aarav Patel</v>
      </c>
      <c r="F1015" t="s">
        <v>23</v>
      </c>
      <c r="G1015">
        <v>44</v>
      </c>
      <c r="H1015" t="s">
        <v>24</v>
      </c>
      <c r="I1015" t="str">
        <f>TRIM(excelsalesdata[[#This Row],[City]])</f>
        <v>Pune</v>
      </c>
      <c r="J1015" t="s">
        <v>25</v>
      </c>
      <c r="K1015" t="s">
        <v>26</v>
      </c>
      <c r="L1015" t="s">
        <v>54</v>
      </c>
      <c r="M1015" t="s">
        <v>55</v>
      </c>
      <c r="N1015" t="s">
        <v>55</v>
      </c>
      <c r="O1015">
        <v>3</v>
      </c>
      <c r="P1015">
        <v>6540</v>
      </c>
      <c r="Q1015">
        <v>0.1</v>
      </c>
      <c r="R1015">
        <v>4300</v>
      </c>
      <c r="S1015" t="s">
        <v>80</v>
      </c>
      <c r="T1015" t="s">
        <v>30</v>
      </c>
      <c r="U1015">
        <v>4</v>
      </c>
      <c r="V1015" t="s">
        <v>40</v>
      </c>
      <c r="W1015">
        <f>excelsalesdata[[#This Row],[Quantity]]*excelsalesdata[[#This Row],[Unit_Price]]</f>
        <v>19620</v>
      </c>
      <c r="X1015">
        <f>excelsalesdata[[#This Row],[Gross_sales]]*excelsalesdata[[#This Row],[Discount_%]]</f>
        <v>1962</v>
      </c>
      <c r="Y1015">
        <f>excelsalesdata[[#This Row],[Gross_sales]]-excelsalesdata[[#This Row],[Discount_amt]]</f>
        <v>17658</v>
      </c>
      <c r="Z1015" s="4">
        <f>excelsalesdata[[#This Row],[Net_sales]]-excelsalesdata[[#This Row],[Cost]]</f>
        <v>13358</v>
      </c>
      <c r="AA1015" s="5">
        <f>excelsalesdata[[#This Row],[Profit]]/excelsalesdata[[#This Row],[Net_sales]]</f>
        <v>0.75648431305923658</v>
      </c>
      <c r="AB1015" s="4">
        <f>YEAR(excelsalesdata[[#This Row],[Order_Date]])</f>
        <v>2028</v>
      </c>
      <c r="AC1015" s="4" t="str">
        <f>TEXT(excelsalesdata[[#This Row],[Order_Date]],"mmm")</f>
        <v>Jan</v>
      </c>
      <c r="AD1015" s="4" t="str">
        <f>"Q"&amp;ROUNDUP(MONTH(excelsalesdata[[#This Row],[Order_Date]])/3,0)</f>
        <v>Q1</v>
      </c>
    </row>
    <row r="1016" spans="1:30" x14ac:dyDescent="0.35">
      <c r="A1016" t="s">
        <v>1796</v>
      </c>
      <c r="B1016" s="3">
        <v>46774</v>
      </c>
      <c r="C1016" t="s">
        <v>909</v>
      </c>
      <c r="D1016" t="s">
        <v>798</v>
      </c>
      <c r="E1016" t="str">
        <f>TRIM(excelsalesdata[[#This Row],[Customer_Name]])</f>
        <v>Rahul Bhat</v>
      </c>
      <c r="F1016" t="s">
        <v>44</v>
      </c>
      <c r="G1016">
        <v>37</v>
      </c>
      <c r="H1016" t="s">
        <v>98</v>
      </c>
      <c r="I1016" t="str">
        <f>TRIM(excelsalesdata[[#This Row],[City]])</f>
        <v>Mumbai</v>
      </c>
      <c r="J1016" t="s">
        <v>25</v>
      </c>
      <c r="K1016" t="s">
        <v>26</v>
      </c>
      <c r="L1016" t="s">
        <v>103</v>
      </c>
      <c r="M1016" t="s">
        <v>312</v>
      </c>
      <c r="N1016" t="s">
        <v>312</v>
      </c>
      <c r="O1016">
        <v>2</v>
      </c>
      <c r="P1016">
        <v>6620</v>
      </c>
      <c r="Q1016">
        <v>0.05</v>
      </c>
      <c r="R1016">
        <v>4260</v>
      </c>
      <c r="S1016" t="s">
        <v>105</v>
      </c>
      <c r="T1016" t="s">
        <v>30</v>
      </c>
      <c r="U1016">
        <v>2</v>
      </c>
      <c r="V1016" t="s">
        <v>40</v>
      </c>
      <c r="W1016">
        <f>excelsalesdata[[#This Row],[Quantity]]*excelsalesdata[[#This Row],[Unit_Price]]</f>
        <v>13240</v>
      </c>
      <c r="X1016">
        <f>excelsalesdata[[#This Row],[Gross_sales]]*excelsalesdata[[#This Row],[Discount_%]]</f>
        <v>662</v>
      </c>
      <c r="Y1016">
        <f>excelsalesdata[[#This Row],[Gross_sales]]-excelsalesdata[[#This Row],[Discount_amt]]</f>
        <v>12578</v>
      </c>
      <c r="Z1016" s="4">
        <f>excelsalesdata[[#This Row],[Net_sales]]-excelsalesdata[[#This Row],[Cost]]</f>
        <v>8318</v>
      </c>
      <c r="AA1016" s="5">
        <f>excelsalesdata[[#This Row],[Profit]]/excelsalesdata[[#This Row],[Net_sales]]</f>
        <v>0.66131340435681352</v>
      </c>
      <c r="AB1016" s="4">
        <f>YEAR(excelsalesdata[[#This Row],[Order_Date]])</f>
        <v>2028</v>
      </c>
      <c r="AC1016" s="4" t="str">
        <f>TEXT(excelsalesdata[[#This Row],[Order_Date]],"mmm")</f>
        <v>Jan</v>
      </c>
      <c r="AD1016" s="4" t="str">
        <f>"Q"&amp;ROUNDUP(MONTH(excelsalesdata[[#This Row],[Order_Date]])/3,0)</f>
        <v>Q1</v>
      </c>
    </row>
    <row r="1017" spans="1:30" x14ac:dyDescent="0.35">
      <c r="A1017" t="s">
        <v>1797</v>
      </c>
      <c r="B1017" s="3">
        <v>46775</v>
      </c>
      <c r="C1017" t="s">
        <v>1080</v>
      </c>
      <c r="D1017" t="s">
        <v>752</v>
      </c>
      <c r="E1017" t="str">
        <f>TRIM(excelsalesdata[[#This Row],[Customer_Name]])</f>
        <v>Kavya Mehta</v>
      </c>
      <c r="F1017" t="s">
        <v>23</v>
      </c>
      <c r="G1017">
        <v>46</v>
      </c>
      <c r="H1017" t="s">
        <v>78</v>
      </c>
      <c r="I1017" t="str">
        <f>TRIM(excelsalesdata[[#This Row],[City]])</f>
        <v>Guwahati</v>
      </c>
      <c r="J1017" t="s">
        <v>79</v>
      </c>
      <c r="K1017" t="s">
        <v>37</v>
      </c>
      <c r="L1017" t="s">
        <v>38</v>
      </c>
      <c r="M1017" t="s">
        <v>161</v>
      </c>
      <c r="N1017" t="s">
        <v>161</v>
      </c>
      <c r="O1017">
        <v>3</v>
      </c>
      <c r="P1017">
        <v>27080</v>
      </c>
      <c r="Q1017">
        <v>0</v>
      </c>
      <c r="R1017">
        <v>21410</v>
      </c>
      <c r="S1017" t="s">
        <v>29</v>
      </c>
      <c r="T1017" t="s">
        <v>30</v>
      </c>
      <c r="U1017">
        <v>2</v>
      </c>
      <c r="V1017" t="s">
        <v>40</v>
      </c>
      <c r="W1017">
        <f>excelsalesdata[[#This Row],[Quantity]]*excelsalesdata[[#This Row],[Unit_Price]]</f>
        <v>81240</v>
      </c>
      <c r="X1017">
        <f>excelsalesdata[[#This Row],[Gross_sales]]*excelsalesdata[[#This Row],[Discount_%]]</f>
        <v>0</v>
      </c>
      <c r="Y1017">
        <f>excelsalesdata[[#This Row],[Gross_sales]]-excelsalesdata[[#This Row],[Discount_amt]]</f>
        <v>81240</v>
      </c>
      <c r="Z1017" s="4">
        <f>excelsalesdata[[#This Row],[Net_sales]]-excelsalesdata[[#This Row],[Cost]]</f>
        <v>59830</v>
      </c>
      <c r="AA1017" s="5">
        <f>excelsalesdata[[#This Row],[Profit]]/excelsalesdata[[#This Row],[Net_sales]]</f>
        <v>0.73645987198424423</v>
      </c>
      <c r="AB1017" s="4">
        <f>YEAR(excelsalesdata[[#This Row],[Order_Date]])</f>
        <v>2028</v>
      </c>
      <c r="AC1017" s="4" t="str">
        <f>TEXT(excelsalesdata[[#This Row],[Order_Date]],"mmm")</f>
        <v>Jan</v>
      </c>
      <c r="AD1017" s="4" t="str">
        <f>"Q"&amp;ROUNDUP(MONTH(excelsalesdata[[#This Row],[Order_Date]])/3,0)</f>
        <v>Q1</v>
      </c>
    </row>
    <row r="1018" spans="1:30" x14ac:dyDescent="0.35">
      <c r="A1018" t="s">
        <v>1798</v>
      </c>
      <c r="B1018" s="3">
        <v>46776</v>
      </c>
      <c r="C1018" t="s">
        <v>1073</v>
      </c>
      <c r="D1018" t="s">
        <v>619</v>
      </c>
      <c r="E1018" t="str">
        <f>TRIM(excelsalesdata[[#This Row],[Customer_Name]])</f>
        <v>Aarav Naidu</v>
      </c>
      <c r="F1018" t="s">
        <v>23</v>
      </c>
      <c r="G1018">
        <v>40</v>
      </c>
      <c r="H1018" t="s">
        <v>52</v>
      </c>
      <c r="I1018" t="str">
        <f>TRIM(excelsalesdata[[#This Row],[City]])</f>
        <v>Bengaluru</v>
      </c>
      <c r="J1018" t="s">
        <v>53</v>
      </c>
      <c r="K1018" t="s">
        <v>47</v>
      </c>
      <c r="L1018" t="s">
        <v>27</v>
      </c>
      <c r="M1018" t="s">
        <v>28</v>
      </c>
      <c r="N1018" t="s">
        <v>28</v>
      </c>
      <c r="O1018">
        <v>2</v>
      </c>
      <c r="P1018">
        <v>3420</v>
      </c>
      <c r="Q1018">
        <v>0</v>
      </c>
      <c r="R1018">
        <v>2130</v>
      </c>
      <c r="S1018" t="s">
        <v>105</v>
      </c>
      <c r="T1018" t="s">
        <v>30</v>
      </c>
      <c r="U1018">
        <v>6</v>
      </c>
      <c r="V1018" t="s">
        <v>31</v>
      </c>
      <c r="W1018">
        <f>excelsalesdata[[#This Row],[Quantity]]*excelsalesdata[[#This Row],[Unit_Price]]</f>
        <v>6840</v>
      </c>
      <c r="X1018">
        <f>excelsalesdata[[#This Row],[Gross_sales]]*excelsalesdata[[#This Row],[Discount_%]]</f>
        <v>0</v>
      </c>
      <c r="Y1018">
        <f>excelsalesdata[[#This Row],[Gross_sales]]-excelsalesdata[[#This Row],[Discount_amt]]</f>
        <v>6840</v>
      </c>
      <c r="Z1018" s="4">
        <f>excelsalesdata[[#This Row],[Net_sales]]-excelsalesdata[[#This Row],[Cost]]</f>
        <v>4710</v>
      </c>
      <c r="AA1018" s="5">
        <f>excelsalesdata[[#This Row],[Profit]]/excelsalesdata[[#This Row],[Net_sales]]</f>
        <v>0.68859649122807021</v>
      </c>
      <c r="AB1018" s="4">
        <f>YEAR(excelsalesdata[[#This Row],[Order_Date]])</f>
        <v>2028</v>
      </c>
      <c r="AC1018" s="4" t="str">
        <f>TEXT(excelsalesdata[[#This Row],[Order_Date]],"mmm")</f>
        <v>Jan</v>
      </c>
      <c r="AD1018" s="4" t="str">
        <f>"Q"&amp;ROUNDUP(MONTH(excelsalesdata[[#This Row],[Order_Date]])/3,0)</f>
        <v>Q1</v>
      </c>
    </row>
    <row r="1019" spans="1:30" x14ac:dyDescent="0.35">
      <c r="A1019" t="s">
        <v>1799</v>
      </c>
      <c r="B1019" s="3">
        <v>46777</v>
      </c>
      <c r="C1019" t="s">
        <v>127</v>
      </c>
      <c r="D1019" t="s">
        <v>208</v>
      </c>
      <c r="E1019" t="str">
        <f>TRIM(excelsalesdata[[#This Row],[Customer_Name]])</f>
        <v>Aarav Singh</v>
      </c>
      <c r="F1019" t="s">
        <v>23</v>
      </c>
      <c r="G1019">
        <v>38</v>
      </c>
      <c r="H1019" t="s">
        <v>114</v>
      </c>
      <c r="I1019" t="str">
        <f>TRIM(excelsalesdata[[#This Row],[City]])</f>
        <v>Hyderabad</v>
      </c>
      <c r="J1019" t="s">
        <v>115</v>
      </c>
      <c r="K1019" t="s">
        <v>47</v>
      </c>
      <c r="L1019" t="s">
        <v>54</v>
      </c>
      <c r="M1019" t="s">
        <v>66</v>
      </c>
      <c r="N1019" t="s">
        <v>66</v>
      </c>
      <c r="O1019">
        <v>1</v>
      </c>
      <c r="P1019">
        <v>2520</v>
      </c>
      <c r="Q1019">
        <v>0.2</v>
      </c>
      <c r="R1019">
        <v>1470</v>
      </c>
      <c r="S1019" t="s">
        <v>29</v>
      </c>
      <c r="T1019" t="s">
        <v>30</v>
      </c>
      <c r="U1019">
        <v>5</v>
      </c>
      <c r="V1019" t="s">
        <v>40</v>
      </c>
      <c r="W1019">
        <f>excelsalesdata[[#This Row],[Quantity]]*excelsalesdata[[#This Row],[Unit_Price]]</f>
        <v>2520</v>
      </c>
      <c r="X1019">
        <f>excelsalesdata[[#This Row],[Gross_sales]]*excelsalesdata[[#This Row],[Discount_%]]</f>
        <v>504</v>
      </c>
      <c r="Y1019">
        <f>excelsalesdata[[#This Row],[Gross_sales]]-excelsalesdata[[#This Row],[Discount_amt]]</f>
        <v>2016</v>
      </c>
      <c r="Z1019" s="4">
        <f>excelsalesdata[[#This Row],[Net_sales]]-excelsalesdata[[#This Row],[Cost]]</f>
        <v>546</v>
      </c>
      <c r="AA1019" s="5">
        <f>excelsalesdata[[#This Row],[Profit]]/excelsalesdata[[#This Row],[Net_sales]]</f>
        <v>0.27083333333333331</v>
      </c>
      <c r="AB1019" s="4">
        <f>YEAR(excelsalesdata[[#This Row],[Order_Date]])</f>
        <v>2028</v>
      </c>
      <c r="AC1019" s="4" t="str">
        <f>TEXT(excelsalesdata[[#This Row],[Order_Date]],"mmm")</f>
        <v>Jan</v>
      </c>
      <c r="AD1019" s="4" t="str">
        <f>"Q"&amp;ROUNDUP(MONTH(excelsalesdata[[#This Row],[Order_Date]])/3,0)</f>
        <v>Q1</v>
      </c>
    </row>
    <row r="1020" spans="1:30" x14ac:dyDescent="0.35">
      <c r="A1020" t="s">
        <v>1800</v>
      </c>
      <c r="B1020" s="3">
        <v>46778</v>
      </c>
      <c r="C1020" t="s">
        <v>604</v>
      </c>
      <c r="D1020" t="s">
        <v>482</v>
      </c>
      <c r="E1020" t="str">
        <f>TRIM(excelsalesdata[[#This Row],[Customer_Name]])</f>
        <v>Aditya Gupta</v>
      </c>
      <c r="F1020" t="s">
        <v>44</v>
      </c>
      <c r="G1020">
        <v>56</v>
      </c>
      <c r="H1020" t="s">
        <v>133</v>
      </c>
      <c r="I1020" t="str">
        <f>TRIM(excelsalesdata[[#This Row],[City]])</f>
        <v>Jaipur</v>
      </c>
      <c r="J1020" t="s">
        <v>134</v>
      </c>
      <c r="K1020" t="s">
        <v>61</v>
      </c>
      <c r="L1020" t="s">
        <v>54</v>
      </c>
      <c r="M1020" t="s">
        <v>157</v>
      </c>
      <c r="N1020" t="s">
        <v>157</v>
      </c>
      <c r="O1020">
        <v>3</v>
      </c>
      <c r="P1020">
        <v>55900</v>
      </c>
      <c r="Q1020">
        <v>0.1</v>
      </c>
      <c r="R1020">
        <v>41610</v>
      </c>
      <c r="S1020" t="s">
        <v>80</v>
      </c>
      <c r="T1020" t="s">
        <v>30</v>
      </c>
      <c r="U1020">
        <v>6</v>
      </c>
      <c r="V1020" t="s">
        <v>31</v>
      </c>
      <c r="W1020">
        <f>excelsalesdata[[#This Row],[Quantity]]*excelsalesdata[[#This Row],[Unit_Price]]</f>
        <v>167700</v>
      </c>
      <c r="X1020">
        <f>excelsalesdata[[#This Row],[Gross_sales]]*excelsalesdata[[#This Row],[Discount_%]]</f>
        <v>16770</v>
      </c>
      <c r="Y1020">
        <f>excelsalesdata[[#This Row],[Gross_sales]]-excelsalesdata[[#This Row],[Discount_amt]]</f>
        <v>150930</v>
      </c>
      <c r="Z1020" s="4">
        <f>excelsalesdata[[#This Row],[Net_sales]]-excelsalesdata[[#This Row],[Cost]]</f>
        <v>109320</v>
      </c>
      <c r="AA1020" s="5">
        <f>excelsalesdata[[#This Row],[Profit]]/excelsalesdata[[#This Row],[Net_sales]]</f>
        <v>0.72430928244881732</v>
      </c>
      <c r="AB1020" s="4">
        <f>YEAR(excelsalesdata[[#This Row],[Order_Date]])</f>
        <v>2028</v>
      </c>
      <c r="AC1020" s="4" t="str">
        <f>TEXT(excelsalesdata[[#This Row],[Order_Date]],"mmm")</f>
        <v>Jan</v>
      </c>
      <c r="AD1020" s="4" t="str">
        <f>"Q"&amp;ROUNDUP(MONTH(excelsalesdata[[#This Row],[Order_Date]])/3,0)</f>
        <v>Q1</v>
      </c>
    </row>
    <row r="1021" spans="1:30" x14ac:dyDescent="0.35">
      <c r="A1021" t="s">
        <v>1801</v>
      </c>
      <c r="B1021" s="3">
        <v>46779</v>
      </c>
      <c r="C1021" t="s">
        <v>1310</v>
      </c>
      <c r="D1021" t="s">
        <v>1335</v>
      </c>
      <c r="E1021" t="str">
        <f>TRIM(excelsalesdata[[#This Row],[Customer_Name]])</f>
        <v>Kavya Patel</v>
      </c>
      <c r="F1021" t="s">
        <v>44</v>
      </c>
      <c r="G1021">
        <v>41</v>
      </c>
      <c r="H1021" t="s">
        <v>155</v>
      </c>
      <c r="I1021" t="str">
        <f>TRIM(excelsalesdata[[#This Row],[City]])</f>
        <v>Chennai</v>
      </c>
      <c r="J1021" t="s">
        <v>156</v>
      </c>
      <c r="K1021" t="s">
        <v>47</v>
      </c>
      <c r="L1021" t="s">
        <v>103</v>
      </c>
      <c r="M1021" t="s">
        <v>312</v>
      </c>
      <c r="N1021" t="s">
        <v>312</v>
      </c>
      <c r="O1021">
        <v>1</v>
      </c>
      <c r="P1021">
        <v>6210</v>
      </c>
      <c r="Q1021">
        <v>0.15</v>
      </c>
      <c r="R1021">
        <v>4030</v>
      </c>
      <c r="S1021" t="s">
        <v>80</v>
      </c>
      <c r="T1021" t="s">
        <v>30</v>
      </c>
      <c r="U1021">
        <v>3</v>
      </c>
      <c r="V1021" t="s">
        <v>40</v>
      </c>
      <c r="W1021">
        <f>excelsalesdata[[#This Row],[Quantity]]*excelsalesdata[[#This Row],[Unit_Price]]</f>
        <v>6210</v>
      </c>
      <c r="X1021">
        <f>excelsalesdata[[#This Row],[Gross_sales]]*excelsalesdata[[#This Row],[Discount_%]]</f>
        <v>931.5</v>
      </c>
      <c r="Y1021">
        <f>excelsalesdata[[#This Row],[Gross_sales]]-excelsalesdata[[#This Row],[Discount_amt]]</f>
        <v>5278.5</v>
      </c>
      <c r="Z1021" s="4">
        <f>excelsalesdata[[#This Row],[Net_sales]]-excelsalesdata[[#This Row],[Cost]]</f>
        <v>1248.5</v>
      </c>
      <c r="AA1021" s="5">
        <f>excelsalesdata[[#This Row],[Profit]]/excelsalesdata[[#This Row],[Net_sales]]</f>
        <v>0.23652552808563038</v>
      </c>
      <c r="AB1021" s="4">
        <f>YEAR(excelsalesdata[[#This Row],[Order_Date]])</f>
        <v>2028</v>
      </c>
      <c r="AC1021" s="4" t="str">
        <f>TEXT(excelsalesdata[[#This Row],[Order_Date]],"mmm")</f>
        <v>Jan</v>
      </c>
      <c r="AD1021" s="4" t="str">
        <f>"Q"&amp;ROUNDUP(MONTH(excelsalesdata[[#This Row],[Order_Date]])/3,0)</f>
        <v>Q1</v>
      </c>
    </row>
    <row r="1022" spans="1:30" x14ac:dyDescent="0.35">
      <c r="A1022" t="s">
        <v>1802</v>
      </c>
      <c r="B1022" s="3">
        <v>46780</v>
      </c>
      <c r="C1022" t="s">
        <v>1080</v>
      </c>
      <c r="D1022" t="s">
        <v>392</v>
      </c>
      <c r="E1022" t="str">
        <f>TRIM(excelsalesdata[[#This Row],[Customer_Name]])</f>
        <v>Meera Joshi</v>
      </c>
      <c r="F1022" t="s">
        <v>44</v>
      </c>
      <c r="G1022">
        <v>36</v>
      </c>
      <c r="H1022" t="s">
        <v>109</v>
      </c>
      <c r="I1022" t="str">
        <f>TRIM(excelsalesdata[[#This Row],[City]])</f>
        <v>Mysuru</v>
      </c>
      <c r="J1022" t="s">
        <v>53</v>
      </c>
      <c r="K1022" t="s">
        <v>47</v>
      </c>
      <c r="L1022" t="s">
        <v>93</v>
      </c>
      <c r="M1022" t="s">
        <v>375</v>
      </c>
      <c r="N1022" t="s">
        <v>375</v>
      </c>
      <c r="O1022">
        <v>1</v>
      </c>
      <c r="P1022">
        <v>2330</v>
      </c>
      <c r="Q1022">
        <v>0.05</v>
      </c>
      <c r="R1022">
        <v>1210</v>
      </c>
      <c r="S1022" t="s">
        <v>80</v>
      </c>
      <c r="T1022" t="s">
        <v>30</v>
      </c>
      <c r="U1022">
        <v>5</v>
      </c>
      <c r="V1022" t="s">
        <v>40</v>
      </c>
      <c r="W1022">
        <f>excelsalesdata[[#This Row],[Quantity]]*excelsalesdata[[#This Row],[Unit_Price]]</f>
        <v>2330</v>
      </c>
      <c r="X1022">
        <f>excelsalesdata[[#This Row],[Gross_sales]]*excelsalesdata[[#This Row],[Discount_%]]</f>
        <v>116.5</v>
      </c>
      <c r="Y1022">
        <f>excelsalesdata[[#This Row],[Gross_sales]]-excelsalesdata[[#This Row],[Discount_amt]]</f>
        <v>2213.5</v>
      </c>
      <c r="Z1022" s="4">
        <f>excelsalesdata[[#This Row],[Net_sales]]-excelsalesdata[[#This Row],[Cost]]</f>
        <v>1003.5</v>
      </c>
      <c r="AA1022" s="5">
        <f>excelsalesdata[[#This Row],[Profit]]/excelsalesdata[[#This Row],[Net_sales]]</f>
        <v>0.45335441608312627</v>
      </c>
      <c r="AB1022" s="4">
        <f>YEAR(excelsalesdata[[#This Row],[Order_Date]])</f>
        <v>2028</v>
      </c>
      <c r="AC1022" s="4" t="str">
        <f>TEXT(excelsalesdata[[#This Row],[Order_Date]],"mmm")</f>
        <v>Jan</v>
      </c>
      <c r="AD1022" s="4" t="str">
        <f>"Q"&amp;ROUNDUP(MONTH(excelsalesdata[[#This Row],[Order_Date]])/3,0)</f>
        <v>Q1</v>
      </c>
    </row>
    <row r="1023" spans="1:30" x14ac:dyDescent="0.35">
      <c r="A1023" t="s">
        <v>1803</v>
      </c>
      <c r="B1023" s="3">
        <v>46781</v>
      </c>
      <c r="C1023" t="s">
        <v>1440</v>
      </c>
      <c r="D1023" t="s">
        <v>1092</v>
      </c>
      <c r="E1023" t="str">
        <f>TRIM(excelsalesdata[[#This Row],[Customer_Name]])</f>
        <v>Rahul Shah</v>
      </c>
      <c r="F1023" t="s">
        <v>44</v>
      </c>
      <c r="G1023">
        <v>21</v>
      </c>
      <c r="H1023" t="s">
        <v>71</v>
      </c>
      <c r="I1023" t="str">
        <f>TRIM(excelsalesdata[[#This Row],[City]])</f>
        <v>Bhubaneswar</v>
      </c>
      <c r="J1023" t="s">
        <v>72</v>
      </c>
      <c r="K1023" t="s">
        <v>37</v>
      </c>
      <c r="L1023" t="s">
        <v>54</v>
      </c>
      <c r="M1023" t="s">
        <v>157</v>
      </c>
      <c r="N1023" t="s">
        <v>157</v>
      </c>
      <c r="O1023">
        <v>3</v>
      </c>
      <c r="P1023">
        <v>54510</v>
      </c>
      <c r="Q1023">
        <v>0.05</v>
      </c>
      <c r="R1023">
        <v>43660</v>
      </c>
      <c r="S1023" t="s">
        <v>67</v>
      </c>
      <c r="T1023" t="s">
        <v>30</v>
      </c>
      <c r="U1023">
        <v>1</v>
      </c>
      <c r="V1023" t="s">
        <v>40</v>
      </c>
      <c r="W1023">
        <f>excelsalesdata[[#This Row],[Quantity]]*excelsalesdata[[#This Row],[Unit_Price]]</f>
        <v>163530</v>
      </c>
      <c r="X1023">
        <f>excelsalesdata[[#This Row],[Gross_sales]]*excelsalesdata[[#This Row],[Discount_%]]</f>
        <v>8176.5</v>
      </c>
      <c r="Y1023">
        <f>excelsalesdata[[#This Row],[Gross_sales]]-excelsalesdata[[#This Row],[Discount_amt]]</f>
        <v>155353.5</v>
      </c>
      <c r="Z1023" s="4">
        <f>excelsalesdata[[#This Row],[Net_sales]]-excelsalesdata[[#This Row],[Cost]]</f>
        <v>111693.5</v>
      </c>
      <c r="AA1023" s="5">
        <f>excelsalesdata[[#This Row],[Profit]]/excelsalesdata[[#This Row],[Net_sales]]</f>
        <v>0.71896352512173844</v>
      </c>
      <c r="AB1023" s="4">
        <f>YEAR(excelsalesdata[[#This Row],[Order_Date]])</f>
        <v>2028</v>
      </c>
      <c r="AC1023" s="4" t="str">
        <f>TEXT(excelsalesdata[[#This Row],[Order_Date]],"mmm")</f>
        <v>Jan</v>
      </c>
      <c r="AD1023" s="4" t="str">
        <f>"Q"&amp;ROUNDUP(MONTH(excelsalesdata[[#This Row],[Order_Date]])/3,0)</f>
        <v>Q1</v>
      </c>
    </row>
    <row r="1024" spans="1:30" x14ac:dyDescent="0.35">
      <c r="A1024" t="s">
        <v>1804</v>
      </c>
      <c r="B1024" s="3">
        <v>46782</v>
      </c>
      <c r="C1024" t="s">
        <v>1776</v>
      </c>
      <c r="D1024" t="s">
        <v>1806</v>
      </c>
      <c r="E1024" t="str">
        <f>TRIM(excelsalesdata[[#This Row],[Customer_Name]])</f>
        <v>Sneha Bhat</v>
      </c>
      <c r="F1024" t="s">
        <v>44</v>
      </c>
      <c r="G1024">
        <v>45</v>
      </c>
      <c r="H1024" t="s">
        <v>35</v>
      </c>
      <c r="I1024" t="str">
        <f>TRIM(excelsalesdata[[#This Row],[City]])</f>
        <v>Kolkata</v>
      </c>
      <c r="J1024" t="s">
        <v>36</v>
      </c>
      <c r="K1024" t="s">
        <v>37</v>
      </c>
      <c r="L1024" t="s">
        <v>54</v>
      </c>
      <c r="M1024" t="s">
        <v>66</v>
      </c>
      <c r="N1024" t="s">
        <v>66</v>
      </c>
      <c r="O1024">
        <v>1</v>
      </c>
      <c r="P1024">
        <v>2680</v>
      </c>
      <c r="Q1024">
        <v>0.2</v>
      </c>
      <c r="R1024">
        <v>1550</v>
      </c>
      <c r="S1024" t="s">
        <v>80</v>
      </c>
      <c r="T1024" t="s">
        <v>30</v>
      </c>
      <c r="U1024">
        <v>2</v>
      </c>
      <c r="V1024" t="s">
        <v>40</v>
      </c>
      <c r="W1024">
        <f>excelsalesdata[[#This Row],[Quantity]]*excelsalesdata[[#This Row],[Unit_Price]]</f>
        <v>2680</v>
      </c>
      <c r="X1024">
        <f>excelsalesdata[[#This Row],[Gross_sales]]*excelsalesdata[[#This Row],[Discount_%]]</f>
        <v>536</v>
      </c>
      <c r="Y1024">
        <f>excelsalesdata[[#This Row],[Gross_sales]]-excelsalesdata[[#This Row],[Discount_amt]]</f>
        <v>2144</v>
      </c>
      <c r="Z1024" s="4">
        <f>excelsalesdata[[#This Row],[Net_sales]]-excelsalesdata[[#This Row],[Cost]]</f>
        <v>594</v>
      </c>
      <c r="AA1024" s="5">
        <f>excelsalesdata[[#This Row],[Profit]]/excelsalesdata[[#This Row],[Net_sales]]</f>
        <v>0.27705223880597013</v>
      </c>
      <c r="AB1024" s="4">
        <f>YEAR(excelsalesdata[[#This Row],[Order_Date]])</f>
        <v>2028</v>
      </c>
      <c r="AC1024" s="4" t="str">
        <f>TEXT(excelsalesdata[[#This Row],[Order_Date]],"mmm")</f>
        <v>Jan</v>
      </c>
      <c r="AD1024" s="4" t="str">
        <f>"Q"&amp;ROUNDUP(MONTH(excelsalesdata[[#This Row],[Order_Date]])/3,0)</f>
        <v>Q1</v>
      </c>
    </row>
    <row r="1025" spans="1:30" x14ac:dyDescent="0.35">
      <c r="A1025" t="s">
        <v>1805</v>
      </c>
      <c r="B1025" s="3">
        <v>46783</v>
      </c>
      <c r="C1025" t="s">
        <v>1431</v>
      </c>
      <c r="D1025" t="s">
        <v>1401</v>
      </c>
      <c r="E1025" t="str">
        <f>TRIM(excelsalesdata[[#This Row],[Customer_Name]])</f>
        <v>Meera Kumar</v>
      </c>
      <c r="F1025" t="s">
        <v>44</v>
      </c>
      <c r="G1025">
        <v>43</v>
      </c>
      <c r="H1025" t="s">
        <v>78</v>
      </c>
      <c r="I1025" t="str">
        <f>TRIM(excelsalesdata[[#This Row],[City]])</f>
        <v>Guwahati</v>
      </c>
      <c r="J1025" t="s">
        <v>79</v>
      </c>
      <c r="K1025" t="s">
        <v>37</v>
      </c>
      <c r="L1025" t="s">
        <v>27</v>
      </c>
      <c r="M1025" t="s">
        <v>295</v>
      </c>
      <c r="N1025" t="s">
        <v>295</v>
      </c>
      <c r="O1025">
        <v>1</v>
      </c>
      <c r="P1025">
        <v>4530</v>
      </c>
      <c r="Q1025">
        <v>0.1</v>
      </c>
      <c r="R1025">
        <v>2590</v>
      </c>
      <c r="S1025" t="s">
        <v>80</v>
      </c>
      <c r="T1025" t="s">
        <v>30</v>
      </c>
      <c r="U1025">
        <v>3</v>
      </c>
      <c r="V1025" t="s">
        <v>40</v>
      </c>
      <c r="W1025">
        <f>excelsalesdata[[#This Row],[Quantity]]*excelsalesdata[[#This Row],[Unit_Price]]</f>
        <v>4530</v>
      </c>
      <c r="X1025">
        <f>excelsalesdata[[#This Row],[Gross_sales]]*excelsalesdata[[#This Row],[Discount_%]]</f>
        <v>453</v>
      </c>
      <c r="Y1025">
        <f>excelsalesdata[[#This Row],[Gross_sales]]-excelsalesdata[[#This Row],[Discount_amt]]</f>
        <v>4077</v>
      </c>
      <c r="Z1025" s="4">
        <f>excelsalesdata[[#This Row],[Net_sales]]-excelsalesdata[[#This Row],[Cost]]</f>
        <v>1487</v>
      </c>
      <c r="AA1025" s="5">
        <f>excelsalesdata[[#This Row],[Profit]]/excelsalesdata[[#This Row],[Net_sales]]</f>
        <v>0.364728967377974</v>
      </c>
      <c r="AB1025" s="4">
        <f>YEAR(excelsalesdata[[#This Row],[Order_Date]])</f>
        <v>2028</v>
      </c>
      <c r="AC1025" s="4" t="str">
        <f>TEXT(excelsalesdata[[#This Row],[Order_Date]],"mmm")</f>
        <v>Jan</v>
      </c>
      <c r="AD1025" s="4" t="str">
        <f>"Q"&amp;ROUNDUP(MONTH(excelsalesdata[[#This Row],[Order_Date]])/3,0)</f>
        <v>Q1</v>
      </c>
    </row>
    <row r="1026" spans="1:30" x14ac:dyDescent="0.35">
      <c r="A1026" t="s">
        <v>1807</v>
      </c>
      <c r="B1026" s="3">
        <v>46784</v>
      </c>
      <c r="C1026" t="s">
        <v>1808</v>
      </c>
      <c r="D1026" t="s">
        <v>299</v>
      </c>
      <c r="E1026" t="str">
        <f>TRIM(excelsalesdata[[#This Row],[Customer_Name]])</f>
        <v>Aarav Joshi</v>
      </c>
      <c r="F1026" t="s">
        <v>44</v>
      </c>
      <c r="G1026">
        <v>45</v>
      </c>
      <c r="H1026" t="s">
        <v>52</v>
      </c>
      <c r="I1026" t="str">
        <f>TRIM(excelsalesdata[[#This Row],[City]])</f>
        <v>Bengaluru</v>
      </c>
      <c r="J1026" t="s">
        <v>53</v>
      </c>
      <c r="K1026" t="s">
        <v>47</v>
      </c>
      <c r="L1026" t="s">
        <v>38</v>
      </c>
      <c r="M1026" t="s">
        <v>119</v>
      </c>
      <c r="N1026" t="s">
        <v>119</v>
      </c>
      <c r="O1026">
        <v>2</v>
      </c>
      <c r="P1026">
        <v>8160</v>
      </c>
      <c r="Q1026">
        <v>0.25</v>
      </c>
      <c r="R1026">
        <v>5770</v>
      </c>
      <c r="S1026" t="s">
        <v>80</v>
      </c>
      <c r="T1026" t="s">
        <v>30</v>
      </c>
      <c r="U1026">
        <v>5</v>
      </c>
      <c r="V1026" t="s">
        <v>31</v>
      </c>
      <c r="W1026">
        <f>excelsalesdata[[#This Row],[Quantity]]*excelsalesdata[[#This Row],[Unit_Price]]</f>
        <v>16320</v>
      </c>
      <c r="X1026">
        <f>excelsalesdata[[#This Row],[Gross_sales]]*excelsalesdata[[#This Row],[Discount_%]]</f>
        <v>4080</v>
      </c>
      <c r="Y1026">
        <f>excelsalesdata[[#This Row],[Gross_sales]]-excelsalesdata[[#This Row],[Discount_amt]]</f>
        <v>12240</v>
      </c>
      <c r="Z1026" s="4">
        <f>excelsalesdata[[#This Row],[Net_sales]]-excelsalesdata[[#This Row],[Cost]]</f>
        <v>6470</v>
      </c>
      <c r="AA1026" s="5">
        <f>excelsalesdata[[#This Row],[Profit]]/excelsalesdata[[#This Row],[Net_sales]]</f>
        <v>0.52859477124183007</v>
      </c>
      <c r="AB1026" s="4">
        <f>YEAR(excelsalesdata[[#This Row],[Order_Date]])</f>
        <v>2028</v>
      </c>
      <c r="AC1026" s="4" t="str">
        <f>TEXT(excelsalesdata[[#This Row],[Order_Date]],"mmm")</f>
        <v>Feb</v>
      </c>
      <c r="AD1026" s="4" t="str">
        <f>"Q"&amp;ROUNDUP(MONTH(excelsalesdata[[#This Row],[Order_Date]])/3,0)</f>
        <v>Q1</v>
      </c>
    </row>
    <row r="1027" spans="1:30" x14ac:dyDescent="0.35">
      <c r="A1027" t="s">
        <v>1809</v>
      </c>
      <c r="B1027" s="3">
        <v>46785</v>
      </c>
      <c r="C1027" t="s">
        <v>290</v>
      </c>
      <c r="D1027" t="s">
        <v>830</v>
      </c>
      <c r="E1027" t="str">
        <f>TRIM(excelsalesdata[[#This Row],[Customer_Name]])</f>
        <v>Rohan Bhat</v>
      </c>
      <c r="F1027" t="s">
        <v>44</v>
      </c>
      <c r="G1027">
        <v>25</v>
      </c>
      <c r="H1027" t="s">
        <v>185</v>
      </c>
      <c r="I1027" t="str">
        <f>TRIM(excelsalesdata[[#This Row],[City]])</f>
        <v>Lucknow</v>
      </c>
      <c r="J1027" t="s">
        <v>186</v>
      </c>
      <c r="K1027" t="s">
        <v>61</v>
      </c>
      <c r="L1027" t="s">
        <v>103</v>
      </c>
      <c r="M1027" t="s">
        <v>312</v>
      </c>
      <c r="N1027" t="s">
        <v>312</v>
      </c>
      <c r="O1027">
        <v>4</v>
      </c>
      <c r="P1027">
        <v>6090</v>
      </c>
      <c r="Q1027">
        <v>0</v>
      </c>
      <c r="R1027">
        <v>4350</v>
      </c>
      <c r="S1027" t="s">
        <v>80</v>
      </c>
      <c r="T1027" t="s">
        <v>30</v>
      </c>
      <c r="U1027">
        <v>4</v>
      </c>
      <c r="V1027" t="s">
        <v>40</v>
      </c>
      <c r="W1027">
        <f>excelsalesdata[[#This Row],[Quantity]]*excelsalesdata[[#This Row],[Unit_Price]]</f>
        <v>24360</v>
      </c>
      <c r="X1027">
        <f>excelsalesdata[[#This Row],[Gross_sales]]*excelsalesdata[[#This Row],[Discount_%]]</f>
        <v>0</v>
      </c>
      <c r="Y1027">
        <f>excelsalesdata[[#This Row],[Gross_sales]]-excelsalesdata[[#This Row],[Discount_amt]]</f>
        <v>24360</v>
      </c>
      <c r="Z1027" s="4">
        <f>excelsalesdata[[#This Row],[Net_sales]]-excelsalesdata[[#This Row],[Cost]]</f>
        <v>20010</v>
      </c>
      <c r="AA1027" s="5">
        <f>excelsalesdata[[#This Row],[Profit]]/excelsalesdata[[#This Row],[Net_sales]]</f>
        <v>0.8214285714285714</v>
      </c>
      <c r="AB1027" s="4">
        <f>YEAR(excelsalesdata[[#This Row],[Order_Date]])</f>
        <v>2028</v>
      </c>
      <c r="AC1027" s="4" t="str">
        <f>TEXT(excelsalesdata[[#This Row],[Order_Date]],"mmm")</f>
        <v>Feb</v>
      </c>
      <c r="AD1027" s="4" t="str">
        <f>"Q"&amp;ROUNDUP(MONTH(excelsalesdata[[#This Row],[Order_Date]])/3,0)</f>
        <v>Q1</v>
      </c>
    </row>
    <row r="1028" spans="1:30" x14ac:dyDescent="0.35">
      <c r="A1028" t="s">
        <v>1810</v>
      </c>
      <c r="B1028" s="3">
        <v>46786</v>
      </c>
      <c r="C1028" t="s">
        <v>183</v>
      </c>
      <c r="D1028" t="s">
        <v>1070</v>
      </c>
      <c r="E1028" t="str">
        <f>TRIM(excelsalesdata[[#This Row],[Customer_Name]])</f>
        <v>Ishita Patel</v>
      </c>
      <c r="F1028" t="s">
        <v>23</v>
      </c>
      <c r="G1028">
        <v>31</v>
      </c>
      <c r="H1028" t="s">
        <v>133</v>
      </c>
      <c r="I1028" t="str">
        <f>TRIM(excelsalesdata[[#This Row],[City]])</f>
        <v>Jaipur</v>
      </c>
      <c r="J1028" t="s">
        <v>134</v>
      </c>
      <c r="K1028" t="s">
        <v>61</v>
      </c>
      <c r="L1028" t="s">
        <v>38</v>
      </c>
      <c r="M1028" t="s">
        <v>255</v>
      </c>
      <c r="N1028" t="s">
        <v>255</v>
      </c>
      <c r="O1028">
        <v>2</v>
      </c>
      <c r="P1028">
        <v>4320</v>
      </c>
      <c r="Q1028">
        <v>0.05</v>
      </c>
      <c r="R1028">
        <v>2790</v>
      </c>
      <c r="S1028" t="s">
        <v>80</v>
      </c>
      <c r="T1028" t="s">
        <v>30</v>
      </c>
      <c r="U1028">
        <v>3</v>
      </c>
      <c r="V1028" t="s">
        <v>31</v>
      </c>
      <c r="W1028">
        <f>excelsalesdata[[#This Row],[Quantity]]*excelsalesdata[[#This Row],[Unit_Price]]</f>
        <v>8640</v>
      </c>
      <c r="X1028">
        <f>excelsalesdata[[#This Row],[Gross_sales]]*excelsalesdata[[#This Row],[Discount_%]]</f>
        <v>432</v>
      </c>
      <c r="Y1028">
        <f>excelsalesdata[[#This Row],[Gross_sales]]-excelsalesdata[[#This Row],[Discount_amt]]</f>
        <v>8208</v>
      </c>
      <c r="Z1028" s="4">
        <f>excelsalesdata[[#This Row],[Net_sales]]-excelsalesdata[[#This Row],[Cost]]</f>
        <v>5418</v>
      </c>
      <c r="AA1028" s="5">
        <f>excelsalesdata[[#This Row],[Profit]]/excelsalesdata[[#This Row],[Net_sales]]</f>
        <v>0.66008771929824561</v>
      </c>
      <c r="AB1028" s="4">
        <f>YEAR(excelsalesdata[[#This Row],[Order_Date]])</f>
        <v>2028</v>
      </c>
      <c r="AC1028" s="4" t="str">
        <f>TEXT(excelsalesdata[[#This Row],[Order_Date]],"mmm")</f>
        <v>Feb</v>
      </c>
      <c r="AD1028" s="4" t="str">
        <f>"Q"&amp;ROUNDUP(MONTH(excelsalesdata[[#This Row],[Order_Date]])/3,0)</f>
        <v>Q1</v>
      </c>
    </row>
    <row r="1029" spans="1:30" x14ac:dyDescent="0.35">
      <c r="A1029" t="s">
        <v>1811</v>
      </c>
      <c r="B1029" s="3">
        <v>46787</v>
      </c>
      <c r="C1029" t="s">
        <v>579</v>
      </c>
      <c r="D1029" t="s">
        <v>1070</v>
      </c>
      <c r="E1029" t="str">
        <f>TRIM(excelsalesdata[[#This Row],[Customer_Name]])</f>
        <v>Ishita Patel</v>
      </c>
      <c r="F1029" t="s">
        <v>23</v>
      </c>
      <c r="G1029">
        <v>48</v>
      </c>
      <c r="H1029" t="s">
        <v>45</v>
      </c>
      <c r="I1029" t="str">
        <f>TRIM(excelsalesdata[[#This Row],[City]])</f>
        <v>Kochi</v>
      </c>
      <c r="J1029" t="s">
        <v>46</v>
      </c>
      <c r="K1029" t="s">
        <v>47</v>
      </c>
      <c r="L1029" t="s">
        <v>93</v>
      </c>
      <c r="M1029" t="s">
        <v>718</v>
      </c>
      <c r="N1029" t="s">
        <v>718</v>
      </c>
      <c r="O1029">
        <v>1</v>
      </c>
      <c r="P1029">
        <v>1790</v>
      </c>
      <c r="Q1029">
        <v>0.2</v>
      </c>
      <c r="R1029">
        <v>870</v>
      </c>
      <c r="S1029" t="s">
        <v>80</v>
      </c>
      <c r="T1029" t="s">
        <v>30</v>
      </c>
      <c r="U1029">
        <v>4</v>
      </c>
      <c r="V1029" t="s">
        <v>40</v>
      </c>
      <c r="W1029">
        <f>excelsalesdata[[#This Row],[Quantity]]*excelsalesdata[[#This Row],[Unit_Price]]</f>
        <v>1790</v>
      </c>
      <c r="X1029">
        <f>excelsalesdata[[#This Row],[Gross_sales]]*excelsalesdata[[#This Row],[Discount_%]]</f>
        <v>358</v>
      </c>
      <c r="Y1029">
        <f>excelsalesdata[[#This Row],[Gross_sales]]-excelsalesdata[[#This Row],[Discount_amt]]</f>
        <v>1432</v>
      </c>
      <c r="Z1029" s="4">
        <f>excelsalesdata[[#This Row],[Net_sales]]-excelsalesdata[[#This Row],[Cost]]</f>
        <v>562</v>
      </c>
      <c r="AA1029" s="5">
        <f>excelsalesdata[[#This Row],[Profit]]/excelsalesdata[[#This Row],[Net_sales]]</f>
        <v>0.39245810055865921</v>
      </c>
      <c r="AB1029" s="4">
        <f>YEAR(excelsalesdata[[#This Row],[Order_Date]])</f>
        <v>2028</v>
      </c>
      <c r="AC1029" s="4" t="str">
        <f>TEXT(excelsalesdata[[#This Row],[Order_Date]],"mmm")</f>
        <v>Feb</v>
      </c>
      <c r="AD1029" s="4" t="str">
        <f>"Q"&amp;ROUNDUP(MONTH(excelsalesdata[[#This Row],[Order_Date]])/3,0)</f>
        <v>Q1</v>
      </c>
    </row>
    <row r="1030" spans="1:30" x14ac:dyDescent="0.35">
      <c r="A1030" t="s">
        <v>1812</v>
      </c>
      <c r="B1030" s="3">
        <v>46788</v>
      </c>
      <c r="C1030" t="s">
        <v>1078</v>
      </c>
      <c r="D1030" t="s">
        <v>689</v>
      </c>
      <c r="E1030" t="str">
        <f>TRIM(excelsalesdata[[#This Row],[Customer_Name]])</f>
        <v>Priya Rao</v>
      </c>
      <c r="F1030" t="s">
        <v>44</v>
      </c>
      <c r="G1030">
        <v>18</v>
      </c>
      <c r="H1030" t="s">
        <v>114</v>
      </c>
      <c r="I1030" t="str">
        <f>TRIM(excelsalesdata[[#This Row],[City]])</f>
        <v>Hyderabad</v>
      </c>
      <c r="J1030" t="s">
        <v>115</v>
      </c>
      <c r="K1030" t="s">
        <v>47</v>
      </c>
      <c r="L1030" t="s">
        <v>54</v>
      </c>
      <c r="M1030" t="s">
        <v>62</v>
      </c>
      <c r="N1030" t="s">
        <v>62</v>
      </c>
      <c r="O1030">
        <v>3</v>
      </c>
      <c r="P1030">
        <v>23540</v>
      </c>
      <c r="Q1030">
        <v>0</v>
      </c>
      <c r="R1030">
        <v>15310</v>
      </c>
      <c r="S1030" t="s">
        <v>29</v>
      </c>
      <c r="T1030" t="s">
        <v>74</v>
      </c>
      <c r="U1030">
        <v>3</v>
      </c>
      <c r="V1030" t="s">
        <v>40</v>
      </c>
      <c r="W1030">
        <f>excelsalesdata[[#This Row],[Quantity]]*excelsalesdata[[#This Row],[Unit_Price]]</f>
        <v>70620</v>
      </c>
      <c r="X1030">
        <f>excelsalesdata[[#This Row],[Gross_sales]]*excelsalesdata[[#This Row],[Discount_%]]</f>
        <v>0</v>
      </c>
      <c r="Y1030">
        <f>excelsalesdata[[#This Row],[Gross_sales]]-excelsalesdata[[#This Row],[Discount_amt]]</f>
        <v>70620</v>
      </c>
      <c r="Z1030" s="4">
        <f>excelsalesdata[[#This Row],[Net_sales]]-excelsalesdata[[#This Row],[Cost]]</f>
        <v>55310</v>
      </c>
      <c r="AA1030" s="5">
        <f>excelsalesdata[[#This Row],[Profit]]/excelsalesdata[[#This Row],[Net_sales]]</f>
        <v>0.78320589068252622</v>
      </c>
      <c r="AB1030" s="4">
        <f>YEAR(excelsalesdata[[#This Row],[Order_Date]])</f>
        <v>2028</v>
      </c>
      <c r="AC1030" s="4" t="str">
        <f>TEXT(excelsalesdata[[#This Row],[Order_Date]],"mmm")</f>
        <v>Feb</v>
      </c>
      <c r="AD1030" s="4" t="str">
        <f>"Q"&amp;ROUNDUP(MONTH(excelsalesdata[[#This Row],[Order_Date]])/3,0)</f>
        <v>Q1</v>
      </c>
    </row>
    <row r="1031" spans="1:30" x14ac:dyDescent="0.35">
      <c r="A1031" t="s">
        <v>1813</v>
      </c>
      <c r="B1031" s="3">
        <v>46789</v>
      </c>
      <c r="C1031" t="s">
        <v>521</v>
      </c>
      <c r="D1031" t="s">
        <v>1815</v>
      </c>
      <c r="E1031" t="str">
        <f>TRIM(excelsalesdata[[#This Row],[Customer_Name]])</f>
        <v>Rahul Patel</v>
      </c>
      <c r="F1031" t="s">
        <v>44</v>
      </c>
      <c r="G1031">
        <v>21</v>
      </c>
      <c r="H1031" t="s">
        <v>109</v>
      </c>
      <c r="I1031" t="str">
        <f>TRIM(excelsalesdata[[#This Row],[City]])</f>
        <v>Mysuru</v>
      </c>
      <c r="J1031" t="s">
        <v>53</v>
      </c>
      <c r="K1031" t="s">
        <v>47</v>
      </c>
      <c r="L1031" t="s">
        <v>103</v>
      </c>
      <c r="M1031" t="s">
        <v>104</v>
      </c>
      <c r="N1031" t="s">
        <v>104</v>
      </c>
      <c r="O1031">
        <v>1</v>
      </c>
      <c r="P1031">
        <v>8180</v>
      </c>
      <c r="Q1031">
        <v>0.05</v>
      </c>
      <c r="R1031">
        <v>5380</v>
      </c>
      <c r="S1031" t="s">
        <v>105</v>
      </c>
      <c r="T1031" t="s">
        <v>30</v>
      </c>
      <c r="U1031">
        <v>7</v>
      </c>
      <c r="V1031" t="s">
        <v>31</v>
      </c>
      <c r="W1031">
        <f>excelsalesdata[[#This Row],[Quantity]]*excelsalesdata[[#This Row],[Unit_Price]]</f>
        <v>8180</v>
      </c>
      <c r="X1031">
        <f>excelsalesdata[[#This Row],[Gross_sales]]*excelsalesdata[[#This Row],[Discount_%]]</f>
        <v>409</v>
      </c>
      <c r="Y1031">
        <f>excelsalesdata[[#This Row],[Gross_sales]]-excelsalesdata[[#This Row],[Discount_amt]]</f>
        <v>7771</v>
      </c>
      <c r="Z1031" s="4">
        <f>excelsalesdata[[#This Row],[Net_sales]]-excelsalesdata[[#This Row],[Cost]]</f>
        <v>2391</v>
      </c>
      <c r="AA1031" s="5">
        <f>excelsalesdata[[#This Row],[Profit]]/excelsalesdata[[#This Row],[Net_sales]]</f>
        <v>0.30768240895637627</v>
      </c>
      <c r="AB1031" s="4">
        <f>YEAR(excelsalesdata[[#This Row],[Order_Date]])</f>
        <v>2028</v>
      </c>
      <c r="AC1031" s="4" t="str">
        <f>TEXT(excelsalesdata[[#This Row],[Order_Date]],"mmm")</f>
        <v>Feb</v>
      </c>
      <c r="AD1031" s="4" t="str">
        <f>"Q"&amp;ROUNDUP(MONTH(excelsalesdata[[#This Row],[Order_Date]])/3,0)</f>
        <v>Q1</v>
      </c>
    </row>
    <row r="1032" spans="1:30" x14ac:dyDescent="0.35">
      <c r="A1032" t="s">
        <v>1814</v>
      </c>
      <c r="B1032" s="3">
        <v>46790</v>
      </c>
      <c r="C1032" t="s">
        <v>746</v>
      </c>
      <c r="D1032" t="s">
        <v>927</v>
      </c>
      <c r="E1032" t="str">
        <f>TRIM(excelsalesdata[[#This Row],[Customer_Name]])</f>
        <v>Priya Verma</v>
      </c>
      <c r="F1032" t="s">
        <v>44</v>
      </c>
      <c r="G1032">
        <v>56</v>
      </c>
      <c r="H1032" t="s">
        <v>52</v>
      </c>
      <c r="I1032" t="str">
        <f>TRIM(excelsalesdata[[#This Row],[City]])</f>
        <v>Bengaluru</v>
      </c>
      <c r="J1032" t="s">
        <v>53</v>
      </c>
      <c r="K1032" t="s">
        <v>47</v>
      </c>
      <c r="L1032" t="s">
        <v>103</v>
      </c>
      <c r="M1032" t="s">
        <v>238</v>
      </c>
      <c r="N1032" t="s">
        <v>238</v>
      </c>
      <c r="O1032">
        <v>1</v>
      </c>
      <c r="P1032">
        <v>4360</v>
      </c>
      <c r="Q1032">
        <v>0.15</v>
      </c>
      <c r="R1032">
        <v>2630</v>
      </c>
      <c r="S1032" t="s">
        <v>29</v>
      </c>
      <c r="T1032" t="s">
        <v>30</v>
      </c>
      <c r="U1032">
        <v>5</v>
      </c>
      <c r="V1032" t="s">
        <v>31</v>
      </c>
      <c r="W1032">
        <f>excelsalesdata[[#This Row],[Quantity]]*excelsalesdata[[#This Row],[Unit_Price]]</f>
        <v>4360</v>
      </c>
      <c r="X1032">
        <f>excelsalesdata[[#This Row],[Gross_sales]]*excelsalesdata[[#This Row],[Discount_%]]</f>
        <v>654</v>
      </c>
      <c r="Y1032">
        <f>excelsalesdata[[#This Row],[Gross_sales]]-excelsalesdata[[#This Row],[Discount_amt]]</f>
        <v>3706</v>
      </c>
      <c r="Z1032" s="4">
        <f>excelsalesdata[[#This Row],[Net_sales]]-excelsalesdata[[#This Row],[Cost]]</f>
        <v>1076</v>
      </c>
      <c r="AA1032" s="5">
        <f>excelsalesdata[[#This Row],[Profit]]/excelsalesdata[[#This Row],[Net_sales]]</f>
        <v>0.29033998920669185</v>
      </c>
      <c r="AB1032" s="4">
        <f>YEAR(excelsalesdata[[#This Row],[Order_Date]])</f>
        <v>2028</v>
      </c>
      <c r="AC1032" s="4" t="str">
        <f>TEXT(excelsalesdata[[#This Row],[Order_Date]],"mmm")</f>
        <v>Feb</v>
      </c>
      <c r="AD1032" s="4" t="str">
        <f>"Q"&amp;ROUNDUP(MONTH(excelsalesdata[[#This Row],[Order_Date]])/3,0)</f>
        <v>Q1</v>
      </c>
    </row>
    <row r="1033" spans="1:30" x14ac:dyDescent="0.35">
      <c r="A1033" t="s">
        <v>1816</v>
      </c>
      <c r="B1033" s="3">
        <v>46791</v>
      </c>
      <c r="C1033" t="s">
        <v>1619</v>
      </c>
      <c r="D1033" t="s">
        <v>1238</v>
      </c>
      <c r="E1033" t="str">
        <f>TRIM(excelsalesdata[[#This Row],[Customer_Name]])</f>
        <v>Rahul Das</v>
      </c>
      <c r="F1033" t="s">
        <v>23</v>
      </c>
      <c r="G1033">
        <v>31</v>
      </c>
      <c r="H1033" t="s">
        <v>109</v>
      </c>
      <c r="I1033" t="str">
        <f>TRIM(excelsalesdata[[#This Row],[City]])</f>
        <v>Mysuru</v>
      </c>
      <c r="J1033" t="s">
        <v>53</v>
      </c>
      <c r="K1033" t="s">
        <v>47</v>
      </c>
      <c r="L1033" t="s">
        <v>103</v>
      </c>
      <c r="M1033" t="s">
        <v>178</v>
      </c>
      <c r="N1033" t="s">
        <v>178</v>
      </c>
      <c r="O1033">
        <v>3</v>
      </c>
      <c r="P1033">
        <v>1660</v>
      </c>
      <c r="Q1033">
        <v>0</v>
      </c>
      <c r="R1033">
        <v>960</v>
      </c>
      <c r="S1033" t="s">
        <v>80</v>
      </c>
      <c r="T1033" t="s">
        <v>74</v>
      </c>
      <c r="U1033">
        <v>3</v>
      </c>
      <c r="V1033" t="s">
        <v>40</v>
      </c>
      <c r="W1033">
        <f>excelsalesdata[[#This Row],[Quantity]]*excelsalesdata[[#This Row],[Unit_Price]]</f>
        <v>4980</v>
      </c>
      <c r="X1033">
        <f>excelsalesdata[[#This Row],[Gross_sales]]*excelsalesdata[[#This Row],[Discount_%]]</f>
        <v>0</v>
      </c>
      <c r="Y1033">
        <f>excelsalesdata[[#This Row],[Gross_sales]]-excelsalesdata[[#This Row],[Discount_amt]]</f>
        <v>4980</v>
      </c>
      <c r="Z1033" s="4">
        <f>excelsalesdata[[#This Row],[Net_sales]]-excelsalesdata[[#This Row],[Cost]]</f>
        <v>4020</v>
      </c>
      <c r="AA1033" s="5">
        <f>excelsalesdata[[#This Row],[Profit]]/excelsalesdata[[#This Row],[Net_sales]]</f>
        <v>0.80722891566265065</v>
      </c>
      <c r="AB1033" s="4">
        <f>YEAR(excelsalesdata[[#This Row],[Order_Date]])</f>
        <v>2028</v>
      </c>
      <c r="AC1033" s="4" t="str">
        <f>TEXT(excelsalesdata[[#This Row],[Order_Date]],"mmm")</f>
        <v>Feb</v>
      </c>
      <c r="AD1033" s="4" t="str">
        <f>"Q"&amp;ROUNDUP(MONTH(excelsalesdata[[#This Row],[Order_Date]])/3,0)</f>
        <v>Q1</v>
      </c>
    </row>
    <row r="1034" spans="1:30" x14ac:dyDescent="0.35">
      <c r="A1034" t="s">
        <v>1817</v>
      </c>
      <c r="B1034" s="3">
        <v>46792</v>
      </c>
      <c r="C1034" t="s">
        <v>1818</v>
      </c>
      <c r="D1034" t="s">
        <v>1806</v>
      </c>
      <c r="E1034" t="str">
        <f>TRIM(excelsalesdata[[#This Row],[Customer_Name]])</f>
        <v>Sneha Bhat</v>
      </c>
      <c r="F1034" t="s">
        <v>44</v>
      </c>
      <c r="G1034">
        <v>20</v>
      </c>
      <c r="H1034" t="s">
        <v>109</v>
      </c>
      <c r="I1034" t="str">
        <f>TRIM(excelsalesdata[[#This Row],[City]])</f>
        <v>Mysuru</v>
      </c>
      <c r="J1034" t="s">
        <v>53</v>
      </c>
      <c r="K1034" t="s">
        <v>47</v>
      </c>
      <c r="L1034" t="s">
        <v>38</v>
      </c>
      <c r="M1034" t="s">
        <v>39</v>
      </c>
      <c r="N1034" t="s">
        <v>39</v>
      </c>
      <c r="O1034">
        <v>2</v>
      </c>
      <c r="P1034">
        <v>6240</v>
      </c>
      <c r="Q1034">
        <v>0.05</v>
      </c>
      <c r="R1034">
        <v>4200</v>
      </c>
      <c r="S1034" t="s">
        <v>105</v>
      </c>
      <c r="T1034" t="s">
        <v>30</v>
      </c>
      <c r="U1034">
        <v>2</v>
      </c>
      <c r="V1034" t="s">
        <v>40</v>
      </c>
      <c r="W1034">
        <f>excelsalesdata[[#This Row],[Quantity]]*excelsalesdata[[#This Row],[Unit_Price]]</f>
        <v>12480</v>
      </c>
      <c r="X1034">
        <f>excelsalesdata[[#This Row],[Gross_sales]]*excelsalesdata[[#This Row],[Discount_%]]</f>
        <v>624</v>
      </c>
      <c r="Y1034">
        <f>excelsalesdata[[#This Row],[Gross_sales]]-excelsalesdata[[#This Row],[Discount_amt]]</f>
        <v>11856</v>
      </c>
      <c r="Z1034" s="4">
        <f>excelsalesdata[[#This Row],[Net_sales]]-excelsalesdata[[#This Row],[Cost]]</f>
        <v>7656</v>
      </c>
      <c r="AA1034" s="5">
        <f>excelsalesdata[[#This Row],[Profit]]/excelsalesdata[[#This Row],[Net_sales]]</f>
        <v>0.64574898785425106</v>
      </c>
      <c r="AB1034" s="4">
        <f>YEAR(excelsalesdata[[#This Row],[Order_Date]])</f>
        <v>2028</v>
      </c>
      <c r="AC1034" s="4" t="str">
        <f>TEXT(excelsalesdata[[#This Row],[Order_Date]],"mmm")</f>
        <v>Feb</v>
      </c>
      <c r="AD1034" s="4" t="str">
        <f>"Q"&amp;ROUNDUP(MONTH(excelsalesdata[[#This Row],[Order_Date]])/3,0)</f>
        <v>Q1</v>
      </c>
    </row>
    <row r="1035" spans="1:30" x14ac:dyDescent="0.35">
      <c r="A1035" t="s">
        <v>1819</v>
      </c>
      <c r="B1035" s="3">
        <v>46793</v>
      </c>
      <c r="C1035" t="s">
        <v>1452</v>
      </c>
      <c r="D1035" t="s">
        <v>954</v>
      </c>
      <c r="E1035" t="str">
        <f>TRIM(excelsalesdata[[#This Row],[Customer_Name]])</f>
        <v>Ishita Nair</v>
      </c>
      <c r="F1035" t="s">
        <v>44</v>
      </c>
      <c r="G1035">
        <v>19</v>
      </c>
      <c r="H1035" t="s">
        <v>60</v>
      </c>
      <c r="I1035" t="str">
        <f>TRIM(excelsalesdata[[#This Row],[City]])</f>
        <v>Chandigarh</v>
      </c>
      <c r="J1035" t="s">
        <v>60</v>
      </c>
      <c r="K1035" t="s">
        <v>61</v>
      </c>
      <c r="L1035" t="s">
        <v>54</v>
      </c>
      <c r="M1035" t="s">
        <v>66</v>
      </c>
      <c r="N1035" t="s">
        <v>66</v>
      </c>
      <c r="O1035">
        <v>1</v>
      </c>
      <c r="P1035">
        <v>2490</v>
      </c>
      <c r="Q1035">
        <v>0.1</v>
      </c>
      <c r="R1035">
        <v>1450</v>
      </c>
      <c r="S1035" t="s">
        <v>105</v>
      </c>
      <c r="T1035" t="s">
        <v>99</v>
      </c>
      <c r="U1035">
        <v>3</v>
      </c>
      <c r="V1035" t="s">
        <v>31</v>
      </c>
      <c r="W1035">
        <f>excelsalesdata[[#This Row],[Quantity]]*excelsalesdata[[#This Row],[Unit_Price]]</f>
        <v>2490</v>
      </c>
      <c r="X1035">
        <f>excelsalesdata[[#This Row],[Gross_sales]]*excelsalesdata[[#This Row],[Discount_%]]</f>
        <v>249</v>
      </c>
      <c r="Y1035">
        <f>excelsalesdata[[#This Row],[Gross_sales]]-excelsalesdata[[#This Row],[Discount_amt]]</f>
        <v>2241</v>
      </c>
      <c r="Z1035" s="4">
        <f>excelsalesdata[[#This Row],[Net_sales]]-excelsalesdata[[#This Row],[Cost]]</f>
        <v>791</v>
      </c>
      <c r="AA1035" s="5">
        <f>excelsalesdata[[#This Row],[Profit]]/excelsalesdata[[#This Row],[Net_sales]]</f>
        <v>0.35296742525658187</v>
      </c>
      <c r="AB1035" s="4">
        <f>YEAR(excelsalesdata[[#This Row],[Order_Date]])</f>
        <v>2028</v>
      </c>
      <c r="AC1035" s="4" t="str">
        <f>TEXT(excelsalesdata[[#This Row],[Order_Date]],"mmm")</f>
        <v>Feb</v>
      </c>
      <c r="AD1035" s="4" t="str">
        <f>"Q"&amp;ROUNDUP(MONTH(excelsalesdata[[#This Row],[Order_Date]])/3,0)</f>
        <v>Q1</v>
      </c>
    </row>
    <row r="1036" spans="1:30" x14ac:dyDescent="0.35">
      <c r="A1036" t="s">
        <v>1820</v>
      </c>
      <c r="B1036" s="3">
        <v>46794</v>
      </c>
      <c r="C1036" t="s">
        <v>1255</v>
      </c>
      <c r="D1036" t="s">
        <v>1213</v>
      </c>
      <c r="E1036" t="str">
        <f>TRIM(excelsalesdata[[#This Row],[Customer_Name]])</f>
        <v>Ananya Naidu</v>
      </c>
      <c r="F1036" t="s">
        <v>23</v>
      </c>
      <c r="G1036">
        <v>41</v>
      </c>
      <c r="H1036" t="s">
        <v>133</v>
      </c>
      <c r="I1036" t="str">
        <f>TRIM(excelsalesdata[[#This Row],[City]])</f>
        <v>Jaipur</v>
      </c>
      <c r="J1036" t="s">
        <v>134</v>
      </c>
      <c r="K1036" t="s">
        <v>61</v>
      </c>
      <c r="L1036" t="s">
        <v>54</v>
      </c>
      <c r="M1036" t="s">
        <v>55</v>
      </c>
      <c r="N1036" t="s">
        <v>55</v>
      </c>
      <c r="O1036">
        <v>2</v>
      </c>
      <c r="P1036">
        <v>6750</v>
      </c>
      <c r="Q1036">
        <v>0.05</v>
      </c>
      <c r="R1036">
        <v>4470</v>
      </c>
      <c r="S1036" t="s">
        <v>29</v>
      </c>
      <c r="T1036" t="s">
        <v>30</v>
      </c>
      <c r="U1036">
        <v>3</v>
      </c>
      <c r="V1036" t="s">
        <v>31</v>
      </c>
      <c r="W1036">
        <f>excelsalesdata[[#This Row],[Quantity]]*excelsalesdata[[#This Row],[Unit_Price]]</f>
        <v>13500</v>
      </c>
      <c r="X1036">
        <f>excelsalesdata[[#This Row],[Gross_sales]]*excelsalesdata[[#This Row],[Discount_%]]</f>
        <v>675</v>
      </c>
      <c r="Y1036">
        <f>excelsalesdata[[#This Row],[Gross_sales]]-excelsalesdata[[#This Row],[Discount_amt]]</f>
        <v>12825</v>
      </c>
      <c r="Z1036" s="4">
        <f>excelsalesdata[[#This Row],[Net_sales]]-excelsalesdata[[#This Row],[Cost]]</f>
        <v>8355</v>
      </c>
      <c r="AA1036" s="5">
        <f>excelsalesdata[[#This Row],[Profit]]/excelsalesdata[[#This Row],[Net_sales]]</f>
        <v>0.65146198830409352</v>
      </c>
      <c r="AB1036" s="4">
        <f>YEAR(excelsalesdata[[#This Row],[Order_Date]])</f>
        <v>2028</v>
      </c>
      <c r="AC1036" s="4" t="str">
        <f>TEXT(excelsalesdata[[#This Row],[Order_Date]],"mmm")</f>
        <v>Feb</v>
      </c>
      <c r="AD1036" s="4" t="str">
        <f>"Q"&amp;ROUNDUP(MONTH(excelsalesdata[[#This Row],[Order_Date]])/3,0)</f>
        <v>Q1</v>
      </c>
    </row>
    <row r="1037" spans="1:30" x14ac:dyDescent="0.35">
      <c r="A1037" t="s">
        <v>1821</v>
      </c>
      <c r="B1037" s="3">
        <v>46795</v>
      </c>
      <c r="C1037" t="s">
        <v>462</v>
      </c>
      <c r="D1037" t="s">
        <v>335</v>
      </c>
      <c r="E1037" t="str">
        <f>TRIM(excelsalesdata[[#This Row],[Customer_Name]])</f>
        <v>Vikram Joshi</v>
      </c>
      <c r="F1037" t="s">
        <v>44</v>
      </c>
      <c r="G1037">
        <v>40</v>
      </c>
      <c r="H1037" t="s">
        <v>185</v>
      </c>
      <c r="I1037" t="str">
        <f>TRIM(excelsalesdata[[#This Row],[City]])</f>
        <v>Lucknow</v>
      </c>
      <c r="J1037" t="s">
        <v>186</v>
      </c>
      <c r="K1037" t="s">
        <v>61</v>
      </c>
      <c r="L1037" t="s">
        <v>85</v>
      </c>
      <c r="M1037" t="s">
        <v>86</v>
      </c>
      <c r="N1037" t="s">
        <v>86</v>
      </c>
      <c r="O1037">
        <v>2</v>
      </c>
      <c r="P1037">
        <v>2360</v>
      </c>
      <c r="Q1037">
        <v>0.05</v>
      </c>
      <c r="R1037">
        <v>1470</v>
      </c>
      <c r="S1037" t="s">
        <v>80</v>
      </c>
      <c r="T1037" t="s">
        <v>30</v>
      </c>
      <c r="U1037">
        <v>5</v>
      </c>
      <c r="V1037" t="s">
        <v>31</v>
      </c>
      <c r="W1037">
        <f>excelsalesdata[[#This Row],[Quantity]]*excelsalesdata[[#This Row],[Unit_Price]]</f>
        <v>4720</v>
      </c>
      <c r="X1037">
        <f>excelsalesdata[[#This Row],[Gross_sales]]*excelsalesdata[[#This Row],[Discount_%]]</f>
        <v>236</v>
      </c>
      <c r="Y1037">
        <f>excelsalesdata[[#This Row],[Gross_sales]]-excelsalesdata[[#This Row],[Discount_amt]]</f>
        <v>4484</v>
      </c>
      <c r="Z1037" s="4">
        <f>excelsalesdata[[#This Row],[Net_sales]]-excelsalesdata[[#This Row],[Cost]]</f>
        <v>3014</v>
      </c>
      <c r="AA1037" s="5">
        <f>excelsalesdata[[#This Row],[Profit]]/excelsalesdata[[#This Row],[Net_sales]]</f>
        <v>0.67216770740410348</v>
      </c>
      <c r="AB1037" s="4">
        <f>YEAR(excelsalesdata[[#This Row],[Order_Date]])</f>
        <v>2028</v>
      </c>
      <c r="AC1037" s="4" t="str">
        <f>TEXT(excelsalesdata[[#This Row],[Order_Date]],"mmm")</f>
        <v>Feb</v>
      </c>
      <c r="AD1037" s="4" t="str">
        <f>"Q"&amp;ROUNDUP(MONTH(excelsalesdata[[#This Row],[Order_Date]])/3,0)</f>
        <v>Q1</v>
      </c>
    </row>
    <row r="1038" spans="1:30" x14ac:dyDescent="0.35">
      <c r="A1038" t="s">
        <v>1822</v>
      </c>
      <c r="B1038" s="3">
        <v>46796</v>
      </c>
      <c r="C1038" t="s">
        <v>1223</v>
      </c>
      <c r="D1038" t="s">
        <v>1271</v>
      </c>
      <c r="E1038" t="str">
        <f>TRIM(excelsalesdata[[#This Row],[Customer_Name]])</f>
        <v>Arjun Sharma</v>
      </c>
      <c r="F1038" t="s">
        <v>23</v>
      </c>
      <c r="G1038">
        <v>30</v>
      </c>
      <c r="H1038" t="s">
        <v>35</v>
      </c>
      <c r="I1038" t="str">
        <f>TRIM(excelsalesdata[[#This Row],[City]])</f>
        <v>Kolkata</v>
      </c>
      <c r="J1038" t="s">
        <v>36</v>
      </c>
      <c r="K1038" t="s">
        <v>37</v>
      </c>
      <c r="L1038" t="s">
        <v>103</v>
      </c>
      <c r="M1038" t="s">
        <v>312</v>
      </c>
      <c r="N1038" t="s">
        <v>312</v>
      </c>
      <c r="O1038">
        <v>4</v>
      </c>
      <c r="P1038">
        <v>6030</v>
      </c>
      <c r="Q1038">
        <v>0.05</v>
      </c>
      <c r="R1038">
        <v>4230</v>
      </c>
      <c r="S1038" t="s">
        <v>80</v>
      </c>
      <c r="T1038" t="s">
        <v>30</v>
      </c>
      <c r="U1038">
        <v>4</v>
      </c>
      <c r="V1038" t="s">
        <v>40</v>
      </c>
      <c r="W1038">
        <f>excelsalesdata[[#This Row],[Quantity]]*excelsalesdata[[#This Row],[Unit_Price]]</f>
        <v>24120</v>
      </c>
      <c r="X1038">
        <f>excelsalesdata[[#This Row],[Gross_sales]]*excelsalesdata[[#This Row],[Discount_%]]</f>
        <v>1206</v>
      </c>
      <c r="Y1038">
        <f>excelsalesdata[[#This Row],[Gross_sales]]-excelsalesdata[[#This Row],[Discount_amt]]</f>
        <v>22914</v>
      </c>
      <c r="Z1038" s="4">
        <f>excelsalesdata[[#This Row],[Net_sales]]-excelsalesdata[[#This Row],[Cost]]</f>
        <v>18684</v>
      </c>
      <c r="AA1038" s="5">
        <f>excelsalesdata[[#This Row],[Profit]]/excelsalesdata[[#This Row],[Net_sales]]</f>
        <v>0.81539670070699133</v>
      </c>
      <c r="AB1038" s="4">
        <f>YEAR(excelsalesdata[[#This Row],[Order_Date]])</f>
        <v>2028</v>
      </c>
      <c r="AC1038" s="4" t="str">
        <f>TEXT(excelsalesdata[[#This Row],[Order_Date]],"mmm")</f>
        <v>Feb</v>
      </c>
      <c r="AD1038" s="4" t="str">
        <f>"Q"&amp;ROUNDUP(MONTH(excelsalesdata[[#This Row],[Order_Date]])/3,0)</f>
        <v>Q1</v>
      </c>
    </row>
    <row r="1039" spans="1:30" x14ac:dyDescent="0.35">
      <c r="A1039" t="s">
        <v>1823</v>
      </c>
      <c r="B1039" s="3">
        <v>46797</v>
      </c>
      <c r="C1039" t="s">
        <v>370</v>
      </c>
      <c r="D1039" t="s">
        <v>899</v>
      </c>
      <c r="E1039" t="str">
        <f>TRIM(excelsalesdata[[#This Row],[Customer_Name]])</f>
        <v>Arjun Shah</v>
      </c>
      <c r="F1039" t="s">
        <v>23</v>
      </c>
      <c r="G1039">
        <v>60</v>
      </c>
      <c r="H1039" t="s">
        <v>190</v>
      </c>
      <c r="I1039" t="str">
        <f>TRIM(excelsalesdata[[#This Row],[City]])</f>
        <v>Ahmedabad</v>
      </c>
      <c r="J1039" t="s">
        <v>191</v>
      </c>
      <c r="K1039" t="s">
        <v>26</v>
      </c>
      <c r="L1039" t="s">
        <v>85</v>
      </c>
      <c r="M1039" t="s">
        <v>172</v>
      </c>
      <c r="N1039" t="s">
        <v>172</v>
      </c>
      <c r="O1039">
        <v>1</v>
      </c>
      <c r="P1039">
        <v>4510</v>
      </c>
      <c r="Q1039">
        <v>0.15</v>
      </c>
      <c r="R1039">
        <v>2880</v>
      </c>
      <c r="S1039" t="s">
        <v>151</v>
      </c>
      <c r="T1039" t="s">
        <v>30</v>
      </c>
      <c r="U1039">
        <v>3</v>
      </c>
      <c r="V1039" t="s">
        <v>31</v>
      </c>
      <c r="W1039">
        <f>excelsalesdata[[#This Row],[Quantity]]*excelsalesdata[[#This Row],[Unit_Price]]</f>
        <v>4510</v>
      </c>
      <c r="X1039">
        <f>excelsalesdata[[#This Row],[Gross_sales]]*excelsalesdata[[#This Row],[Discount_%]]</f>
        <v>676.5</v>
      </c>
      <c r="Y1039">
        <f>excelsalesdata[[#This Row],[Gross_sales]]-excelsalesdata[[#This Row],[Discount_amt]]</f>
        <v>3833.5</v>
      </c>
      <c r="Z1039" s="4">
        <f>excelsalesdata[[#This Row],[Net_sales]]-excelsalesdata[[#This Row],[Cost]]</f>
        <v>953.5</v>
      </c>
      <c r="AA1039" s="5">
        <f>excelsalesdata[[#This Row],[Profit]]/excelsalesdata[[#This Row],[Net_sales]]</f>
        <v>0.24872831616016694</v>
      </c>
      <c r="AB1039" s="4">
        <f>YEAR(excelsalesdata[[#This Row],[Order_Date]])</f>
        <v>2028</v>
      </c>
      <c r="AC1039" s="4" t="str">
        <f>TEXT(excelsalesdata[[#This Row],[Order_Date]],"mmm")</f>
        <v>Feb</v>
      </c>
      <c r="AD1039" s="4" t="str">
        <f>"Q"&amp;ROUNDUP(MONTH(excelsalesdata[[#This Row],[Order_Date]])/3,0)</f>
        <v>Q1</v>
      </c>
    </row>
    <row r="1040" spans="1:30" x14ac:dyDescent="0.35">
      <c r="A1040" t="s">
        <v>1824</v>
      </c>
      <c r="B1040" s="3">
        <v>46798</v>
      </c>
      <c r="C1040" t="s">
        <v>1544</v>
      </c>
      <c r="D1040" t="s">
        <v>1070</v>
      </c>
      <c r="E1040" t="str">
        <f>TRIM(excelsalesdata[[#This Row],[Customer_Name]])</f>
        <v>Ishita Patel</v>
      </c>
      <c r="F1040" t="s">
        <v>44</v>
      </c>
      <c r="G1040">
        <v>46</v>
      </c>
      <c r="H1040" t="s">
        <v>52</v>
      </c>
      <c r="I1040" t="str">
        <f>TRIM(excelsalesdata[[#This Row],[City]])</f>
        <v>Bengaluru</v>
      </c>
      <c r="J1040" t="s">
        <v>53</v>
      </c>
      <c r="K1040" t="s">
        <v>47</v>
      </c>
      <c r="L1040" t="s">
        <v>93</v>
      </c>
      <c r="M1040" t="s">
        <v>206</v>
      </c>
      <c r="N1040" t="s">
        <v>206</v>
      </c>
      <c r="O1040">
        <v>4</v>
      </c>
      <c r="P1040">
        <v>660</v>
      </c>
      <c r="Q1040">
        <v>0.15</v>
      </c>
      <c r="R1040">
        <v>300</v>
      </c>
      <c r="S1040" t="s">
        <v>29</v>
      </c>
      <c r="T1040" t="s">
        <v>99</v>
      </c>
      <c r="U1040">
        <v>2</v>
      </c>
      <c r="V1040" t="s">
        <v>31</v>
      </c>
      <c r="W1040">
        <f>excelsalesdata[[#This Row],[Quantity]]*excelsalesdata[[#This Row],[Unit_Price]]</f>
        <v>2640</v>
      </c>
      <c r="X1040">
        <f>excelsalesdata[[#This Row],[Gross_sales]]*excelsalesdata[[#This Row],[Discount_%]]</f>
        <v>396</v>
      </c>
      <c r="Y1040">
        <f>excelsalesdata[[#This Row],[Gross_sales]]-excelsalesdata[[#This Row],[Discount_amt]]</f>
        <v>2244</v>
      </c>
      <c r="Z1040" s="4">
        <f>excelsalesdata[[#This Row],[Net_sales]]-excelsalesdata[[#This Row],[Cost]]</f>
        <v>1944</v>
      </c>
      <c r="AA1040" s="5">
        <f>excelsalesdata[[#This Row],[Profit]]/excelsalesdata[[#This Row],[Net_sales]]</f>
        <v>0.86631016042780751</v>
      </c>
      <c r="AB1040" s="4">
        <f>YEAR(excelsalesdata[[#This Row],[Order_Date]])</f>
        <v>2028</v>
      </c>
      <c r="AC1040" s="4" t="str">
        <f>TEXT(excelsalesdata[[#This Row],[Order_Date]],"mmm")</f>
        <v>Feb</v>
      </c>
      <c r="AD1040" s="4" t="str">
        <f>"Q"&amp;ROUNDUP(MONTH(excelsalesdata[[#This Row],[Order_Date]])/3,0)</f>
        <v>Q1</v>
      </c>
    </row>
    <row r="1041" spans="1:30" x14ac:dyDescent="0.35">
      <c r="A1041" t="s">
        <v>1825</v>
      </c>
      <c r="B1041" s="3">
        <v>46799</v>
      </c>
      <c r="C1041" t="s">
        <v>1253</v>
      </c>
      <c r="D1041" t="s">
        <v>499</v>
      </c>
      <c r="E1041" t="str">
        <f>TRIM(excelsalesdata[[#This Row],[Customer_Name]])</f>
        <v>Aditya Nair</v>
      </c>
      <c r="F1041" t="s">
        <v>23</v>
      </c>
      <c r="G1041">
        <v>46</v>
      </c>
      <c r="H1041" t="s">
        <v>35</v>
      </c>
      <c r="I1041" t="str">
        <f>TRIM(excelsalesdata[[#This Row],[City]])</f>
        <v>Kolkata</v>
      </c>
      <c r="J1041" t="s">
        <v>36</v>
      </c>
      <c r="K1041" t="s">
        <v>37</v>
      </c>
      <c r="L1041" t="s">
        <v>27</v>
      </c>
      <c r="M1041" t="s">
        <v>28</v>
      </c>
      <c r="N1041" t="s">
        <v>28</v>
      </c>
      <c r="O1041">
        <v>4</v>
      </c>
      <c r="P1041">
        <v>3240</v>
      </c>
      <c r="Q1041">
        <v>0.2</v>
      </c>
      <c r="R1041">
        <v>2040</v>
      </c>
      <c r="S1041" t="s">
        <v>67</v>
      </c>
      <c r="T1041" t="s">
        <v>30</v>
      </c>
      <c r="U1041">
        <v>4</v>
      </c>
      <c r="V1041" t="s">
        <v>40</v>
      </c>
      <c r="W1041">
        <f>excelsalesdata[[#This Row],[Quantity]]*excelsalesdata[[#This Row],[Unit_Price]]</f>
        <v>12960</v>
      </c>
      <c r="X1041">
        <f>excelsalesdata[[#This Row],[Gross_sales]]*excelsalesdata[[#This Row],[Discount_%]]</f>
        <v>2592</v>
      </c>
      <c r="Y1041">
        <f>excelsalesdata[[#This Row],[Gross_sales]]-excelsalesdata[[#This Row],[Discount_amt]]</f>
        <v>10368</v>
      </c>
      <c r="Z1041" s="4">
        <f>excelsalesdata[[#This Row],[Net_sales]]-excelsalesdata[[#This Row],[Cost]]</f>
        <v>8328</v>
      </c>
      <c r="AA1041" s="5">
        <f>excelsalesdata[[#This Row],[Profit]]/excelsalesdata[[#This Row],[Net_sales]]</f>
        <v>0.8032407407407407</v>
      </c>
      <c r="AB1041" s="4">
        <f>YEAR(excelsalesdata[[#This Row],[Order_Date]])</f>
        <v>2028</v>
      </c>
      <c r="AC1041" s="4" t="str">
        <f>TEXT(excelsalesdata[[#This Row],[Order_Date]],"mmm")</f>
        <v>Feb</v>
      </c>
      <c r="AD1041" s="4" t="str">
        <f>"Q"&amp;ROUNDUP(MONTH(excelsalesdata[[#This Row],[Order_Date]])/3,0)</f>
        <v>Q1</v>
      </c>
    </row>
    <row r="1042" spans="1:30" x14ac:dyDescent="0.35">
      <c r="A1042" t="s">
        <v>1826</v>
      </c>
      <c r="B1042" s="3">
        <v>46800</v>
      </c>
      <c r="C1042" t="s">
        <v>1329</v>
      </c>
      <c r="D1042" t="s">
        <v>713</v>
      </c>
      <c r="E1042" t="str">
        <f>TRIM(excelsalesdata[[#This Row],[Customer_Name]])</f>
        <v>Meera Singh</v>
      </c>
      <c r="F1042" t="s">
        <v>23</v>
      </c>
      <c r="G1042">
        <v>21</v>
      </c>
      <c r="H1042" t="s">
        <v>52</v>
      </c>
      <c r="I1042" t="str">
        <f>TRIM(excelsalesdata[[#This Row],[City]])</f>
        <v>Bengaluru</v>
      </c>
      <c r="J1042" t="s">
        <v>53</v>
      </c>
      <c r="K1042" t="s">
        <v>47</v>
      </c>
      <c r="L1042" t="s">
        <v>93</v>
      </c>
      <c r="M1042" t="s">
        <v>135</v>
      </c>
      <c r="N1042" t="s">
        <v>135</v>
      </c>
      <c r="O1042">
        <v>4</v>
      </c>
      <c r="P1042">
        <v>1720</v>
      </c>
      <c r="Q1042">
        <v>0</v>
      </c>
      <c r="R1042">
        <v>980</v>
      </c>
      <c r="S1042" t="s">
        <v>151</v>
      </c>
      <c r="T1042" t="s">
        <v>30</v>
      </c>
      <c r="U1042">
        <v>3</v>
      </c>
      <c r="V1042" t="s">
        <v>40</v>
      </c>
      <c r="W1042">
        <f>excelsalesdata[[#This Row],[Quantity]]*excelsalesdata[[#This Row],[Unit_Price]]</f>
        <v>6880</v>
      </c>
      <c r="X1042">
        <f>excelsalesdata[[#This Row],[Gross_sales]]*excelsalesdata[[#This Row],[Discount_%]]</f>
        <v>0</v>
      </c>
      <c r="Y1042">
        <f>excelsalesdata[[#This Row],[Gross_sales]]-excelsalesdata[[#This Row],[Discount_amt]]</f>
        <v>6880</v>
      </c>
      <c r="Z1042" s="4">
        <f>excelsalesdata[[#This Row],[Net_sales]]-excelsalesdata[[#This Row],[Cost]]</f>
        <v>5900</v>
      </c>
      <c r="AA1042" s="5">
        <f>excelsalesdata[[#This Row],[Profit]]/excelsalesdata[[#This Row],[Net_sales]]</f>
        <v>0.85755813953488369</v>
      </c>
      <c r="AB1042" s="4">
        <f>YEAR(excelsalesdata[[#This Row],[Order_Date]])</f>
        <v>2028</v>
      </c>
      <c r="AC1042" s="4" t="str">
        <f>TEXT(excelsalesdata[[#This Row],[Order_Date]],"mmm")</f>
        <v>Feb</v>
      </c>
      <c r="AD1042" s="4" t="str">
        <f>"Q"&amp;ROUNDUP(MONTH(excelsalesdata[[#This Row],[Order_Date]])/3,0)</f>
        <v>Q1</v>
      </c>
    </row>
    <row r="1043" spans="1:30" x14ac:dyDescent="0.35">
      <c r="A1043" t="s">
        <v>1827</v>
      </c>
      <c r="B1043" s="3">
        <v>46801</v>
      </c>
      <c r="C1043" t="s">
        <v>599</v>
      </c>
      <c r="D1043" t="s">
        <v>333</v>
      </c>
      <c r="E1043" t="str">
        <f>TRIM(excelsalesdata[[#This Row],[Customer_Name]])</f>
        <v>Ishita Singh</v>
      </c>
      <c r="F1043" t="s">
        <v>44</v>
      </c>
      <c r="G1043">
        <v>48</v>
      </c>
      <c r="H1043" t="s">
        <v>98</v>
      </c>
      <c r="I1043" t="str">
        <f>TRIM(excelsalesdata[[#This Row],[City]])</f>
        <v>Mumbai</v>
      </c>
      <c r="J1043" t="s">
        <v>25</v>
      </c>
      <c r="K1043" t="s">
        <v>26</v>
      </c>
      <c r="L1043" t="s">
        <v>54</v>
      </c>
      <c r="M1043" t="s">
        <v>129</v>
      </c>
      <c r="N1043" t="s">
        <v>129</v>
      </c>
      <c r="O1043">
        <v>1</v>
      </c>
      <c r="P1043">
        <v>19380</v>
      </c>
      <c r="Q1043">
        <v>0.15</v>
      </c>
      <c r="R1043">
        <v>12100</v>
      </c>
      <c r="S1043" t="s">
        <v>105</v>
      </c>
      <c r="T1043" t="s">
        <v>30</v>
      </c>
      <c r="U1043">
        <v>3</v>
      </c>
      <c r="V1043" t="s">
        <v>31</v>
      </c>
      <c r="W1043">
        <f>excelsalesdata[[#This Row],[Quantity]]*excelsalesdata[[#This Row],[Unit_Price]]</f>
        <v>19380</v>
      </c>
      <c r="X1043">
        <f>excelsalesdata[[#This Row],[Gross_sales]]*excelsalesdata[[#This Row],[Discount_%]]</f>
        <v>2907</v>
      </c>
      <c r="Y1043">
        <f>excelsalesdata[[#This Row],[Gross_sales]]-excelsalesdata[[#This Row],[Discount_amt]]</f>
        <v>16473</v>
      </c>
      <c r="Z1043" s="4">
        <f>excelsalesdata[[#This Row],[Net_sales]]-excelsalesdata[[#This Row],[Cost]]</f>
        <v>4373</v>
      </c>
      <c r="AA1043" s="5">
        <f>excelsalesdata[[#This Row],[Profit]]/excelsalesdata[[#This Row],[Net_sales]]</f>
        <v>0.26546469981181325</v>
      </c>
      <c r="AB1043" s="4">
        <f>YEAR(excelsalesdata[[#This Row],[Order_Date]])</f>
        <v>2028</v>
      </c>
      <c r="AC1043" s="4" t="str">
        <f>TEXT(excelsalesdata[[#This Row],[Order_Date]],"mmm")</f>
        <v>Feb</v>
      </c>
      <c r="AD1043" s="4" t="str">
        <f>"Q"&amp;ROUNDUP(MONTH(excelsalesdata[[#This Row],[Order_Date]])/3,0)</f>
        <v>Q1</v>
      </c>
    </row>
    <row r="1044" spans="1:30" x14ac:dyDescent="0.35">
      <c r="A1044" t="s">
        <v>1828</v>
      </c>
      <c r="B1044" s="3">
        <v>46802</v>
      </c>
      <c r="C1044" t="s">
        <v>1829</v>
      </c>
      <c r="D1044" t="s">
        <v>711</v>
      </c>
      <c r="E1044" t="str">
        <f>TRIM(excelsalesdata[[#This Row],[Customer_Name]])</f>
        <v>Rohan Naidu</v>
      </c>
      <c r="F1044" t="s">
        <v>44</v>
      </c>
      <c r="G1044">
        <v>28</v>
      </c>
      <c r="H1044" t="s">
        <v>52</v>
      </c>
      <c r="I1044" t="str">
        <f>TRIM(excelsalesdata[[#This Row],[City]])</f>
        <v>Bengaluru</v>
      </c>
      <c r="J1044" t="s">
        <v>53</v>
      </c>
      <c r="K1044" t="s">
        <v>47</v>
      </c>
      <c r="L1044" t="s">
        <v>54</v>
      </c>
      <c r="M1044" t="s">
        <v>62</v>
      </c>
      <c r="N1044" t="s">
        <v>62</v>
      </c>
      <c r="O1044">
        <v>3</v>
      </c>
      <c r="P1044">
        <v>20320</v>
      </c>
      <c r="Q1044">
        <v>0.25</v>
      </c>
      <c r="R1044">
        <v>15260</v>
      </c>
      <c r="S1044" t="s">
        <v>29</v>
      </c>
      <c r="T1044" t="s">
        <v>74</v>
      </c>
      <c r="U1044">
        <v>4</v>
      </c>
      <c r="V1044" t="s">
        <v>40</v>
      </c>
      <c r="W1044">
        <f>excelsalesdata[[#This Row],[Quantity]]*excelsalesdata[[#This Row],[Unit_Price]]</f>
        <v>60960</v>
      </c>
      <c r="X1044">
        <f>excelsalesdata[[#This Row],[Gross_sales]]*excelsalesdata[[#This Row],[Discount_%]]</f>
        <v>15240</v>
      </c>
      <c r="Y1044">
        <f>excelsalesdata[[#This Row],[Gross_sales]]-excelsalesdata[[#This Row],[Discount_amt]]</f>
        <v>45720</v>
      </c>
      <c r="Z1044" s="4">
        <f>excelsalesdata[[#This Row],[Net_sales]]-excelsalesdata[[#This Row],[Cost]]</f>
        <v>30460</v>
      </c>
      <c r="AA1044" s="5">
        <f>excelsalesdata[[#This Row],[Profit]]/excelsalesdata[[#This Row],[Net_sales]]</f>
        <v>0.66622922134733153</v>
      </c>
      <c r="AB1044" s="4">
        <f>YEAR(excelsalesdata[[#This Row],[Order_Date]])</f>
        <v>2028</v>
      </c>
      <c r="AC1044" s="4" t="str">
        <f>TEXT(excelsalesdata[[#This Row],[Order_Date]],"mmm")</f>
        <v>Feb</v>
      </c>
      <c r="AD1044" s="4" t="str">
        <f>"Q"&amp;ROUNDUP(MONTH(excelsalesdata[[#This Row],[Order_Date]])/3,0)</f>
        <v>Q1</v>
      </c>
    </row>
    <row r="1045" spans="1:30" x14ac:dyDescent="0.35">
      <c r="A1045" t="s">
        <v>1830</v>
      </c>
      <c r="B1045" s="3">
        <v>46803</v>
      </c>
      <c r="C1045" t="s">
        <v>1129</v>
      </c>
      <c r="D1045" t="s">
        <v>510</v>
      </c>
      <c r="E1045" t="str">
        <f>TRIM(excelsalesdata[[#This Row],[Customer_Name]])</f>
        <v>Diya Kumar</v>
      </c>
      <c r="F1045" t="s">
        <v>23</v>
      </c>
      <c r="G1045">
        <v>50</v>
      </c>
      <c r="H1045" t="s">
        <v>71</v>
      </c>
      <c r="I1045" t="str">
        <f>TRIM(excelsalesdata[[#This Row],[City]])</f>
        <v>Bhubaneswar</v>
      </c>
      <c r="J1045" t="s">
        <v>72</v>
      </c>
      <c r="K1045" t="s">
        <v>37</v>
      </c>
      <c r="L1045" t="s">
        <v>54</v>
      </c>
      <c r="M1045" t="s">
        <v>62</v>
      </c>
      <c r="N1045" t="s">
        <v>62</v>
      </c>
      <c r="O1045">
        <v>1</v>
      </c>
      <c r="P1045">
        <v>21520</v>
      </c>
      <c r="Q1045">
        <v>0.1</v>
      </c>
      <c r="R1045">
        <v>15280</v>
      </c>
      <c r="S1045" t="s">
        <v>151</v>
      </c>
      <c r="T1045" t="s">
        <v>99</v>
      </c>
      <c r="U1045">
        <v>4</v>
      </c>
      <c r="V1045" t="s">
        <v>40</v>
      </c>
      <c r="W1045">
        <f>excelsalesdata[[#This Row],[Quantity]]*excelsalesdata[[#This Row],[Unit_Price]]</f>
        <v>21520</v>
      </c>
      <c r="X1045">
        <f>excelsalesdata[[#This Row],[Gross_sales]]*excelsalesdata[[#This Row],[Discount_%]]</f>
        <v>2152</v>
      </c>
      <c r="Y1045">
        <f>excelsalesdata[[#This Row],[Gross_sales]]-excelsalesdata[[#This Row],[Discount_amt]]</f>
        <v>19368</v>
      </c>
      <c r="Z1045" s="4">
        <f>excelsalesdata[[#This Row],[Net_sales]]-excelsalesdata[[#This Row],[Cost]]</f>
        <v>4088</v>
      </c>
      <c r="AA1045" s="5">
        <f>excelsalesdata[[#This Row],[Profit]]/excelsalesdata[[#This Row],[Net_sales]]</f>
        <v>0.21106980586534491</v>
      </c>
      <c r="AB1045" s="4">
        <f>YEAR(excelsalesdata[[#This Row],[Order_Date]])</f>
        <v>2028</v>
      </c>
      <c r="AC1045" s="4" t="str">
        <f>TEXT(excelsalesdata[[#This Row],[Order_Date]],"mmm")</f>
        <v>Feb</v>
      </c>
      <c r="AD1045" s="4" t="str">
        <f>"Q"&amp;ROUNDUP(MONTH(excelsalesdata[[#This Row],[Order_Date]])/3,0)</f>
        <v>Q1</v>
      </c>
    </row>
    <row r="1046" spans="1:30" x14ac:dyDescent="0.35">
      <c r="A1046" t="s">
        <v>1831</v>
      </c>
      <c r="B1046" s="3">
        <v>46804</v>
      </c>
      <c r="C1046" t="s">
        <v>514</v>
      </c>
      <c r="D1046" t="s">
        <v>693</v>
      </c>
      <c r="E1046" t="str">
        <f>TRIM(excelsalesdata[[#This Row],[Customer_Name]])</f>
        <v>Ishita Shah</v>
      </c>
      <c r="F1046" t="s">
        <v>23</v>
      </c>
      <c r="G1046">
        <v>23</v>
      </c>
      <c r="H1046" t="s">
        <v>185</v>
      </c>
      <c r="I1046" t="str">
        <f>TRIM(excelsalesdata[[#This Row],[City]])</f>
        <v>Lucknow</v>
      </c>
      <c r="J1046" t="s">
        <v>186</v>
      </c>
      <c r="K1046" t="s">
        <v>61</v>
      </c>
      <c r="L1046" t="s">
        <v>93</v>
      </c>
      <c r="M1046" t="s">
        <v>718</v>
      </c>
      <c r="N1046" t="s">
        <v>718</v>
      </c>
      <c r="O1046">
        <v>1</v>
      </c>
      <c r="P1046">
        <v>1810</v>
      </c>
      <c r="Q1046">
        <v>0.15</v>
      </c>
      <c r="R1046">
        <v>940</v>
      </c>
      <c r="S1046" t="s">
        <v>151</v>
      </c>
      <c r="T1046" t="s">
        <v>30</v>
      </c>
      <c r="U1046">
        <v>4</v>
      </c>
      <c r="V1046" t="s">
        <v>31</v>
      </c>
      <c r="W1046">
        <f>excelsalesdata[[#This Row],[Quantity]]*excelsalesdata[[#This Row],[Unit_Price]]</f>
        <v>1810</v>
      </c>
      <c r="X1046">
        <f>excelsalesdata[[#This Row],[Gross_sales]]*excelsalesdata[[#This Row],[Discount_%]]</f>
        <v>271.5</v>
      </c>
      <c r="Y1046">
        <f>excelsalesdata[[#This Row],[Gross_sales]]-excelsalesdata[[#This Row],[Discount_amt]]</f>
        <v>1538.5</v>
      </c>
      <c r="Z1046" s="4">
        <f>excelsalesdata[[#This Row],[Net_sales]]-excelsalesdata[[#This Row],[Cost]]</f>
        <v>598.5</v>
      </c>
      <c r="AA1046" s="5">
        <f>excelsalesdata[[#This Row],[Profit]]/excelsalesdata[[#This Row],[Net_sales]]</f>
        <v>0.38901527461813457</v>
      </c>
      <c r="AB1046" s="4">
        <f>YEAR(excelsalesdata[[#This Row],[Order_Date]])</f>
        <v>2028</v>
      </c>
      <c r="AC1046" s="4" t="str">
        <f>TEXT(excelsalesdata[[#This Row],[Order_Date]],"mmm")</f>
        <v>Feb</v>
      </c>
      <c r="AD1046" s="4" t="str">
        <f>"Q"&amp;ROUNDUP(MONTH(excelsalesdata[[#This Row],[Order_Date]])/3,0)</f>
        <v>Q1</v>
      </c>
    </row>
    <row r="1047" spans="1:30" x14ac:dyDescent="0.35">
      <c r="A1047" t="s">
        <v>1832</v>
      </c>
      <c r="B1047" s="3">
        <v>46805</v>
      </c>
      <c r="C1047" t="s">
        <v>1193</v>
      </c>
      <c r="D1047" t="s">
        <v>711</v>
      </c>
      <c r="E1047" t="str">
        <f>TRIM(excelsalesdata[[#This Row],[Customer_Name]])</f>
        <v>Rohan Naidu</v>
      </c>
      <c r="F1047" t="s">
        <v>44</v>
      </c>
      <c r="G1047">
        <v>27</v>
      </c>
      <c r="H1047" t="s">
        <v>114</v>
      </c>
      <c r="I1047" t="str">
        <f>TRIM(excelsalesdata[[#This Row],[City]])</f>
        <v>Hyderabad</v>
      </c>
      <c r="J1047" t="s">
        <v>115</v>
      </c>
      <c r="K1047" t="s">
        <v>47</v>
      </c>
      <c r="L1047" t="s">
        <v>103</v>
      </c>
      <c r="M1047" t="s">
        <v>312</v>
      </c>
      <c r="N1047" t="s">
        <v>312</v>
      </c>
      <c r="O1047">
        <v>2</v>
      </c>
      <c r="P1047">
        <v>6690</v>
      </c>
      <c r="Q1047">
        <v>0.2</v>
      </c>
      <c r="R1047">
        <v>4050</v>
      </c>
      <c r="S1047" t="s">
        <v>105</v>
      </c>
      <c r="T1047" t="s">
        <v>30</v>
      </c>
      <c r="U1047">
        <v>1</v>
      </c>
      <c r="V1047" t="s">
        <v>40</v>
      </c>
      <c r="W1047">
        <f>excelsalesdata[[#This Row],[Quantity]]*excelsalesdata[[#This Row],[Unit_Price]]</f>
        <v>13380</v>
      </c>
      <c r="X1047">
        <f>excelsalesdata[[#This Row],[Gross_sales]]*excelsalesdata[[#This Row],[Discount_%]]</f>
        <v>2676</v>
      </c>
      <c r="Y1047">
        <f>excelsalesdata[[#This Row],[Gross_sales]]-excelsalesdata[[#This Row],[Discount_amt]]</f>
        <v>10704</v>
      </c>
      <c r="Z1047" s="4">
        <f>excelsalesdata[[#This Row],[Net_sales]]-excelsalesdata[[#This Row],[Cost]]</f>
        <v>6654</v>
      </c>
      <c r="AA1047" s="5">
        <f>excelsalesdata[[#This Row],[Profit]]/excelsalesdata[[#This Row],[Net_sales]]</f>
        <v>0.62163677130044848</v>
      </c>
      <c r="AB1047" s="4">
        <f>YEAR(excelsalesdata[[#This Row],[Order_Date]])</f>
        <v>2028</v>
      </c>
      <c r="AC1047" s="4" t="str">
        <f>TEXT(excelsalesdata[[#This Row],[Order_Date]],"mmm")</f>
        <v>Feb</v>
      </c>
      <c r="AD1047" s="4" t="str">
        <f>"Q"&amp;ROUNDUP(MONTH(excelsalesdata[[#This Row],[Order_Date]])/3,0)</f>
        <v>Q1</v>
      </c>
    </row>
    <row r="1048" spans="1:30" x14ac:dyDescent="0.35">
      <c r="A1048" t="s">
        <v>1833</v>
      </c>
      <c r="B1048" s="3">
        <v>46806</v>
      </c>
      <c r="C1048" t="s">
        <v>379</v>
      </c>
      <c r="D1048" t="s">
        <v>1197</v>
      </c>
      <c r="E1048" t="str">
        <f>TRIM(excelsalesdata[[#This Row],[Customer_Name]])</f>
        <v>Rahul Rao</v>
      </c>
      <c r="F1048" t="s">
        <v>44</v>
      </c>
      <c r="G1048">
        <v>21</v>
      </c>
      <c r="H1048" t="s">
        <v>45</v>
      </c>
      <c r="I1048" t="str">
        <f>TRIM(excelsalesdata[[#This Row],[City]])</f>
        <v>Kochi</v>
      </c>
      <c r="J1048" t="s">
        <v>46</v>
      </c>
      <c r="K1048" t="s">
        <v>47</v>
      </c>
      <c r="L1048" t="s">
        <v>27</v>
      </c>
      <c r="M1048" t="s">
        <v>195</v>
      </c>
      <c r="N1048" t="s">
        <v>195</v>
      </c>
      <c r="O1048">
        <v>1</v>
      </c>
      <c r="P1048">
        <v>2290</v>
      </c>
      <c r="Q1048">
        <v>0</v>
      </c>
      <c r="R1048">
        <v>1150</v>
      </c>
      <c r="S1048" t="s">
        <v>105</v>
      </c>
      <c r="T1048" t="s">
        <v>30</v>
      </c>
      <c r="U1048">
        <v>5</v>
      </c>
      <c r="V1048" t="s">
        <v>40</v>
      </c>
      <c r="W1048">
        <f>excelsalesdata[[#This Row],[Quantity]]*excelsalesdata[[#This Row],[Unit_Price]]</f>
        <v>2290</v>
      </c>
      <c r="X1048">
        <f>excelsalesdata[[#This Row],[Gross_sales]]*excelsalesdata[[#This Row],[Discount_%]]</f>
        <v>0</v>
      </c>
      <c r="Y1048">
        <f>excelsalesdata[[#This Row],[Gross_sales]]-excelsalesdata[[#This Row],[Discount_amt]]</f>
        <v>2290</v>
      </c>
      <c r="Z1048" s="4">
        <f>excelsalesdata[[#This Row],[Net_sales]]-excelsalesdata[[#This Row],[Cost]]</f>
        <v>1140</v>
      </c>
      <c r="AA1048" s="5">
        <f>excelsalesdata[[#This Row],[Profit]]/excelsalesdata[[#This Row],[Net_sales]]</f>
        <v>0.49781659388646288</v>
      </c>
      <c r="AB1048" s="4">
        <f>YEAR(excelsalesdata[[#This Row],[Order_Date]])</f>
        <v>2028</v>
      </c>
      <c r="AC1048" s="4" t="str">
        <f>TEXT(excelsalesdata[[#This Row],[Order_Date]],"mmm")</f>
        <v>Feb</v>
      </c>
      <c r="AD1048" s="4" t="str">
        <f>"Q"&amp;ROUNDUP(MONTH(excelsalesdata[[#This Row],[Order_Date]])/3,0)</f>
        <v>Q1</v>
      </c>
    </row>
    <row r="1049" spans="1:30" x14ac:dyDescent="0.35">
      <c r="A1049" t="s">
        <v>1834</v>
      </c>
      <c r="B1049" s="3">
        <v>46807</v>
      </c>
      <c r="C1049" t="s">
        <v>1835</v>
      </c>
      <c r="D1049" t="s">
        <v>677</v>
      </c>
      <c r="E1049" t="str">
        <f>TRIM(excelsalesdata[[#This Row],[Customer_Name]])</f>
        <v>Vivaan Shah</v>
      </c>
      <c r="F1049" t="s">
        <v>23</v>
      </c>
      <c r="G1049">
        <v>29</v>
      </c>
      <c r="H1049" t="s">
        <v>114</v>
      </c>
      <c r="I1049" t="str">
        <f>TRIM(excelsalesdata[[#This Row],[City]])</f>
        <v>Hyderabad</v>
      </c>
      <c r="J1049" t="s">
        <v>115</v>
      </c>
      <c r="K1049" t="s">
        <v>47</v>
      </c>
      <c r="L1049" t="s">
        <v>85</v>
      </c>
      <c r="M1049" t="s">
        <v>86</v>
      </c>
      <c r="N1049" t="s">
        <v>86</v>
      </c>
      <c r="O1049">
        <v>4</v>
      </c>
      <c r="P1049">
        <v>2400</v>
      </c>
      <c r="Q1049">
        <v>0.15</v>
      </c>
      <c r="R1049">
        <v>1460</v>
      </c>
      <c r="S1049" t="s">
        <v>29</v>
      </c>
      <c r="T1049" t="s">
        <v>81</v>
      </c>
      <c r="U1049">
        <v>0</v>
      </c>
      <c r="V1049" t="s">
        <v>40</v>
      </c>
      <c r="W1049">
        <f>excelsalesdata[[#This Row],[Quantity]]*excelsalesdata[[#This Row],[Unit_Price]]</f>
        <v>9600</v>
      </c>
      <c r="X1049">
        <f>excelsalesdata[[#This Row],[Gross_sales]]*excelsalesdata[[#This Row],[Discount_%]]</f>
        <v>1440</v>
      </c>
      <c r="Y1049">
        <f>excelsalesdata[[#This Row],[Gross_sales]]-excelsalesdata[[#This Row],[Discount_amt]]</f>
        <v>8160</v>
      </c>
      <c r="Z1049" s="4">
        <f>excelsalesdata[[#This Row],[Net_sales]]-excelsalesdata[[#This Row],[Cost]]</f>
        <v>6700</v>
      </c>
      <c r="AA1049" s="5">
        <f>excelsalesdata[[#This Row],[Profit]]/excelsalesdata[[#This Row],[Net_sales]]</f>
        <v>0.82107843137254899</v>
      </c>
      <c r="AB1049" s="4">
        <f>YEAR(excelsalesdata[[#This Row],[Order_Date]])</f>
        <v>2028</v>
      </c>
      <c r="AC1049" s="4" t="str">
        <f>TEXT(excelsalesdata[[#This Row],[Order_Date]],"mmm")</f>
        <v>Feb</v>
      </c>
      <c r="AD1049" s="4" t="str">
        <f>"Q"&amp;ROUNDUP(MONTH(excelsalesdata[[#This Row],[Order_Date]])/3,0)</f>
        <v>Q1</v>
      </c>
    </row>
    <row r="1050" spans="1:30" x14ac:dyDescent="0.35">
      <c r="A1050" t="s">
        <v>1836</v>
      </c>
      <c r="B1050" s="3">
        <v>46808</v>
      </c>
      <c r="C1050" t="s">
        <v>1837</v>
      </c>
      <c r="D1050" t="s">
        <v>1839</v>
      </c>
      <c r="E1050" t="str">
        <f>TRIM(excelsalesdata[[#This Row],[Customer_Name]])</f>
        <v>Diya Nair</v>
      </c>
      <c r="F1050" t="s">
        <v>23</v>
      </c>
      <c r="G1050">
        <v>22</v>
      </c>
      <c r="H1050" t="s">
        <v>35</v>
      </c>
      <c r="I1050" t="str">
        <f>TRIM(excelsalesdata[[#This Row],[City]])</f>
        <v>Kolkata</v>
      </c>
      <c r="J1050" t="s">
        <v>36</v>
      </c>
      <c r="K1050" t="s">
        <v>37</v>
      </c>
      <c r="L1050" t="s">
        <v>27</v>
      </c>
      <c r="M1050" t="s">
        <v>295</v>
      </c>
      <c r="N1050" t="s">
        <v>295</v>
      </c>
      <c r="O1050">
        <v>2</v>
      </c>
      <c r="P1050">
        <v>4210</v>
      </c>
      <c r="Q1050">
        <v>0.05</v>
      </c>
      <c r="R1050">
        <v>2590</v>
      </c>
      <c r="S1050" t="s">
        <v>105</v>
      </c>
      <c r="T1050" t="s">
        <v>30</v>
      </c>
      <c r="U1050">
        <v>3</v>
      </c>
      <c r="V1050" t="s">
        <v>40</v>
      </c>
      <c r="W1050">
        <f>excelsalesdata[[#This Row],[Quantity]]*excelsalesdata[[#This Row],[Unit_Price]]</f>
        <v>8420</v>
      </c>
      <c r="X1050">
        <f>excelsalesdata[[#This Row],[Gross_sales]]*excelsalesdata[[#This Row],[Discount_%]]</f>
        <v>421</v>
      </c>
      <c r="Y1050">
        <f>excelsalesdata[[#This Row],[Gross_sales]]-excelsalesdata[[#This Row],[Discount_amt]]</f>
        <v>7999</v>
      </c>
      <c r="Z1050" s="4">
        <f>excelsalesdata[[#This Row],[Net_sales]]-excelsalesdata[[#This Row],[Cost]]</f>
        <v>5409</v>
      </c>
      <c r="AA1050" s="5">
        <f>excelsalesdata[[#This Row],[Profit]]/excelsalesdata[[#This Row],[Net_sales]]</f>
        <v>0.6762095261907739</v>
      </c>
      <c r="AB1050" s="4">
        <f>YEAR(excelsalesdata[[#This Row],[Order_Date]])</f>
        <v>2028</v>
      </c>
      <c r="AC1050" s="4" t="str">
        <f>TEXT(excelsalesdata[[#This Row],[Order_Date]],"mmm")</f>
        <v>Feb</v>
      </c>
      <c r="AD1050" s="4" t="str">
        <f>"Q"&amp;ROUNDUP(MONTH(excelsalesdata[[#This Row],[Order_Date]])/3,0)</f>
        <v>Q1</v>
      </c>
    </row>
    <row r="1051" spans="1:30" x14ac:dyDescent="0.35">
      <c r="A1051" t="s">
        <v>1838</v>
      </c>
      <c r="B1051" s="3">
        <v>46809</v>
      </c>
      <c r="C1051" t="s">
        <v>246</v>
      </c>
      <c r="D1051" t="s">
        <v>241</v>
      </c>
      <c r="E1051" t="str">
        <f>TRIM(excelsalesdata[[#This Row],[Customer_Name]])</f>
        <v>Rahul Kumar</v>
      </c>
      <c r="F1051" t="s">
        <v>23</v>
      </c>
      <c r="G1051">
        <v>55</v>
      </c>
      <c r="H1051" t="s">
        <v>133</v>
      </c>
      <c r="I1051" t="str">
        <f>TRIM(excelsalesdata[[#This Row],[City]])</f>
        <v>Jaipur</v>
      </c>
      <c r="J1051" t="s">
        <v>134</v>
      </c>
      <c r="K1051" t="s">
        <v>61</v>
      </c>
      <c r="L1051" t="s">
        <v>38</v>
      </c>
      <c r="M1051" t="s">
        <v>73</v>
      </c>
      <c r="N1051" t="s">
        <v>73</v>
      </c>
      <c r="O1051">
        <v>1</v>
      </c>
      <c r="P1051">
        <v>4610</v>
      </c>
      <c r="Q1051">
        <v>0.1</v>
      </c>
      <c r="R1051">
        <v>3180</v>
      </c>
      <c r="S1051" t="s">
        <v>105</v>
      </c>
      <c r="T1051" t="s">
        <v>74</v>
      </c>
      <c r="U1051">
        <v>5</v>
      </c>
      <c r="V1051" t="s">
        <v>31</v>
      </c>
      <c r="W1051">
        <f>excelsalesdata[[#This Row],[Quantity]]*excelsalesdata[[#This Row],[Unit_Price]]</f>
        <v>4610</v>
      </c>
      <c r="X1051">
        <f>excelsalesdata[[#This Row],[Gross_sales]]*excelsalesdata[[#This Row],[Discount_%]]</f>
        <v>461</v>
      </c>
      <c r="Y1051">
        <f>excelsalesdata[[#This Row],[Gross_sales]]-excelsalesdata[[#This Row],[Discount_amt]]</f>
        <v>4149</v>
      </c>
      <c r="Z1051" s="4">
        <f>excelsalesdata[[#This Row],[Net_sales]]-excelsalesdata[[#This Row],[Cost]]</f>
        <v>969</v>
      </c>
      <c r="AA1051" s="5">
        <f>excelsalesdata[[#This Row],[Profit]]/excelsalesdata[[#This Row],[Net_sales]]</f>
        <v>0.23355025307302965</v>
      </c>
      <c r="AB1051" s="4">
        <f>YEAR(excelsalesdata[[#This Row],[Order_Date]])</f>
        <v>2028</v>
      </c>
      <c r="AC1051" s="4" t="str">
        <f>TEXT(excelsalesdata[[#This Row],[Order_Date]],"mmm")</f>
        <v>Feb</v>
      </c>
      <c r="AD1051" s="4" t="str">
        <f>"Q"&amp;ROUNDUP(MONTH(excelsalesdata[[#This Row],[Order_Date]])/3,0)</f>
        <v>Q1</v>
      </c>
    </row>
    <row r="1052" spans="1:30" x14ac:dyDescent="0.35">
      <c r="A1052" t="s">
        <v>1840</v>
      </c>
      <c r="B1052" s="3">
        <v>46810</v>
      </c>
      <c r="C1052" t="s">
        <v>1841</v>
      </c>
      <c r="D1052" t="s">
        <v>1011</v>
      </c>
      <c r="E1052" t="str">
        <f>TRIM(excelsalesdata[[#This Row],[Customer_Name]])</f>
        <v>Vivaan Rao</v>
      </c>
      <c r="F1052" t="s">
        <v>23</v>
      </c>
      <c r="G1052">
        <v>54</v>
      </c>
      <c r="H1052" t="s">
        <v>71</v>
      </c>
      <c r="I1052" t="str">
        <f>TRIM(excelsalesdata[[#This Row],[City]])</f>
        <v>Bhubaneswar</v>
      </c>
      <c r="J1052" t="s">
        <v>72</v>
      </c>
      <c r="K1052" t="s">
        <v>37</v>
      </c>
      <c r="L1052" t="s">
        <v>93</v>
      </c>
      <c r="M1052" t="s">
        <v>206</v>
      </c>
      <c r="N1052" t="s">
        <v>206</v>
      </c>
      <c r="O1052">
        <v>1</v>
      </c>
      <c r="P1052">
        <v>670</v>
      </c>
      <c r="Q1052">
        <v>0.1</v>
      </c>
      <c r="R1052">
        <v>290</v>
      </c>
      <c r="S1052" t="s">
        <v>67</v>
      </c>
      <c r="T1052" t="s">
        <v>30</v>
      </c>
      <c r="U1052">
        <v>5</v>
      </c>
      <c r="V1052" t="s">
        <v>40</v>
      </c>
      <c r="W1052">
        <f>excelsalesdata[[#This Row],[Quantity]]*excelsalesdata[[#This Row],[Unit_Price]]</f>
        <v>670</v>
      </c>
      <c r="X1052">
        <f>excelsalesdata[[#This Row],[Gross_sales]]*excelsalesdata[[#This Row],[Discount_%]]</f>
        <v>67</v>
      </c>
      <c r="Y1052">
        <f>excelsalesdata[[#This Row],[Gross_sales]]-excelsalesdata[[#This Row],[Discount_amt]]</f>
        <v>603</v>
      </c>
      <c r="Z1052" s="4">
        <f>excelsalesdata[[#This Row],[Net_sales]]-excelsalesdata[[#This Row],[Cost]]</f>
        <v>313</v>
      </c>
      <c r="AA1052" s="5">
        <f>excelsalesdata[[#This Row],[Profit]]/excelsalesdata[[#This Row],[Net_sales]]</f>
        <v>0.5190713101160862</v>
      </c>
      <c r="AB1052" s="4">
        <f>YEAR(excelsalesdata[[#This Row],[Order_Date]])</f>
        <v>2028</v>
      </c>
      <c r="AC1052" s="4" t="str">
        <f>TEXT(excelsalesdata[[#This Row],[Order_Date]],"mmm")</f>
        <v>Feb</v>
      </c>
      <c r="AD1052" s="4" t="str">
        <f>"Q"&amp;ROUNDUP(MONTH(excelsalesdata[[#This Row],[Order_Date]])/3,0)</f>
        <v>Q1</v>
      </c>
    </row>
    <row r="1053" spans="1:30" x14ac:dyDescent="0.35">
      <c r="A1053" t="s">
        <v>1842</v>
      </c>
      <c r="B1053" s="3">
        <v>46811</v>
      </c>
      <c r="C1053" t="s">
        <v>951</v>
      </c>
      <c r="D1053" t="s">
        <v>198</v>
      </c>
      <c r="E1053" t="str">
        <f>TRIM(excelsalesdata[[#This Row],[Customer_Name]])</f>
        <v>Rohan Iyer</v>
      </c>
      <c r="F1053" t="s">
        <v>23</v>
      </c>
      <c r="G1053">
        <v>36</v>
      </c>
      <c r="H1053" t="s">
        <v>155</v>
      </c>
      <c r="I1053" t="str">
        <f>TRIM(excelsalesdata[[#This Row],[City]])</f>
        <v>Chennai</v>
      </c>
      <c r="J1053" t="s">
        <v>156</v>
      </c>
      <c r="K1053" t="s">
        <v>47</v>
      </c>
      <c r="L1053" t="s">
        <v>27</v>
      </c>
      <c r="M1053" t="s">
        <v>123</v>
      </c>
      <c r="N1053" t="s">
        <v>123</v>
      </c>
      <c r="O1053">
        <v>3</v>
      </c>
      <c r="P1053">
        <v>3010</v>
      </c>
      <c r="Q1053">
        <v>0.05</v>
      </c>
      <c r="R1053">
        <v>1650</v>
      </c>
      <c r="S1053" t="s">
        <v>29</v>
      </c>
      <c r="T1053" t="s">
        <v>30</v>
      </c>
      <c r="U1053">
        <v>2</v>
      </c>
      <c r="V1053" t="s">
        <v>31</v>
      </c>
      <c r="W1053">
        <f>excelsalesdata[[#This Row],[Quantity]]*excelsalesdata[[#This Row],[Unit_Price]]</f>
        <v>9030</v>
      </c>
      <c r="X1053">
        <f>excelsalesdata[[#This Row],[Gross_sales]]*excelsalesdata[[#This Row],[Discount_%]]</f>
        <v>451.5</v>
      </c>
      <c r="Y1053">
        <f>excelsalesdata[[#This Row],[Gross_sales]]-excelsalesdata[[#This Row],[Discount_amt]]</f>
        <v>8578.5</v>
      </c>
      <c r="Z1053" s="4">
        <f>excelsalesdata[[#This Row],[Net_sales]]-excelsalesdata[[#This Row],[Cost]]</f>
        <v>6928.5</v>
      </c>
      <c r="AA1053" s="5">
        <f>excelsalesdata[[#This Row],[Profit]]/excelsalesdata[[#This Row],[Net_sales]]</f>
        <v>0.80765868158769016</v>
      </c>
      <c r="AB1053" s="4">
        <f>YEAR(excelsalesdata[[#This Row],[Order_Date]])</f>
        <v>2028</v>
      </c>
      <c r="AC1053" s="4" t="str">
        <f>TEXT(excelsalesdata[[#This Row],[Order_Date]],"mmm")</f>
        <v>Feb</v>
      </c>
      <c r="AD1053" s="4" t="str">
        <f>"Q"&amp;ROUNDUP(MONTH(excelsalesdata[[#This Row],[Order_Date]])/3,0)</f>
        <v>Q1</v>
      </c>
    </row>
    <row r="1054" spans="1:30" x14ac:dyDescent="0.35">
      <c r="A1054" t="s">
        <v>1843</v>
      </c>
      <c r="B1054" s="3">
        <v>46812</v>
      </c>
      <c r="C1054" t="s">
        <v>1068</v>
      </c>
      <c r="D1054" t="s">
        <v>258</v>
      </c>
      <c r="E1054" t="str">
        <f>TRIM(excelsalesdata[[#This Row],[Customer_Name]])</f>
        <v>Sneha Sharma</v>
      </c>
      <c r="F1054" t="s">
        <v>44</v>
      </c>
      <c r="G1054">
        <v>26</v>
      </c>
      <c r="H1054" t="s">
        <v>114</v>
      </c>
      <c r="I1054" t="str">
        <f>TRIM(excelsalesdata[[#This Row],[City]])</f>
        <v>Hyderabad</v>
      </c>
      <c r="J1054" t="s">
        <v>115</v>
      </c>
      <c r="K1054" t="s">
        <v>47</v>
      </c>
      <c r="L1054" t="s">
        <v>38</v>
      </c>
      <c r="M1054" t="s">
        <v>119</v>
      </c>
      <c r="N1054" t="s">
        <v>119</v>
      </c>
      <c r="O1054">
        <v>2</v>
      </c>
      <c r="P1054">
        <v>8070</v>
      </c>
      <c r="Q1054">
        <v>0.2</v>
      </c>
      <c r="R1054">
        <v>5860</v>
      </c>
      <c r="S1054" t="s">
        <v>29</v>
      </c>
      <c r="T1054" t="s">
        <v>30</v>
      </c>
      <c r="U1054">
        <v>3</v>
      </c>
      <c r="V1054" t="s">
        <v>31</v>
      </c>
      <c r="W1054">
        <f>excelsalesdata[[#This Row],[Quantity]]*excelsalesdata[[#This Row],[Unit_Price]]</f>
        <v>16140</v>
      </c>
      <c r="X1054">
        <f>excelsalesdata[[#This Row],[Gross_sales]]*excelsalesdata[[#This Row],[Discount_%]]</f>
        <v>3228</v>
      </c>
      <c r="Y1054">
        <f>excelsalesdata[[#This Row],[Gross_sales]]-excelsalesdata[[#This Row],[Discount_amt]]</f>
        <v>12912</v>
      </c>
      <c r="Z1054" s="4">
        <f>excelsalesdata[[#This Row],[Net_sales]]-excelsalesdata[[#This Row],[Cost]]</f>
        <v>7052</v>
      </c>
      <c r="AA1054" s="5">
        <f>excelsalesdata[[#This Row],[Profit]]/excelsalesdata[[#This Row],[Net_sales]]</f>
        <v>0.54615861214374228</v>
      </c>
      <c r="AB1054" s="4">
        <f>YEAR(excelsalesdata[[#This Row],[Order_Date]])</f>
        <v>2028</v>
      </c>
      <c r="AC1054" s="4" t="str">
        <f>TEXT(excelsalesdata[[#This Row],[Order_Date]],"mmm")</f>
        <v>Feb</v>
      </c>
      <c r="AD1054" s="4" t="str">
        <f>"Q"&amp;ROUNDUP(MONTH(excelsalesdata[[#This Row],[Order_Date]])/3,0)</f>
        <v>Q1</v>
      </c>
    </row>
    <row r="1055" spans="1:30" x14ac:dyDescent="0.35">
      <c r="A1055" t="s">
        <v>1844</v>
      </c>
      <c r="B1055" s="3">
        <v>46813</v>
      </c>
      <c r="C1055" t="s">
        <v>1023</v>
      </c>
      <c r="D1055" t="s">
        <v>426</v>
      </c>
      <c r="E1055" t="str">
        <f>TRIM(excelsalesdata[[#This Row],[Customer_Name]])</f>
        <v>Kavya Verma</v>
      </c>
      <c r="F1055" t="s">
        <v>44</v>
      </c>
      <c r="G1055">
        <v>22</v>
      </c>
      <c r="H1055" t="s">
        <v>60</v>
      </c>
      <c r="I1055" t="str">
        <f>TRIM(excelsalesdata[[#This Row],[City]])</f>
        <v>Chandigarh</v>
      </c>
      <c r="J1055" t="s">
        <v>60</v>
      </c>
      <c r="K1055" t="s">
        <v>61</v>
      </c>
      <c r="L1055" t="s">
        <v>103</v>
      </c>
      <c r="M1055" t="s">
        <v>238</v>
      </c>
      <c r="N1055" t="s">
        <v>238</v>
      </c>
      <c r="O1055">
        <v>1</v>
      </c>
      <c r="P1055">
        <v>4520</v>
      </c>
      <c r="Q1055">
        <v>0.15</v>
      </c>
      <c r="R1055">
        <v>2760</v>
      </c>
      <c r="S1055" t="s">
        <v>105</v>
      </c>
      <c r="T1055" t="s">
        <v>99</v>
      </c>
      <c r="U1055">
        <v>4</v>
      </c>
      <c r="V1055" t="s">
        <v>40</v>
      </c>
      <c r="W1055">
        <f>excelsalesdata[[#This Row],[Quantity]]*excelsalesdata[[#This Row],[Unit_Price]]</f>
        <v>4520</v>
      </c>
      <c r="X1055">
        <f>excelsalesdata[[#This Row],[Gross_sales]]*excelsalesdata[[#This Row],[Discount_%]]</f>
        <v>678</v>
      </c>
      <c r="Y1055">
        <f>excelsalesdata[[#This Row],[Gross_sales]]-excelsalesdata[[#This Row],[Discount_amt]]</f>
        <v>3842</v>
      </c>
      <c r="Z1055" s="4">
        <f>excelsalesdata[[#This Row],[Net_sales]]-excelsalesdata[[#This Row],[Cost]]</f>
        <v>1082</v>
      </c>
      <c r="AA1055" s="5">
        <f>excelsalesdata[[#This Row],[Profit]]/excelsalesdata[[#This Row],[Net_sales]]</f>
        <v>0.28162415408641334</v>
      </c>
      <c r="AB1055" s="4">
        <f>YEAR(excelsalesdata[[#This Row],[Order_Date]])</f>
        <v>2028</v>
      </c>
      <c r="AC1055" s="4" t="str">
        <f>TEXT(excelsalesdata[[#This Row],[Order_Date]],"mmm")</f>
        <v>Mar</v>
      </c>
      <c r="AD1055" s="4" t="str">
        <f>"Q"&amp;ROUNDUP(MONTH(excelsalesdata[[#This Row],[Order_Date]])/3,0)</f>
        <v>Q1</v>
      </c>
    </row>
    <row r="1056" spans="1:30" x14ac:dyDescent="0.35">
      <c r="A1056" t="s">
        <v>1845</v>
      </c>
      <c r="B1056" s="3">
        <v>46814</v>
      </c>
      <c r="C1056" t="s">
        <v>797</v>
      </c>
      <c r="D1056" t="s">
        <v>844</v>
      </c>
      <c r="E1056" t="str">
        <f>TRIM(excelsalesdata[[#This Row],[Customer_Name]])</f>
        <v>Vikram Gupta</v>
      </c>
      <c r="F1056" t="s">
        <v>23</v>
      </c>
      <c r="G1056">
        <v>21</v>
      </c>
      <c r="H1056" t="s">
        <v>60</v>
      </c>
      <c r="I1056" t="str">
        <f>TRIM(excelsalesdata[[#This Row],[City]])</f>
        <v>Chandigarh</v>
      </c>
      <c r="J1056" t="s">
        <v>60</v>
      </c>
      <c r="K1056" t="s">
        <v>61</v>
      </c>
      <c r="L1056" t="s">
        <v>38</v>
      </c>
      <c r="M1056" t="s">
        <v>73</v>
      </c>
      <c r="N1056" t="s">
        <v>73</v>
      </c>
      <c r="O1056">
        <v>2</v>
      </c>
      <c r="P1056">
        <v>4610</v>
      </c>
      <c r="Q1056">
        <v>0.05</v>
      </c>
      <c r="R1056">
        <v>3250</v>
      </c>
      <c r="S1056" t="s">
        <v>29</v>
      </c>
      <c r="T1056" t="s">
        <v>30</v>
      </c>
      <c r="U1056">
        <v>3</v>
      </c>
      <c r="V1056" t="s">
        <v>31</v>
      </c>
      <c r="W1056">
        <f>excelsalesdata[[#This Row],[Quantity]]*excelsalesdata[[#This Row],[Unit_Price]]</f>
        <v>9220</v>
      </c>
      <c r="X1056">
        <f>excelsalesdata[[#This Row],[Gross_sales]]*excelsalesdata[[#This Row],[Discount_%]]</f>
        <v>461</v>
      </c>
      <c r="Y1056">
        <f>excelsalesdata[[#This Row],[Gross_sales]]-excelsalesdata[[#This Row],[Discount_amt]]</f>
        <v>8759</v>
      </c>
      <c r="Z1056" s="4">
        <f>excelsalesdata[[#This Row],[Net_sales]]-excelsalesdata[[#This Row],[Cost]]</f>
        <v>5509</v>
      </c>
      <c r="AA1056" s="5">
        <f>excelsalesdata[[#This Row],[Profit]]/excelsalesdata[[#This Row],[Net_sales]]</f>
        <v>0.62895307683525514</v>
      </c>
      <c r="AB1056" s="4">
        <f>YEAR(excelsalesdata[[#This Row],[Order_Date]])</f>
        <v>2028</v>
      </c>
      <c r="AC1056" s="4" t="str">
        <f>TEXT(excelsalesdata[[#This Row],[Order_Date]],"mmm")</f>
        <v>Mar</v>
      </c>
      <c r="AD1056" s="4" t="str">
        <f>"Q"&amp;ROUNDUP(MONTH(excelsalesdata[[#This Row],[Order_Date]])/3,0)</f>
        <v>Q1</v>
      </c>
    </row>
    <row r="1057" spans="1:30" x14ac:dyDescent="0.35">
      <c r="A1057" t="s">
        <v>1846</v>
      </c>
      <c r="B1057" s="3">
        <v>46815</v>
      </c>
      <c r="C1057" t="s">
        <v>1452</v>
      </c>
      <c r="D1057" t="s">
        <v>122</v>
      </c>
      <c r="E1057" t="str">
        <f>TRIM(excelsalesdata[[#This Row],[Customer_Name]])</f>
        <v>Vikram Rao</v>
      </c>
      <c r="F1057" t="s">
        <v>23</v>
      </c>
      <c r="G1057">
        <v>39</v>
      </c>
      <c r="H1057" t="s">
        <v>114</v>
      </c>
      <c r="I1057" t="str">
        <f>TRIM(excelsalesdata[[#This Row],[City]])</f>
        <v>Hyderabad</v>
      </c>
      <c r="J1057" t="s">
        <v>115</v>
      </c>
      <c r="K1057" t="s">
        <v>47</v>
      </c>
      <c r="L1057" t="s">
        <v>93</v>
      </c>
      <c r="M1057" t="s">
        <v>718</v>
      </c>
      <c r="N1057" t="s">
        <v>718</v>
      </c>
      <c r="O1057">
        <v>1</v>
      </c>
      <c r="P1057">
        <v>1940</v>
      </c>
      <c r="Q1057">
        <v>0</v>
      </c>
      <c r="R1057">
        <v>910</v>
      </c>
      <c r="S1057" t="s">
        <v>80</v>
      </c>
      <c r="T1057" t="s">
        <v>30</v>
      </c>
      <c r="U1057">
        <v>3</v>
      </c>
      <c r="V1057" t="s">
        <v>31</v>
      </c>
      <c r="W1057">
        <f>excelsalesdata[[#This Row],[Quantity]]*excelsalesdata[[#This Row],[Unit_Price]]</f>
        <v>1940</v>
      </c>
      <c r="X1057">
        <f>excelsalesdata[[#This Row],[Gross_sales]]*excelsalesdata[[#This Row],[Discount_%]]</f>
        <v>0</v>
      </c>
      <c r="Y1057">
        <f>excelsalesdata[[#This Row],[Gross_sales]]-excelsalesdata[[#This Row],[Discount_amt]]</f>
        <v>1940</v>
      </c>
      <c r="Z1057" s="4">
        <f>excelsalesdata[[#This Row],[Net_sales]]-excelsalesdata[[#This Row],[Cost]]</f>
        <v>1030</v>
      </c>
      <c r="AA1057" s="5">
        <f>excelsalesdata[[#This Row],[Profit]]/excelsalesdata[[#This Row],[Net_sales]]</f>
        <v>0.53092783505154639</v>
      </c>
      <c r="AB1057" s="4">
        <f>YEAR(excelsalesdata[[#This Row],[Order_Date]])</f>
        <v>2028</v>
      </c>
      <c r="AC1057" s="4" t="str">
        <f>TEXT(excelsalesdata[[#This Row],[Order_Date]],"mmm")</f>
        <v>Mar</v>
      </c>
      <c r="AD1057" s="4" t="str">
        <f>"Q"&amp;ROUNDUP(MONTH(excelsalesdata[[#This Row],[Order_Date]])/3,0)</f>
        <v>Q1</v>
      </c>
    </row>
    <row r="1058" spans="1:30" x14ac:dyDescent="0.35">
      <c r="A1058" t="s">
        <v>1847</v>
      </c>
      <c r="B1058" s="3">
        <v>46816</v>
      </c>
      <c r="C1058" t="s">
        <v>1452</v>
      </c>
      <c r="D1058" t="s">
        <v>605</v>
      </c>
      <c r="E1058" t="str">
        <f>TRIM(excelsalesdata[[#This Row],[Customer_Name]])</f>
        <v>Rahul Gupta</v>
      </c>
      <c r="F1058" t="s">
        <v>23</v>
      </c>
      <c r="G1058">
        <v>34</v>
      </c>
      <c r="H1058" t="s">
        <v>78</v>
      </c>
      <c r="I1058" t="str">
        <f>TRIM(excelsalesdata[[#This Row],[City]])</f>
        <v>Guwahati</v>
      </c>
      <c r="J1058" t="s">
        <v>79</v>
      </c>
      <c r="K1058" t="s">
        <v>37</v>
      </c>
      <c r="L1058" t="s">
        <v>93</v>
      </c>
      <c r="M1058" t="s">
        <v>375</v>
      </c>
      <c r="N1058" t="s">
        <v>375</v>
      </c>
      <c r="O1058">
        <v>3</v>
      </c>
      <c r="P1058">
        <v>2210</v>
      </c>
      <c r="Q1058">
        <v>0.05</v>
      </c>
      <c r="R1058">
        <v>1170</v>
      </c>
      <c r="S1058" t="s">
        <v>151</v>
      </c>
      <c r="T1058" t="s">
        <v>30</v>
      </c>
      <c r="U1058">
        <v>3</v>
      </c>
      <c r="V1058" t="s">
        <v>31</v>
      </c>
      <c r="W1058">
        <f>excelsalesdata[[#This Row],[Quantity]]*excelsalesdata[[#This Row],[Unit_Price]]</f>
        <v>6630</v>
      </c>
      <c r="X1058">
        <f>excelsalesdata[[#This Row],[Gross_sales]]*excelsalesdata[[#This Row],[Discount_%]]</f>
        <v>331.5</v>
      </c>
      <c r="Y1058">
        <f>excelsalesdata[[#This Row],[Gross_sales]]-excelsalesdata[[#This Row],[Discount_amt]]</f>
        <v>6298.5</v>
      </c>
      <c r="Z1058" s="4">
        <f>excelsalesdata[[#This Row],[Net_sales]]-excelsalesdata[[#This Row],[Cost]]</f>
        <v>5128.5</v>
      </c>
      <c r="AA1058" s="5">
        <f>excelsalesdata[[#This Row],[Profit]]/excelsalesdata[[#This Row],[Net_sales]]</f>
        <v>0.81424148606811142</v>
      </c>
      <c r="AB1058" s="4">
        <f>YEAR(excelsalesdata[[#This Row],[Order_Date]])</f>
        <v>2028</v>
      </c>
      <c r="AC1058" s="4" t="str">
        <f>TEXT(excelsalesdata[[#This Row],[Order_Date]],"mmm")</f>
        <v>Mar</v>
      </c>
      <c r="AD1058" s="4" t="str">
        <f>"Q"&amp;ROUNDUP(MONTH(excelsalesdata[[#This Row],[Order_Date]])/3,0)</f>
        <v>Q1</v>
      </c>
    </row>
    <row r="1059" spans="1:30" x14ac:dyDescent="0.35">
      <c r="A1059" t="s">
        <v>1848</v>
      </c>
      <c r="B1059" s="3">
        <v>46817</v>
      </c>
      <c r="C1059" t="s">
        <v>384</v>
      </c>
      <c r="D1059" t="s">
        <v>1592</v>
      </c>
      <c r="E1059" t="str">
        <f>TRIM(excelsalesdata[[#This Row],[Customer_Name]])</f>
        <v>Aditya Iyer</v>
      </c>
      <c r="F1059" t="s">
        <v>44</v>
      </c>
      <c r="G1059">
        <v>52</v>
      </c>
      <c r="H1059" t="s">
        <v>98</v>
      </c>
      <c r="I1059" t="str">
        <f>TRIM(excelsalesdata[[#This Row],[City]])</f>
        <v>Mumbai</v>
      </c>
      <c r="J1059" t="s">
        <v>25</v>
      </c>
      <c r="K1059" t="s">
        <v>26</v>
      </c>
      <c r="L1059" t="s">
        <v>93</v>
      </c>
      <c r="M1059" t="s">
        <v>718</v>
      </c>
      <c r="N1059" t="s">
        <v>718</v>
      </c>
      <c r="O1059">
        <v>1</v>
      </c>
      <c r="P1059">
        <v>1800</v>
      </c>
      <c r="Q1059">
        <v>0.1</v>
      </c>
      <c r="R1059">
        <v>910</v>
      </c>
      <c r="S1059" t="s">
        <v>29</v>
      </c>
      <c r="T1059" t="s">
        <v>99</v>
      </c>
      <c r="U1059">
        <v>3</v>
      </c>
      <c r="V1059" t="s">
        <v>40</v>
      </c>
      <c r="W1059">
        <f>excelsalesdata[[#This Row],[Quantity]]*excelsalesdata[[#This Row],[Unit_Price]]</f>
        <v>1800</v>
      </c>
      <c r="X1059">
        <f>excelsalesdata[[#This Row],[Gross_sales]]*excelsalesdata[[#This Row],[Discount_%]]</f>
        <v>180</v>
      </c>
      <c r="Y1059">
        <f>excelsalesdata[[#This Row],[Gross_sales]]-excelsalesdata[[#This Row],[Discount_amt]]</f>
        <v>1620</v>
      </c>
      <c r="Z1059" s="4">
        <f>excelsalesdata[[#This Row],[Net_sales]]-excelsalesdata[[#This Row],[Cost]]</f>
        <v>710</v>
      </c>
      <c r="AA1059" s="5">
        <f>excelsalesdata[[#This Row],[Profit]]/excelsalesdata[[#This Row],[Net_sales]]</f>
        <v>0.43827160493827161</v>
      </c>
      <c r="AB1059" s="4">
        <f>YEAR(excelsalesdata[[#This Row],[Order_Date]])</f>
        <v>2028</v>
      </c>
      <c r="AC1059" s="4" t="str">
        <f>TEXT(excelsalesdata[[#This Row],[Order_Date]],"mmm")</f>
        <v>Mar</v>
      </c>
      <c r="AD1059" s="4" t="str">
        <f>"Q"&amp;ROUNDUP(MONTH(excelsalesdata[[#This Row],[Order_Date]])/3,0)</f>
        <v>Q1</v>
      </c>
    </row>
    <row r="1060" spans="1:30" x14ac:dyDescent="0.35">
      <c r="A1060" t="s">
        <v>1849</v>
      </c>
      <c r="B1060" s="3">
        <v>46818</v>
      </c>
      <c r="C1060" t="s">
        <v>852</v>
      </c>
      <c r="D1060" t="s">
        <v>786</v>
      </c>
      <c r="E1060" t="str">
        <f>TRIM(excelsalesdata[[#This Row],[Customer_Name]])</f>
        <v>Aarav Patel</v>
      </c>
      <c r="F1060" t="s">
        <v>44</v>
      </c>
      <c r="G1060">
        <v>40</v>
      </c>
      <c r="H1060" t="s">
        <v>155</v>
      </c>
      <c r="I1060" t="str">
        <f>TRIM(excelsalesdata[[#This Row],[City]])</f>
        <v>Chennai</v>
      </c>
      <c r="J1060" t="s">
        <v>156</v>
      </c>
      <c r="K1060" t="s">
        <v>47</v>
      </c>
      <c r="L1060" t="s">
        <v>38</v>
      </c>
      <c r="M1060" t="s">
        <v>39</v>
      </c>
      <c r="N1060" t="s">
        <v>39</v>
      </c>
      <c r="O1060">
        <v>3</v>
      </c>
      <c r="P1060">
        <v>6610</v>
      </c>
      <c r="Q1060">
        <v>0.2</v>
      </c>
      <c r="R1060">
        <v>4000</v>
      </c>
      <c r="S1060" t="s">
        <v>29</v>
      </c>
      <c r="T1060" t="s">
        <v>30</v>
      </c>
      <c r="U1060">
        <v>5</v>
      </c>
      <c r="V1060" t="s">
        <v>31</v>
      </c>
      <c r="W1060">
        <f>excelsalesdata[[#This Row],[Quantity]]*excelsalesdata[[#This Row],[Unit_Price]]</f>
        <v>19830</v>
      </c>
      <c r="X1060">
        <f>excelsalesdata[[#This Row],[Gross_sales]]*excelsalesdata[[#This Row],[Discount_%]]</f>
        <v>3966</v>
      </c>
      <c r="Y1060">
        <f>excelsalesdata[[#This Row],[Gross_sales]]-excelsalesdata[[#This Row],[Discount_amt]]</f>
        <v>15864</v>
      </c>
      <c r="Z1060" s="4">
        <f>excelsalesdata[[#This Row],[Net_sales]]-excelsalesdata[[#This Row],[Cost]]</f>
        <v>11864</v>
      </c>
      <c r="AA1060" s="5">
        <f>excelsalesdata[[#This Row],[Profit]]/excelsalesdata[[#This Row],[Net_sales]]</f>
        <v>0.74785678265254663</v>
      </c>
      <c r="AB1060" s="4">
        <f>YEAR(excelsalesdata[[#This Row],[Order_Date]])</f>
        <v>2028</v>
      </c>
      <c r="AC1060" s="4" t="str">
        <f>TEXT(excelsalesdata[[#This Row],[Order_Date]],"mmm")</f>
        <v>Mar</v>
      </c>
      <c r="AD1060" s="4" t="str">
        <f>"Q"&amp;ROUNDUP(MONTH(excelsalesdata[[#This Row],[Order_Date]])/3,0)</f>
        <v>Q1</v>
      </c>
    </row>
    <row r="1061" spans="1:30" x14ac:dyDescent="0.35">
      <c r="A1061" t="s">
        <v>1850</v>
      </c>
      <c r="B1061" s="3">
        <v>46819</v>
      </c>
      <c r="C1061" t="s">
        <v>1019</v>
      </c>
      <c r="D1061" t="s">
        <v>122</v>
      </c>
      <c r="E1061" t="str">
        <f>TRIM(excelsalesdata[[#This Row],[Customer_Name]])</f>
        <v>Vikram Rao</v>
      </c>
      <c r="F1061" t="s">
        <v>44</v>
      </c>
      <c r="G1061">
        <v>60</v>
      </c>
      <c r="H1061" t="s">
        <v>133</v>
      </c>
      <c r="I1061" t="str">
        <f>TRIM(excelsalesdata[[#This Row],[City]])</f>
        <v>Jaipur</v>
      </c>
      <c r="J1061" t="s">
        <v>134</v>
      </c>
      <c r="K1061" t="s">
        <v>61</v>
      </c>
      <c r="L1061" t="s">
        <v>103</v>
      </c>
      <c r="M1061" t="s">
        <v>347</v>
      </c>
      <c r="N1061" t="s">
        <v>347</v>
      </c>
      <c r="O1061">
        <v>1</v>
      </c>
      <c r="P1061">
        <v>12610</v>
      </c>
      <c r="Q1061">
        <v>0.25</v>
      </c>
      <c r="R1061">
        <v>8430</v>
      </c>
      <c r="S1061" t="s">
        <v>56</v>
      </c>
      <c r="T1061" t="s">
        <v>30</v>
      </c>
      <c r="U1061">
        <v>2</v>
      </c>
      <c r="V1061" t="s">
        <v>40</v>
      </c>
      <c r="W1061">
        <f>excelsalesdata[[#This Row],[Quantity]]*excelsalesdata[[#This Row],[Unit_Price]]</f>
        <v>12610</v>
      </c>
      <c r="X1061">
        <f>excelsalesdata[[#This Row],[Gross_sales]]*excelsalesdata[[#This Row],[Discount_%]]</f>
        <v>3152.5</v>
      </c>
      <c r="Y1061">
        <f>excelsalesdata[[#This Row],[Gross_sales]]-excelsalesdata[[#This Row],[Discount_amt]]</f>
        <v>9457.5</v>
      </c>
      <c r="Z1061" s="4">
        <f>excelsalesdata[[#This Row],[Net_sales]]-excelsalesdata[[#This Row],[Cost]]</f>
        <v>1027.5</v>
      </c>
      <c r="AA1061" s="5">
        <f>excelsalesdata[[#This Row],[Profit]]/excelsalesdata[[#This Row],[Net_sales]]</f>
        <v>0.10864393338620143</v>
      </c>
      <c r="AB1061" s="4">
        <f>YEAR(excelsalesdata[[#This Row],[Order_Date]])</f>
        <v>2028</v>
      </c>
      <c r="AC1061" s="4" t="str">
        <f>TEXT(excelsalesdata[[#This Row],[Order_Date]],"mmm")</f>
        <v>Mar</v>
      </c>
      <c r="AD1061" s="4" t="str">
        <f>"Q"&amp;ROUNDUP(MONTH(excelsalesdata[[#This Row],[Order_Date]])/3,0)</f>
        <v>Q1</v>
      </c>
    </row>
    <row r="1062" spans="1:30" x14ac:dyDescent="0.35">
      <c r="A1062" t="s">
        <v>1851</v>
      </c>
      <c r="B1062" s="3">
        <v>46820</v>
      </c>
      <c r="C1062" t="s">
        <v>370</v>
      </c>
      <c r="D1062" t="s">
        <v>1051</v>
      </c>
      <c r="E1062" t="str">
        <f>TRIM(excelsalesdata[[#This Row],[Customer_Name]])</f>
        <v>Aarav Das</v>
      </c>
      <c r="F1062" t="s">
        <v>44</v>
      </c>
      <c r="G1062">
        <v>21</v>
      </c>
      <c r="H1062" t="s">
        <v>185</v>
      </c>
      <c r="I1062" t="str">
        <f>TRIM(excelsalesdata[[#This Row],[City]])</f>
        <v>Lucknow</v>
      </c>
      <c r="J1062" t="s">
        <v>186</v>
      </c>
      <c r="K1062" t="s">
        <v>61</v>
      </c>
      <c r="L1062" t="s">
        <v>85</v>
      </c>
      <c r="M1062" t="s">
        <v>251</v>
      </c>
      <c r="N1062" t="s">
        <v>251</v>
      </c>
      <c r="O1062">
        <v>1</v>
      </c>
      <c r="P1062">
        <v>3230</v>
      </c>
      <c r="Q1062">
        <v>0.1</v>
      </c>
      <c r="R1062">
        <v>1890</v>
      </c>
      <c r="S1062" t="s">
        <v>56</v>
      </c>
      <c r="T1062" t="s">
        <v>30</v>
      </c>
      <c r="U1062">
        <v>4</v>
      </c>
      <c r="V1062" t="s">
        <v>31</v>
      </c>
      <c r="W1062">
        <f>excelsalesdata[[#This Row],[Quantity]]*excelsalesdata[[#This Row],[Unit_Price]]</f>
        <v>3230</v>
      </c>
      <c r="X1062">
        <f>excelsalesdata[[#This Row],[Gross_sales]]*excelsalesdata[[#This Row],[Discount_%]]</f>
        <v>323</v>
      </c>
      <c r="Y1062">
        <f>excelsalesdata[[#This Row],[Gross_sales]]-excelsalesdata[[#This Row],[Discount_amt]]</f>
        <v>2907</v>
      </c>
      <c r="Z1062" s="4">
        <f>excelsalesdata[[#This Row],[Net_sales]]-excelsalesdata[[#This Row],[Cost]]</f>
        <v>1017</v>
      </c>
      <c r="AA1062" s="5">
        <f>excelsalesdata[[#This Row],[Profit]]/excelsalesdata[[#This Row],[Net_sales]]</f>
        <v>0.34984520123839008</v>
      </c>
      <c r="AB1062" s="4">
        <f>YEAR(excelsalesdata[[#This Row],[Order_Date]])</f>
        <v>2028</v>
      </c>
      <c r="AC1062" s="4" t="str">
        <f>TEXT(excelsalesdata[[#This Row],[Order_Date]],"mmm")</f>
        <v>Mar</v>
      </c>
      <c r="AD1062" s="4" t="str">
        <f>"Q"&amp;ROUNDUP(MONTH(excelsalesdata[[#This Row],[Order_Date]])/3,0)</f>
        <v>Q1</v>
      </c>
    </row>
    <row r="1063" spans="1:30" x14ac:dyDescent="0.35">
      <c r="A1063" t="s">
        <v>1852</v>
      </c>
      <c r="B1063" s="3">
        <v>46821</v>
      </c>
      <c r="C1063" t="s">
        <v>381</v>
      </c>
      <c r="D1063" t="s">
        <v>495</v>
      </c>
      <c r="E1063" t="str">
        <f>TRIM(excelsalesdata[[#This Row],[Customer_Name]])</f>
        <v>Meera Das</v>
      </c>
      <c r="F1063" t="s">
        <v>44</v>
      </c>
      <c r="G1063">
        <v>60</v>
      </c>
      <c r="H1063" t="s">
        <v>71</v>
      </c>
      <c r="I1063" t="str">
        <f>TRIM(excelsalesdata[[#This Row],[City]])</f>
        <v>Bhubaneswar</v>
      </c>
      <c r="J1063" t="s">
        <v>72</v>
      </c>
      <c r="K1063" t="s">
        <v>37</v>
      </c>
      <c r="L1063" t="s">
        <v>54</v>
      </c>
      <c r="M1063" t="s">
        <v>66</v>
      </c>
      <c r="N1063" t="s">
        <v>66</v>
      </c>
      <c r="O1063">
        <v>2</v>
      </c>
      <c r="P1063">
        <v>2550</v>
      </c>
      <c r="Q1063">
        <v>0.05</v>
      </c>
      <c r="R1063">
        <v>1510</v>
      </c>
      <c r="S1063" t="s">
        <v>29</v>
      </c>
      <c r="T1063" t="s">
        <v>30</v>
      </c>
      <c r="U1063">
        <v>4</v>
      </c>
      <c r="V1063" t="s">
        <v>40</v>
      </c>
      <c r="W1063">
        <f>excelsalesdata[[#This Row],[Quantity]]*excelsalesdata[[#This Row],[Unit_Price]]</f>
        <v>5100</v>
      </c>
      <c r="X1063">
        <f>excelsalesdata[[#This Row],[Gross_sales]]*excelsalesdata[[#This Row],[Discount_%]]</f>
        <v>255</v>
      </c>
      <c r="Y1063">
        <f>excelsalesdata[[#This Row],[Gross_sales]]-excelsalesdata[[#This Row],[Discount_amt]]</f>
        <v>4845</v>
      </c>
      <c r="Z1063" s="4">
        <f>excelsalesdata[[#This Row],[Net_sales]]-excelsalesdata[[#This Row],[Cost]]</f>
        <v>3335</v>
      </c>
      <c r="AA1063" s="5">
        <f>excelsalesdata[[#This Row],[Profit]]/excelsalesdata[[#This Row],[Net_sales]]</f>
        <v>0.68833849329205365</v>
      </c>
      <c r="AB1063" s="4">
        <f>YEAR(excelsalesdata[[#This Row],[Order_Date]])</f>
        <v>2028</v>
      </c>
      <c r="AC1063" s="4" t="str">
        <f>TEXT(excelsalesdata[[#This Row],[Order_Date]],"mmm")</f>
        <v>Mar</v>
      </c>
      <c r="AD1063" s="4" t="str">
        <f>"Q"&amp;ROUNDUP(MONTH(excelsalesdata[[#This Row],[Order_Date]])/3,0)</f>
        <v>Q1</v>
      </c>
    </row>
    <row r="1064" spans="1:30" x14ac:dyDescent="0.35">
      <c r="A1064" t="s">
        <v>1853</v>
      </c>
      <c r="B1064" s="3">
        <v>46822</v>
      </c>
      <c r="C1064" t="s">
        <v>949</v>
      </c>
      <c r="D1064" t="s">
        <v>194</v>
      </c>
      <c r="E1064" t="str">
        <f>TRIM(excelsalesdata[[#This Row],[Customer_Name]])</f>
        <v>Aditya Reddy</v>
      </c>
      <c r="F1064" t="s">
        <v>44</v>
      </c>
      <c r="G1064">
        <v>21</v>
      </c>
      <c r="H1064" t="s">
        <v>185</v>
      </c>
      <c r="I1064" t="str">
        <f>TRIM(excelsalesdata[[#This Row],[City]])</f>
        <v>Lucknow</v>
      </c>
      <c r="J1064" t="s">
        <v>186</v>
      </c>
      <c r="K1064" t="s">
        <v>61</v>
      </c>
      <c r="L1064" t="s">
        <v>103</v>
      </c>
      <c r="M1064" t="s">
        <v>347</v>
      </c>
      <c r="N1064" t="s">
        <v>347</v>
      </c>
      <c r="O1064">
        <v>2</v>
      </c>
      <c r="P1064">
        <v>11110</v>
      </c>
      <c r="Q1064">
        <v>0.25</v>
      </c>
      <c r="R1064">
        <v>7830</v>
      </c>
      <c r="S1064" t="s">
        <v>67</v>
      </c>
      <c r="T1064" t="s">
        <v>74</v>
      </c>
      <c r="U1064">
        <v>4</v>
      </c>
      <c r="V1064" t="s">
        <v>40</v>
      </c>
      <c r="W1064">
        <f>excelsalesdata[[#This Row],[Quantity]]*excelsalesdata[[#This Row],[Unit_Price]]</f>
        <v>22220</v>
      </c>
      <c r="X1064">
        <f>excelsalesdata[[#This Row],[Gross_sales]]*excelsalesdata[[#This Row],[Discount_%]]</f>
        <v>5555</v>
      </c>
      <c r="Y1064">
        <f>excelsalesdata[[#This Row],[Gross_sales]]-excelsalesdata[[#This Row],[Discount_amt]]</f>
        <v>16665</v>
      </c>
      <c r="Z1064" s="4">
        <f>excelsalesdata[[#This Row],[Net_sales]]-excelsalesdata[[#This Row],[Cost]]</f>
        <v>8835</v>
      </c>
      <c r="AA1064" s="5">
        <f>excelsalesdata[[#This Row],[Profit]]/excelsalesdata[[#This Row],[Net_sales]]</f>
        <v>0.53015301530153014</v>
      </c>
      <c r="AB1064" s="4">
        <f>YEAR(excelsalesdata[[#This Row],[Order_Date]])</f>
        <v>2028</v>
      </c>
      <c r="AC1064" s="4" t="str">
        <f>TEXT(excelsalesdata[[#This Row],[Order_Date]],"mmm")</f>
        <v>Mar</v>
      </c>
      <c r="AD1064" s="4" t="str">
        <f>"Q"&amp;ROUNDUP(MONTH(excelsalesdata[[#This Row],[Order_Date]])/3,0)</f>
        <v>Q1</v>
      </c>
    </row>
    <row r="1065" spans="1:30" x14ac:dyDescent="0.35">
      <c r="A1065" t="s">
        <v>1854</v>
      </c>
      <c r="B1065" s="3">
        <v>46823</v>
      </c>
      <c r="C1065" t="s">
        <v>992</v>
      </c>
      <c r="D1065" t="s">
        <v>871</v>
      </c>
      <c r="E1065" t="str">
        <f>TRIM(excelsalesdata[[#This Row],[Customer_Name]])</f>
        <v>Rahul Iyer</v>
      </c>
      <c r="F1065" t="s">
        <v>23</v>
      </c>
      <c r="G1065">
        <v>28</v>
      </c>
      <c r="H1065" t="s">
        <v>35</v>
      </c>
      <c r="I1065" t="str">
        <f>TRIM(excelsalesdata[[#This Row],[City]])</f>
        <v>Kolkata</v>
      </c>
      <c r="J1065" t="s">
        <v>36</v>
      </c>
      <c r="K1065" t="s">
        <v>37</v>
      </c>
      <c r="L1065" t="s">
        <v>27</v>
      </c>
      <c r="M1065" t="s">
        <v>123</v>
      </c>
      <c r="N1065" t="s">
        <v>123</v>
      </c>
      <c r="O1065">
        <v>5</v>
      </c>
      <c r="P1065">
        <v>2770</v>
      </c>
      <c r="Q1065">
        <v>0.1</v>
      </c>
      <c r="R1065">
        <v>1600</v>
      </c>
      <c r="S1065" t="s">
        <v>80</v>
      </c>
      <c r="T1065" t="s">
        <v>30</v>
      </c>
      <c r="U1065">
        <v>1</v>
      </c>
      <c r="V1065" t="s">
        <v>40</v>
      </c>
      <c r="W1065">
        <f>excelsalesdata[[#This Row],[Quantity]]*excelsalesdata[[#This Row],[Unit_Price]]</f>
        <v>13850</v>
      </c>
      <c r="X1065">
        <f>excelsalesdata[[#This Row],[Gross_sales]]*excelsalesdata[[#This Row],[Discount_%]]</f>
        <v>1385</v>
      </c>
      <c r="Y1065">
        <f>excelsalesdata[[#This Row],[Gross_sales]]-excelsalesdata[[#This Row],[Discount_amt]]</f>
        <v>12465</v>
      </c>
      <c r="Z1065" s="4">
        <f>excelsalesdata[[#This Row],[Net_sales]]-excelsalesdata[[#This Row],[Cost]]</f>
        <v>10865</v>
      </c>
      <c r="AA1065" s="5">
        <f>excelsalesdata[[#This Row],[Profit]]/excelsalesdata[[#This Row],[Net_sales]]</f>
        <v>0.87164059366225433</v>
      </c>
      <c r="AB1065" s="4">
        <f>YEAR(excelsalesdata[[#This Row],[Order_Date]])</f>
        <v>2028</v>
      </c>
      <c r="AC1065" s="4" t="str">
        <f>TEXT(excelsalesdata[[#This Row],[Order_Date]],"mmm")</f>
        <v>Mar</v>
      </c>
      <c r="AD1065" s="4" t="str">
        <f>"Q"&amp;ROUNDUP(MONTH(excelsalesdata[[#This Row],[Order_Date]])/3,0)</f>
        <v>Q1</v>
      </c>
    </row>
    <row r="1066" spans="1:30" x14ac:dyDescent="0.35">
      <c r="A1066" t="s">
        <v>1855</v>
      </c>
      <c r="B1066" s="3">
        <v>46824</v>
      </c>
      <c r="C1066" t="s">
        <v>1476</v>
      </c>
      <c r="D1066" t="s">
        <v>282</v>
      </c>
      <c r="E1066" t="str">
        <f>TRIM(excelsalesdata[[#This Row],[Customer_Name]])</f>
        <v>Priya Bhat</v>
      </c>
      <c r="F1066" t="s">
        <v>44</v>
      </c>
      <c r="G1066">
        <v>58</v>
      </c>
      <c r="H1066" t="s">
        <v>78</v>
      </c>
      <c r="I1066" t="str">
        <f>TRIM(excelsalesdata[[#This Row],[City]])</f>
        <v>Guwahati</v>
      </c>
      <c r="J1066" t="s">
        <v>79</v>
      </c>
      <c r="K1066" t="s">
        <v>37</v>
      </c>
      <c r="L1066" t="s">
        <v>54</v>
      </c>
      <c r="M1066" t="s">
        <v>157</v>
      </c>
      <c r="N1066" t="s">
        <v>157</v>
      </c>
      <c r="O1066">
        <v>1</v>
      </c>
      <c r="P1066">
        <v>57310</v>
      </c>
      <c r="Q1066">
        <v>0.1</v>
      </c>
      <c r="R1066">
        <v>40530</v>
      </c>
      <c r="S1066" t="s">
        <v>67</v>
      </c>
      <c r="T1066" t="s">
        <v>74</v>
      </c>
      <c r="U1066">
        <v>3</v>
      </c>
      <c r="V1066" t="s">
        <v>31</v>
      </c>
      <c r="W1066">
        <f>excelsalesdata[[#This Row],[Quantity]]*excelsalesdata[[#This Row],[Unit_Price]]</f>
        <v>57310</v>
      </c>
      <c r="X1066">
        <f>excelsalesdata[[#This Row],[Gross_sales]]*excelsalesdata[[#This Row],[Discount_%]]</f>
        <v>5731</v>
      </c>
      <c r="Y1066">
        <f>excelsalesdata[[#This Row],[Gross_sales]]-excelsalesdata[[#This Row],[Discount_amt]]</f>
        <v>51579</v>
      </c>
      <c r="Z1066" s="4">
        <f>excelsalesdata[[#This Row],[Net_sales]]-excelsalesdata[[#This Row],[Cost]]</f>
        <v>11049</v>
      </c>
      <c r="AA1066" s="5">
        <f>excelsalesdata[[#This Row],[Profit]]/excelsalesdata[[#This Row],[Net_sales]]</f>
        <v>0.21421508753562496</v>
      </c>
      <c r="AB1066" s="4">
        <f>YEAR(excelsalesdata[[#This Row],[Order_Date]])</f>
        <v>2028</v>
      </c>
      <c r="AC1066" s="4" t="str">
        <f>TEXT(excelsalesdata[[#This Row],[Order_Date]],"mmm")</f>
        <v>Mar</v>
      </c>
      <c r="AD1066" s="4" t="str">
        <f>"Q"&amp;ROUNDUP(MONTH(excelsalesdata[[#This Row],[Order_Date]])/3,0)</f>
        <v>Q1</v>
      </c>
    </row>
    <row r="1067" spans="1:30" x14ac:dyDescent="0.35">
      <c r="A1067" t="s">
        <v>1856</v>
      </c>
      <c r="B1067" s="3">
        <v>46825</v>
      </c>
      <c r="C1067" t="s">
        <v>506</v>
      </c>
      <c r="D1067" t="s">
        <v>368</v>
      </c>
      <c r="E1067" t="str">
        <f>TRIM(excelsalesdata[[#This Row],[Customer_Name]])</f>
        <v>Aditya Naidu</v>
      </c>
      <c r="F1067" t="s">
        <v>23</v>
      </c>
      <c r="G1067">
        <v>26</v>
      </c>
      <c r="H1067" t="s">
        <v>114</v>
      </c>
      <c r="I1067" t="str">
        <f>TRIM(excelsalesdata[[#This Row],[City]])</f>
        <v>Hyderabad</v>
      </c>
      <c r="J1067" t="s">
        <v>115</v>
      </c>
      <c r="K1067" t="s">
        <v>47</v>
      </c>
      <c r="L1067" t="s">
        <v>54</v>
      </c>
      <c r="M1067" t="s">
        <v>55</v>
      </c>
      <c r="N1067" t="s">
        <v>55</v>
      </c>
      <c r="O1067">
        <v>1</v>
      </c>
      <c r="P1067">
        <v>7280</v>
      </c>
      <c r="Q1067">
        <v>0.1</v>
      </c>
      <c r="R1067">
        <v>4720</v>
      </c>
      <c r="S1067" t="s">
        <v>29</v>
      </c>
      <c r="T1067" t="s">
        <v>74</v>
      </c>
      <c r="U1067">
        <v>3</v>
      </c>
      <c r="V1067" t="s">
        <v>40</v>
      </c>
      <c r="W1067">
        <f>excelsalesdata[[#This Row],[Quantity]]*excelsalesdata[[#This Row],[Unit_Price]]</f>
        <v>7280</v>
      </c>
      <c r="X1067">
        <f>excelsalesdata[[#This Row],[Gross_sales]]*excelsalesdata[[#This Row],[Discount_%]]</f>
        <v>728</v>
      </c>
      <c r="Y1067">
        <f>excelsalesdata[[#This Row],[Gross_sales]]-excelsalesdata[[#This Row],[Discount_amt]]</f>
        <v>6552</v>
      </c>
      <c r="Z1067" s="4">
        <f>excelsalesdata[[#This Row],[Net_sales]]-excelsalesdata[[#This Row],[Cost]]</f>
        <v>1832</v>
      </c>
      <c r="AA1067" s="5">
        <f>excelsalesdata[[#This Row],[Profit]]/excelsalesdata[[#This Row],[Net_sales]]</f>
        <v>0.27960927960927962</v>
      </c>
      <c r="AB1067" s="4">
        <f>YEAR(excelsalesdata[[#This Row],[Order_Date]])</f>
        <v>2028</v>
      </c>
      <c r="AC1067" s="4" t="str">
        <f>TEXT(excelsalesdata[[#This Row],[Order_Date]],"mmm")</f>
        <v>Mar</v>
      </c>
      <c r="AD1067" s="4" t="str">
        <f>"Q"&amp;ROUNDUP(MONTH(excelsalesdata[[#This Row],[Order_Date]])/3,0)</f>
        <v>Q1</v>
      </c>
    </row>
    <row r="1068" spans="1:30" x14ac:dyDescent="0.35">
      <c r="A1068" t="s">
        <v>1857</v>
      </c>
      <c r="B1068" s="3">
        <v>46826</v>
      </c>
      <c r="C1068" t="s">
        <v>1858</v>
      </c>
      <c r="D1068" t="s">
        <v>566</v>
      </c>
      <c r="E1068" t="str">
        <f>TRIM(excelsalesdata[[#This Row],[Customer_Name]])</f>
        <v>Sneha Reddy</v>
      </c>
      <c r="F1068" t="s">
        <v>23</v>
      </c>
      <c r="G1068">
        <v>23</v>
      </c>
      <c r="H1068" t="s">
        <v>60</v>
      </c>
      <c r="I1068" t="str">
        <f>TRIM(excelsalesdata[[#This Row],[City]])</f>
        <v>Chandigarh</v>
      </c>
      <c r="J1068" t="s">
        <v>60</v>
      </c>
      <c r="K1068" t="s">
        <v>61</v>
      </c>
      <c r="L1068" t="s">
        <v>54</v>
      </c>
      <c r="M1068" t="s">
        <v>62</v>
      </c>
      <c r="N1068" t="s">
        <v>62</v>
      </c>
      <c r="O1068">
        <v>1</v>
      </c>
      <c r="P1068">
        <v>20630</v>
      </c>
      <c r="Q1068">
        <v>0.2</v>
      </c>
      <c r="R1068">
        <v>15560</v>
      </c>
      <c r="S1068" t="s">
        <v>151</v>
      </c>
      <c r="T1068" t="s">
        <v>30</v>
      </c>
      <c r="U1068">
        <v>2</v>
      </c>
      <c r="V1068" t="s">
        <v>40</v>
      </c>
      <c r="W1068">
        <f>excelsalesdata[[#This Row],[Quantity]]*excelsalesdata[[#This Row],[Unit_Price]]</f>
        <v>20630</v>
      </c>
      <c r="X1068">
        <f>excelsalesdata[[#This Row],[Gross_sales]]*excelsalesdata[[#This Row],[Discount_%]]</f>
        <v>4126</v>
      </c>
      <c r="Y1068">
        <f>excelsalesdata[[#This Row],[Gross_sales]]-excelsalesdata[[#This Row],[Discount_amt]]</f>
        <v>16504</v>
      </c>
      <c r="Z1068" s="4">
        <f>excelsalesdata[[#This Row],[Net_sales]]-excelsalesdata[[#This Row],[Cost]]</f>
        <v>944</v>
      </c>
      <c r="AA1068" s="5">
        <f>excelsalesdata[[#This Row],[Profit]]/excelsalesdata[[#This Row],[Net_sales]]</f>
        <v>5.7198254968492485E-2</v>
      </c>
      <c r="AB1068" s="4">
        <f>YEAR(excelsalesdata[[#This Row],[Order_Date]])</f>
        <v>2028</v>
      </c>
      <c r="AC1068" s="4" t="str">
        <f>TEXT(excelsalesdata[[#This Row],[Order_Date]],"mmm")</f>
        <v>Mar</v>
      </c>
      <c r="AD1068" s="4" t="str">
        <f>"Q"&amp;ROUNDUP(MONTH(excelsalesdata[[#This Row],[Order_Date]])/3,0)</f>
        <v>Q1</v>
      </c>
    </row>
    <row r="1069" spans="1:30" x14ac:dyDescent="0.35">
      <c r="A1069" t="s">
        <v>1859</v>
      </c>
      <c r="B1069" s="3">
        <v>46827</v>
      </c>
      <c r="C1069" t="s">
        <v>1053</v>
      </c>
      <c r="D1069" t="s">
        <v>922</v>
      </c>
      <c r="E1069" t="str">
        <f>TRIM(excelsalesdata[[#This Row],[Customer_Name]])</f>
        <v>Arjun Kumar</v>
      </c>
      <c r="F1069" t="s">
        <v>44</v>
      </c>
      <c r="G1069">
        <v>43</v>
      </c>
      <c r="H1069" t="s">
        <v>133</v>
      </c>
      <c r="I1069" t="str">
        <f>TRIM(excelsalesdata[[#This Row],[City]])</f>
        <v>Jaipur</v>
      </c>
      <c r="J1069" t="s">
        <v>134</v>
      </c>
      <c r="K1069" t="s">
        <v>61</v>
      </c>
      <c r="L1069" t="s">
        <v>38</v>
      </c>
      <c r="M1069" t="s">
        <v>255</v>
      </c>
      <c r="N1069" t="s">
        <v>255</v>
      </c>
      <c r="O1069">
        <v>1</v>
      </c>
      <c r="P1069">
        <v>4400</v>
      </c>
      <c r="Q1069">
        <v>0.05</v>
      </c>
      <c r="R1069">
        <v>2810</v>
      </c>
      <c r="S1069" t="s">
        <v>29</v>
      </c>
      <c r="T1069" t="s">
        <v>30</v>
      </c>
      <c r="U1069">
        <v>5</v>
      </c>
      <c r="V1069" t="s">
        <v>40</v>
      </c>
      <c r="W1069">
        <f>excelsalesdata[[#This Row],[Quantity]]*excelsalesdata[[#This Row],[Unit_Price]]</f>
        <v>4400</v>
      </c>
      <c r="X1069">
        <f>excelsalesdata[[#This Row],[Gross_sales]]*excelsalesdata[[#This Row],[Discount_%]]</f>
        <v>220</v>
      </c>
      <c r="Y1069">
        <f>excelsalesdata[[#This Row],[Gross_sales]]-excelsalesdata[[#This Row],[Discount_amt]]</f>
        <v>4180</v>
      </c>
      <c r="Z1069" s="4">
        <f>excelsalesdata[[#This Row],[Net_sales]]-excelsalesdata[[#This Row],[Cost]]</f>
        <v>1370</v>
      </c>
      <c r="AA1069" s="5">
        <f>excelsalesdata[[#This Row],[Profit]]/excelsalesdata[[#This Row],[Net_sales]]</f>
        <v>0.32775119617224879</v>
      </c>
      <c r="AB1069" s="4">
        <f>YEAR(excelsalesdata[[#This Row],[Order_Date]])</f>
        <v>2028</v>
      </c>
      <c r="AC1069" s="4" t="str">
        <f>TEXT(excelsalesdata[[#This Row],[Order_Date]],"mmm")</f>
        <v>Mar</v>
      </c>
      <c r="AD1069" s="4" t="str">
        <f>"Q"&amp;ROUNDUP(MONTH(excelsalesdata[[#This Row],[Order_Date]])/3,0)</f>
        <v>Q1</v>
      </c>
    </row>
    <row r="1070" spans="1:30" x14ac:dyDescent="0.35">
      <c r="A1070" t="s">
        <v>1860</v>
      </c>
      <c r="B1070" s="3">
        <v>46828</v>
      </c>
      <c r="C1070" t="s">
        <v>688</v>
      </c>
      <c r="D1070" t="s">
        <v>1216</v>
      </c>
      <c r="E1070" t="str">
        <f>TRIM(excelsalesdata[[#This Row],[Customer_Name]])</f>
        <v>Diya Sharma</v>
      </c>
      <c r="F1070" t="s">
        <v>23</v>
      </c>
      <c r="G1070">
        <v>18</v>
      </c>
      <c r="H1070" t="s">
        <v>133</v>
      </c>
      <c r="I1070" t="str">
        <f>TRIM(excelsalesdata[[#This Row],[City]])</f>
        <v>Jaipur</v>
      </c>
      <c r="J1070" t="s">
        <v>134</v>
      </c>
      <c r="K1070" t="s">
        <v>61</v>
      </c>
      <c r="L1070" t="s">
        <v>93</v>
      </c>
      <c r="M1070" t="s">
        <v>718</v>
      </c>
      <c r="N1070" t="s">
        <v>718</v>
      </c>
      <c r="O1070">
        <v>3</v>
      </c>
      <c r="P1070">
        <v>1810</v>
      </c>
      <c r="Q1070">
        <v>0.05</v>
      </c>
      <c r="R1070">
        <v>940</v>
      </c>
      <c r="S1070" t="s">
        <v>105</v>
      </c>
      <c r="T1070" t="s">
        <v>74</v>
      </c>
      <c r="U1070">
        <v>1</v>
      </c>
      <c r="V1070" t="s">
        <v>31</v>
      </c>
      <c r="W1070">
        <f>excelsalesdata[[#This Row],[Quantity]]*excelsalesdata[[#This Row],[Unit_Price]]</f>
        <v>5430</v>
      </c>
      <c r="X1070">
        <f>excelsalesdata[[#This Row],[Gross_sales]]*excelsalesdata[[#This Row],[Discount_%]]</f>
        <v>271.5</v>
      </c>
      <c r="Y1070">
        <f>excelsalesdata[[#This Row],[Gross_sales]]-excelsalesdata[[#This Row],[Discount_amt]]</f>
        <v>5158.5</v>
      </c>
      <c r="Z1070" s="4">
        <f>excelsalesdata[[#This Row],[Net_sales]]-excelsalesdata[[#This Row],[Cost]]</f>
        <v>4218.5</v>
      </c>
      <c r="AA1070" s="5">
        <f>excelsalesdata[[#This Row],[Profit]]/excelsalesdata[[#This Row],[Net_sales]]</f>
        <v>0.81777648541242609</v>
      </c>
      <c r="AB1070" s="4">
        <f>YEAR(excelsalesdata[[#This Row],[Order_Date]])</f>
        <v>2028</v>
      </c>
      <c r="AC1070" s="4" t="str">
        <f>TEXT(excelsalesdata[[#This Row],[Order_Date]],"mmm")</f>
        <v>Mar</v>
      </c>
      <c r="AD1070" s="4" t="str">
        <f>"Q"&amp;ROUNDUP(MONTH(excelsalesdata[[#This Row],[Order_Date]])/3,0)</f>
        <v>Q1</v>
      </c>
    </row>
    <row r="1071" spans="1:30" x14ac:dyDescent="0.35">
      <c r="A1071" t="s">
        <v>1861</v>
      </c>
      <c r="B1071" s="3">
        <v>46829</v>
      </c>
      <c r="C1071" t="s">
        <v>1414</v>
      </c>
      <c r="D1071" t="s">
        <v>325</v>
      </c>
      <c r="E1071" t="str">
        <f>TRIM(excelsalesdata[[#This Row],[Customer_Name]])</f>
        <v>Ishita Iyer</v>
      </c>
      <c r="F1071" t="s">
        <v>23</v>
      </c>
      <c r="G1071">
        <v>27</v>
      </c>
      <c r="H1071" t="s">
        <v>52</v>
      </c>
      <c r="I1071" t="str">
        <f>TRIM(excelsalesdata[[#This Row],[City]])</f>
        <v>Bengaluru</v>
      </c>
      <c r="J1071" t="s">
        <v>53</v>
      </c>
      <c r="K1071" t="s">
        <v>47</v>
      </c>
      <c r="L1071" t="s">
        <v>54</v>
      </c>
      <c r="M1071" t="s">
        <v>129</v>
      </c>
      <c r="N1071" t="s">
        <v>129</v>
      </c>
      <c r="O1071">
        <v>3</v>
      </c>
      <c r="P1071">
        <v>16680</v>
      </c>
      <c r="Q1071">
        <v>0.1</v>
      </c>
      <c r="R1071">
        <v>12030</v>
      </c>
      <c r="S1071" t="s">
        <v>80</v>
      </c>
      <c r="T1071" t="s">
        <v>30</v>
      </c>
      <c r="U1071">
        <v>3</v>
      </c>
      <c r="V1071" t="s">
        <v>31</v>
      </c>
      <c r="W1071">
        <f>excelsalesdata[[#This Row],[Quantity]]*excelsalesdata[[#This Row],[Unit_Price]]</f>
        <v>50040</v>
      </c>
      <c r="X1071">
        <f>excelsalesdata[[#This Row],[Gross_sales]]*excelsalesdata[[#This Row],[Discount_%]]</f>
        <v>5004</v>
      </c>
      <c r="Y1071">
        <f>excelsalesdata[[#This Row],[Gross_sales]]-excelsalesdata[[#This Row],[Discount_amt]]</f>
        <v>45036</v>
      </c>
      <c r="Z1071" s="4">
        <f>excelsalesdata[[#This Row],[Net_sales]]-excelsalesdata[[#This Row],[Cost]]</f>
        <v>33006</v>
      </c>
      <c r="AA1071" s="5">
        <f>excelsalesdata[[#This Row],[Profit]]/excelsalesdata[[#This Row],[Net_sales]]</f>
        <v>0.73288036237676524</v>
      </c>
      <c r="AB1071" s="4">
        <f>YEAR(excelsalesdata[[#This Row],[Order_Date]])</f>
        <v>2028</v>
      </c>
      <c r="AC1071" s="4" t="str">
        <f>TEXT(excelsalesdata[[#This Row],[Order_Date]],"mmm")</f>
        <v>Mar</v>
      </c>
      <c r="AD1071" s="4" t="str">
        <f>"Q"&amp;ROUNDUP(MONTH(excelsalesdata[[#This Row],[Order_Date]])/3,0)</f>
        <v>Q1</v>
      </c>
    </row>
    <row r="1072" spans="1:30" x14ac:dyDescent="0.35">
      <c r="A1072" t="s">
        <v>1862</v>
      </c>
      <c r="B1072" s="3">
        <v>46830</v>
      </c>
      <c r="C1072" t="s">
        <v>1144</v>
      </c>
      <c r="D1072" t="s">
        <v>563</v>
      </c>
      <c r="E1072" t="str">
        <f>TRIM(excelsalesdata[[#This Row],[Customer_Name]])</f>
        <v>Sneha Verma</v>
      </c>
      <c r="F1072" t="s">
        <v>23</v>
      </c>
      <c r="G1072">
        <v>50</v>
      </c>
      <c r="H1072" t="s">
        <v>78</v>
      </c>
      <c r="I1072" t="str">
        <f>TRIM(excelsalesdata[[#This Row],[City]])</f>
        <v>Guwahati</v>
      </c>
      <c r="J1072" t="s">
        <v>79</v>
      </c>
      <c r="K1072" t="s">
        <v>37</v>
      </c>
      <c r="L1072" t="s">
        <v>54</v>
      </c>
      <c r="M1072" t="s">
        <v>62</v>
      </c>
      <c r="N1072" t="s">
        <v>62</v>
      </c>
      <c r="O1072">
        <v>2</v>
      </c>
      <c r="P1072">
        <v>22090</v>
      </c>
      <c r="Q1072">
        <v>0.15</v>
      </c>
      <c r="R1072">
        <v>14760</v>
      </c>
      <c r="S1072" t="s">
        <v>105</v>
      </c>
      <c r="T1072" t="s">
        <v>81</v>
      </c>
      <c r="U1072">
        <v>0</v>
      </c>
      <c r="V1072" t="s">
        <v>31</v>
      </c>
      <c r="W1072">
        <f>excelsalesdata[[#This Row],[Quantity]]*excelsalesdata[[#This Row],[Unit_Price]]</f>
        <v>44180</v>
      </c>
      <c r="X1072">
        <f>excelsalesdata[[#This Row],[Gross_sales]]*excelsalesdata[[#This Row],[Discount_%]]</f>
        <v>6627</v>
      </c>
      <c r="Y1072">
        <f>excelsalesdata[[#This Row],[Gross_sales]]-excelsalesdata[[#This Row],[Discount_amt]]</f>
        <v>37553</v>
      </c>
      <c r="Z1072" s="4">
        <f>excelsalesdata[[#This Row],[Net_sales]]-excelsalesdata[[#This Row],[Cost]]</f>
        <v>22793</v>
      </c>
      <c r="AA1072" s="5">
        <f>excelsalesdata[[#This Row],[Profit]]/excelsalesdata[[#This Row],[Net_sales]]</f>
        <v>0.60695550288924982</v>
      </c>
      <c r="AB1072" s="4">
        <f>YEAR(excelsalesdata[[#This Row],[Order_Date]])</f>
        <v>2028</v>
      </c>
      <c r="AC1072" s="4" t="str">
        <f>TEXT(excelsalesdata[[#This Row],[Order_Date]],"mmm")</f>
        <v>Mar</v>
      </c>
      <c r="AD1072" s="4" t="str">
        <f>"Q"&amp;ROUNDUP(MONTH(excelsalesdata[[#This Row],[Order_Date]])/3,0)</f>
        <v>Q1</v>
      </c>
    </row>
    <row r="1073" spans="1:30" x14ac:dyDescent="0.35">
      <c r="A1073" t="s">
        <v>1863</v>
      </c>
      <c r="B1073" s="3">
        <v>46831</v>
      </c>
      <c r="C1073" t="s">
        <v>1864</v>
      </c>
      <c r="D1073" t="s">
        <v>619</v>
      </c>
      <c r="E1073" t="str">
        <f>TRIM(excelsalesdata[[#This Row],[Customer_Name]])</f>
        <v>Aarav Naidu</v>
      </c>
      <c r="F1073" t="s">
        <v>23</v>
      </c>
      <c r="G1073">
        <v>51</v>
      </c>
      <c r="H1073" t="s">
        <v>35</v>
      </c>
      <c r="I1073" t="str">
        <f>TRIM(excelsalesdata[[#This Row],[City]])</f>
        <v>Kolkata</v>
      </c>
      <c r="J1073" t="s">
        <v>36</v>
      </c>
      <c r="K1073" t="s">
        <v>37</v>
      </c>
      <c r="L1073" t="s">
        <v>27</v>
      </c>
      <c r="M1073" t="s">
        <v>28</v>
      </c>
      <c r="N1073" t="s">
        <v>28</v>
      </c>
      <c r="O1073">
        <v>3</v>
      </c>
      <c r="P1073">
        <v>3290</v>
      </c>
      <c r="Q1073">
        <v>0.2</v>
      </c>
      <c r="R1073">
        <v>2060</v>
      </c>
      <c r="S1073" t="s">
        <v>105</v>
      </c>
      <c r="T1073" t="s">
        <v>30</v>
      </c>
      <c r="U1073">
        <v>4</v>
      </c>
      <c r="V1073" t="s">
        <v>40</v>
      </c>
      <c r="W1073">
        <f>excelsalesdata[[#This Row],[Quantity]]*excelsalesdata[[#This Row],[Unit_Price]]</f>
        <v>9870</v>
      </c>
      <c r="X1073">
        <f>excelsalesdata[[#This Row],[Gross_sales]]*excelsalesdata[[#This Row],[Discount_%]]</f>
        <v>1974</v>
      </c>
      <c r="Y1073">
        <f>excelsalesdata[[#This Row],[Gross_sales]]-excelsalesdata[[#This Row],[Discount_amt]]</f>
        <v>7896</v>
      </c>
      <c r="Z1073" s="4">
        <f>excelsalesdata[[#This Row],[Net_sales]]-excelsalesdata[[#This Row],[Cost]]</f>
        <v>5836</v>
      </c>
      <c r="AA1073" s="5">
        <f>excelsalesdata[[#This Row],[Profit]]/excelsalesdata[[#This Row],[Net_sales]]</f>
        <v>0.73910840932117527</v>
      </c>
      <c r="AB1073" s="4">
        <f>YEAR(excelsalesdata[[#This Row],[Order_Date]])</f>
        <v>2028</v>
      </c>
      <c r="AC1073" s="4" t="str">
        <f>TEXT(excelsalesdata[[#This Row],[Order_Date]],"mmm")</f>
        <v>Mar</v>
      </c>
      <c r="AD1073" s="4" t="str">
        <f>"Q"&amp;ROUNDUP(MONTH(excelsalesdata[[#This Row],[Order_Date]])/3,0)</f>
        <v>Q1</v>
      </c>
    </row>
    <row r="1074" spans="1:30" x14ac:dyDescent="0.35">
      <c r="A1074" t="s">
        <v>1865</v>
      </c>
      <c r="B1074" s="3">
        <v>46832</v>
      </c>
      <c r="C1074" t="s">
        <v>1351</v>
      </c>
      <c r="D1074" t="s">
        <v>429</v>
      </c>
      <c r="E1074" t="str">
        <f>TRIM(excelsalesdata[[#This Row],[Customer_Name]])</f>
        <v>Arjun Patel</v>
      </c>
      <c r="F1074" t="s">
        <v>23</v>
      </c>
      <c r="G1074">
        <v>31</v>
      </c>
      <c r="H1074" t="s">
        <v>24</v>
      </c>
      <c r="I1074" t="str">
        <f>TRIM(excelsalesdata[[#This Row],[City]])</f>
        <v>Pune</v>
      </c>
      <c r="J1074" t="s">
        <v>25</v>
      </c>
      <c r="K1074" t="s">
        <v>26</v>
      </c>
      <c r="L1074" t="s">
        <v>27</v>
      </c>
      <c r="M1074" t="s">
        <v>295</v>
      </c>
      <c r="N1074" t="s">
        <v>295</v>
      </c>
      <c r="O1074">
        <v>1</v>
      </c>
      <c r="P1074">
        <v>4170</v>
      </c>
      <c r="Q1074">
        <v>0.05</v>
      </c>
      <c r="R1074">
        <v>2520</v>
      </c>
      <c r="S1074" t="s">
        <v>29</v>
      </c>
      <c r="T1074" t="s">
        <v>81</v>
      </c>
      <c r="U1074">
        <v>0</v>
      </c>
      <c r="V1074" t="s">
        <v>40</v>
      </c>
      <c r="W1074">
        <f>excelsalesdata[[#This Row],[Quantity]]*excelsalesdata[[#This Row],[Unit_Price]]</f>
        <v>4170</v>
      </c>
      <c r="X1074">
        <f>excelsalesdata[[#This Row],[Gross_sales]]*excelsalesdata[[#This Row],[Discount_%]]</f>
        <v>208.5</v>
      </c>
      <c r="Y1074">
        <f>excelsalesdata[[#This Row],[Gross_sales]]-excelsalesdata[[#This Row],[Discount_amt]]</f>
        <v>3961.5</v>
      </c>
      <c r="Z1074" s="4">
        <f>excelsalesdata[[#This Row],[Net_sales]]-excelsalesdata[[#This Row],[Cost]]</f>
        <v>1441.5</v>
      </c>
      <c r="AA1074" s="5">
        <f>excelsalesdata[[#This Row],[Profit]]/excelsalesdata[[#This Row],[Net_sales]]</f>
        <v>0.36387731919727379</v>
      </c>
      <c r="AB1074" s="4">
        <f>YEAR(excelsalesdata[[#This Row],[Order_Date]])</f>
        <v>2028</v>
      </c>
      <c r="AC1074" s="4" t="str">
        <f>TEXT(excelsalesdata[[#This Row],[Order_Date]],"mmm")</f>
        <v>Mar</v>
      </c>
      <c r="AD1074" s="4" t="str">
        <f>"Q"&amp;ROUNDUP(MONTH(excelsalesdata[[#This Row],[Order_Date]])/3,0)</f>
        <v>Q1</v>
      </c>
    </row>
    <row r="1075" spans="1:30" x14ac:dyDescent="0.35">
      <c r="A1075" t="s">
        <v>1866</v>
      </c>
      <c r="B1075" s="3">
        <v>46833</v>
      </c>
      <c r="C1075" t="s">
        <v>1223</v>
      </c>
      <c r="D1075" t="s">
        <v>160</v>
      </c>
      <c r="E1075" t="str">
        <f>TRIM(excelsalesdata[[#This Row],[Customer_Name]])</f>
        <v>Nisha Bhat</v>
      </c>
      <c r="F1075" t="s">
        <v>44</v>
      </c>
      <c r="G1075">
        <v>53</v>
      </c>
      <c r="H1075" t="s">
        <v>78</v>
      </c>
      <c r="I1075" t="str">
        <f>TRIM(excelsalesdata[[#This Row],[City]])</f>
        <v>Guwahati</v>
      </c>
      <c r="J1075" t="s">
        <v>79</v>
      </c>
      <c r="K1075" t="s">
        <v>37</v>
      </c>
      <c r="L1075" t="s">
        <v>103</v>
      </c>
      <c r="M1075" t="s">
        <v>178</v>
      </c>
      <c r="N1075" t="s">
        <v>178</v>
      </c>
      <c r="O1075">
        <v>1</v>
      </c>
      <c r="P1075">
        <v>1890</v>
      </c>
      <c r="Q1075">
        <v>0.05</v>
      </c>
      <c r="R1075">
        <v>960</v>
      </c>
      <c r="S1075" t="s">
        <v>80</v>
      </c>
      <c r="T1075" t="s">
        <v>30</v>
      </c>
      <c r="U1075">
        <v>1</v>
      </c>
      <c r="V1075" t="s">
        <v>40</v>
      </c>
      <c r="W1075">
        <f>excelsalesdata[[#This Row],[Quantity]]*excelsalesdata[[#This Row],[Unit_Price]]</f>
        <v>1890</v>
      </c>
      <c r="X1075">
        <f>excelsalesdata[[#This Row],[Gross_sales]]*excelsalesdata[[#This Row],[Discount_%]]</f>
        <v>94.5</v>
      </c>
      <c r="Y1075">
        <f>excelsalesdata[[#This Row],[Gross_sales]]-excelsalesdata[[#This Row],[Discount_amt]]</f>
        <v>1795.5</v>
      </c>
      <c r="Z1075" s="4">
        <f>excelsalesdata[[#This Row],[Net_sales]]-excelsalesdata[[#This Row],[Cost]]</f>
        <v>835.5</v>
      </c>
      <c r="AA1075" s="5">
        <f>excelsalesdata[[#This Row],[Profit]]/excelsalesdata[[#This Row],[Net_sales]]</f>
        <v>0.46532999164578109</v>
      </c>
      <c r="AB1075" s="4">
        <f>YEAR(excelsalesdata[[#This Row],[Order_Date]])</f>
        <v>2028</v>
      </c>
      <c r="AC1075" s="4" t="str">
        <f>TEXT(excelsalesdata[[#This Row],[Order_Date]],"mmm")</f>
        <v>Mar</v>
      </c>
      <c r="AD1075" s="4" t="str">
        <f>"Q"&amp;ROUNDUP(MONTH(excelsalesdata[[#This Row],[Order_Date]])/3,0)</f>
        <v>Q1</v>
      </c>
    </row>
    <row r="1076" spans="1:30" x14ac:dyDescent="0.35">
      <c r="A1076" t="s">
        <v>1867</v>
      </c>
      <c r="B1076" s="3">
        <v>46834</v>
      </c>
      <c r="C1076" t="s">
        <v>1365</v>
      </c>
      <c r="D1076" t="s">
        <v>1381</v>
      </c>
      <c r="E1076" t="str">
        <f>TRIM(excelsalesdata[[#This Row],[Customer_Name]])</f>
        <v>Aditya Joshi</v>
      </c>
      <c r="F1076" t="s">
        <v>23</v>
      </c>
      <c r="G1076">
        <v>49</v>
      </c>
      <c r="H1076" t="s">
        <v>78</v>
      </c>
      <c r="I1076" t="str">
        <f>TRIM(excelsalesdata[[#This Row],[City]])</f>
        <v>Guwahati</v>
      </c>
      <c r="J1076" t="s">
        <v>79</v>
      </c>
      <c r="K1076" t="s">
        <v>37</v>
      </c>
      <c r="L1076" t="s">
        <v>103</v>
      </c>
      <c r="M1076" t="s">
        <v>104</v>
      </c>
      <c r="N1076" t="s">
        <v>104</v>
      </c>
      <c r="O1076">
        <v>1</v>
      </c>
      <c r="P1076">
        <v>9110</v>
      </c>
      <c r="Q1076">
        <v>0.25</v>
      </c>
      <c r="R1076">
        <v>5330</v>
      </c>
      <c r="S1076" t="s">
        <v>29</v>
      </c>
      <c r="T1076" t="s">
        <v>74</v>
      </c>
      <c r="U1076">
        <v>3</v>
      </c>
      <c r="V1076" t="s">
        <v>31</v>
      </c>
      <c r="W1076">
        <f>excelsalesdata[[#This Row],[Quantity]]*excelsalesdata[[#This Row],[Unit_Price]]</f>
        <v>9110</v>
      </c>
      <c r="X1076">
        <f>excelsalesdata[[#This Row],[Gross_sales]]*excelsalesdata[[#This Row],[Discount_%]]</f>
        <v>2277.5</v>
      </c>
      <c r="Y1076">
        <f>excelsalesdata[[#This Row],[Gross_sales]]-excelsalesdata[[#This Row],[Discount_amt]]</f>
        <v>6832.5</v>
      </c>
      <c r="Z1076" s="4">
        <f>excelsalesdata[[#This Row],[Net_sales]]-excelsalesdata[[#This Row],[Cost]]</f>
        <v>1502.5</v>
      </c>
      <c r="AA1076" s="5">
        <f>excelsalesdata[[#This Row],[Profit]]/excelsalesdata[[#This Row],[Net_sales]]</f>
        <v>0.2199048664471277</v>
      </c>
      <c r="AB1076" s="4">
        <f>YEAR(excelsalesdata[[#This Row],[Order_Date]])</f>
        <v>2028</v>
      </c>
      <c r="AC1076" s="4" t="str">
        <f>TEXT(excelsalesdata[[#This Row],[Order_Date]],"mmm")</f>
        <v>Mar</v>
      </c>
      <c r="AD1076" s="4" t="str">
        <f>"Q"&amp;ROUNDUP(MONTH(excelsalesdata[[#This Row],[Order_Date]])/3,0)</f>
        <v>Q1</v>
      </c>
    </row>
    <row r="1077" spans="1:30" x14ac:dyDescent="0.35">
      <c r="A1077" t="s">
        <v>1868</v>
      </c>
      <c r="B1077" s="3">
        <v>46835</v>
      </c>
      <c r="C1077" t="s">
        <v>1278</v>
      </c>
      <c r="D1077" t="s">
        <v>1226</v>
      </c>
      <c r="E1077" t="str">
        <f>TRIM(excelsalesdata[[#This Row],[Customer_Name]])</f>
        <v>Vikram Reddy</v>
      </c>
      <c r="F1077" t="s">
        <v>44</v>
      </c>
      <c r="G1077">
        <v>54</v>
      </c>
      <c r="H1077" t="s">
        <v>133</v>
      </c>
      <c r="I1077" t="str">
        <f>TRIM(excelsalesdata[[#This Row],[City]])</f>
        <v>Jaipur</v>
      </c>
      <c r="J1077" t="s">
        <v>134</v>
      </c>
      <c r="K1077" t="s">
        <v>61</v>
      </c>
      <c r="L1077" t="s">
        <v>54</v>
      </c>
      <c r="M1077" t="s">
        <v>66</v>
      </c>
      <c r="N1077" t="s">
        <v>66</v>
      </c>
      <c r="O1077">
        <v>2</v>
      </c>
      <c r="P1077">
        <v>2420</v>
      </c>
      <c r="Q1077">
        <v>0</v>
      </c>
      <c r="R1077">
        <v>1550</v>
      </c>
      <c r="S1077" t="s">
        <v>67</v>
      </c>
      <c r="T1077" t="s">
        <v>30</v>
      </c>
      <c r="U1077">
        <v>4</v>
      </c>
      <c r="V1077" t="s">
        <v>40</v>
      </c>
      <c r="W1077">
        <f>excelsalesdata[[#This Row],[Quantity]]*excelsalesdata[[#This Row],[Unit_Price]]</f>
        <v>4840</v>
      </c>
      <c r="X1077">
        <f>excelsalesdata[[#This Row],[Gross_sales]]*excelsalesdata[[#This Row],[Discount_%]]</f>
        <v>0</v>
      </c>
      <c r="Y1077">
        <f>excelsalesdata[[#This Row],[Gross_sales]]-excelsalesdata[[#This Row],[Discount_amt]]</f>
        <v>4840</v>
      </c>
      <c r="Z1077" s="4">
        <f>excelsalesdata[[#This Row],[Net_sales]]-excelsalesdata[[#This Row],[Cost]]</f>
        <v>3290</v>
      </c>
      <c r="AA1077" s="5">
        <f>excelsalesdata[[#This Row],[Profit]]/excelsalesdata[[#This Row],[Net_sales]]</f>
        <v>0.67975206611570249</v>
      </c>
      <c r="AB1077" s="4">
        <f>YEAR(excelsalesdata[[#This Row],[Order_Date]])</f>
        <v>2028</v>
      </c>
      <c r="AC1077" s="4" t="str">
        <f>TEXT(excelsalesdata[[#This Row],[Order_Date]],"mmm")</f>
        <v>Mar</v>
      </c>
      <c r="AD1077" s="4" t="str">
        <f>"Q"&amp;ROUNDUP(MONTH(excelsalesdata[[#This Row],[Order_Date]])/3,0)</f>
        <v>Q1</v>
      </c>
    </row>
    <row r="1078" spans="1:30" x14ac:dyDescent="0.35">
      <c r="A1078" t="s">
        <v>1869</v>
      </c>
      <c r="B1078" s="3">
        <v>46836</v>
      </c>
      <c r="C1078" t="s">
        <v>1189</v>
      </c>
      <c r="D1078" t="s">
        <v>1604</v>
      </c>
      <c r="E1078" t="str">
        <f>TRIM(excelsalesdata[[#This Row],[Customer_Name]])</f>
        <v>Vivaan Gupta</v>
      </c>
      <c r="F1078" t="s">
        <v>23</v>
      </c>
      <c r="G1078">
        <v>24</v>
      </c>
      <c r="H1078" t="s">
        <v>60</v>
      </c>
      <c r="I1078" t="str">
        <f>TRIM(excelsalesdata[[#This Row],[City]])</f>
        <v>Chandigarh</v>
      </c>
      <c r="J1078" t="s">
        <v>60</v>
      </c>
      <c r="K1078" t="s">
        <v>61</v>
      </c>
      <c r="L1078" t="s">
        <v>27</v>
      </c>
      <c r="M1078" t="s">
        <v>195</v>
      </c>
      <c r="N1078" t="s">
        <v>195</v>
      </c>
      <c r="O1078">
        <v>1</v>
      </c>
      <c r="P1078">
        <v>2070</v>
      </c>
      <c r="Q1078">
        <v>0.1</v>
      </c>
      <c r="R1078">
        <v>1260</v>
      </c>
      <c r="S1078" t="s">
        <v>29</v>
      </c>
      <c r="T1078" t="s">
        <v>30</v>
      </c>
      <c r="U1078">
        <v>3</v>
      </c>
      <c r="V1078" t="s">
        <v>40</v>
      </c>
      <c r="W1078">
        <f>excelsalesdata[[#This Row],[Quantity]]*excelsalesdata[[#This Row],[Unit_Price]]</f>
        <v>2070</v>
      </c>
      <c r="X1078">
        <f>excelsalesdata[[#This Row],[Gross_sales]]*excelsalesdata[[#This Row],[Discount_%]]</f>
        <v>207</v>
      </c>
      <c r="Y1078">
        <f>excelsalesdata[[#This Row],[Gross_sales]]-excelsalesdata[[#This Row],[Discount_amt]]</f>
        <v>1863</v>
      </c>
      <c r="Z1078" s="4">
        <f>excelsalesdata[[#This Row],[Net_sales]]-excelsalesdata[[#This Row],[Cost]]</f>
        <v>603</v>
      </c>
      <c r="AA1078" s="5">
        <f>excelsalesdata[[#This Row],[Profit]]/excelsalesdata[[#This Row],[Net_sales]]</f>
        <v>0.32367149758454106</v>
      </c>
      <c r="AB1078" s="4">
        <f>YEAR(excelsalesdata[[#This Row],[Order_Date]])</f>
        <v>2028</v>
      </c>
      <c r="AC1078" s="4" t="str">
        <f>TEXT(excelsalesdata[[#This Row],[Order_Date]],"mmm")</f>
        <v>Mar</v>
      </c>
      <c r="AD1078" s="4" t="str">
        <f>"Q"&amp;ROUNDUP(MONTH(excelsalesdata[[#This Row],[Order_Date]])/3,0)</f>
        <v>Q1</v>
      </c>
    </row>
    <row r="1079" spans="1:30" x14ac:dyDescent="0.35">
      <c r="A1079" t="s">
        <v>1870</v>
      </c>
      <c r="B1079" s="3">
        <v>46837</v>
      </c>
      <c r="C1079" t="s">
        <v>688</v>
      </c>
      <c r="D1079" t="s">
        <v>231</v>
      </c>
      <c r="E1079" t="str">
        <f>TRIM(excelsalesdata[[#This Row],[Customer_Name]])</f>
        <v>Ananya Verma</v>
      </c>
      <c r="F1079" t="s">
        <v>44</v>
      </c>
      <c r="G1079">
        <v>28</v>
      </c>
      <c r="H1079" t="s">
        <v>45</v>
      </c>
      <c r="I1079" t="str">
        <f>TRIM(excelsalesdata[[#This Row],[City]])</f>
        <v>Kochi</v>
      </c>
      <c r="J1079" t="s">
        <v>46</v>
      </c>
      <c r="K1079" t="s">
        <v>47</v>
      </c>
      <c r="L1079" t="s">
        <v>38</v>
      </c>
      <c r="M1079" t="s">
        <v>39</v>
      </c>
      <c r="N1079" t="s">
        <v>39</v>
      </c>
      <c r="O1079">
        <v>1</v>
      </c>
      <c r="P1079">
        <v>6690</v>
      </c>
      <c r="Q1079">
        <v>0.1</v>
      </c>
      <c r="R1079">
        <v>4300</v>
      </c>
      <c r="S1079" t="s">
        <v>29</v>
      </c>
      <c r="T1079" t="s">
        <v>30</v>
      </c>
      <c r="U1079">
        <v>3</v>
      </c>
      <c r="V1079" t="s">
        <v>31</v>
      </c>
      <c r="W1079">
        <f>excelsalesdata[[#This Row],[Quantity]]*excelsalesdata[[#This Row],[Unit_Price]]</f>
        <v>6690</v>
      </c>
      <c r="X1079">
        <f>excelsalesdata[[#This Row],[Gross_sales]]*excelsalesdata[[#This Row],[Discount_%]]</f>
        <v>669</v>
      </c>
      <c r="Y1079">
        <f>excelsalesdata[[#This Row],[Gross_sales]]-excelsalesdata[[#This Row],[Discount_amt]]</f>
        <v>6021</v>
      </c>
      <c r="Z1079" s="4">
        <f>excelsalesdata[[#This Row],[Net_sales]]-excelsalesdata[[#This Row],[Cost]]</f>
        <v>1721</v>
      </c>
      <c r="AA1079" s="5">
        <f>excelsalesdata[[#This Row],[Profit]]/excelsalesdata[[#This Row],[Net_sales]]</f>
        <v>0.28583291811991363</v>
      </c>
      <c r="AB1079" s="4">
        <f>YEAR(excelsalesdata[[#This Row],[Order_Date]])</f>
        <v>2028</v>
      </c>
      <c r="AC1079" s="4" t="str">
        <f>TEXT(excelsalesdata[[#This Row],[Order_Date]],"mmm")</f>
        <v>Mar</v>
      </c>
      <c r="AD1079" s="4" t="str">
        <f>"Q"&amp;ROUNDUP(MONTH(excelsalesdata[[#This Row],[Order_Date]])/3,0)</f>
        <v>Q1</v>
      </c>
    </row>
    <row r="1080" spans="1:30" x14ac:dyDescent="0.35">
      <c r="A1080" t="s">
        <v>1871</v>
      </c>
      <c r="B1080" s="3">
        <v>46838</v>
      </c>
      <c r="C1080" t="s">
        <v>213</v>
      </c>
      <c r="D1080" t="s">
        <v>51</v>
      </c>
      <c r="E1080" t="str">
        <f>TRIM(excelsalesdata[[#This Row],[Customer_Name]])</f>
        <v>Sneha Iyer</v>
      </c>
      <c r="F1080" t="s">
        <v>23</v>
      </c>
      <c r="G1080">
        <v>39</v>
      </c>
      <c r="H1080" t="s">
        <v>114</v>
      </c>
      <c r="I1080" t="str">
        <f>TRIM(excelsalesdata[[#This Row],[City]])</f>
        <v>Hyderabad</v>
      </c>
      <c r="J1080" t="s">
        <v>115</v>
      </c>
      <c r="K1080" t="s">
        <v>47</v>
      </c>
      <c r="L1080" t="s">
        <v>54</v>
      </c>
      <c r="M1080" t="s">
        <v>129</v>
      </c>
      <c r="N1080" t="s">
        <v>129</v>
      </c>
      <c r="O1080">
        <v>1</v>
      </c>
      <c r="P1080">
        <v>17390</v>
      </c>
      <c r="Q1080">
        <v>0.1</v>
      </c>
      <c r="R1080">
        <v>12670</v>
      </c>
      <c r="S1080" t="s">
        <v>29</v>
      </c>
      <c r="T1080" t="s">
        <v>30</v>
      </c>
      <c r="U1080">
        <v>3</v>
      </c>
      <c r="V1080" t="s">
        <v>40</v>
      </c>
      <c r="W1080">
        <f>excelsalesdata[[#This Row],[Quantity]]*excelsalesdata[[#This Row],[Unit_Price]]</f>
        <v>17390</v>
      </c>
      <c r="X1080">
        <f>excelsalesdata[[#This Row],[Gross_sales]]*excelsalesdata[[#This Row],[Discount_%]]</f>
        <v>1739</v>
      </c>
      <c r="Y1080">
        <f>excelsalesdata[[#This Row],[Gross_sales]]-excelsalesdata[[#This Row],[Discount_amt]]</f>
        <v>15651</v>
      </c>
      <c r="Z1080" s="4">
        <f>excelsalesdata[[#This Row],[Net_sales]]-excelsalesdata[[#This Row],[Cost]]</f>
        <v>2981</v>
      </c>
      <c r="AA1080" s="5">
        <f>excelsalesdata[[#This Row],[Profit]]/excelsalesdata[[#This Row],[Net_sales]]</f>
        <v>0.19046706280748835</v>
      </c>
      <c r="AB1080" s="4">
        <f>YEAR(excelsalesdata[[#This Row],[Order_Date]])</f>
        <v>2028</v>
      </c>
      <c r="AC1080" s="4" t="str">
        <f>TEXT(excelsalesdata[[#This Row],[Order_Date]],"mmm")</f>
        <v>Mar</v>
      </c>
      <c r="AD1080" s="4" t="str">
        <f>"Q"&amp;ROUNDUP(MONTH(excelsalesdata[[#This Row],[Order_Date]])/3,0)</f>
        <v>Q1</v>
      </c>
    </row>
    <row r="1081" spans="1:30" x14ac:dyDescent="0.35">
      <c r="A1081" t="s">
        <v>1872</v>
      </c>
      <c r="B1081" s="3">
        <v>46839</v>
      </c>
      <c r="C1081" t="s">
        <v>730</v>
      </c>
      <c r="D1081" t="s">
        <v>519</v>
      </c>
      <c r="E1081" t="str">
        <f>TRIM(excelsalesdata[[#This Row],[Customer_Name]])</f>
        <v>Kavya Das</v>
      </c>
      <c r="F1081" t="s">
        <v>23</v>
      </c>
      <c r="G1081">
        <v>56</v>
      </c>
      <c r="H1081" t="s">
        <v>60</v>
      </c>
      <c r="I1081" t="str">
        <f>TRIM(excelsalesdata[[#This Row],[City]])</f>
        <v>Chandigarh</v>
      </c>
      <c r="J1081" t="s">
        <v>60</v>
      </c>
      <c r="K1081" t="s">
        <v>61</v>
      </c>
      <c r="L1081" t="s">
        <v>38</v>
      </c>
      <c r="M1081" t="s">
        <v>39</v>
      </c>
      <c r="N1081" t="s">
        <v>39</v>
      </c>
      <c r="O1081">
        <v>1</v>
      </c>
      <c r="P1081">
        <v>6730</v>
      </c>
      <c r="Q1081">
        <v>0.1</v>
      </c>
      <c r="R1081">
        <v>4270</v>
      </c>
      <c r="S1081" t="s">
        <v>80</v>
      </c>
      <c r="T1081" t="s">
        <v>30</v>
      </c>
      <c r="U1081">
        <v>3</v>
      </c>
      <c r="V1081" t="s">
        <v>40</v>
      </c>
      <c r="W1081">
        <f>excelsalesdata[[#This Row],[Quantity]]*excelsalesdata[[#This Row],[Unit_Price]]</f>
        <v>6730</v>
      </c>
      <c r="X1081">
        <f>excelsalesdata[[#This Row],[Gross_sales]]*excelsalesdata[[#This Row],[Discount_%]]</f>
        <v>673</v>
      </c>
      <c r="Y1081">
        <f>excelsalesdata[[#This Row],[Gross_sales]]-excelsalesdata[[#This Row],[Discount_amt]]</f>
        <v>6057</v>
      </c>
      <c r="Z1081" s="4">
        <f>excelsalesdata[[#This Row],[Net_sales]]-excelsalesdata[[#This Row],[Cost]]</f>
        <v>1787</v>
      </c>
      <c r="AA1081" s="5">
        <f>excelsalesdata[[#This Row],[Profit]]/excelsalesdata[[#This Row],[Net_sales]]</f>
        <v>0.29503054317318805</v>
      </c>
      <c r="AB1081" s="4">
        <f>YEAR(excelsalesdata[[#This Row],[Order_Date]])</f>
        <v>2028</v>
      </c>
      <c r="AC1081" s="4" t="str">
        <f>TEXT(excelsalesdata[[#This Row],[Order_Date]],"mmm")</f>
        <v>Mar</v>
      </c>
      <c r="AD1081" s="4" t="str">
        <f>"Q"&amp;ROUNDUP(MONTH(excelsalesdata[[#This Row],[Order_Date]])/3,0)</f>
        <v>Q1</v>
      </c>
    </row>
    <row r="1082" spans="1:30" x14ac:dyDescent="0.35">
      <c r="A1082" t="s">
        <v>1873</v>
      </c>
      <c r="B1082" s="3">
        <v>46840</v>
      </c>
      <c r="C1082" t="s">
        <v>121</v>
      </c>
      <c r="D1082" t="s">
        <v>534</v>
      </c>
      <c r="E1082" t="str">
        <f>TRIM(excelsalesdata[[#This Row],[Customer_Name]])</f>
        <v>Ananya Kumar</v>
      </c>
      <c r="F1082" t="s">
        <v>44</v>
      </c>
      <c r="G1082">
        <v>54</v>
      </c>
      <c r="H1082" t="s">
        <v>114</v>
      </c>
      <c r="I1082" t="str">
        <f>TRIM(excelsalesdata[[#This Row],[City]])</f>
        <v>Hyderabad</v>
      </c>
      <c r="J1082" t="s">
        <v>115</v>
      </c>
      <c r="K1082" t="s">
        <v>47</v>
      </c>
      <c r="L1082" t="s">
        <v>103</v>
      </c>
      <c r="M1082" t="s">
        <v>178</v>
      </c>
      <c r="N1082" t="s">
        <v>178</v>
      </c>
      <c r="O1082">
        <v>4</v>
      </c>
      <c r="P1082">
        <v>1910</v>
      </c>
      <c r="Q1082">
        <v>0.05</v>
      </c>
      <c r="R1082">
        <v>950</v>
      </c>
      <c r="S1082" t="s">
        <v>56</v>
      </c>
      <c r="T1082" t="s">
        <v>30</v>
      </c>
      <c r="U1082">
        <v>3</v>
      </c>
      <c r="V1082" t="s">
        <v>31</v>
      </c>
      <c r="W1082">
        <f>excelsalesdata[[#This Row],[Quantity]]*excelsalesdata[[#This Row],[Unit_Price]]</f>
        <v>7640</v>
      </c>
      <c r="X1082">
        <f>excelsalesdata[[#This Row],[Gross_sales]]*excelsalesdata[[#This Row],[Discount_%]]</f>
        <v>382</v>
      </c>
      <c r="Y1082">
        <f>excelsalesdata[[#This Row],[Gross_sales]]-excelsalesdata[[#This Row],[Discount_amt]]</f>
        <v>7258</v>
      </c>
      <c r="Z1082" s="4">
        <f>excelsalesdata[[#This Row],[Net_sales]]-excelsalesdata[[#This Row],[Cost]]</f>
        <v>6308</v>
      </c>
      <c r="AA1082" s="5">
        <f>excelsalesdata[[#This Row],[Profit]]/excelsalesdata[[#This Row],[Net_sales]]</f>
        <v>0.86910994764397909</v>
      </c>
      <c r="AB1082" s="4">
        <f>YEAR(excelsalesdata[[#This Row],[Order_Date]])</f>
        <v>2028</v>
      </c>
      <c r="AC1082" s="4" t="str">
        <f>TEXT(excelsalesdata[[#This Row],[Order_Date]],"mmm")</f>
        <v>Mar</v>
      </c>
      <c r="AD1082" s="4" t="str">
        <f>"Q"&amp;ROUNDUP(MONTH(excelsalesdata[[#This Row],[Order_Date]])/3,0)</f>
        <v>Q1</v>
      </c>
    </row>
    <row r="1083" spans="1:30" x14ac:dyDescent="0.35">
      <c r="A1083" t="s">
        <v>1874</v>
      </c>
      <c r="B1083" s="3">
        <v>46841</v>
      </c>
      <c r="C1083" t="s">
        <v>517</v>
      </c>
      <c r="D1083" t="s">
        <v>988</v>
      </c>
      <c r="E1083" t="str">
        <f>TRIM(excelsalesdata[[#This Row],[Customer_Name]])</f>
        <v>Vikram Das</v>
      </c>
      <c r="F1083" t="s">
        <v>23</v>
      </c>
      <c r="G1083">
        <v>39</v>
      </c>
      <c r="H1083" t="s">
        <v>190</v>
      </c>
      <c r="I1083" t="str">
        <f>TRIM(excelsalesdata[[#This Row],[City]])</f>
        <v>Ahmedabad</v>
      </c>
      <c r="J1083" t="s">
        <v>191</v>
      </c>
      <c r="K1083" t="s">
        <v>26</v>
      </c>
      <c r="L1083" t="s">
        <v>103</v>
      </c>
      <c r="M1083" t="s">
        <v>347</v>
      </c>
      <c r="N1083" t="s">
        <v>347</v>
      </c>
      <c r="O1083">
        <v>5</v>
      </c>
      <c r="P1083">
        <v>12610</v>
      </c>
      <c r="Q1083">
        <v>0.2</v>
      </c>
      <c r="R1083">
        <v>8300</v>
      </c>
      <c r="S1083" t="s">
        <v>67</v>
      </c>
      <c r="T1083" t="s">
        <v>30</v>
      </c>
      <c r="U1083">
        <v>5</v>
      </c>
      <c r="V1083" t="s">
        <v>40</v>
      </c>
      <c r="W1083">
        <f>excelsalesdata[[#This Row],[Quantity]]*excelsalesdata[[#This Row],[Unit_Price]]</f>
        <v>63050</v>
      </c>
      <c r="X1083">
        <f>excelsalesdata[[#This Row],[Gross_sales]]*excelsalesdata[[#This Row],[Discount_%]]</f>
        <v>12610</v>
      </c>
      <c r="Y1083">
        <f>excelsalesdata[[#This Row],[Gross_sales]]-excelsalesdata[[#This Row],[Discount_amt]]</f>
        <v>50440</v>
      </c>
      <c r="Z1083" s="4">
        <f>excelsalesdata[[#This Row],[Net_sales]]-excelsalesdata[[#This Row],[Cost]]</f>
        <v>42140</v>
      </c>
      <c r="AA1083" s="5">
        <f>excelsalesdata[[#This Row],[Profit]]/excelsalesdata[[#This Row],[Net_sales]]</f>
        <v>0.83544805709754166</v>
      </c>
      <c r="AB1083" s="4">
        <f>YEAR(excelsalesdata[[#This Row],[Order_Date]])</f>
        <v>2028</v>
      </c>
      <c r="AC1083" s="4" t="str">
        <f>TEXT(excelsalesdata[[#This Row],[Order_Date]],"mmm")</f>
        <v>Mar</v>
      </c>
      <c r="AD1083" s="4" t="str">
        <f>"Q"&amp;ROUNDUP(MONTH(excelsalesdata[[#This Row],[Order_Date]])/3,0)</f>
        <v>Q1</v>
      </c>
    </row>
    <row r="1084" spans="1:30" x14ac:dyDescent="0.35">
      <c r="A1084" t="s">
        <v>1875</v>
      </c>
      <c r="B1084" s="3">
        <v>46842</v>
      </c>
      <c r="C1084" t="s">
        <v>1065</v>
      </c>
      <c r="D1084" t="s">
        <v>984</v>
      </c>
      <c r="E1084" t="str">
        <f>TRIM(excelsalesdata[[#This Row],[Customer_Name]])</f>
        <v>Ananya Singh</v>
      </c>
      <c r="F1084" t="s">
        <v>23</v>
      </c>
      <c r="G1084">
        <v>20</v>
      </c>
      <c r="H1084" t="s">
        <v>109</v>
      </c>
      <c r="I1084" t="str">
        <f>TRIM(excelsalesdata[[#This Row],[City]])</f>
        <v>Mysuru</v>
      </c>
      <c r="J1084" t="s">
        <v>53</v>
      </c>
      <c r="K1084" t="s">
        <v>47</v>
      </c>
      <c r="L1084" t="s">
        <v>54</v>
      </c>
      <c r="M1084" t="s">
        <v>157</v>
      </c>
      <c r="N1084" t="s">
        <v>157</v>
      </c>
      <c r="O1084">
        <v>5</v>
      </c>
      <c r="P1084">
        <v>52910</v>
      </c>
      <c r="Q1084">
        <v>0.05</v>
      </c>
      <c r="R1084">
        <v>40240</v>
      </c>
      <c r="S1084" t="s">
        <v>105</v>
      </c>
      <c r="T1084" t="s">
        <v>30</v>
      </c>
      <c r="U1084">
        <v>3</v>
      </c>
      <c r="V1084" t="s">
        <v>31</v>
      </c>
      <c r="W1084">
        <f>excelsalesdata[[#This Row],[Quantity]]*excelsalesdata[[#This Row],[Unit_Price]]</f>
        <v>264550</v>
      </c>
      <c r="X1084">
        <f>excelsalesdata[[#This Row],[Gross_sales]]*excelsalesdata[[#This Row],[Discount_%]]</f>
        <v>13227.5</v>
      </c>
      <c r="Y1084">
        <f>excelsalesdata[[#This Row],[Gross_sales]]-excelsalesdata[[#This Row],[Discount_amt]]</f>
        <v>251322.5</v>
      </c>
      <c r="Z1084" s="4">
        <f>excelsalesdata[[#This Row],[Net_sales]]-excelsalesdata[[#This Row],[Cost]]</f>
        <v>211082.5</v>
      </c>
      <c r="AA1084" s="5">
        <f>excelsalesdata[[#This Row],[Profit]]/excelsalesdata[[#This Row],[Net_sales]]</f>
        <v>0.83988699778173459</v>
      </c>
      <c r="AB1084" s="4">
        <f>YEAR(excelsalesdata[[#This Row],[Order_Date]])</f>
        <v>2028</v>
      </c>
      <c r="AC1084" s="4" t="str">
        <f>TEXT(excelsalesdata[[#This Row],[Order_Date]],"mmm")</f>
        <v>Mar</v>
      </c>
      <c r="AD1084" s="4" t="str">
        <f>"Q"&amp;ROUNDUP(MONTH(excelsalesdata[[#This Row],[Order_Date]])/3,0)</f>
        <v>Q1</v>
      </c>
    </row>
    <row r="1085" spans="1:30" x14ac:dyDescent="0.35">
      <c r="A1085" t="s">
        <v>1876</v>
      </c>
      <c r="B1085" s="3">
        <v>46843</v>
      </c>
      <c r="C1085" t="s">
        <v>929</v>
      </c>
      <c r="D1085" t="s">
        <v>160</v>
      </c>
      <c r="E1085" t="str">
        <f>TRIM(excelsalesdata[[#This Row],[Customer_Name]])</f>
        <v>Nisha Bhat</v>
      </c>
      <c r="F1085" t="s">
        <v>23</v>
      </c>
      <c r="G1085">
        <v>42</v>
      </c>
      <c r="H1085" t="s">
        <v>71</v>
      </c>
      <c r="I1085" t="str">
        <f>TRIM(excelsalesdata[[#This Row],[City]])</f>
        <v>Bhubaneswar</v>
      </c>
      <c r="J1085" t="s">
        <v>72</v>
      </c>
      <c r="K1085" t="s">
        <v>37</v>
      </c>
      <c r="L1085" t="s">
        <v>54</v>
      </c>
      <c r="M1085" t="s">
        <v>62</v>
      </c>
      <c r="N1085" t="s">
        <v>62</v>
      </c>
      <c r="O1085">
        <v>3</v>
      </c>
      <c r="P1085">
        <v>22870</v>
      </c>
      <c r="Q1085">
        <v>0.05</v>
      </c>
      <c r="R1085">
        <v>14840</v>
      </c>
      <c r="S1085" t="s">
        <v>151</v>
      </c>
      <c r="T1085" t="s">
        <v>30</v>
      </c>
      <c r="U1085">
        <v>5</v>
      </c>
      <c r="V1085" t="s">
        <v>40</v>
      </c>
      <c r="W1085">
        <f>excelsalesdata[[#This Row],[Quantity]]*excelsalesdata[[#This Row],[Unit_Price]]</f>
        <v>68610</v>
      </c>
      <c r="X1085">
        <f>excelsalesdata[[#This Row],[Gross_sales]]*excelsalesdata[[#This Row],[Discount_%]]</f>
        <v>3430.5</v>
      </c>
      <c r="Y1085">
        <f>excelsalesdata[[#This Row],[Gross_sales]]-excelsalesdata[[#This Row],[Discount_amt]]</f>
        <v>65179.5</v>
      </c>
      <c r="Z1085" s="4">
        <f>excelsalesdata[[#This Row],[Net_sales]]-excelsalesdata[[#This Row],[Cost]]</f>
        <v>50339.5</v>
      </c>
      <c r="AA1085" s="5">
        <f>excelsalesdata[[#This Row],[Profit]]/excelsalesdata[[#This Row],[Net_sales]]</f>
        <v>0.77232105186446653</v>
      </c>
      <c r="AB1085" s="4">
        <f>YEAR(excelsalesdata[[#This Row],[Order_Date]])</f>
        <v>2028</v>
      </c>
      <c r="AC1085" s="4" t="str">
        <f>TEXT(excelsalesdata[[#This Row],[Order_Date]],"mmm")</f>
        <v>Mar</v>
      </c>
      <c r="AD1085" s="4" t="str">
        <f>"Q"&amp;ROUNDUP(MONTH(excelsalesdata[[#This Row],[Order_Date]])/3,0)</f>
        <v>Q1</v>
      </c>
    </row>
    <row r="1086" spans="1:30" x14ac:dyDescent="0.35">
      <c r="A1086" t="s">
        <v>1877</v>
      </c>
      <c r="B1086" s="3">
        <v>46844</v>
      </c>
      <c r="C1086" t="s">
        <v>599</v>
      </c>
      <c r="D1086" t="s">
        <v>583</v>
      </c>
      <c r="E1086" t="str">
        <f>TRIM(excelsalesdata[[#This Row],[Customer_Name]])</f>
        <v>Ishita Gupta</v>
      </c>
      <c r="F1086" t="s">
        <v>23</v>
      </c>
      <c r="G1086">
        <v>35</v>
      </c>
      <c r="H1086" t="s">
        <v>190</v>
      </c>
      <c r="I1086" t="str">
        <f>TRIM(excelsalesdata[[#This Row],[City]])</f>
        <v>Ahmedabad</v>
      </c>
      <c r="J1086" t="s">
        <v>191</v>
      </c>
      <c r="K1086" t="s">
        <v>26</v>
      </c>
      <c r="L1086" t="s">
        <v>54</v>
      </c>
      <c r="M1086" t="s">
        <v>129</v>
      </c>
      <c r="N1086" t="s">
        <v>129</v>
      </c>
      <c r="O1086">
        <v>2</v>
      </c>
      <c r="P1086">
        <v>16650</v>
      </c>
      <c r="Q1086">
        <v>0.1</v>
      </c>
      <c r="R1086">
        <v>12980</v>
      </c>
      <c r="S1086" t="s">
        <v>80</v>
      </c>
      <c r="T1086" t="s">
        <v>81</v>
      </c>
      <c r="U1086">
        <v>0</v>
      </c>
      <c r="V1086" t="s">
        <v>31</v>
      </c>
      <c r="W1086">
        <f>excelsalesdata[[#This Row],[Quantity]]*excelsalesdata[[#This Row],[Unit_Price]]</f>
        <v>33300</v>
      </c>
      <c r="X1086">
        <f>excelsalesdata[[#This Row],[Gross_sales]]*excelsalesdata[[#This Row],[Discount_%]]</f>
        <v>3330</v>
      </c>
      <c r="Y1086">
        <f>excelsalesdata[[#This Row],[Gross_sales]]-excelsalesdata[[#This Row],[Discount_amt]]</f>
        <v>29970</v>
      </c>
      <c r="Z1086" s="4">
        <f>excelsalesdata[[#This Row],[Net_sales]]-excelsalesdata[[#This Row],[Cost]]</f>
        <v>16990</v>
      </c>
      <c r="AA1086" s="5">
        <f>excelsalesdata[[#This Row],[Profit]]/excelsalesdata[[#This Row],[Net_sales]]</f>
        <v>0.56690023356690022</v>
      </c>
      <c r="AB1086" s="4">
        <f>YEAR(excelsalesdata[[#This Row],[Order_Date]])</f>
        <v>2028</v>
      </c>
      <c r="AC1086" s="4" t="str">
        <f>TEXT(excelsalesdata[[#This Row],[Order_Date]],"mmm")</f>
        <v>Apr</v>
      </c>
      <c r="AD1086" s="4" t="str">
        <f>"Q"&amp;ROUNDUP(MONTH(excelsalesdata[[#This Row],[Order_Date]])/3,0)</f>
        <v>Q2</v>
      </c>
    </row>
    <row r="1087" spans="1:30" x14ac:dyDescent="0.35">
      <c r="A1087" t="s">
        <v>1878</v>
      </c>
      <c r="B1087" s="3">
        <v>46845</v>
      </c>
      <c r="C1087" t="s">
        <v>917</v>
      </c>
      <c r="D1087" t="s">
        <v>342</v>
      </c>
      <c r="E1087" t="str">
        <f>TRIM(excelsalesdata[[#This Row],[Customer_Name]])</f>
        <v>Sneha Gupta</v>
      </c>
      <c r="F1087" t="s">
        <v>44</v>
      </c>
      <c r="G1087">
        <v>19</v>
      </c>
      <c r="H1087" t="s">
        <v>155</v>
      </c>
      <c r="I1087" t="str">
        <f>TRIM(excelsalesdata[[#This Row],[City]])</f>
        <v>Chennai</v>
      </c>
      <c r="J1087" t="s">
        <v>156</v>
      </c>
      <c r="K1087" t="s">
        <v>47</v>
      </c>
      <c r="L1087" t="s">
        <v>54</v>
      </c>
      <c r="M1087" t="s">
        <v>129</v>
      </c>
      <c r="N1087" t="s">
        <v>129</v>
      </c>
      <c r="O1087">
        <v>1</v>
      </c>
      <c r="P1087">
        <v>19180</v>
      </c>
      <c r="Q1087">
        <v>0.25</v>
      </c>
      <c r="R1087">
        <v>11890</v>
      </c>
      <c r="S1087" t="s">
        <v>151</v>
      </c>
      <c r="T1087" t="s">
        <v>30</v>
      </c>
      <c r="U1087">
        <v>3</v>
      </c>
      <c r="V1087" t="s">
        <v>40</v>
      </c>
      <c r="W1087">
        <f>excelsalesdata[[#This Row],[Quantity]]*excelsalesdata[[#This Row],[Unit_Price]]</f>
        <v>19180</v>
      </c>
      <c r="X1087">
        <f>excelsalesdata[[#This Row],[Gross_sales]]*excelsalesdata[[#This Row],[Discount_%]]</f>
        <v>4795</v>
      </c>
      <c r="Y1087">
        <f>excelsalesdata[[#This Row],[Gross_sales]]-excelsalesdata[[#This Row],[Discount_amt]]</f>
        <v>14385</v>
      </c>
      <c r="Z1087" s="4">
        <f>excelsalesdata[[#This Row],[Net_sales]]-excelsalesdata[[#This Row],[Cost]]</f>
        <v>2495</v>
      </c>
      <c r="AA1087" s="5">
        <f>excelsalesdata[[#This Row],[Profit]]/excelsalesdata[[#This Row],[Net_sales]]</f>
        <v>0.17344456030587418</v>
      </c>
      <c r="AB1087" s="4">
        <f>YEAR(excelsalesdata[[#This Row],[Order_Date]])</f>
        <v>2028</v>
      </c>
      <c r="AC1087" s="4" t="str">
        <f>TEXT(excelsalesdata[[#This Row],[Order_Date]],"mmm")</f>
        <v>Apr</v>
      </c>
      <c r="AD1087" s="4" t="str">
        <f>"Q"&amp;ROUNDUP(MONTH(excelsalesdata[[#This Row],[Order_Date]])/3,0)</f>
        <v>Q2</v>
      </c>
    </row>
    <row r="1088" spans="1:30" x14ac:dyDescent="0.35">
      <c r="A1088" t="s">
        <v>1879</v>
      </c>
      <c r="B1088" s="3">
        <v>46846</v>
      </c>
      <c r="C1088" t="s">
        <v>1880</v>
      </c>
      <c r="D1088" t="s">
        <v>1806</v>
      </c>
      <c r="E1088" t="str">
        <f>TRIM(excelsalesdata[[#This Row],[Customer_Name]])</f>
        <v>Sneha Bhat</v>
      </c>
      <c r="F1088" t="s">
        <v>44</v>
      </c>
      <c r="G1088">
        <v>20</v>
      </c>
      <c r="H1088" t="s">
        <v>35</v>
      </c>
      <c r="I1088" t="str">
        <f>TRIM(excelsalesdata[[#This Row],[City]])</f>
        <v>Kolkata</v>
      </c>
      <c r="J1088" t="s">
        <v>36</v>
      </c>
      <c r="K1088" t="s">
        <v>37</v>
      </c>
      <c r="L1088" t="s">
        <v>27</v>
      </c>
      <c r="M1088" t="s">
        <v>28</v>
      </c>
      <c r="N1088" t="s">
        <v>28</v>
      </c>
      <c r="O1088">
        <v>2</v>
      </c>
      <c r="P1088">
        <v>3510</v>
      </c>
      <c r="Q1088">
        <v>0.3</v>
      </c>
      <c r="R1088">
        <v>2010</v>
      </c>
      <c r="S1088" t="s">
        <v>80</v>
      </c>
      <c r="T1088" t="s">
        <v>30</v>
      </c>
      <c r="U1088">
        <v>2</v>
      </c>
      <c r="V1088" t="s">
        <v>40</v>
      </c>
      <c r="W1088">
        <f>excelsalesdata[[#This Row],[Quantity]]*excelsalesdata[[#This Row],[Unit_Price]]</f>
        <v>7020</v>
      </c>
      <c r="X1088">
        <f>excelsalesdata[[#This Row],[Gross_sales]]*excelsalesdata[[#This Row],[Discount_%]]</f>
        <v>2106</v>
      </c>
      <c r="Y1088">
        <f>excelsalesdata[[#This Row],[Gross_sales]]-excelsalesdata[[#This Row],[Discount_amt]]</f>
        <v>4914</v>
      </c>
      <c r="Z1088" s="4">
        <f>excelsalesdata[[#This Row],[Net_sales]]-excelsalesdata[[#This Row],[Cost]]</f>
        <v>2904</v>
      </c>
      <c r="AA1088" s="5">
        <f>excelsalesdata[[#This Row],[Profit]]/excelsalesdata[[#This Row],[Net_sales]]</f>
        <v>0.59096459096459097</v>
      </c>
      <c r="AB1088" s="4">
        <f>YEAR(excelsalesdata[[#This Row],[Order_Date]])</f>
        <v>2028</v>
      </c>
      <c r="AC1088" s="4" t="str">
        <f>TEXT(excelsalesdata[[#This Row],[Order_Date]],"mmm")</f>
        <v>Apr</v>
      </c>
      <c r="AD1088" s="4" t="str">
        <f>"Q"&amp;ROUNDUP(MONTH(excelsalesdata[[#This Row],[Order_Date]])/3,0)</f>
        <v>Q2</v>
      </c>
    </row>
    <row r="1089" spans="1:30" x14ac:dyDescent="0.35">
      <c r="A1089" t="s">
        <v>1881</v>
      </c>
      <c r="B1089" s="3">
        <v>46847</v>
      </c>
      <c r="C1089" t="s">
        <v>1882</v>
      </c>
      <c r="D1089" t="s">
        <v>352</v>
      </c>
      <c r="E1089" t="str">
        <f>TRIM(excelsalesdata[[#This Row],[Customer_Name]])</f>
        <v>Meera Mehta</v>
      </c>
      <c r="F1089" t="s">
        <v>23</v>
      </c>
      <c r="G1089">
        <v>58</v>
      </c>
      <c r="H1089" t="s">
        <v>35</v>
      </c>
      <c r="I1089" t="str">
        <f>TRIM(excelsalesdata[[#This Row],[City]])</f>
        <v>Kolkata</v>
      </c>
      <c r="J1089" t="s">
        <v>36</v>
      </c>
      <c r="K1089" t="s">
        <v>37</v>
      </c>
      <c r="L1089" t="s">
        <v>38</v>
      </c>
      <c r="M1089" t="s">
        <v>119</v>
      </c>
      <c r="N1089" t="s">
        <v>119</v>
      </c>
      <c r="O1089">
        <v>1</v>
      </c>
      <c r="P1089">
        <v>8530</v>
      </c>
      <c r="Q1089">
        <v>0.1</v>
      </c>
      <c r="R1089">
        <v>5640</v>
      </c>
      <c r="S1089" t="s">
        <v>105</v>
      </c>
      <c r="T1089" t="s">
        <v>30</v>
      </c>
      <c r="U1089">
        <v>2</v>
      </c>
      <c r="V1089" t="s">
        <v>40</v>
      </c>
      <c r="W1089">
        <f>excelsalesdata[[#This Row],[Quantity]]*excelsalesdata[[#This Row],[Unit_Price]]</f>
        <v>8530</v>
      </c>
      <c r="X1089">
        <f>excelsalesdata[[#This Row],[Gross_sales]]*excelsalesdata[[#This Row],[Discount_%]]</f>
        <v>853</v>
      </c>
      <c r="Y1089">
        <f>excelsalesdata[[#This Row],[Gross_sales]]-excelsalesdata[[#This Row],[Discount_amt]]</f>
        <v>7677</v>
      </c>
      <c r="Z1089" s="4">
        <f>excelsalesdata[[#This Row],[Net_sales]]-excelsalesdata[[#This Row],[Cost]]</f>
        <v>2037</v>
      </c>
      <c r="AA1089" s="5">
        <f>excelsalesdata[[#This Row],[Profit]]/excelsalesdata[[#This Row],[Net_sales]]</f>
        <v>0.26533802266510353</v>
      </c>
      <c r="AB1089" s="4">
        <f>YEAR(excelsalesdata[[#This Row],[Order_Date]])</f>
        <v>2028</v>
      </c>
      <c r="AC1089" s="4" t="str">
        <f>TEXT(excelsalesdata[[#This Row],[Order_Date]],"mmm")</f>
        <v>Apr</v>
      </c>
      <c r="AD1089" s="4" t="str">
        <f>"Q"&amp;ROUNDUP(MONTH(excelsalesdata[[#This Row],[Order_Date]])/3,0)</f>
        <v>Q2</v>
      </c>
    </row>
    <row r="1090" spans="1:30" x14ac:dyDescent="0.35">
      <c r="A1090" t="s">
        <v>1883</v>
      </c>
      <c r="B1090" s="3">
        <v>46848</v>
      </c>
      <c r="C1090" t="s">
        <v>1310</v>
      </c>
      <c r="D1090" t="s">
        <v>294</v>
      </c>
      <c r="E1090" t="str">
        <f>TRIM(excelsalesdata[[#This Row],[Customer_Name]])</f>
        <v>Ananya Gupta</v>
      </c>
      <c r="F1090" t="s">
        <v>44</v>
      </c>
      <c r="G1090">
        <v>40</v>
      </c>
      <c r="H1090" t="s">
        <v>98</v>
      </c>
      <c r="I1090" t="str">
        <f>TRIM(excelsalesdata[[#This Row],[City]])</f>
        <v>Mumbai</v>
      </c>
      <c r="J1090" t="s">
        <v>25</v>
      </c>
      <c r="K1090" t="s">
        <v>26</v>
      </c>
      <c r="L1090" t="s">
        <v>38</v>
      </c>
      <c r="M1090" t="s">
        <v>255</v>
      </c>
      <c r="N1090" t="s">
        <v>255</v>
      </c>
      <c r="O1090">
        <v>3</v>
      </c>
      <c r="P1090">
        <v>4690</v>
      </c>
      <c r="Q1090">
        <v>0.1</v>
      </c>
      <c r="R1090">
        <v>2860</v>
      </c>
      <c r="S1090" t="s">
        <v>29</v>
      </c>
      <c r="T1090" t="s">
        <v>30</v>
      </c>
      <c r="U1090">
        <v>4</v>
      </c>
      <c r="V1090" t="s">
        <v>40</v>
      </c>
      <c r="W1090">
        <f>excelsalesdata[[#This Row],[Quantity]]*excelsalesdata[[#This Row],[Unit_Price]]</f>
        <v>14070</v>
      </c>
      <c r="X1090">
        <f>excelsalesdata[[#This Row],[Gross_sales]]*excelsalesdata[[#This Row],[Discount_%]]</f>
        <v>1407</v>
      </c>
      <c r="Y1090">
        <f>excelsalesdata[[#This Row],[Gross_sales]]-excelsalesdata[[#This Row],[Discount_amt]]</f>
        <v>12663</v>
      </c>
      <c r="Z1090" s="4">
        <f>excelsalesdata[[#This Row],[Net_sales]]-excelsalesdata[[#This Row],[Cost]]</f>
        <v>9803</v>
      </c>
      <c r="AA1090" s="5">
        <f>excelsalesdata[[#This Row],[Profit]]/excelsalesdata[[#This Row],[Net_sales]]</f>
        <v>0.77414514727947559</v>
      </c>
      <c r="AB1090" s="4">
        <f>YEAR(excelsalesdata[[#This Row],[Order_Date]])</f>
        <v>2028</v>
      </c>
      <c r="AC1090" s="4" t="str">
        <f>TEXT(excelsalesdata[[#This Row],[Order_Date]],"mmm")</f>
        <v>Apr</v>
      </c>
      <c r="AD1090" s="4" t="str">
        <f>"Q"&amp;ROUNDUP(MONTH(excelsalesdata[[#This Row],[Order_Date]])/3,0)</f>
        <v>Q2</v>
      </c>
    </row>
    <row r="1091" spans="1:30" x14ac:dyDescent="0.35">
      <c r="A1091" t="s">
        <v>1884</v>
      </c>
      <c r="B1091" s="3">
        <v>46849</v>
      </c>
      <c r="C1091" t="s">
        <v>767</v>
      </c>
      <c r="D1091" t="s">
        <v>691</v>
      </c>
      <c r="E1091" t="str">
        <f>TRIM(excelsalesdata[[#This Row],[Customer_Name]])</f>
        <v>Vivaan Singh</v>
      </c>
      <c r="F1091" t="s">
        <v>44</v>
      </c>
      <c r="G1091">
        <v>33</v>
      </c>
      <c r="H1091" t="s">
        <v>60</v>
      </c>
      <c r="I1091" t="str">
        <f>TRIM(excelsalesdata[[#This Row],[City]])</f>
        <v>Chandigarh</v>
      </c>
      <c r="J1091" t="s">
        <v>60</v>
      </c>
      <c r="K1091" t="s">
        <v>61</v>
      </c>
      <c r="L1091" t="s">
        <v>103</v>
      </c>
      <c r="M1091" t="s">
        <v>347</v>
      </c>
      <c r="N1091" t="s">
        <v>347</v>
      </c>
      <c r="O1091">
        <v>3</v>
      </c>
      <c r="P1091">
        <v>11700</v>
      </c>
      <c r="Q1091">
        <v>0.05</v>
      </c>
      <c r="R1091">
        <v>8600</v>
      </c>
      <c r="S1091" t="s">
        <v>80</v>
      </c>
      <c r="T1091" t="s">
        <v>30</v>
      </c>
      <c r="U1091">
        <v>2</v>
      </c>
      <c r="V1091" t="s">
        <v>31</v>
      </c>
      <c r="W1091">
        <f>excelsalesdata[[#This Row],[Quantity]]*excelsalesdata[[#This Row],[Unit_Price]]</f>
        <v>35100</v>
      </c>
      <c r="X1091">
        <f>excelsalesdata[[#This Row],[Gross_sales]]*excelsalesdata[[#This Row],[Discount_%]]</f>
        <v>1755</v>
      </c>
      <c r="Y1091">
        <f>excelsalesdata[[#This Row],[Gross_sales]]-excelsalesdata[[#This Row],[Discount_amt]]</f>
        <v>33345</v>
      </c>
      <c r="Z1091" s="4">
        <f>excelsalesdata[[#This Row],[Net_sales]]-excelsalesdata[[#This Row],[Cost]]</f>
        <v>24745</v>
      </c>
      <c r="AA1091" s="5">
        <f>excelsalesdata[[#This Row],[Profit]]/excelsalesdata[[#This Row],[Net_sales]]</f>
        <v>0.74209026840605785</v>
      </c>
      <c r="AB1091" s="4">
        <f>YEAR(excelsalesdata[[#This Row],[Order_Date]])</f>
        <v>2028</v>
      </c>
      <c r="AC1091" s="4" t="str">
        <f>TEXT(excelsalesdata[[#This Row],[Order_Date]],"mmm")</f>
        <v>Apr</v>
      </c>
      <c r="AD1091" s="4" t="str">
        <f>"Q"&amp;ROUNDUP(MONTH(excelsalesdata[[#This Row],[Order_Date]])/3,0)</f>
        <v>Q2</v>
      </c>
    </row>
    <row r="1092" spans="1:30" x14ac:dyDescent="0.35">
      <c r="A1092" t="s">
        <v>1885</v>
      </c>
      <c r="B1092" s="3">
        <v>46850</v>
      </c>
      <c r="C1092" t="s">
        <v>1634</v>
      </c>
      <c r="D1092" t="s">
        <v>429</v>
      </c>
      <c r="E1092" t="str">
        <f>TRIM(excelsalesdata[[#This Row],[Customer_Name]])</f>
        <v>Arjun Patel</v>
      </c>
      <c r="F1092" t="s">
        <v>23</v>
      </c>
      <c r="G1092">
        <v>34</v>
      </c>
      <c r="H1092" t="s">
        <v>114</v>
      </c>
      <c r="I1092" t="str">
        <f>TRIM(excelsalesdata[[#This Row],[City]])</f>
        <v>Hyderabad</v>
      </c>
      <c r="J1092" t="s">
        <v>115</v>
      </c>
      <c r="K1092" t="s">
        <v>47</v>
      </c>
      <c r="L1092" t="s">
        <v>85</v>
      </c>
      <c r="M1092" t="s">
        <v>110</v>
      </c>
      <c r="N1092" t="s">
        <v>110</v>
      </c>
      <c r="O1092">
        <v>3</v>
      </c>
      <c r="P1092">
        <v>1130</v>
      </c>
      <c r="Q1092">
        <v>0.2</v>
      </c>
      <c r="R1092">
        <v>610</v>
      </c>
      <c r="S1092" t="s">
        <v>67</v>
      </c>
      <c r="T1092" t="s">
        <v>74</v>
      </c>
      <c r="U1092">
        <v>4</v>
      </c>
      <c r="V1092" t="s">
        <v>40</v>
      </c>
      <c r="W1092">
        <f>excelsalesdata[[#This Row],[Quantity]]*excelsalesdata[[#This Row],[Unit_Price]]</f>
        <v>3390</v>
      </c>
      <c r="X1092">
        <f>excelsalesdata[[#This Row],[Gross_sales]]*excelsalesdata[[#This Row],[Discount_%]]</f>
        <v>678</v>
      </c>
      <c r="Y1092">
        <f>excelsalesdata[[#This Row],[Gross_sales]]-excelsalesdata[[#This Row],[Discount_amt]]</f>
        <v>2712</v>
      </c>
      <c r="Z1092" s="4">
        <f>excelsalesdata[[#This Row],[Net_sales]]-excelsalesdata[[#This Row],[Cost]]</f>
        <v>2102</v>
      </c>
      <c r="AA1092" s="5">
        <f>excelsalesdata[[#This Row],[Profit]]/excelsalesdata[[#This Row],[Net_sales]]</f>
        <v>0.77507374631268433</v>
      </c>
      <c r="AB1092" s="4">
        <f>YEAR(excelsalesdata[[#This Row],[Order_Date]])</f>
        <v>2028</v>
      </c>
      <c r="AC1092" s="4" t="str">
        <f>TEXT(excelsalesdata[[#This Row],[Order_Date]],"mmm")</f>
        <v>Apr</v>
      </c>
      <c r="AD1092" s="4" t="str">
        <f>"Q"&amp;ROUNDUP(MONTH(excelsalesdata[[#This Row],[Order_Date]])/3,0)</f>
        <v>Q2</v>
      </c>
    </row>
    <row r="1093" spans="1:30" x14ac:dyDescent="0.35">
      <c r="A1093" t="s">
        <v>1886</v>
      </c>
      <c r="B1093" s="3">
        <v>46851</v>
      </c>
      <c r="C1093" t="s">
        <v>537</v>
      </c>
      <c r="D1093" t="s">
        <v>92</v>
      </c>
      <c r="E1093" t="str">
        <f>TRIM(excelsalesdata[[#This Row],[Customer_Name]])</f>
        <v>Nisha Iyer</v>
      </c>
      <c r="F1093" t="s">
        <v>44</v>
      </c>
      <c r="G1093">
        <v>18</v>
      </c>
      <c r="H1093" t="s">
        <v>35</v>
      </c>
      <c r="I1093" t="str">
        <f>TRIM(excelsalesdata[[#This Row],[City]])</f>
        <v>Kolkata</v>
      </c>
      <c r="J1093" t="s">
        <v>36</v>
      </c>
      <c r="K1093" t="s">
        <v>37</v>
      </c>
      <c r="L1093" t="s">
        <v>54</v>
      </c>
      <c r="M1093" t="s">
        <v>66</v>
      </c>
      <c r="N1093" t="s">
        <v>66</v>
      </c>
      <c r="O1093">
        <v>1</v>
      </c>
      <c r="P1093">
        <v>2640</v>
      </c>
      <c r="Q1093">
        <v>0</v>
      </c>
      <c r="R1093">
        <v>1470</v>
      </c>
      <c r="S1093" t="s">
        <v>80</v>
      </c>
      <c r="T1093" t="s">
        <v>30</v>
      </c>
      <c r="U1093">
        <v>2</v>
      </c>
      <c r="V1093" t="s">
        <v>40</v>
      </c>
      <c r="W1093">
        <f>excelsalesdata[[#This Row],[Quantity]]*excelsalesdata[[#This Row],[Unit_Price]]</f>
        <v>2640</v>
      </c>
      <c r="X1093">
        <f>excelsalesdata[[#This Row],[Gross_sales]]*excelsalesdata[[#This Row],[Discount_%]]</f>
        <v>0</v>
      </c>
      <c r="Y1093">
        <f>excelsalesdata[[#This Row],[Gross_sales]]-excelsalesdata[[#This Row],[Discount_amt]]</f>
        <v>2640</v>
      </c>
      <c r="Z1093" s="4">
        <f>excelsalesdata[[#This Row],[Net_sales]]-excelsalesdata[[#This Row],[Cost]]</f>
        <v>1170</v>
      </c>
      <c r="AA1093" s="5">
        <f>excelsalesdata[[#This Row],[Profit]]/excelsalesdata[[#This Row],[Net_sales]]</f>
        <v>0.44318181818181818</v>
      </c>
      <c r="AB1093" s="4">
        <f>YEAR(excelsalesdata[[#This Row],[Order_Date]])</f>
        <v>2028</v>
      </c>
      <c r="AC1093" s="4" t="str">
        <f>TEXT(excelsalesdata[[#This Row],[Order_Date]],"mmm")</f>
        <v>Apr</v>
      </c>
      <c r="AD1093" s="4" t="str">
        <f>"Q"&amp;ROUNDUP(MONTH(excelsalesdata[[#This Row],[Order_Date]])/3,0)</f>
        <v>Q2</v>
      </c>
    </row>
    <row r="1094" spans="1:30" x14ac:dyDescent="0.35">
      <c r="A1094" t="s">
        <v>1887</v>
      </c>
      <c r="B1094" s="3">
        <v>46852</v>
      </c>
      <c r="C1094" t="s">
        <v>1487</v>
      </c>
      <c r="D1094" t="s">
        <v>344</v>
      </c>
      <c r="E1094" t="str">
        <f>TRIM(excelsalesdata[[#This Row],[Customer_Name]])</f>
        <v>Meera Verma</v>
      </c>
      <c r="F1094" t="s">
        <v>44</v>
      </c>
      <c r="G1094">
        <v>28</v>
      </c>
      <c r="H1094" t="s">
        <v>109</v>
      </c>
      <c r="I1094" t="str">
        <f>TRIM(excelsalesdata[[#This Row],[City]])</f>
        <v>Mysuru</v>
      </c>
      <c r="J1094" t="s">
        <v>53</v>
      </c>
      <c r="K1094" t="s">
        <v>47</v>
      </c>
      <c r="L1094" t="s">
        <v>103</v>
      </c>
      <c r="M1094" t="s">
        <v>104</v>
      </c>
      <c r="N1094" t="s">
        <v>104</v>
      </c>
      <c r="O1094">
        <v>2</v>
      </c>
      <c r="P1094">
        <v>9020</v>
      </c>
      <c r="Q1094">
        <v>0.05</v>
      </c>
      <c r="R1094">
        <v>5530</v>
      </c>
      <c r="S1094" t="s">
        <v>151</v>
      </c>
      <c r="T1094" t="s">
        <v>30</v>
      </c>
      <c r="U1094">
        <v>6</v>
      </c>
      <c r="V1094" t="s">
        <v>40</v>
      </c>
      <c r="W1094">
        <f>excelsalesdata[[#This Row],[Quantity]]*excelsalesdata[[#This Row],[Unit_Price]]</f>
        <v>18040</v>
      </c>
      <c r="X1094">
        <f>excelsalesdata[[#This Row],[Gross_sales]]*excelsalesdata[[#This Row],[Discount_%]]</f>
        <v>902</v>
      </c>
      <c r="Y1094">
        <f>excelsalesdata[[#This Row],[Gross_sales]]-excelsalesdata[[#This Row],[Discount_amt]]</f>
        <v>17138</v>
      </c>
      <c r="Z1094" s="4">
        <f>excelsalesdata[[#This Row],[Net_sales]]-excelsalesdata[[#This Row],[Cost]]</f>
        <v>11608</v>
      </c>
      <c r="AA1094" s="5">
        <f>excelsalesdata[[#This Row],[Profit]]/excelsalesdata[[#This Row],[Net_sales]]</f>
        <v>0.67732524215194301</v>
      </c>
      <c r="AB1094" s="4">
        <f>YEAR(excelsalesdata[[#This Row],[Order_Date]])</f>
        <v>2028</v>
      </c>
      <c r="AC1094" s="4" t="str">
        <f>TEXT(excelsalesdata[[#This Row],[Order_Date]],"mmm")</f>
        <v>Apr</v>
      </c>
      <c r="AD1094" s="4" t="str">
        <f>"Q"&amp;ROUNDUP(MONTH(excelsalesdata[[#This Row],[Order_Date]])/3,0)</f>
        <v>Q2</v>
      </c>
    </row>
    <row r="1095" spans="1:30" x14ac:dyDescent="0.35">
      <c r="A1095" t="s">
        <v>1888</v>
      </c>
      <c r="B1095" s="3">
        <v>46853</v>
      </c>
      <c r="C1095" t="s">
        <v>614</v>
      </c>
      <c r="D1095" t="s">
        <v>171</v>
      </c>
      <c r="E1095" t="str">
        <f>TRIM(excelsalesdata[[#This Row],[Customer_Name]])</f>
        <v>Sneha Rao</v>
      </c>
      <c r="F1095" t="s">
        <v>23</v>
      </c>
      <c r="G1095">
        <v>19</v>
      </c>
      <c r="H1095" t="s">
        <v>52</v>
      </c>
      <c r="I1095" t="str">
        <f>TRIM(excelsalesdata[[#This Row],[City]])</f>
        <v>Bengaluru</v>
      </c>
      <c r="J1095" t="s">
        <v>53</v>
      </c>
      <c r="K1095" t="s">
        <v>47</v>
      </c>
      <c r="L1095" t="s">
        <v>54</v>
      </c>
      <c r="M1095" t="s">
        <v>129</v>
      </c>
      <c r="N1095" t="s">
        <v>129</v>
      </c>
      <c r="O1095">
        <v>1</v>
      </c>
      <c r="P1095">
        <v>18450</v>
      </c>
      <c r="Q1095">
        <v>0</v>
      </c>
      <c r="R1095">
        <v>12970</v>
      </c>
      <c r="S1095" t="s">
        <v>151</v>
      </c>
      <c r="T1095" t="s">
        <v>30</v>
      </c>
      <c r="U1095">
        <v>4</v>
      </c>
      <c r="V1095" t="s">
        <v>31</v>
      </c>
      <c r="W1095">
        <f>excelsalesdata[[#This Row],[Quantity]]*excelsalesdata[[#This Row],[Unit_Price]]</f>
        <v>18450</v>
      </c>
      <c r="X1095">
        <f>excelsalesdata[[#This Row],[Gross_sales]]*excelsalesdata[[#This Row],[Discount_%]]</f>
        <v>0</v>
      </c>
      <c r="Y1095">
        <f>excelsalesdata[[#This Row],[Gross_sales]]-excelsalesdata[[#This Row],[Discount_amt]]</f>
        <v>18450</v>
      </c>
      <c r="Z1095" s="4">
        <f>excelsalesdata[[#This Row],[Net_sales]]-excelsalesdata[[#This Row],[Cost]]</f>
        <v>5480</v>
      </c>
      <c r="AA1095" s="5">
        <f>excelsalesdata[[#This Row],[Profit]]/excelsalesdata[[#This Row],[Net_sales]]</f>
        <v>0.29701897018970191</v>
      </c>
      <c r="AB1095" s="4">
        <f>YEAR(excelsalesdata[[#This Row],[Order_Date]])</f>
        <v>2028</v>
      </c>
      <c r="AC1095" s="4" t="str">
        <f>TEXT(excelsalesdata[[#This Row],[Order_Date]],"mmm")</f>
        <v>Apr</v>
      </c>
      <c r="AD1095" s="4" t="str">
        <f>"Q"&amp;ROUNDUP(MONTH(excelsalesdata[[#This Row],[Order_Date]])/3,0)</f>
        <v>Q2</v>
      </c>
    </row>
    <row r="1096" spans="1:30" x14ac:dyDescent="0.35">
      <c r="A1096" t="s">
        <v>1889</v>
      </c>
      <c r="B1096" s="3">
        <v>46854</v>
      </c>
      <c r="C1096" t="s">
        <v>895</v>
      </c>
      <c r="D1096" t="s">
        <v>713</v>
      </c>
      <c r="E1096" t="str">
        <f>TRIM(excelsalesdata[[#This Row],[Customer_Name]])</f>
        <v>Meera Singh</v>
      </c>
      <c r="F1096" t="s">
        <v>23</v>
      </c>
      <c r="G1096">
        <v>60</v>
      </c>
      <c r="H1096" t="s">
        <v>60</v>
      </c>
      <c r="I1096" t="str">
        <f>TRIM(excelsalesdata[[#This Row],[City]])</f>
        <v>Chandigarh</v>
      </c>
      <c r="J1096" t="s">
        <v>60</v>
      </c>
      <c r="K1096" t="s">
        <v>61</v>
      </c>
      <c r="L1096" t="s">
        <v>27</v>
      </c>
      <c r="M1096" t="s">
        <v>123</v>
      </c>
      <c r="N1096" t="s">
        <v>123</v>
      </c>
      <c r="O1096">
        <v>3</v>
      </c>
      <c r="P1096">
        <v>2920</v>
      </c>
      <c r="Q1096">
        <v>0.15</v>
      </c>
      <c r="R1096">
        <v>1650</v>
      </c>
      <c r="S1096" t="s">
        <v>80</v>
      </c>
      <c r="T1096" t="s">
        <v>74</v>
      </c>
      <c r="U1096">
        <v>4</v>
      </c>
      <c r="V1096" t="s">
        <v>40</v>
      </c>
      <c r="W1096">
        <f>excelsalesdata[[#This Row],[Quantity]]*excelsalesdata[[#This Row],[Unit_Price]]</f>
        <v>8760</v>
      </c>
      <c r="X1096">
        <f>excelsalesdata[[#This Row],[Gross_sales]]*excelsalesdata[[#This Row],[Discount_%]]</f>
        <v>1314</v>
      </c>
      <c r="Y1096">
        <f>excelsalesdata[[#This Row],[Gross_sales]]-excelsalesdata[[#This Row],[Discount_amt]]</f>
        <v>7446</v>
      </c>
      <c r="Z1096" s="4">
        <f>excelsalesdata[[#This Row],[Net_sales]]-excelsalesdata[[#This Row],[Cost]]</f>
        <v>5796</v>
      </c>
      <c r="AA1096" s="5">
        <f>excelsalesdata[[#This Row],[Profit]]/excelsalesdata[[#This Row],[Net_sales]]</f>
        <v>0.77840451248992748</v>
      </c>
      <c r="AB1096" s="4">
        <f>YEAR(excelsalesdata[[#This Row],[Order_Date]])</f>
        <v>2028</v>
      </c>
      <c r="AC1096" s="4" t="str">
        <f>TEXT(excelsalesdata[[#This Row],[Order_Date]],"mmm")</f>
        <v>Apr</v>
      </c>
      <c r="AD1096" s="4" t="str">
        <f>"Q"&amp;ROUNDUP(MONTH(excelsalesdata[[#This Row],[Order_Date]])/3,0)</f>
        <v>Q2</v>
      </c>
    </row>
    <row r="1097" spans="1:30" x14ac:dyDescent="0.35">
      <c r="A1097" t="s">
        <v>1890</v>
      </c>
      <c r="B1097" s="3">
        <v>46855</v>
      </c>
      <c r="C1097" t="s">
        <v>1837</v>
      </c>
      <c r="D1097" t="s">
        <v>540</v>
      </c>
      <c r="E1097" t="str">
        <f>TRIM(excelsalesdata[[#This Row],[Customer_Name]])</f>
        <v>Priya Kumar</v>
      </c>
      <c r="F1097" t="s">
        <v>44</v>
      </c>
      <c r="G1097">
        <v>26</v>
      </c>
      <c r="H1097" t="s">
        <v>98</v>
      </c>
      <c r="I1097" t="str">
        <f>TRIM(excelsalesdata[[#This Row],[City]])</f>
        <v>Mumbai</v>
      </c>
      <c r="J1097" t="s">
        <v>25</v>
      </c>
      <c r="K1097" t="s">
        <v>26</v>
      </c>
      <c r="L1097" t="s">
        <v>38</v>
      </c>
      <c r="M1097" t="s">
        <v>161</v>
      </c>
      <c r="N1097" t="s">
        <v>161</v>
      </c>
      <c r="O1097">
        <v>2</v>
      </c>
      <c r="P1097">
        <v>29510</v>
      </c>
      <c r="Q1097">
        <v>0.15</v>
      </c>
      <c r="R1097">
        <v>20880</v>
      </c>
      <c r="S1097" t="s">
        <v>29</v>
      </c>
      <c r="T1097" t="s">
        <v>99</v>
      </c>
      <c r="U1097">
        <v>6</v>
      </c>
      <c r="V1097" t="s">
        <v>40</v>
      </c>
      <c r="W1097">
        <f>excelsalesdata[[#This Row],[Quantity]]*excelsalesdata[[#This Row],[Unit_Price]]</f>
        <v>59020</v>
      </c>
      <c r="X1097">
        <f>excelsalesdata[[#This Row],[Gross_sales]]*excelsalesdata[[#This Row],[Discount_%]]</f>
        <v>8853</v>
      </c>
      <c r="Y1097">
        <f>excelsalesdata[[#This Row],[Gross_sales]]-excelsalesdata[[#This Row],[Discount_amt]]</f>
        <v>50167</v>
      </c>
      <c r="Z1097" s="4">
        <f>excelsalesdata[[#This Row],[Net_sales]]-excelsalesdata[[#This Row],[Cost]]</f>
        <v>29287</v>
      </c>
      <c r="AA1097" s="5">
        <f>excelsalesdata[[#This Row],[Profit]]/excelsalesdata[[#This Row],[Net_sales]]</f>
        <v>0.58379014092929615</v>
      </c>
      <c r="AB1097" s="4">
        <f>YEAR(excelsalesdata[[#This Row],[Order_Date]])</f>
        <v>2028</v>
      </c>
      <c r="AC1097" s="4" t="str">
        <f>TEXT(excelsalesdata[[#This Row],[Order_Date]],"mmm")</f>
        <v>Apr</v>
      </c>
      <c r="AD1097" s="4" t="str">
        <f>"Q"&amp;ROUNDUP(MONTH(excelsalesdata[[#This Row],[Order_Date]])/3,0)</f>
        <v>Q2</v>
      </c>
    </row>
    <row r="1098" spans="1:30" x14ac:dyDescent="0.35">
      <c r="A1098" t="s">
        <v>1891</v>
      </c>
      <c r="B1098" s="3">
        <v>46856</v>
      </c>
      <c r="C1098" t="s">
        <v>117</v>
      </c>
      <c r="D1098" t="s">
        <v>205</v>
      </c>
      <c r="E1098" t="str">
        <f>TRIM(excelsalesdata[[#This Row],[Customer_Name]])</f>
        <v>Vivaan Bhat</v>
      </c>
      <c r="F1098" t="s">
        <v>23</v>
      </c>
      <c r="G1098">
        <v>23</v>
      </c>
      <c r="H1098" t="s">
        <v>168</v>
      </c>
      <c r="I1098" t="str">
        <f>TRIM(excelsalesdata[[#This Row],[City]])</f>
        <v>Delhi</v>
      </c>
      <c r="J1098" t="s">
        <v>168</v>
      </c>
      <c r="K1098" t="s">
        <v>61</v>
      </c>
      <c r="L1098" t="s">
        <v>27</v>
      </c>
      <c r="M1098" t="s">
        <v>28</v>
      </c>
      <c r="N1098" t="s">
        <v>28</v>
      </c>
      <c r="O1098">
        <v>1</v>
      </c>
      <c r="P1098">
        <v>3730</v>
      </c>
      <c r="Q1098">
        <v>0.2</v>
      </c>
      <c r="R1098">
        <v>2040</v>
      </c>
      <c r="S1098" t="s">
        <v>67</v>
      </c>
      <c r="T1098" t="s">
        <v>30</v>
      </c>
      <c r="U1098">
        <v>4</v>
      </c>
      <c r="V1098" t="s">
        <v>40</v>
      </c>
      <c r="W1098">
        <f>excelsalesdata[[#This Row],[Quantity]]*excelsalesdata[[#This Row],[Unit_Price]]</f>
        <v>3730</v>
      </c>
      <c r="X1098">
        <f>excelsalesdata[[#This Row],[Gross_sales]]*excelsalesdata[[#This Row],[Discount_%]]</f>
        <v>746</v>
      </c>
      <c r="Y1098">
        <f>excelsalesdata[[#This Row],[Gross_sales]]-excelsalesdata[[#This Row],[Discount_amt]]</f>
        <v>2984</v>
      </c>
      <c r="Z1098" s="4">
        <f>excelsalesdata[[#This Row],[Net_sales]]-excelsalesdata[[#This Row],[Cost]]</f>
        <v>944</v>
      </c>
      <c r="AA1098" s="5">
        <f>excelsalesdata[[#This Row],[Profit]]/excelsalesdata[[#This Row],[Net_sales]]</f>
        <v>0.3163538873994638</v>
      </c>
      <c r="AB1098" s="4">
        <f>YEAR(excelsalesdata[[#This Row],[Order_Date]])</f>
        <v>2028</v>
      </c>
      <c r="AC1098" s="4" t="str">
        <f>TEXT(excelsalesdata[[#This Row],[Order_Date]],"mmm")</f>
        <v>Apr</v>
      </c>
      <c r="AD1098" s="4" t="str">
        <f>"Q"&amp;ROUNDUP(MONTH(excelsalesdata[[#This Row],[Order_Date]])/3,0)</f>
        <v>Q2</v>
      </c>
    </row>
    <row r="1099" spans="1:30" x14ac:dyDescent="0.35">
      <c r="A1099" t="s">
        <v>1892</v>
      </c>
      <c r="B1099" s="3">
        <v>46857</v>
      </c>
      <c r="C1099" t="s">
        <v>131</v>
      </c>
      <c r="D1099" t="s">
        <v>291</v>
      </c>
      <c r="E1099" t="str">
        <f>TRIM(excelsalesdata[[#This Row],[Customer_Name]])</f>
        <v>Vikram Patel</v>
      </c>
      <c r="F1099" t="s">
        <v>44</v>
      </c>
      <c r="G1099">
        <v>19</v>
      </c>
      <c r="H1099" t="s">
        <v>155</v>
      </c>
      <c r="I1099" t="str">
        <f>TRIM(excelsalesdata[[#This Row],[City]])</f>
        <v>Chennai</v>
      </c>
      <c r="J1099" t="s">
        <v>156</v>
      </c>
      <c r="K1099" t="s">
        <v>47</v>
      </c>
      <c r="L1099" t="s">
        <v>38</v>
      </c>
      <c r="M1099" t="s">
        <v>119</v>
      </c>
      <c r="N1099" t="s">
        <v>119</v>
      </c>
      <c r="O1099">
        <v>1</v>
      </c>
      <c r="P1099">
        <v>8750</v>
      </c>
      <c r="Q1099">
        <v>0.05</v>
      </c>
      <c r="R1099">
        <v>5630</v>
      </c>
      <c r="S1099" t="s">
        <v>67</v>
      </c>
      <c r="T1099" t="s">
        <v>30</v>
      </c>
      <c r="U1099">
        <v>1</v>
      </c>
      <c r="V1099" t="s">
        <v>31</v>
      </c>
      <c r="W1099">
        <f>excelsalesdata[[#This Row],[Quantity]]*excelsalesdata[[#This Row],[Unit_Price]]</f>
        <v>8750</v>
      </c>
      <c r="X1099">
        <f>excelsalesdata[[#This Row],[Gross_sales]]*excelsalesdata[[#This Row],[Discount_%]]</f>
        <v>437.5</v>
      </c>
      <c r="Y1099">
        <f>excelsalesdata[[#This Row],[Gross_sales]]-excelsalesdata[[#This Row],[Discount_amt]]</f>
        <v>8312.5</v>
      </c>
      <c r="Z1099" s="4">
        <f>excelsalesdata[[#This Row],[Net_sales]]-excelsalesdata[[#This Row],[Cost]]</f>
        <v>2682.5</v>
      </c>
      <c r="AA1099" s="5">
        <f>excelsalesdata[[#This Row],[Profit]]/excelsalesdata[[#This Row],[Net_sales]]</f>
        <v>0.32270676691729322</v>
      </c>
      <c r="AB1099" s="4">
        <f>YEAR(excelsalesdata[[#This Row],[Order_Date]])</f>
        <v>2028</v>
      </c>
      <c r="AC1099" s="4" t="str">
        <f>TEXT(excelsalesdata[[#This Row],[Order_Date]],"mmm")</f>
        <v>Apr</v>
      </c>
      <c r="AD1099" s="4" t="str">
        <f>"Q"&amp;ROUNDUP(MONTH(excelsalesdata[[#This Row],[Order_Date]])/3,0)</f>
        <v>Q2</v>
      </c>
    </row>
    <row r="1100" spans="1:30" x14ac:dyDescent="0.35">
      <c r="A1100" t="s">
        <v>1893</v>
      </c>
      <c r="B1100" s="3">
        <v>46858</v>
      </c>
      <c r="C1100" t="s">
        <v>621</v>
      </c>
      <c r="D1100" t="s">
        <v>436</v>
      </c>
      <c r="E1100" t="str">
        <f>TRIM(excelsalesdata[[#This Row],[Customer_Name]])</f>
        <v>Meera Shah</v>
      </c>
      <c r="F1100" t="s">
        <v>23</v>
      </c>
      <c r="G1100">
        <v>36</v>
      </c>
      <c r="H1100" t="s">
        <v>71</v>
      </c>
      <c r="I1100" t="str">
        <f>TRIM(excelsalesdata[[#This Row],[City]])</f>
        <v>Bhubaneswar</v>
      </c>
      <c r="J1100" t="s">
        <v>72</v>
      </c>
      <c r="K1100" t="s">
        <v>37</v>
      </c>
      <c r="L1100" t="s">
        <v>103</v>
      </c>
      <c r="M1100" t="s">
        <v>178</v>
      </c>
      <c r="N1100" t="s">
        <v>178</v>
      </c>
      <c r="O1100">
        <v>3</v>
      </c>
      <c r="P1100">
        <v>1840</v>
      </c>
      <c r="Q1100">
        <v>0.05</v>
      </c>
      <c r="R1100">
        <v>930</v>
      </c>
      <c r="S1100" t="s">
        <v>29</v>
      </c>
      <c r="T1100" t="s">
        <v>81</v>
      </c>
      <c r="U1100">
        <v>0</v>
      </c>
      <c r="V1100" t="s">
        <v>31</v>
      </c>
      <c r="W1100">
        <f>excelsalesdata[[#This Row],[Quantity]]*excelsalesdata[[#This Row],[Unit_Price]]</f>
        <v>5520</v>
      </c>
      <c r="X1100">
        <f>excelsalesdata[[#This Row],[Gross_sales]]*excelsalesdata[[#This Row],[Discount_%]]</f>
        <v>276</v>
      </c>
      <c r="Y1100">
        <f>excelsalesdata[[#This Row],[Gross_sales]]-excelsalesdata[[#This Row],[Discount_amt]]</f>
        <v>5244</v>
      </c>
      <c r="Z1100" s="4">
        <f>excelsalesdata[[#This Row],[Net_sales]]-excelsalesdata[[#This Row],[Cost]]</f>
        <v>4314</v>
      </c>
      <c r="AA1100" s="5">
        <f>excelsalesdata[[#This Row],[Profit]]/excelsalesdata[[#This Row],[Net_sales]]</f>
        <v>0.82265446224256289</v>
      </c>
      <c r="AB1100" s="4">
        <f>YEAR(excelsalesdata[[#This Row],[Order_Date]])</f>
        <v>2028</v>
      </c>
      <c r="AC1100" s="4" t="str">
        <f>TEXT(excelsalesdata[[#This Row],[Order_Date]],"mmm")</f>
        <v>Apr</v>
      </c>
      <c r="AD1100" s="4" t="str">
        <f>"Q"&amp;ROUNDUP(MONTH(excelsalesdata[[#This Row],[Order_Date]])/3,0)</f>
        <v>Q2</v>
      </c>
    </row>
    <row r="1101" spans="1:30" x14ac:dyDescent="0.35">
      <c r="A1101" t="s">
        <v>1894</v>
      </c>
      <c r="B1101" s="3">
        <v>46859</v>
      </c>
      <c r="C1101" t="s">
        <v>953</v>
      </c>
      <c r="D1101" t="s">
        <v>629</v>
      </c>
      <c r="E1101" t="str">
        <f>TRIM(excelsalesdata[[#This Row],[Customer_Name]])</f>
        <v>Vikram Shah</v>
      </c>
      <c r="F1101" t="s">
        <v>44</v>
      </c>
      <c r="G1101">
        <v>47</v>
      </c>
      <c r="H1101" t="s">
        <v>45</v>
      </c>
      <c r="I1101" t="str">
        <f>TRIM(excelsalesdata[[#This Row],[City]])</f>
        <v>Kochi</v>
      </c>
      <c r="J1101" t="s">
        <v>46</v>
      </c>
      <c r="K1101" t="s">
        <v>47</v>
      </c>
      <c r="L1101" t="s">
        <v>93</v>
      </c>
      <c r="M1101" t="s">
        <v>206</v>
      </c>
      <c r="N1101" t="s">
        <v>206</v>
      </c>
      <c r="O1101">
        <v>2</v>
      </c>
      <c r="P1101">
        <v>650</v>
      </c>
      <c r="Q1101">
        <v>0.05</v>
      </c>
      <c r="R1101">
        <v>290</v>
      </c>
      <c r="S1101" t="s">
        <v>80</v>
      </c>
      <c r="T1101" t="s">
        <v>30</v>
      </c>
      <c r="U1101">
        <v>4</v>
      </c>
      <c r="V1101" t="s">
        <v>40</v>
      </c>
      <c r="W1101">
        <f>excelsalesdata[[#This Row],[Quantity]]*excelsalesdata[[#This Row],[Unit_Price]]</f>
        <v>1300</v>
      </c>
      <c r="X1101">
        <f>excelsalesdata[[#This Row],[Gross_sales]]*excelsalesdata[[#This Row],[Discount_%]]</f>
        <v>65</v>
      </c>
      <c r="Y1101">
        <f>excelsalesdata[[#This Row],[Gross_sales]]-excelsalesdata[[#This Row],[Discount_amt]]</f>
        <v>1235</v>
      </c>
      <c r="Z1101" s="4">
        <f>excelsalesdata[[#This Row],[Net_sales]]-excelsalesdata[[#This Row],[Cost]]</f>
        <v>945</v>
      </c>
      <c r="AA1101" s="5">
        <f>excelsalesdata[[#This Row],[Profit]]/excelsalesdata[[#This Row],[Net_sales]]</f>
        <v>0.76518218623481782</v>
      </c>
      <c r="AB1101" s="4">
        <f>YEAR(excelsalesdata[[#This Row],[Order_Date]])</f>
        <v>2028</v>
      </c>
      <c r="AC1101" s="4" t="str">
        <f>TEXT(excelsalesdata[[#This Row],[Order_Date]],"mmm")</f>
        <v>Apr</v>
      </c>
      <c r="AD1101" s="4" t="str">
        <f>"Q"&amp;ROUNDUP(MONTH(excelsalesdata[[#This Row],[Order_Date]])/3,0)</f>
        <v>Q2</v>
      </c>
    </row>
    <row r="1102" spans="1:30" x14ac:dyDescent="0.35">
      <c r="A1102" t="s">
        <v>1895</v>
      </c>
      <c r="B1102" s="3">
        <v>46860</v>
      </c>
      <c r="C1102" t="s">
        <v>769</v>
      </c>
      <c r="D1102" t="s">
        <v>97</v>
      </c>
      <c r="E1102" t="str">
        <f>TRIM(excelsalesdata[[#This Row],[Customer_Name]])</f>
        <v>Aditya Shah</v>
      </c>
      <c r="F1102" t="s">
        <v>44</v>
      </c>
      <c r="G1102">
        <v>34</v>
      </c>
      <c r="H1102" t="s">
        <v>185</v>
      </c>
      <c r="I1102" t="str">
        <f>TRIM(excelsalesdata[[#This Row],[City]])</f>
        <v>Lucknow</v>
      </c>
      <c r="J1102" t="s">
        <v>186</v>
      </c>
      <c r="K1102" t="s">
        <v>61</v>
      </c>
      <c r="L1102" t="s">
        <v>54</v>
      </c>
      <c r="M1102" t="s">
        <v>62</v>
      </c>
      <c r="N1102" t="s">
        <v>62</v>
      </c>
      <c r="O1102">
        <v>2</v>
      </c>
      <c r="P1102">
        <v>20580</v>
      </c>
      <c r="Q1102">
        <v>0.05</v>
      </c>
      <c r="R1102">
        <v>15110</v>
      </c>
      <c r="S1102" t="s">
        <v>67</v>
      </c>
      <c r="T1102" t="s">
        <v>74</v>
      </c>
      <c r="U1102">
        <v>4</v>
      </c>
      <c r="V1102" t="s">
        <v>40</v>
      </c>
      <c r="W1102">
        <f>excelsalesdata[[#This Row],[Quantity]]*excelsalesdata[[#This Row],[Unit_Price]]</f>
        <v>41160</v>
      </c>
      <c r="X1102">
        <f>excelsalesdata[[#This Row],[Gross_sales]]*excelsalesdata[[#This Row],[Discount_%]]</f>
        <v>2058</v>
      </c>
      <c r="Y1102">
        <f>excelsalesdata[[#This Row],[Gross_sales]]-excelsalesdata[[#This Row],[Discount_amt]]</f>
        <v>39102</v>
      </c>
      <c r="Z1102" s="4">
        <f>excelsalesdata[[#This Row],[Net_sales]]-excelsalesdata[[#This Row],[Cost]]</f>
        <v>23992</v>
      </c>
      <c r="AA1102" s="5">
        <f>excelsalesdata[[#This Row],[Profit]]/excelsalesdata[[#This Row],[Net_sales]]</f>
        <v>0.61357475320955446</v>
      </c>
      <c r="AB1102" s="4">
        <f>YEAR(excelsalesdata[[#This Row],[Order_Date]])</f>
        <v>2028</v>
      </c>
      <c r="AC1102" s="4" t="str">
        <f>TEXT(excelsalesdata[[#This Row],[Order_Date]],"mmm")</f>
        <v>Apr</v>
      </c>
      <c r="AD1102" s="4" t="str">
        <f>"Q"&amp;ROUNDUP(MONTH(excelsalesdata[[#This Row],[Order_Date]])/3,0)</f>
        <v>Q2</v>
      </c>
    </row>
    <row r="1103" spans="1:30" x14ac:dyDescent="0.35">
      <c r="A1103" t="s">
        <v>1896</v>
      </c>
      <c r="B1103" s="3">
        <v>46861</v>
      </c>
      <c r="C1103" t="s">
        <v>284</v>
      </c>
      <c r="D1103" t="s">
        <v>510</v>
      </c>
      <c r="E1103" t="str">
        <f>TRIM(excelsalesdata[[#This Row],[Customer_Name]])</f>
        <v>Diya Kumar</v>
      </c>
      <c r="F1103" t="s">
        <v>23</v>
      </c>
      <c r="G1103">
        <v>51</v>
      </c>
      <c r="H1103" t="s">
        <v>45</v>
      </c>
      <c r="I1103" t="str">
        <f>TRIM(excelsalesdata[[#This Row],[City]])</f>
        <v>Kochi</v>
      </c>
      <c r="J1103" t="s">
        <v>46</v>
      </c>
      <c r="K1103" t="s">
        <v>47</v>
      </c>
      <c r="L1103" t="s">
        <v>54</v>
      </c>
      <c r="M1103" t="s">
        <v>157</v>
      </c>
      <c r="N1103" t="s">
        <v>157</v>
      </c>
      <c r="O1103">
        <v>1</v>
      </c>
      <c r="P1103">
        <v>53340</v>
      </c>
      <c r="Q1103">
        <v>0.2</v>
      </c>
      <c r="R1103">
        <v>42100</v>
      </c>
      <c r="S1103" t="s">
        <v>29</v>
      </c>
      <c r="T1103" t="s">
        <v>30</v>
      </c>
      <c r="U1103">
        <v>3</v>
      </c>
      <c r="V1103" t="s">
        <v>31</v>
      </c>
      <c r="W1103">
        <f>excelsalesdata[[#This Row],[Quantity]]*excelsalesdata[[#This Row],[Unit_Price]]</f>
        <v>53340</v>
      </c>
      <c r="X1103">
        <f>excelsalesdata[[#This Row],[Gross_sales]]*excelsalesdata[[#This Row],[Discount_%]]</f>
        <v>10668</v>
      </c>
      <c r="Y1103">
        <f>excelsalesdata[[#This Row],[Gross_sales]]-excelsalesdata[[#This Row],[Discount_amt]]</f>
        <v>42672</v>
      </c>
      <c r="Z1103" s="4">
        <f>excelsalesdata[[#This Row],[Net_sales]]-excelsalesdata[[#This Row],[Cost]]</f>
        <v>572</v>
      </c>
      <c r="AA1103" s="5">
        <f>excelsalesdata[[#This Row],[Profit]]/excelsalesdata[[#This Row],[Net_sales]]</f>
        <v>1.3404574428196476E-2</v>
      </c>
      <c r="AB1103" s="4">
        <f>YEAR(excelsalesdata[[#This Row],[Order_Date]])</f>
        <v>2028</v>
      </c>
      <c r="AC1103" s="4" t="str">
        <f>TEXT(excelsalesdata[[#This Row],[Order_Date]],"mmm")</f>
        <v>Apr</v>
      </c>
      <c r="AD1103" s="4" t="str">
        <f>"Q"&amp;ROUNDUP(MONTH(excelsalesdata[[#This Row],[Order_Date]])/3,0)</f>
        <v>Q2</v>
      </c>
    </row>
    <row r="1104" spans="1:30" x14ac:dyDescent="0.35">
      <c r="A1104" t="s">
        <v>1897</v>
      </c>
      <c r="B1104" s="3">
        <v>46862</v>
      </c>
      <c r="C1104" t="s">
        <v>607</v>
      </c>
      <c r="D1104" t="s">
        <v>426</v>
      </c>
      <c r="E1104" t="str">
        <f>TRIM(excelsalesdata[[#This Row],[Customer_Name]])</f>
        <v>Kavya Verma</v>
      </c>
      <c r="F1104" t="s">
        <v>44</v>
      </c>
      <c r="G1104">
        <v>25</v>
      </c>
      <c r="H1104" t="s">
        <v>78</v>
      </c>
      <c r="I1104" t="str">
        <f>TRIM(excelsalesdata[[#This Row],[City]])</f>
        <v>Guwahati</v>
      </c>
      <c r="J1104" t="s">
        <v>79</v>
      </c>
      <c r="K1104" t="s">
        <v>37</v>
      </c>
      <c r="L1104" t="s">
        <v>27</v>
      </c>
      <c r="M1104" t="s">
        <v>28</v>
      </c>
      <c r="N1104" t="s">
        <v>28</v>
      </c>
      <c r="O1104">
        <v>1</v>
      </c>
      <c r="P1104">
        <v>3780</v>
      </c>
      <c r="Q1104">
        <v>0.05</v>
      </c>
      <c r="R1104">
        <v>2040</v>
      </c>
      <c r="S1104" t="s">
        <v>80</v>
      </c>
      <c r="T1104" t="s">
        <v>30</v>
      </c>
      <c r="U1104">
        <v>3</v>
      </c>
      <c r="V1104" t="s">
        <v>40</v>
      </c>
      <c r="W1104">
        <f>excelsalesdata[[#This Row],[Quantity]]*excelsalesdata[[#This Row],[Unit_Price]]</f>
        <v>3780</v>
      </c>
      <c r="X1104">
        <f>excelsalesdata[[#This Row],[Gross_sales]]*excelsalesdata[[#This Row],[Discount_%]]</f>
        <v>189</v>
      </c>
      <c r="Y1104">
        <f>excelsalesdata[[#This Row],[Gross_sales]]-excelsalesdata[[#This Row],[Discount_amt]]</f>
        <v>3591</v>
      </c>
      <c r="Z1104" s="4">
        <f>excelsalesdata[[#This Row],[Net_sales]]-excelsalesdata[[#This Row],[Cost]]</f>
        <v>1551</v>
      </c>
      <c r="AA1104" s="5">
        <f>excelsalesdata[[#This Row],[Profit]]/excelsalesdata[[#This Row],[Net_sales]]</f>
        <v>0.43191311612364242</v>
      </c>
      <c r="AB1104" s="4">
        <f>YEAR(excelsalesdata[[#This Row],[Order_Date]])</f>
        <v>2028</v>
      </c>
      <c r="AC1104" s="4" t="str">
        <f>TEXT(excelsalesdata[[#This Row],[Order_Date]],"mmm")</f>
        <v>Apr</v>
      </c>
      <c r="AD1104" s="4" t="str">
        <f>"Q"&amp;ROUNDUP(MONTH(excelsalesdata[[#This Row],[Order_Date]])/3,0)</f>
        <v>Q2</v>
      </c>
    </row>
    <row r="1105" spans="1:30" x14ac:dyDescent="0.35">
      <c r="A1105" t="s">
        <v>1898</v>
      </c>
      <c r="B1105" s="3">
        <v>46863</v>
      </c>
      <c r="C1105" t="s">
        <v>895</v>
      </c>
      <c r="D1105" t="s">
        <v>338</v>
      </c>
      <c r="E1105" t="str">
        <f>TRIM(excelsalesdata[[#This Row],[Customer_Name]])</f>
        <v>Karan Singh</v>
      </c>
      <c r="F1105" t="s">
        <v>23</v>
      </c>
      <c r="G1105">
        <v>54</v>
      </c>
      <c r="H1105" t="s">
        <v>24</v>
      </c>
      <c r="I1105" t="str">
        <f>TRIM(excelsalesdata[[#This Row],[City]])</f>
        <v>Pune</v>
      </c>
      <c r="J1105" t="s">
        <v>25</v>
      </c>
      <c r="K1105" t="s">
        <v>26</v>
      </c>
      <c r="L1105" t="s">
        <v>54</v>
      </c>
      <c r="M1105" t="s">
        <v>129</v>
      </c>
      <c r="N1105" t="s">
        <v>129</v>
      </c>
      <c r="O1105">
        <v>3</v>
      </c>
      <c r="P1105">
        <v>16610</v>
      </c>
      <c r="Q1105">
        <v>0.1</v>
      </c>
      <c r="R1105">
        <v>13030</v>
      </c>
      <c r="S1105" t="s">
        <v>80</v>
      </c>
      <c r="T1105" t="s">
        <v>30</v>
      </c>
      <c r="U1105">
        <v>8</v>
      </c>
      <c r="V1105" t="s">
        <v>40</v>
      </c>
      <c r="W1105">
        <f>excelsalesdata[[#This Row],[Quantity]]*excelsalesdata[[#This Row],[Unit_Price]]</f>
        <v>49830</v>
      </c>
      <c r="X1105">
        <f>excelsalesdata[[#This Row],[Gross_sales]]*excelsalesdata[[#This Row],[Discount_%]]</f>
        <v>4983</v>
      </c>
      <c r="Y1105">
        <f>excelsalesdata[[#This Row],[Gross_sales]]-excelsalesdata[[#This Row],[Discount_amt]]</f>
        <v>44847</v>
      </c>
      <c r="Z1105" s="4">
        <f>excelsalesdata[[#This Row],[Net_sales]]-excelsalesdata[[#This Row],[Cost]]</f>
        <v>31817</v>
      </c>
      <c r="AA1105" s="5">
        <f>excelsalesdata[[#This Row],[Profit]]/excelsalesdata[[#This Row],[Net_sales]]</f>
        <v>0.70945659687381546</v>
      </c>
      <c r="AB1105" s="4">
        <f>YEAR(excelsalesdata[[#This Row],[Order_Date]])</f>
        <v>2028</v>
      </c>
      <c r="AC1105" s="4" t="str">
        <f>TEXT(excelsalesdata[[#This Row],[Order_Date]],"mmm")</f>
        <v>Apr</v>
      </c>
      <c r="AD1105" s="4" t="str">
        <f>"Q"&amp;ROUNDUP(MONTH(excelsalesdata[[#This Row],[Order_Date]])/3,0)</f>
        <v>Q2</v>
      </c>
    </row>
    <row r="1106" spans="1:30" x14ac:dyDescent="0.35">
      <c r="A1106" t="s">
        <v>1899</v>
      </c>
      <c r="B1106" s="3">
        <v>46864</v>
      </c>
      <c r="C1106" t="s">
        <v>408</v>
      </c>
      <c r="D1106" t="s">
        <v>507</v>
      </c>
      <c r="E1106" t="str">
        <f>TRIM(excelsalesdata[[#This Row],[Customer_Name]])</f>
        <v>Vikram Iyer</v>
      </c>
      <c r="F1106" t="s">
        <v>23</v>
      </c>
      <c r="G1106">
        <v>27</v>
      </c>
      <c r="H1106" t="s">
        <v>78</v>
      </c>
      <c r="I1106" t="str">
        <f>TRIM(excelsalesdata[[#This Row],[City]])</f>
        <v>Guwahati</v>
      </c>
      <c r="J1106" t="s">
        <v>79</v>
      </c>
      <c r="K1106" t="s">
        <v>37</v>
      </c>
      <c r="L1106" t="s">
        <v>27</v>
      </c>
      <c r="M1106" t="s">
        <v>195</v>
      </c>
      <c r="N1106" t="s">
        <v>195</v>
      </c>
      <c r="O1106">
        <v>3</v>
      </c>
      <c r="P1106">
        <v>2120</v>
      </c>
      <c r="Q1106">
        <v>0</v>
      </c>
      <c r="R1106">
        <v>1200</v>
      </c>
      <c r="S1106" t="s">
        <v>67</v>
      </c>
      <c r="T1106" t="s">
        <v>74</v>
      </c>
      <c r="U1106">
        <v>7</v>
      </c>
      <c r="V1106" t="s">
        <v>40</v>
      </c>
      <c r="W1106">
        <f>excelsalesdata[[#This Row],[Quantity]]*excelsalesdata[[#This Row],[Unit_Price]]</f>
        <v>6360</v>
      </c>
      <c r="X1106">
        <f>excelsalesdata[[#This Row],[Gross_sales]]*excelsalesdata[[#This Row],[Discount_%]]</f>
        <v>0</v>
      </c>
      <c r="Y1106">
        <f>excelsalesdata[[#This Row],[Gross_sales]]-excelsalesdata[[#This Row],[Discount_amt]]</f>
        <v>6360</v>
      </c>
      <c r="Z1106" s="4">
        <f>excelsalesdata[[#This Row],[Net_sales]]-excelsalesdata[[#This Row],[Cost]]</f>
        <v>5160</v>
      </c>
      <c r="AA1106" s="5">
        <f>excelsalesdata[[#This Row],[Profit]]/excelsalesdata[[#This Row],[Net_sales]]</f>
        <v>0.81132075471698117</v>
      </c>
      <c r="AB1106" s="4">
        <f>YEAR(excelsalesdata[[#This Row],[Order_Date]])</f>
        <v>2028</v>
      </c>
      <c r="AC1106" s="4" t="str">
        <f>TEXT(excelsalesdata[[#This Row],[Order_Date]],"mmm")</f>
        <v>Apr</v>
      </c>
      <c r="AD1106" s="4" t="str">
        <f>"Q"&amp;ROUNDUP(MONTH(excelsalesdata[[#This Row],[Order_Date]])/3,0)</f>
        <v>Q2</v>
      </c>
    </row>
    <row r="1107" spans="1:30" x14ac:dyDescent="0.35">
      <c r="A1107" t="s">
        <v>1900</v>
      </c>
      <c r="B1107" s="3">
        <v>46865</v>
      </c>
      <c r="C1107" t="s">
        <v>1399</v>
      </c>
      <c r="D1107" t="s">
        <v>1404</v>
      </c>
      <c r="E1107" t="str">
        <f>TRIM(excelsalesdata[[#This Row],[Customer_Name]])</f>
        <v>Rohan Joshi</v>
      </c>
      <c r="F1107" t="s">
        <v>44</v>
      </c>
      <c r="G1107">
        <v>50</v>
      </c>
      <c r="H1107" t="s">
        <v>60</v>
      </c>
      <c r="I1107" t="str">
        <f>TRIM(excelsalesdata[[#This Row],[City]])</f>
        <v>Chandigarh</v>
      </c>
      <c r="J1107" t="s">
        <v>60</v>
      </c>
      <c r="K1107" t="s">
        <v>61</v>
      </c>
      <c r="L1107" t="s">
        <v>93</v>
      </c>
      <c r="M1107" t="s">
        <v>718</v>
      </c>
      <c r="N1107" t="s">
        <v>718</v>
      </c>
      <c r="O1107">
        <v>2</v>
      </c>
      <c r="P1107">
        <v>1810</v>
      </c>
      <c r="Q1107">
        <v>0.05</v>
      </c>
      <c r="R1107">
        <v>900</v>
      </c>
      <c r="S1107" t="s">
        <v>151</v>
      </c>
      <c r="T1107" t="s">
        <v>30</v>
      </c>
      <c r="U1107">
        <v>2</v>
      </c>
      <c r="V1107" t="s">
        <v>40</v>
      </c>
      <c r="W1107">
        <f>excelsalesdata[[#This Row],[Quantity]]*excelsalesdata[[#This Row],[Unit_Price]]</f>
        <v>3620</v>
      </c>
      <c r="X1107">
        <f>excelsalesdata[[#This Row],[Gross_sales]]*excelsalesdata[[#This Row],[Discount_%]]</f>
        <v>181</v>
      </c>
      <c r="Y1107">
        <f>excelsalesdata[[#This Row],[Gross_sales]]-excelsalesdata[[#This Row],[Discount_amt]]</f>
        <v>3439</v>
      </c>
      <c r="Z1107" s="4">
        <f>excelsalesdata[[#This Row],[Net_sales]]-excelsalesdata[[#This Row],[Cost]]</f>
        <v>2539</v>
      </c>
      <c r="AA1107" s="5">
        <f>excelsalesdata[[#This Row],[Profit]]/excelsalesdata[[#This Row],[Net_sales]]</f>
        <v>0.73829601628380348</v>
      </c>
      <c r="AB1107" s="4">
        <f>YEAR(excelsalesdata[[#This Row],[Order_Date]])</f>
        <v>2028</v>
      </c>
      <c r="AC1107" s="4" t="str">
        <f>TEXT(excelsalesdata[[#This Row],[Order_Date]],"mmm")</f>
        <v>Apr</v>
      </c>
      <c r="AD1107" s="4" t="str">
        <f>"Q"&amp;ROUNDUP(MONTH(excelsalesdata[[#This Row],[Order_Date]])/3,0)</f>
        <v>Q2</v>
      </c>
    </row>
    <row r="1108" spans="1:30" x14ac:dyDescent="0.35">
      <c r="A1108" t="s">
        <v>1901</v>
      </c>
      <c r="B1108" s="3">
        <v>46866</v>
      </c>
      <c r="C1108" t="s">
        <v>595</v>
      </c>
      <c r="D1108" t="s">
        <v>92</v>
      </c>
      <c r="E1108" t="str">
        <f>TRIM(excelsalesdata[[#This Row],[Customer_Name]])</f>
        <v>Nisha Iyer</v>
      </c>
      <c r="F1108" t="s">
        <v>23</v>
      </c>
      <c r="G1108">
        <v>33</v>
      </c>
      <c r="H1108" t="s">
        <v>24</v>
      </c>
      <c r="I1108" t="str">
        <f>TRIM(excelsalesdata[[#This Row],[City]])</f>
        <v>Pune</v>
      </c>
      <c r="J1108" t="s">
        <v>25</v>
      </c>
      <c r="K1108" t="s">
        <v>26</v>
      </c>
      <c r="L1108" t="s">
        <v>85</v>
      </c>
      <c r="M1108" t="s">
        <v>251</v>
      </c>
      <c r="N1108" t="s">
        <v>251</v>
      </c>
      <c r="O1108">
        <v>1</v>
      </c>
      <c r="P1108">
        <v>3260</v>
      </c>
      <c r="Q1108">
        <v>0.15</v>
      </c>
      <c r="R1108">
        <v>1910</v>
      </c>
      <c r="S1108" t="s">
        <v>29</v>
      </c>
      <c r="T1108" t="s">
        <v>30</v>
      </c>
      <c r="U1108">
        <v>4</v>
      </c>
      <c r="V1108" t="s">
        <v>31</v>
      </c>
      <c r="W1108">
        <f>excelsalesdata[[#This Row],[Quantity]]*excelsalesdata[[#This Row],[Unit_Price]]</f>
        <v>3260</v>
      </c>
      <c r="X1108">
        <f>excelsalesdata[[#This Row],[Gross_sales]]*excelsalesdata[[#This Row],[Discount_%]]</f>
        <v>489</v>
      </c>
      <c r="Y1108">
        <f>excelsalesdata[[#This Row],[Gross_sales]]-excelsalesdata[[#This Row],[Discount_amt]]</f>
        <v>2771</v>
      </c>
      <c r="Z1108" s="4">
        <f>excelsalesdata[[#This Row],[Net_sales]]-excelsalesdata[[#This Row],[Cost]]</f>
        <v>861</v>
      </c>
      <c r="AA1108" s="5">
        <f>excelsalesdata[[#This Row],[Profit]]/excelsalesdata[[#This Row],[Net_sales]]</f>
        <v>0.3107181522915915</v>
      </c>
      <c r="AB1108" s="4">
        <f>YEAR(excelsalesdata[[#This Row],[Order_Date]])</f>
        <v>2028</v>
      </c>
      <c r="AC1108" s="4" t="str">
        <f>TEXT(excelsalesdata[[#This Row],[Order_Date]],"mmm")</f>
        <v>Apr</v>
      </c>
      <c r="AD1108" s="4" t="str">
        <f>"Q"&amp;ROUNDUP(MONTH(excelsalesdata[[#This Row],[Order_Date]])/3,0)</f>
        <v>Q2</v>
      </c>
    </row>
    <row r="1109" spans="1:30" x14ac:dyDescent="0.35">
      <c r="A1109" t="s">
        <v>1902</v>
      </c>
      <c r="B1109" s="3">
        <v>46867</v>
      </c>
      <c r="C1109" t="s">
        <v>1426</v>
      </c>
      <c r="D1109" t="s">
        <v>282</v>
      </c>
      <c r="E1109" t="str">
        <f>TRIM(excelsalesdata[[#This Row],[Customer_Name]])</f>
        <v>Priya Bhat</v>
      </c>
      <c r="F1109" t="s">
        <v>44</v>
      </c>
      <c r="G1109">
        <v>31</v>
      </c>
      <c r="H1109" t="s">
        <v>185</v>
      </c>
      <c r="I1109" t="str">
        <f>TRIM(excelsalesdata[[#This Row],[City]])</f>
        <v>Lucknow</v>
      </c>
      <c r="J1109" t="s">
        <v>186</v>
      </c>
      <c r="K1109" t="s">
        <v>61</v>
      </c>
      <c r="L1109" t="s">
        <v>27</v>
      </c>
      <c r="M1109" t="s">
        <v>48</v>
      </c>
      <c r="N1109" t="s">
        <v>48</v>
      </c>
      <c r="O1109">
        <v>5</v>
      </c>
      <c r="P1109">
        <v>880</v>
      </c>
      <c r="Q1109">
        <v>0.2</v>
      </c>
      <c r="R1109">
        <v>440</v>
      </c>
      <c r="S1109" t="s">
        <v>151</v>
      </c>
      <c r="T1109" t="s">
        <v>30</v>
      </c>
      <c r="U1109">
        <v>3</v>
      </c>
      <c r="V1109" t="s">
        <v>40</v>
      </c>
      <c r="W1109">
        <f>excelsalesdata[[#This Row],[Quantity]]*excelsalesdata[[#This Row],[Unit_Price]]</f>
        <v>4400</v>
      </c>
      <c r="X1109">
        <f>excelsalesdata[[#This Row],[Gross_sales]]*excelsalesdata[[#This Row],[Discount_%]]</f>
        <v>880</v>
      </c>
      <c r="Y1109">
        <f>excelsalesdata[[#This Row],[Gross_sales]]-excelsalesdata[[#This Row],[Discount_amt]]</f>
        <v>3520</v>
      </c>
      <c r="Z1109" s="4">
        <f>excelsalesdata[[#This Row],[Net_sales]]-excelsalesdata[[#This Row],[Cost]]</f>
        <v>3080</v>
      </c>
      <c r="AA1109" s="5">
        <f>excelsalesdata[[#This Row],[Profit]]/excelsalesdata[[#This Row],[Net_sales]]</f>
        <v>0.875</v>
      </c>
      <c r="AB1109" s="4">
        <f>YEAR(excelsalesdata[[#This Row],[Order_Date]])</f>
        <v>2028</v>
      </c>
      <c r="AC1109" s="4" t="str">
        <f>TEXT(excelsalesdata[[#This Row],[Order_Date]],"mmm")</f>
        <v>Apr</v>
      </c>
      <c r="AD1109" s="4" t="str">
        <f>"Q"&amp;ROUNDUP(MONTH(excelsalesdata[[#This Row],[Order_Date]])/3,0)</f>
        <v>Q2</v>
      </c>
    </row>
    <row r="1110" spans="1:30" x14ac:dyDescent="0.35">
      <c r="A1110" t="s">
        <v>1903</v>
      </c>
      <c r="B1110" s="3">
        <v>46868</v>
      </c>
      <c r="C1110" t="s">
        <v>907</v>
      </c>
      <c r="D1110" t="s">
        <v>1202</v>
      </c>
      <c r="E1110" t="str">
        <f>TRIM(excelsalesdata[[#This Row],[Customer_Name]])</f>
        <v>Ishita Naidu</v>
      </c>
      <c r="F1110" t="s">
        <v>23</v>
      </c>
      <c r="G1110">
        <v>53</v>
      </c>
      <c r="H1110" t="s">
        <v>71</v>
      </c>
      <c r="I1110" t="str">
        <f>TRIM(excelsalesdata[[#This Row],[City]])</f>
        <v>Bhubaneswar</v>
      </c>
      <c r="J1110" t="s">
        <v>72</v>
      </c>
      <c r="K1110" t="s">
        <v>37</v>
      </c>
      <c r="L1110" t="s">
        <v>54</v>
      </c>
      <c r="M1110" t="s">
        <v>157</v>
      </c>
      <c r="N1110" t="s">
        <v>157</v>
      </c>
      <c r="O1110">
        <v>4</v>
      </c>
      <c r="P1110">
        <v>53210</v>
      </c>
      <c r="Q1110">
        <v>0.25</v>
      </c>
      <c r="R1110">
        <v>41790</v>
      </c>
      <c r="S1110" t="s">
        <v>105</v>
      </c>
      <c r="T1110" t="s">
        <v>30</v>
      </c>
      <c r="U1110">
        <v>3</v>
      </c>
      <c r="V1110" t="s">
        <v>31</v>
      </c>
      <c r="W1110">
        <f>excelsalesdata[[#This Row],[Quantity]]*excelsalesdata[[#This Row],[Unit_Price]]</f>
        <v>212840</v>
      </c>
      <c r="X1110">
        <f>excelsalesdata[[#This Row],[Gross_sales]]*excelsalesdata[[#This Row],[Discount_%]]</f>
        <v>53210</v>
      </c>
      <c r="Y1110">
        <f>excelsalesdata[[#This Row],[Gross_sales]]-excelsalesdata[[#This Row],[Discount_amt]]</f>
        <v>159630</v>
      </c>
      <c r="Z1110" s="4">
        <f>excelsalesdata[[#This Row],[Net_sales]]-excelsalesdata[[#This Row],[Cost]]</f>
        <v>117840</v>
      </c>
      <c r="AA1110" s="5">
        <f>excelsalesdata[[#This Row],[Profit]]/excelsalesdata[[#This Row],[Net_sales]]</f>
        <v>0.73820710392783306</v>
      </c>
      <c r="AB1110" s="4">
        <f>YEAR(excelsalesdata[[#This Row],[Order_Date]])</f>
        <v>2028</v>
      </c>
      <c r="AC1110" s="4" t="str">
        <f>TEXT(excelsalesdata[[#This Row],[Order_Date]],"mmm")</f>
        <v>Apr</v>
      </c>
      <c r="AD1110" s="4" t="str">
        <f>"Q"&amp;ROUNDUP(MONTH(excelsalesdata[[#This Row],[Order_Date]])/3,0)</f>
        <v>Q2</v>
      </c>
    </row>
    <row r="1111" spans="1:30" x14ac:dyDescent="0.35">
      <c r="A1111" t="s">
        <v>1904</v>
      </c>
      <c r="B1111" s="3">
        <v>46869</v>
      </c>
      <c r="C1111" t="s">
        <v>1905</v>
      </c>
      <c r="D1111" t="s">
        <v>113</v>
      </c>
      <c r="E1111" t="str">
        <f>TRIM(excelsalesdata[[#This Row],[Customer_Name]])</f>
        <v>Nisha Joshi</v>
      </c>
      <c r="F1111" t="s">
        <v>23</v>
      </c>
      <c r="G1111">
        <v>19</v>
      </c>
      <c r="H1111" t="s">
        <v>114</v>
      </c>
      <c r="I1111" t="str">
        <f>TRIM(excelsalesdata[[#This Row],[City]])</f>
        <v>Hyderabad</v>
      </c>
      <c r="J1111" t="s">
        <v>115</v>
      </c>
      <c r="K1111" t="s">
        <v>47</v>
      </c>
      <c r="L1111" t="s">
        <v>54</v>
      </c>
      <c r="M1111" t="s">
        <v>129</v>
      </c>
      <c r="N1111" t="s">
        <v>129</v>
      </c>
      <c r="O1111">
        <v>2</v>
      </c>
      <c r="P1111">
        <v>17270</v>
      </c>
      <c r="Q1111">
        <v>0.1</v>
      </c>
      <c r="R1111">
        <v>12730</v>
      </c>
      <c r="S1111" t="s">
        <v>67</v>
      </c>
      <c r="T1111" t="s">
        <v>30</v>
      </c>
      <c r="U1111">
        <v>2</v>
      </c>
      <c r="V1111" t="s">
        <v>31</v>
      </c>
      <c r="W1111">
        <f>excelsalesdata[[#This Row],[Quantity]]*excelsalesdata[[#This Row],[Unit_Price]]</f>
        <v>34540</v>
      </c>
      <c r="X1111">
        <f>excelsalesdata[[#This Row],[Gross_sales]]*excelsalesdata[[#This Row],[Discount_%]]</f>
        <v>3454</v>
      </c>
      <c r="Y1111">
        <f>excelsalesdata[[#This Row],[Gross_sales]]-excelsalesdata[[#This Row],[Discount_amt]]</f>
        <v>31086</v>
      </c>
      <c r="Z1111" s="4">
        <f>excelsalesdata[[#This Row],[Net_sales]]-excelsalesdata[[#This Row],[Cost]]</f>
        <v>18356</v>
      </c>
      <c r="AA1111" s="5">
        <f>excelsalesdata[[#This Row],[Profit]]/excelsalesdata[[#This Row],[Net_sales]]</f>
        <v>0.59049089622338025</v>
      </c>
      <c r="AB1111" s="4">
        <f>YEAR(excelsalesdata[[#This Row],[Order_Date]])</f>
        <v>2028</v>
      </c>
      <c r="AC1111" s="4" t="str">
        <f>TEXT(excelsalesdata[[#This Row],[Order_Date]],"mmm")</f>
        <v>Apr</v>
      </c>
      <c r="AD1111" s="4" t="str">
        <f>"Q"&amp;ROUNDUP(MONTH(excelsalesdata[[#This Row],[Order_Date]])/3,0)</f>
        <v>Q2</v>
      </c>
    </row>
    <row r="1112" spans="1:30" x14ac:dyDescent="0.35">
      <c r="A1112" t="s">
        <v>1906</v>
      </c>
      <c r="B1112" s="3">
        <v>46870</v>
      </c>
      <c r="C1112" t="s">
        <v>684</v>
      </c>
      <c r="D1112" t="s">
        <v>302</v>
      </c>
      <c r="E1112" t="str">
        <f>TRIM(excelsalesdata[[#This Row],[Customer_Name]])</f>
        <v>Diya Patel</v>
      </c>
      <c r="F1112" t="s">
        <v>23</v>
      </c>
      <c r="G1112">
        <v>38</v>
      </c>
      <c r="H1112" t="s">
        <v>133</v>
      </c>
      <c r="I1112" t="str">
        <f>TRIM(excelsalesdata[[#This Row],[City]])</f>
        <v>Jaipur</v>
      </c>
      <c r="J1112" t="s">
        <v>134</v>
      </c>
      <c r="K1112" t="s">
        <v>61</v>
      </c>
      <c r="L1112" t="s">
        <v>103</v>
      </c>
      <c r="M1112" t="s">
        <v>178</v>
      </c>
      <c r="N1112" t="s">
        <v>178</v>
      </c>
      <c r="O1112">
        <v>3</v>
      </c>
      <c r="P1112">
        <v>1800</v>
      </c>
      <c r="Q1112">
        <v>0.15</v>
      </c>
      <c r="R1112">
        <v>960</v>
      </c>
      <c r="S1112" t="s">
        <v>67</v>
      </c>
      <c r="T1112" t="s">
        <v>30</v>
      </c>
      <c r="U1112">
        <v>4</v>
      </c>
      <c r="V1112" t="s">
        <v>31</v>
      </c>
      <c r="W1112">
        <f>excelsalesdata[[#This Row],[Quantity]]*excelsalesdata[[#This Row],[Unit_Price]]</f>
        <v>5400</v>
      </c>
      <c r="X1112">
        <f>excelsalesdata[[#This Row],[Gross_sales]]*excelsalesdata[[#This Row],[Discount_%]]</f>
        <v>810</v>
      </c>
      <c r="Y1112">
        <f>excelsalesdata[[#This Row],[Gross_sales]]-excelsalesdata[[#This Row],[Discount_amt]]</f>
        <v>4590</v>
      </c>
      <c r="Z1112" s="4">
        <f>excelsalesdata[[#This Row],[Net_sales]]-excelsalesdata[[#This Row],[Cost]]</f>
        <v>3630</v>
      </c>
      <c r="AA1112" s="5">
        <f>excelsalesdata[[#This Row],[Profit]]/excelsalesdata[[#This Row],[Net_sales]]</f>
        <v>0.79084967320261434</v>
      </c>
      <c r="AB1112" s="4">
        <f>YEAR(excelsalesdata[[#This Row],[Order_Date]])</f>
        <v>2028</v>
      </c>
      <c r="AC1112" s="4" t="str">
        <f>TEXT(excelsalesdata[[#This Row],[Order_Date]],"mmm")</f>
        <v>Apr</v>
      </c>
      <c r="AD1112" s="4" t="str">
        <f>"Q"&amp;ROUNDUP(MONTH(excelsalesdata[[#This Row],[Order_Date]])/3,0)</f>
        <v>Q2</v>
      </c>
    </row>
    <row r="1113" spans="1:30" x14ac:dyDescent="0.35">
      <c r="A1113" t="s">
        <v>1907</v>
      </c>
      <c r="B1113" s="3">
        <v>46871</v>
      </c>
      <c r="C1113" t="s">
        <v>575</v>
      </c>
      <c r="D1113" t="s">
        <v>655</v>
      </c>
      <c r="E1113" t="str">
        <f>TRIM(excelsalesdata[[#This Row],[Customer_Name]])</f>
        <v>Arjun Naidu</v>
      </c>
      <c r="F1113" t="s">
        <v>44</v>
      </c>
      <c r="G1113">
        <v>33</v>
      </c>
      <c r="H1113" t="s">
        <v>109</v>
      </c>
      <c r="I1113" t="str">
        <f>TRIM(excelsalesdata[[#This Row],[City]])</f>
        <v>Mysuru</v>
      </c>
      <c r="J1113" t="s">
        <v>53</v>
      </c>
      <c r="K1113" t="s">
        <v>47</v>
      </c>
      <c r="L1113" t="s">
        <v>93</v>
      </c>
      <c r="M1113" t="s">
        <v>94</v>
      </c>
      <c r="N1113" t="s">
        <v>94</v>
      </c>
      <c r="O1113">
        <v>3</v>
      </c>
      <c r="P1113">
        <v>460</v>
      </c>
      <c r="Q1113">
        <v>0.1</v>
      </c>
      <c r="R1113">
        <v>220</v>
      </c>
      <c r="S1113" t="s">
        <v>29</v>
      </c>
      <c r="T1113" t="s">
        <v>74</v>
      </c>
      <c r="U1113">
        <v>2</v>
      </c>
      <c r="V1113" t="s">
        <v>31</v>
      </c>
      <c r="W1113">
        <f>excelsalesdata[[#This Row],[Quantity]]*excelsalesdata[[#This Row],[Unit_Price]]</f>
        <v>1380</v>
      </c>
      <c r="X1113">
        <f>excelsalesdata[[#This Row],[Gross_sales]]*excelsalesdata[[#This Row],[Discount_%]]</f>
        <v>138</v>
      </c>
      <c r="Y1113">
        <f>excelsalesdata[[#This Row],[Gross_sales]]-excelsalesdata[[#This Row],[Discount_amt]]</f>
        <v>1242</v>
      </c>
      <c r="Z1113" s="4">
        <f>excelsalesdata[[#This Row],[Net_sales]]-excelsalesdata[[#This Row],[Cost]]</f>
        <v>1022</v>
      </c>
      <c r="AA1113" s="5">
        <f>excelsalesdata[[#This Row],[Profit]]/excelsalesdata[[#This Row],[Net_sales]]</f>
        <v>0.82286634460547503</v>
      </c>
      <c r="AB1113" s="4">
        <f>YEAR(excelsalesdata[[#This Row],[Order_Date]])</f>
        <v>2028</v>
      </c>
      <c r="AC1113" s="4" t="str">
        <f>TEXT(excelsalesdata[[#This Row],[Order_Date]],"mmm")</f>
        <v>Apr</v>
      </c>
      <c r="AD1113" s="4" t="str">
        <f>"Q"&amp;ROUNDUP(MONTH(excelsalesdata[[#This Row],[Order_Date]])/3,0)</f>
        <v>Q2</v>
      </c>
    </row>
    <row r="1114" spans="1:30" x14ac:dyDescent="0.35">
      <c r="A1114" t="s">
        <v>1908</v>
      </c>
      <c r="B1114" s="3">
        <v>46872</v>
      </c>
      <c r="C1114" t="s">
        <v>702</v>
      </c>
      <c r="D1114" t="s">
        <v>365</v>
      </c>
      <c r="E1114" t="str">
        <f>TRIM(excelsalesdata[[#This Row],[Customer_Name]])</f>
        <v>Meera Bhat</v>
      </c>
      <c r="F1114" t="s">
        <v>44</v>
      </c>
      <c r="G1114">
        <v>29</v>
      </c>
      <c r="H1114" t="s">
        <v>190</v>
      </c>
      <c r="I1114" t="str">
        <f>TRIM(excelsalesdata[[#This Row],[City]])</f>
        <v>Ahmedabad</v>
      </c>
      <c r="J1114" t="s">
        <v>191</v>
      </c>
      <c r="K1114" t="s">
        <v>26</v>
      </c>
      <c r="L1114" t="s">
        <v>27</v>
      </c>
      <c r="M1114" t="s">
        <v>195</v>
      </c>
      <c r="N1114" t="s">
        <v>195</v>
      </c>
      <c r="O1114">
        <v>1</v>
      </c>
      <c r="P1114">
        <v>2230</v>
      </c>
      <c r="Q1114">
        <v>0.1</v>
      </c>
      <c r="R1114">
        <v>1190</v>
      </c>
      <c r="S1114" t="s">
        <v>67</v>
      </c>
      <c r="T1114" t="s">
        <v>30</v>
      </c>
      <c r="U1114">
        <v>1</v>
      </c>
      <c r="V1114" t="s">
        <v>40</v>
      </c>
      <c r="W1114">
        <f>excelsalesdata[[#This Row],[Quantity]]*excelsalesdata[[#This Row],[Unit_Price]]</f>
        <v>2230</v>
      </c>
      <c r="X1114">
        <f>excelsalesdata[[#This Row],[Gross_sales]]*excelsalesdata[[#This Row],[Discount_%]]</f>
        <v>223</v>
      </c>
      <c r="Y1114">
        <f>excelsalesdata[[#This Row],[Gross_sales]]-excelsalesdata[[#This Row],[Discount_amt]]</f>
        <v>2007</v>
      </c>
      <c r="Z1114" s="4">
        <f>excelsalesdata[[#This Row],[Net_sales]]-excelsalesdata[[#This Row],[Cost]]</f>
        <v>817</v>
      </c>
      <c r="AA1114" s="5">
        <f>excelsalesdata[[#This Row],[Profit]]/excelsalesdata[[#This Row],[Net_sales]]</f>
        <v>0.40707523667164924</v>
      </c>
      <c r="AB1114" s="4">
        <f>YEAR(excelsalesdata[[#This Row],[Order_Date]])</f>
        <v>2028</v>
      </c>
      <c r="AC1114" s="4" t="str">
        <f>TEXT(excelsalesdata[[#This Row],[Order_Date]],"mmm")</f>
        <v>Apr</v>
      </c>
      <c r="AD1114" s="4" t="str">
        <f>"Q"&amp;ROUNDUP(MONTH(excelsalesdata[[#This Row],[Order_Date]])/3,0)</f>
        <v>Q2</v>
      </c>
    </row>
    <row r="1115" spans="1:30" x14ac:dyDescent="0.35">
      <c r="A1115" t="s">
        <v>1909</v>
      </c>
      <c r="B1115" s="3">
        <v>46873</v>
      </c>
      <c r="C1115" t="s">
        <v>226</v>
      </c>
      <c r="D1115" t="s">
        <v>241</v>
      </c>
      <c r="E1115" t="str">
        <f>TRIM(excelsalesdata[[#This Row],[Customer_Name]])</f>
        <v>Rahul Kumar</v>
      </c>
      <c r="F1115" t="s">
        <v>23</v>
      </c>
      <c r="G1115">
        <v>30</v>
      </c>
      <c r="H1115" t="s">
        <v>190</v>
      </c>
      <c r="I1115" t="str">
        <f>TRIM(excelsalesdata[[#This Row],[City]])</f>
        <v>Ahmedabad</v>
      </c>
      <c r="J1115" t="s">
        <v>191</v>
      </c>
      <c r="K1115" t="s">
        <v>26</v>
      </c>
      <c r="L1115" t="s">
        <v>54</v>
      </c>
      <c r="M1115" t="s">
        <v>129</v>
      </c>
      <c r="N1115" t="s">
        <v>129</v>
      </c>
      <c r="O1115">
        <v>4</v>
      </c>
      <c r="P1115">
        <v>17100</v>
      </c>
      <c r="Q1115">
        <v>0.05</v>
      </c>
      <c r="R1115">
        <v>12370</v>
      </c>
      <c r="S1115" t="s">
        <v>105</v>
      </c>
      <c r="T1115" t="s">
        <v>81</v>
      </c>
      <c r="U1115">
        <v>0</v>
      </c>
      <c r="V1115" t="s">
        <v>40</v>
      </c>
      <c r="W1115">
        <f>excelsalesdata[[#This Row],[Quantity]]*excelsalesdata[[#This Row],[Unit_Price]]</f>
        <v>68400</v>
      </c>
      <c r="X1115">
        <f>excelsalesdata[[#This Row],[Gross_sales]]*excelsalesdata[[#This Row],[Discount_%]]</f>
        <v>3420</v>
      </c>
      <c r="Y1115">
        <f>excelsalesdata[[#This Row],[Gross_sales]]-excelsalesdata[[#This Row],[Discount_amt]]</f>
        <v>64980</v>
      </c>
      <c r="Z1115" s="4">
        <f>excelsalesdata[[#This Row],[Net_sales]]-excelsalesdata[[#This Row],[Cost]]</f>
        <v>52610</v>
      </c>
      <c r="AA1115" s="5">
        <f>excelsalesdata[[#This Row],[Profit]]/excelsalesdata[[#This Row],[Net_sales]]</f>
        <v>0.80963373345644818</v>
      </c>
      <c r="AB1115" s="4">
        <f>YEAR(excelsalesdata[[#This Row],[Order_Date]])</f>
        <v>2028</v>
      </c>
      <c r="AC1115" s="4" t="str">
        <f>TEXT(excelsalesdata[[#This Row],[Order_Date]],"mmm")</f>
        <v>Apr</v>
      </c>
      <c r="AD1115" s="4" t="str">
        <f>"Q"&amp;ROUNDUP(MONTH(excelsalesdata[[#This Row],[Order_Date]])/3,0)</f>
        <v>Q2</v>
      </c>
    </row>
    <row r="1116" spans="1:30" x14ac:dyDescent="0.35">
      <c r="A1116" t="s">
        <v>1910</v>
      </c>
      <c r="B1116" s="3">
        <v>46874</v>
      </c>
      <c r="C1116" t="s">
        <v>1094</v>
      </c>
      <c r="D1116" t="s">
        <v>254</v>
      </c>
      <c r="E1116" t="str">
        <f>TRIM(excelsalesdata[[#This Row],[Customer_Name]])</f>
        <v>Meera Sharma</v>
      </c>
      <c r="F1116" t="s">
        <v>44</v>
      </c>
      <c r="G1116">
        <v>57</v>
      </c>
      <c r="H1116" t="s">
        <v>109</v>
      </c>
      <c r="I1116" t="str">
        <f>TRIM(excelsalesdata[[#This Row],[City]])</f>
        <v>Mysuru</v>
      </c>
      <c r="J1116" t="s">
        <v>53</v>
      </c>
      <c r="K1116" t="s">
        <v>47</v>
      </c>
      <c r="L1116" t="s">
        <v>38</v>
      </c>
      <c r="M1116" t="s">
        <v>39</v>
      </c>
      <c r="N1116" t="s">
        <v>39</v>
      </c>
      <c r="O1116">
        <v>2</v>
      </c>
      <c r="P1116">
        <v>6010</v>
      </c>
      <c r="Q1116">
        <v>0</v>
      </c>
      <c r="R1116">
        <v>4100</v>
      </c>
      <c r="S1116" t="s">
        <v>80</v>
      </c>
      <c r="T1116" t="s">
        <v>30</v>
      </c>
      <c r="U1116">
        <v>4</v>
      </c>
      <c r="V1116" t="s">
        <v>31</v>
      </c>
      <c r="W1116">
        <f>excelsalesdata[[#This Row],[Quantity]]*excelsalesdata[[#This Row],[Unit_Price]]</f>
        <v>12020</v>
      </c>
      <c r="X1116">
        <f>excelsalesdata[[#This Row],[Gross_sales]]*excelsalesdata[[#This Row],[Discount_%]]</f>
        <v>0</v>
      </c>
      <c r="Y1116">
        <f>excelsalesdata[[#This Row],[Gross_sales]]-excelsalesdata[[#This Row],[Discount_amt]]</f>
        <v>12020</v>
      </c>
      <c r="Z1116" s="4">
        <f>excelsalesdata[[#This Row],[Net_sales]]-excelsalesdata[[#This Row],[Cost]]</f>
        <v>7920</v>
      </c>
      <c r="AA1116" s="5">
        <f>excelsalesdata[[#This Row],[Profit]]/excelsalesdata[[#This Row],[Net_sales]]</f>
        <v>0.65890183028286187</v>
      </c>
      <c r="AB1116" s="4">
        <f>YEAR(excelsalesdata[[#This Row],[Order_Date]])</f>
        <v>2028</v>
      </c>
      <c r="AC1116" s="4" t="str">
        <f>TEXT(excelsalesdata[[#This Row],[Order_Date]],"mmm")</f>
        <v>May</v>
      </c>
      <c r="AD1116" s="4" t="str">
        <f>"Q"&amp;ROUNDUP(MONTH(excelsalesdata[[#This Row],[Order_Date]])/3,0)</f>
        <v>Q2</v>
      </c>
    </row>
    <row r="1117" spans="1:30" x14ac:dyDescent="0.35">
      <c r="A1117" t="s">
        <v>1911</v>
      </c>
      <c r="B1117" s="3">
        <v>46875</v>
      </c>
      <c r="C1117" t="s">
        <v>1495</v>
      </c>
      <c r="D1117" t="s">
        <v>752</v>
      </c>
      <c r="E1117" t="str">
        <f>TRIM(excelsalesdata[[#This Row],[Customer_Name]])</f>
        <v>Kavya Mehta</v>
      </c>
      <c r="F1117" t="s">
        <v>23</v>
      </c>
      <c r="G1117">
        <v>37</v>
      </c>
      <c r="H1117" t="s">
        <v>35</v>
      </c>
      <c r="I1117" t="str">
        <f>TRIM(excelsalesdata[[#This Row],[City]])</f>
        <v>Kolkata</v>
      </c>
      <c r="J1117" t="s">
        <v>36</v>
      </c>
      <c r="K1117" t="s">
        <v>37</v>
      </c>
      <c r="L1117" t="s">
        <v>27</v>
      </c>
      <c r="M1117" t="s">
        <v>295</v>
      </c>
      <c r="N1117" t="s">
        <v>295</v>
      </c>
      <c r="O1117">
        <v>3</v>
      </c>
      <c r="P1117">
        <v>4470</v>
      </c>
      <c r="Q1117">
        <v>0.25</v>
      </c>
      <c r="R1117">
        <v>2610</v>
      </c>
      <c r="S1117" t="s">
        <v>80</v>
      </c>
      <c r="T1117" t="s">
        <v>30</v>
      </c>
      <c r="U1117">
        <v>7</v>
      </c>
      <c r="V1117" t="s">
        <v>31</v>
      </c>
      <c r="W1117">
        <f>excelsalesdata[[#This Row],[Quantity]]*excelsalesdata[[#This Row],[Unit_Price]]</f>
        <v>13410</v>
      </c>
      <c r="X1117">
        <f>excelsalesdata[[#This Row],[Gross_sales]]*excelsalesdata[[#This Row],[Discount_%]]</f>
        <v>3352.5</v>
      </c>
      <c r="Y1117">
        <f>excelsalesdata[[#This Row],[Gross_sales]]-excelsalesdata[[#This Row],[Discount_amt]]</f>
        <v>10057.5</v>
      </c>
      <c r="Z1117" s="4">
        <f>excelsalesdata[[#This Row],[Net_sales]]-excelsalesdata[[#This Row],[Cost]]</f>
        <v>7447.5</v>
      </c>
      <c r="AA1117" s="5">
        <f>excelsalesdata[[#This Row],[Profit]]/excelsalesdata[[#This Row],[Net_sales]]</f>
        <v>0.74049217002237133</v>
      </c>
      <c r="AB1117" s="4">
        <f>YEAR(excelsalesdata[[#This Row],[Order_Date]])</f>
        <v>2028</v>
      </c>
      <c r="AC1117" s="4" t="str">
        <f>TEXT(excelsalesdata[[#This Row],[Order_Date]],"mmm")</f>
        <v>May</v>
      </c>
      <c r="AD1117" s="4" t="str">
        <f>"Q"&amp;ROUNDUP(MONTH(excelsalesdata[[#This Row],[Order_Date]])/3,0)</f>
        <v>Q2</v>
      </c>
    </row>
    <row r="1118" spans="1:30" x14ac:dyDescent="0.35">
      <c r="A1118" t="s">
        <v>1912</v>
      </c>
      <c r="B1118" s="3">
        <v>46876</v>
      </c>
      <c r="C1118" t="s">
        <v>854</v>
      </c>
      <c r="D1118" t="s">
        <v>102</v>
      </c>
      <c r="E1118" t="str">
        <f>TRIM(excelsalesdata[[#This Row],[Customer_Name]])</f>
        <v>Nisha Sharma</v>
      </c>
      <c r="F1118" t="s">
        <v>44</v>
      </c>
      <c r="G1118">
        <v>39</v>
      </c>
      <c r="H1118" t="s">
        <v>35</v>
      </c>
      <c r="I1118" t="str">
        <f>TRIM(excelsalesdata[[#This Row],[City]])</f>
        <v>Kolkata</v>
      </c>
      <c r="J1118" t="s">
        <v>36</v>
      </c>
      <c r="K1118" t="s">
        <v>37</v>
      </c>
      <c r="L1118" t="s">
        <v>27</v>
      </c>
      <c r="M1118" t="s">
        <v>48</v>
      </c>
      <c r="N1118" t="s">
        <v>48</v>
      </c>
      <c r="O1118">
        <v>4</v>
      </c>
      <c r="P1118">
        <v>920</v>
      </c>
      <c r="Q1118">
        <v>0.25</v>
      </c>
      <c r="R1118">
        <v>470</v>
      </c>
      <c r="S1118" t="s">
        <v>105</v>
      </c>
      <c r="T1118" t="s">
        <v>30</v>
      </c>
      <c r="U1118">
        <v>2</v>
      </c>
      <c r="V1118" t="s">
        <v>40</v>
      </c>
      <c r="W1118">
        <f>excelsalesdata[[#This Row],[Quantity]]*excelsalesdata[[#This Row],[Unit_Price]]</f>
        <v>3680</v>
      </c>
      <c r="X1118">
        <f>excelsalesdata[[#This Row],[Gross_sales]]*excelsalesdata[[#This Row],[Discount_%]]</f>
        <v>920</v>
      </c>
      <c r="Y1118">
        <f>excelsalesdata[[#This Row],[Gross_sales]]-excelsalesdata[[#This Row],[Discount_amt]]</f>
        <v>2760</v>
      </c>
      <c r="Z1118" s="4">
        <f>excelsalesdata[[#This Row],[Net_sales]]-excelsalesdata[[#This Row],[Cost]]</f>
        <v>2290</v>
      </c>
      <c r="AA1118" s="5">
        <f>excelsalesdata[[#This Row],[Profit]]/excelsalesdata[[#This Row],[Net_sales]]</f>
        <v>0.82971014492753625</v>
      </c>
      <c r="AB1118" s="4">
        <f>YEAR(excelsalesdata[[#This Row],[Order_Date]])</f>
        <v>2028</v>
      </c>
      <c r="AC1118" s="4" t="str">
        <f>TEXT(excelsalesdata[[#This Row],[Order_Date]],"mmm")</f>
        <v>May</v>
      </c>
      <c r="AD1118" s="4" t="str">
        <f>"Q"&amp;ROUNDUP(MONTH(excelsalesdata[[#This Row],[Order_Date]])/3,0)</f>
        <v>Q2</v>
      </c>
    </row>
    <row r="1119" spans="1:30" x14ac:dyDescent="0.35">
      <c r="A1119" t="s">
        <v>1913</v>
      </c>
      <c r="B1119" s="3">
        <v>46877</v>
      </c>
      <c r="C1119" t="s">
        <v>841</v>
      </c>
      <c r="D1119" t="s">
        <v>871</v>
      </c>
      <c r="E1119" t="str">
        <f>TRIM(excelsalesdata[[#This Row],[Customer_Name]])</f>
        <v>Rahul Iyer</v>
      </c>
      <c r="F1119" t="s">
        <v>23</v>
      </c>
      <c r="G1119">
        <v>33</v>
      </c>
      <c r="H1119" t="s">
        <v>98</v>
      </c>
      <c r="I1119" t="str">
        <f>TRIM(excelsalesdata[[#This Row],[City]])</f>
        <v>Mumbai</v>
      </c>
      <c r="J1119" t="s">
        <v>25</v>
      </c>
      <c r="K1119" t="s">
        <v>26</v>
      </c>
      <c r="L1119" t="s">
        <v>103</v>
      </c>
      <c r="M1119" t="s">
        <v>238</v>
      </c>
      <c r="N1119" t="s">
        <v>238</v>
      </c>
      <c r="O1119">
        <v>1</v>
      </c>
      <c r="P1119">
        <v>4160</v>
      </c>
      <c r="Q1119">
        <v>0.1</v>
      </c>
      <c r="R1119">
        <v>2650</v>
      </c>
      <c r="S1119" t="s">
        <v>105</v>
      </c>
      <c r="T1119" t="s">
        <v>30</v>
      </c>
      <c r="U1119">
        <v>5</v>
      </c>
      <c r="V1119" t="s">
        <v>40</v>
      </c>
      <c r="W1119">
        <f>excelsalesdata[[#This Row],[Quantity]]*excelsalesdata[[#This Row],[Unit_Price]]</f>
        <v>4160</v>
      </c>
      <c r="X1119">
        <f>excelsalesdata[[#This Row],[Gross_sales]]*excelsalesdata[[#This Row],[Discount_%]]</f>
        <v>416</v>
      </c>
      <c r="Y1119">
        <f>excelsalesdata[[#This Row],[Gross_sales]]-excelsalesdata[[#This Row],[Discount_amt]]</f>
        <v>3744</v>
      </c>
      <c r="Z1119" s="4">
        <f>excelsalesdata[[#This Row],[Net_sales]]-excelsalesdata[[#This Row],[Cost]]</f>
        <v>1094</v>
      </c>
      <c r="AA1119" s="5">
        <f>excelsalesdata[[#This Row],[Profit]]/excelsalesdata[[#This Row],[Net_sales]]</f>
        <v>0.29220085470085472</v>
      </c>
      <c r="AB1119" s="4">
        <f>YEAR(excelsalesdata[[#This Row],[Order_Date]])</f>
        <v>2028</v>
      </c>
      <c r="AC1119" s="4" t="str">
        <f>TEXT(excelsalesdata[[#This Row],[Order_Date]],"mmm")</f>
        <v>May</v>
      </c>
      <c r="AD1119" s="4" t="str">
        <f>"Q"&amp;ROUNDUP(MONTH(excelsalesdata[[#This Row],[Order_Date]])/3,0)</f>
        <v>Q2</v>
      </c>
    </row>
    <row r="1120" spans="1:30" x14ac:dyDescent="0.35">
      <c r="A1120" t="s">
        <v>1914</v>
      </c>
      <c r="B1120" s="3">
        <v>46878</v>
      </c>
      <c r="C1120" t="s">
        <v>402</v>
      </c>
      <c r="D1120" t="s">
        <v>299</v>
      </c>
      <c r="E1120" t="str">
        <f>TRIM(excelsalesdata[[#This Row],[Customer_Name]])</f>
        <v>Aarav Joshi</v>
      </c>
      <c r="F1120" t="s">
        <v>44</v>
      </c>
      <c r="G1120">
        <v>48</v>
      </c>
      <c r="H1120" t="s">
        <v>114</v>
      </c>
      <c r="I1120" t="str">
        <f>TRIM(excelsalesdata[[#This Row],[City]])</f>
        <v>Hyderabad</v>
      </c>
      <c r="J1120" t="s">
        <v>115</v>
      </c>
      <c r="K1120" t="s">
        <v>47</v>
      </c>
      <c r="L1120" t="s">
        <v>103</v>
      </c>
      <c r="M1120" t="s">
        <v>104</v>
      </c>
      <c r="N1120" t="s">
        <v>104</v>
      </c>
      <c r="O1120">
        <v>1</v>
      </c>
      <c r="P1120">
        <v>8500</v>
      </c>
      <c r="Q1120">
        <v>0.15</v>
      </c>
      <c r="R1120">
        <v>5810</v>
      </c>
      <c r="S1120" t="s">
        <v>29</v>
      </c>
      <c r="T1120" t="s">
        <v>30</v>
      </c>
      <c r="U1120">
        <v>5</v>
      </c>
      <c r="V1120" t="s">
        <v>40</v>
      </c>
      <c r="W1120">
        <f>excelsalesdata[[#This Row],[Quantity]]*excelsalesdata[[#This Row],[Unit_Price]]</f>
        <v>8500</v>
      </c>
      <c r="X1120">
        <f>excelsalesdata[[#This Row],[Gross_sales]]*excelsalesdata[[#This Row],[Discount_%]]</f>
        <v>1275</v>
      </c>
      <c r="Y1120">
        <f>excelsalesdata[[#This Row],[Gross_sales]]-excelsalesdata[[#This Row],[Discount_amt]]</f>
        <v>7225</v>
      </c>
      <c r="Z1120" s="4">
        <f>excelsalesdata[[#This Row],[Net_sales]]-excelsalesdata[[#This Row],[Cost]]</f>
        <v>1415</v>
      </c>
      <c r="AA1120" s="5">
        <f>excelsalesdata[[#This Row],[Profit]]/excelsalesdata[[#This Row],[Net_sales]]</f>
        <v>0.19584775086505191</v>
      </c>
      <c r="AB1120" s="4">
        <f>YEAR(excelsalesdata[[#This Row],[Order_Date]])</f>
        <v>2028</v>
      </c>
      <c r="AC1120" s="4" t="str">
        <f>TEXT(excelsalesdata[[#This Row],[Order_Date]],"mmm")</f>
        <v>May</v>
      </c>
      <c r="AD1120" s="4" t="str">
        <f>"Q"&amp;ROUNDUP(MONTH(excelsalesdata[[#This Row],[Order_Date]])/3,0)</f>
        <v>Q2</v>
      </c>
    </row>
    <row r="1121" spans="1:30" x14ac:dyDescent="0.35">
      <c r="A1121" t="s">
        <v>1915</v>
      </c>
      <c r="B1121" s="3">
        <v>46879</v>
      </c>
      <c r="C1121" t="s">
        <v>1916</v>
      </c>
      <c r="D1121" t="s">
        <v>432</v>
      </c>
      <c r="E1121" t="str">
        <f>TRIM(excelsalesdata[[#This Row],[Customer_Name]])</f>
        <v>Karan Gupta</v>
      </c>
      <c r="F1121" t="s">
        <v>23</v>
      </c>
      <c r="G1121">
        <v>37</v>
      </c>
      <c r="H1121" t="s">
        <v>52</v>
      </c>
      <c r="I1121" t="str">
        <f>TRIM(excelsalesdata[[#This Row],[City]])</f>
        <v>Bengaluru</v>
      </c>
      <c r="J1121" t="s">
        <v>53</v>
      </c>
      <c r="K1121" t="s">
        <v>47</v>
      </c>
      <c r="L1121" t="s">
        <v>103</v>
      </c>
      <c r="M1121" t="s">
        <v>238</v>
      </c>
      <c r="N1121" t="s">
        <v>238</v>
      </c>
      <c r="O1121">
        <v>1</v>
      </c>
      <c r="P1121">
        <v>3970</v>
      </c>
      <c r="Q1121">
        <v>0</v>
      </c>
      <c r="R1121">
        <v>2720</v>
      </c>
      <c r="S1121" t="s">
        <v>80</v>
      </c>
      <c r="T1121" t="s">
        <v>30</v>
      </c>
      <c r="U1121">
        <v>4</v>
      </c>
      <c r="V1121" t="s">
        <v>40</v>
      </c>
      <c r="W1121">
        <f>excelsalesdata[[#This Row],[Quantity]]*excelsalesdata[[#This Row],[Unit_Price]]</f>
        <v>3970</v>
      </c>
      <c r="X1121">
        <f>excelsalesdata[[#This Row],[Gross_sales]]*excelsalesdata[[#This Row],[Discount_%]]</f>
        <v>0</v>
      </c>
      <c r="Y1121">
        <f>excelsalesdata[[#This Row],[Gross_sales]]-excelsalesdata[[#This Row],[Discount_amt]]</f>
        <v>3970</v>
      </c>
      <c r="Z1121" s="4">
        <f>excelsalesdata[[#This Row],[Net_sales]]-excelsalesdata[[#This Row],[Cost]]</f>
        <v>1250</v>
      </c>
      <c r="AA1121" s="5">
        <f>excelsalesdata[[#This Row],[Profit]]/excelsalesdata[[#This Row],[Net_sales]]</f>
        <v>0.31486146095717882</v>
      </c>
      <c r="AB1121" s="4">
        <f>YEAR(excelsalesdata[[#This Row],[Order_Date]])</f>
        <v>2028</v>
      </c>
      <c r="AC1121" s="4" t="str">
        <f>TEXT(excelsalesdata[[#This Row],[Order_Date]],"mmm")</f>
        <v>May</v>
      </c>
      <c r="AD1121" s="4" t="str">
        <f>"Q"&amp;ROUNDUP(MONTH(excelsalesdata[[#This Row],[Order_Date]])/3,0)</f>
        <v>Q2</v>
      </c>
    </row>
    <row r="1122" spans="1:30" x14ac:dyDescent="0.35">
      <c r="A1122" t="s">
        <v>1917</v>
      </c>
      <c r="B1122" s="3">
        <v>46880</v>
      </c>
      <c r="C1122" t="s">
        <v>1105</v>
      </c>
      <c r="D1122" t="s">
        <v>1032</v>
      </c>
      <c r="E1122" t="str">
        <f>TRIM(excelsalesdata[[#This Row],[Customer_Name]])</f>
        <v>Aarav Gupta</v>
      </c>
      <c r="F1122" t="s">
        <v>44</v>
      </c>
      <c r="G1122">
        <v>47</v>
      </c>
      <c r="H1122" t="s">
        <v>185</v>
      </c>
      <c r="I1122" t="str">
        <f>TRIM(excelsalesdata[[#This Row],[City]])</f>
        <v>Lucknow</v>
      </c>
      <c r="J1122" t="s">
        <v>186</v>
      </c>
      <c r="K1122" t="s">
        <v>61</v>
      </c>
      <c r="L1122" t="s">
        <v>27</v>
      </c>
      <c r="M1122" t="s">
        <v>295</v>
      </c>
      <c r="N1122" t="s">
        <v>295</v>
      </c>
      <c r="O1122">
        <v>1</v>
      </c>
      <c r="P1122">
        <v>4080</v>
      </c>
      <c r="Q1122">
        <v>0.2</v>
      </c>
      <c r="R1122">
        <v>2620</v>
      </c>
      <c r="S1122" t="s">
        <v>105</v>
      </c>
      <c r="T1122" t="s">
        <v>30</v>
      </c>
      <c r="U1122">
        <v>4</v>
      </c>
      <c r="V1122" t="s">
        <v>40</v>
      </c>
      <c r="W1122">
        <f>excelsalesdata[[#This Row],[Quantity]]*excelsalesdata[[#This Row],[Unit_Price]]</f>
        <v>4080</v>
      </c>
      <c r="X1122">
        <f>excelsalesdata[[#This Row],[Gross_sales]]*excelsalesdata[[#This Row],[Discount_%]]</f>
        <v>816</v>
      </c>
      <c r="Y1122">
        <f>excelsalesdata[[#This Row],[Gross_sales]]-excelsalesdata[[#This Row],[Discount_amt]]</f>
        <v>3264</v>
      </c>
      <c r="Z1122" s="4">
        <f>excelsalesdata[[#This Row],[Net_sales]]-excelsalesdata[[#This Row],[Cost]]</f>
        <v>644</v>
      </c>
      <c r="AA1122" s="5">
        <f>excelsalesdata[[#This Row],[Profit]]/excelsalesdata[[#This Row],[Net_sales]]</f>
        <v>0.19730392156862744</v>
      </c>
      <c r="AB1122" s="4">
        <f>YEAR(excelsalesdata[[#This Row],[Order_Date]])</f>
        <v>2028</v>
      </c>
      <c r="AC1122" s="4" t="str">
        <f>TEXT(excelsalesdata[[#This Row],[Order_Date]],"mmm")</f>
        <v>May</v>
      </c>
      <c r="AD1122" s="4" t="str">
        <f>"Q"&amp;ROUNDUP(MONTH(excelsalesdata[[#This Row],[Order_Date]])/3,0)</f>
        <v>Q2</v>
      </c>
    </row>
    <row r="1123" spans="1:30" x14ac:dyDescent="0.35">
      <c r="A1123" t="s">
        <v>1918</v>
      </c>
      <c r="B1123" s="3">
        <v>46881</v>
      </c>
      <c r="C1123" t="s">
        <v>223</v>
      </c>
      <c r="D1123" t="s">
        <v>1381</v>
      </c>
      <c r="E1123" t="str">
        <f>TRIM(excelsalesdata[[#This Row],[Customer_Name]])</f>
        <v>Aditya Joshi</v>
      </c>
      <c r="F1123" t="s">
        <v>23</v>
      </c>
      <c r="G1123">
        <v>55</v>
      </c>
      <c r="H1123" t="s">
        <v>114</v>
      </c>
      <c r="I1123" t="str">
        <f>TRIM(excelsalesdata[[#This Row],[City]])</f>
        <v>Hyderabad</v>
      </c>
      <c r="J1123" t="s">
        <v>115</v>
      </c>
      <c r="K1123" t="s">
        <v>47</v>
      </c>
      <c r="L1123" t="s">
        <v>54</v>
      </c>
      <c r="M1123" t="s">
        <v>157</v>
      </c>
      <c r="N1123" t="s">
        <v>157</v>
      </c>
      <c r="O1123">
        <v>2</v>
      </c>
      <c r="P1123">
        <v>52810</v>
      </c>
      <c r="Q1123">
        <v>0.1</v>
      </c>
      <c r="R1123">
        <v>43040</v>
      </c>
      <c r="S1123" t="s">
        <v>105</v>
      </c>
      <c r="T1123" t="s">
        <v>30</v>
      </c>
      <c r="U1123">
        <v>2</v>
      </c>
      <c r="V1123" t="s">
        <v>40</v>
      </c>
      <c r="W1123">
        <f>excelsalesdata[[#This Row],[Quantity]]*excelsalesdata[[#This Row],[Unit_Price]]</f>
        <v>105620</v>
      </c>
      <c r="X1123">
        <f>excelsalesdata[[#This Row],[Gross_sales]]*excelsalesdata[[#This Row],[Discount_%]]</f>
        <v>10562</v>
      </c>
      <c r="Y1123">
        <f>excelsalesdata[[#This Row],[Gross_sales]]-excelsalesdata[[#This Row],[Discount_amt]]</f>
        <v>95058</v>
      </c>
      <c r="Z1123" s="4">
        <f>excelsalesdata[[#This Row],[Net_sales]]-excelsalesdata[[#This Row],[Cost]]</f>
        <v>52018</v>
      </c>
      <c r="AA1123" s="5">
        <f>excelsalesdata[[#This Row],[Profit]]/excelsalesdata[[#This Row],[Net_sales]]</f>
        <v>0.54722380020618988</v>
      </c>
      <c r="AB1123" s="4">
        <f>YEAR(excelsalesdata[[#This Row],[Order_Date]])</f>
        <v>2028</v>
      </c>
      <c r="AC1123" s="4" t="str">
        <f>TEXT(excelsalesdata[[#This Row],[Order_Date]],"mmm")</f>
        <v>May</v>
      </c>
      <c r="AD1123" s="4" t="str">
        <f>"Q"&amp;ROUNDUP(MONTH(excelsalesdata[[#This Row],[Order_Date]])/3,0)</f>
        <v>Q2</v>
      </c>
    </row>
    <row r="1124" spans="1:30" x14ac:dyDescent="0.35">
      <c r="A1124" t="s">
        <v>1919</v>
      </c>
      <c r="B1124" s="3">
        <v>46882</v>
      </c>
      <c r="C1124" t="s">
        <v>565</v>
      </c>
      <c r="D1124" t="s">
        <v>776</v>
      </c>
      <c r="E1124" t="str">
        <f>TRIM(excelsalesdata[[#This Row],[Customer_Name]])</f>
        <v>Ananya Shah</v>
      </c>
      <c r="F1124" t="s">
        <v>23</v>
      </c>
      <c r="G1124">
        <v>18</v>
      </c>
      <c r="H1124" t="s">
        <v>45</v>
      </c>
      <c r="I1124" t="str">
        <f>TRIM(excelsalesdata[[#This Row],[City]])</f>
        <v>Kochi</v>
      </c>
      <c r="J1124" t="s">
        <v>46</v>
      </c>
      <c r="K1124" t="s">
        <v>47</v>
      </c>
      <c r="L1124" t="s">
        <v>103</v>
      </c>
      <c r="M1124" t="s">
        <v>178</v>
      </c>
      <c r="N1124" t="s">
        <v>178</v>
      </c>
      <c r="O1124">
        <v>1</v>
      </c>
      <c r="P1124">
        <v>1940</v>
      </c>
      <c r="Q1124">
        <v>0.1</v>
      </c>
      <c r="R1124">
        <v>980</v>
      </c>
      <c r="S1124" t="s">
        <v>67</v>
      </c>
      <c r="T1124" t="s">
        <v>30</v>
      </c>
      <c r="U1124">
        <v>4</v>
      </c>
      <c r="V1124" t="s">
        <v>31</v>
      </c>
      <c r="W1124">
        <f>excelsalesdata[[#This Row],[Quantity]]*excelsalesdata[[#This Row],[Unit_Price]]</f>
        <v>1940</v>
      </c>
      <c r="X1124">
        <f>excelsalesdata[[#This Row],[Gross_sales]]*excelsalesdata[[#This Row],[Discount_%]]</f>
        <v>194</v>
      </c>
      <c r="Y1124">
        <f>excelsalesdata[[#This Row],[Gross_sales]]-excelsalesdata[[#This Row],[Discount_amt]]</f>
        <v>1746</v>
      </c>
      <c r="Z1124" s="4">
        <f>excelsalesdata[[#This Row],[Net_sales]]-excelsalesdata[[#This Row],[Cost]]</f>
        <v>766</v>
      </c>
      <c r="AA1124" s="5">
        <f>excelsalesdata[[#This Row],[Profit]]/excelsalesdata[[#This Row],[Net_sales]]</f>
        <v>0.43871706758304696</v>
      </c>
      <c r="AB1124" s="4">
        <f>YEAR(excelsalesdata[[#This Row],[Order_Date]])</f>
        <v>2028</v>
      </c>
      <c r="AC1124" s="4" t="str">
        <f>TEXT(excelsalesdata[[#This Row],[Order_Date]],"mmm")</f>
        <v>May</v>
      </c>
      <c r="AD1124" s="4" t="str">
        <f>"Q"&amp;ROUNDUP(MONTH(excelsalesdata[[#This Row],[Order_Date]])/3,0)</f>
        <v>Q2</v>
      </c>
    </row>
    <row r="1125" spans="1:30" x14ac:dyDescent="0.35">
      <c r="A1125" t="s">
        <v>1920</v>
      </c>
      <c r="B1125" s="3">
        <v>46883</v>
      </c>
      <c r="C1125" t="s">
        <v>624</v>
      </c>
      <c r="D1125" t="s">
        <v>664</v>
      </c>
      <c r="E1125" t="str">
        <f>TRIM(excelsalesdata[[#This Row],[Customer_Name]])</f>
        <v>Ishita Reddy</v>
      </c>
      <c r="F1125" t="s">
        <v>44</v>
      </c>
      <c r="G1125">
        <v>46</v>
      </c>
      <c r="H1125" t="s">
        <v>78</v>
      </c>
      <c r="I1125" t="str">
        <f>TRIM(excelsalesdata[[#This Row],[City]])</f>
        <v>Guwahati</v>
      </c>
      <c r="J1125" t="s">
        <v>79</v>
      </c>
      <c r="K1125" t="s">
        <v>37</v>
      </c>
      <c r="L1125" t="s">
        <v>54</v>
      </c>
      <c r="M1125" t="s">
        <v>157</v>
      </c>
      <c r="N1125" t="s">
        <v>157</v>
      </c>
      <c r="O1125">
        <v>1</v>
      </c>
      <c r="P1125">
        <v>55380</v>
      </c>
      <c r="Q1125">
        <v>0.05</v>
      </c>
      <c r="R1125">
        <v>41040</v>
      </c>
      <c r="S1125" t="s">
        <v>105</v>
      </c>
      <c r="T1125" t="s">
        <v>30</v>
      </c>
      <c r="U1125">
        <v>6</v>
      </c>
      <c r="V1125" t="s">
        <v>40</v>
      </c>
      <c r="W1125">
        <f>excelsalesdata[[#This Row],[Quantity]]*excelsalesdata[[#This Row],[Unit_Price]]</f>
        <v>55380</v>
      </c>
      <c r="X1125">
        <f>excelsalesdata[[#This Row],[Gross_sales]]*excelsalesdata[[#This Row],[Discount_%]]</f>
        <v>2769</v>
      </c>
      <c r="Y1125">
        <f>excelsalesdata[[#This Row],[Gross_sales]]-excelsalesdata[[#This Row],[Discount_amt]]</f>
        <v>52611</v>
      </c>
      <c r="Z1125" s="4">
        <f>excelsalesdata[[#This Row],[Net_sales]]-excelsalesdata[[#This Row],[Cost]]</f>
        <v>11571</v>
      </c>
      <c r="AA1125" s="5">
        <f>excelsalesdata[[#This Row],[Profit]]/excelsalesdata[[#This Row],[Net_sales]]</f>
        <v>0.2199349945828819</v>
      </c>
      <c r="AB1125" s="4">
        <f>YEAR(excelsalesdata[[#This Row],[Order_Date]])</f>
        <v>2028</v>
      </c>
      <c r="AC1125" s="4" t="str">
        <f>TEXT(excelsalesdata[[#This Row],[Order_Date]],"mmm")</f>
        <v>May</v>
      </c>
      <c r="AD1125" s="4" t="str">
        <f>"Q"&amp;ROUNDUP(MONTH(excelsalesdata[[#This Row],[Order_Date]])/3,0)</f>
        <v>Q2</v>
      </c>
    </row>
    <row r="1126" spans="1:30" x14ac:dyDescent="0.35">
      <c r="A1126" t="s">
        <v>1921</v>
      </c>
      <c r="B1126" s="3">
        <v>46884</v>
      </c>
      <c r="C1126" t="s">
        <v>1127</v>
      </c>
      <c r="D1126" t="s">
        <v>849</v>
      </c>
      <c r="E1126" t="str">
        <f>TRIM(excelsalesdata[[#This Row],[Customer_Name]])</f>
        <v>Rohan Nair</v>
      </c>
      <c r="F1126" t="s">
        <v>23</v>
      </c>
      <c r="G1126">
        <v>27</v>
      </c>
      <c r="H1126" t="s">
        <v>24</v>
      </c>
      <c r="I1126" t="str">
        <f>TRIM(excelsalesdata[[#This Row],[City]])</f>
        <v>Pune</v>
      </c>
      <c r="J1126" t="s">
        <v>25</v>
      </c>
      <c r="K1126" t="s">
        <v>26</v>
      </c>
      <c r="L1126" t="s">
        <v>85</v>
      </c>
      <c r="M1126" t="s">
        <v>251</v>
      </c>
      <c r="N1126" t="s">
        <v>251</v>
      </c>
      <c r="O1126">
        <v>2</v>
      </c>
      <c r="P1126">
        <v>3390</v>
      </c>
      <c r="Q1126">
        <v>0.1</v>
      </c>
      <c r="R1126">
        <v>1910</v>
      </c>
      <c r="S1126" t="s">
        <v>29</v>
      </c>
      <c r="T1126" t="s">
        <v>30</v>
      </c>
      <c r="U1126">
        <v>4</v>
      </c>
      <c r="V1126" t="s">
        <v>31</v>
      </c>
      <c r="W1126">
        <f>excelsalesdata[[#This Row],[Quantity]]*excelsalesdata[[#This Row],[Unit_Price]]</f>
        <v>6780</v>
      </c>
      <c r="X1126">
        <f>excelsalesdata[[#This Row],[Gross_sales]]*excelsalesdata[[#This Row],[Discount_%]]</f>
        <v>678</v>
      </c>
      <c r="Y1126">
        <f>excelsalesdata[[#This Row],[Gross_sales]]-excelsalesdata[[#This Row],[Discount_amt]]</f>
        <v>6102</v>
      </c>
      <c r="Z1126" s="4">
        <f>excelsalesdata[[#This Row],[Net_sales]]-excelsalesdata[[#This Row],[Cost]]</f>
        <v>4192</v>
      </c>
      <c r="AA1126" s="5">
        <f>excelsalesdata[[#This Row],[Profit]]/excelsalesdata[[#This Row],[Net_sales]]</f>
        <v>0.68698787282858076</v>
      </c>
      <c r="AB1126" s="4">
        <f>YEAR(excelsalesdata[[#This Row],[Order_Date]])</f>
        <v>2028</v>
      </c>
      <c r="AC1126" s="4" t="str">
        <f>TEXT(excelsalesdata[[#This Row],[Order_Date]],"mmm")</f>
        <v>May</v>
      </c>
      <c r="AD1126" s="4" t="str">
        <f>"Q"&amp;ROUNDUP(MONTH(excelsalesdata[[#This Row],[Order_Date]])/3,0)</f>
        <v>Q2</v>
      </c>
    </row>
    <row r="1127" spans="1:30" x14ac:dyDescent="0.35">
      <c r="A1127" t="s">
        <v>1922</v>
      </c>
      <c r="B1127" s="3">
        <v>46885</v>
      </c>
      <c r="C1127" t="s">
        <v>1923</v>
      </c>
      <c r="D1127" t="s">
        <v>1051</v>
      </c>
      <c r="E1127" t="str">
        <f>TRIM(excelsalesdata[[#This Row],[Customer_Name]])</f>
        <v>Aarav Das</v>
      </c>
      <c r="F1127" t="s">
        <v>44</v>
      </c>
      <c r="G1127">
        <v>18</v>
      </c>
      <c r="H1127" t="s">
        <v>24</v>
      </c>
      <c r="I1127" t="str">
        <f>TRIM(excelsalesdata[[#This Row],[City]])</f>
        <v>Pune</v>
      </c>
      <c r="J1127" t="s">
        <v>25</v>
      </c>
      <c r="K1127" t="s">
        <v>26</v>
      </c>
      <c r="L1127" t="s">
        <v>38</v>
      </c>
      <c r="M1127" t="s">
        <v>161</v>
      </c>
      <c r="N1127" t="s">
        <v>161</v>
      </c>
      <c r="O1127">
        <v>3</v>
      </c>
      <c r="P1127">
        <v>26140</v>
      </c>
      <c r="Q1127">
        <v>0.2</v>
      </c>
      <c r="R1127">
        <v>20440</v>
      </c>
      <c r="S1127" t="s">
        <v>151</v>
      </c>
      <c r="T1127" t="s">
        <v>30</v>
      </c>
      <c r="U1127">
        <v>4</v>
      </c>
      <c r="V1127" t="s">
        <v>40</v>
      </c>
      <c r="W1127">
        <f>excelsalesdata[[#This Row],[Quantity]]*excelsalesdata[[#This Row],[Unit_Price]]</f>
        <v>78420</v>
      </c>
      <c r="X1127">
        <f>excelsalesdata[[#This Row],[Gross_sales]]*excelsalesdata[[#This Row],[Discount_%]]</f>
        <v>15684</v>
      </c>
      <c r="Y1127">
        <f>excelsalesdata[[#This Row],[Gross_sales]]-excelsalesdata[[#This Row],[Discount_amt]]</f>
        <v>62736</v>
      </c>
      <c r="Z1127" s="4">
        <f>excelsalesdata[[#This Row],[Net_sales]]-excelsalesdata[[#This Row],[Cost]]</f>
        <v>42296</v>
      </c>
      <c r="AA1127" s="5">
        <f>excelsalesdata[[#This Row],[Profit]]/excelsalesdata[[#This Row],[Net_sales]]</f>
        <v>0.67419025758735018</v>
      </c>
      <c r="AB1127" s="4">
        <f>YEAR(excelsalesdata[[#This Row],[Order_Date]])</f>
        <v>2028</v>
      </c>
      <c r="AC1127" s="4" t="str">
        <f>TEXT(excelsalesdata[[#This Row],[Order_Date]],"mmm")</f>
        <v>May</v>
      </c>
      <c r="AD1127" s="4" t="str">
        <f>"Q"&amp;ROUNDUP(MONTH(excelsalesdata[[#This Row],[Order_Date]])/3,0)</f>
        <v>Q2</v>
      </c>
    </row>
    <row r="1128" spans="1:30" x14ac:dyDescent="0.35">
      <c r="A1128" t="s">
        <v>1924</v>
      </c>
      <c r="B1128" s="3">
        <v>46886</v>
      </c>
      <c r="C1128" t="s">
        <v>1925</v>
      </c>
      <c r="D1128" t="s">
        <v>448</v>
      </c>
      <c r="E1128" t="str">
        <f>TRIM(excelsalesdata[[#This Row],[Customer_Name]])</f>
        <v>Nisha Mehta</v>
      </c>
      <c r="F1128" t="s">
        <v>44</v>
      </c>
      <c r="G1128">
        <v>24</v>
      </c>
      <c r="H1128" t="s">
        <v>190</v>
      </c>
      <c r="I1128" t="str">
        <f>TRIM(excelsalesdata[[#This Row],[City]])</f>
        <v>Ahmedabad</v>
      </c>
      <c r="J1128" t="s">
        <v>191</v>
      </c>
      <c r="K1128" t="s">
        <v>26</v>
      </c>
      <c r="L1128" t="s">
        <v>27</v>
      </c>
      <c r="M1128" t="s">
        <v>295</v>
      </c>
      <c r="N1128" t="s">
        <v>295</v>
      </c>
      <c r="O1128">
        <v>1</v>
      </c>
      <c r="P1128">
        <v>4330</v>
      </c>
      <c r="Q1128">
        <v>0</v>
      </c>
      <c r="R1128">
        <v>2630</v>
      </c>
      <c r="S1128" t="s">
        <v>29</v>
      </c>
      <c r="T1128" t="s">
        <v>81</v>
      </c>
      <c r="U1128">
        <v>0</v>
      </c>
      <c r="V1128" t="s">
        <v>40</v>
      </c>
      <c r="W1128">
        <f>excelsalesdata[[#This Row],[Quantity]]*excelsalesdata[[#This Row],[Unit_Price]]</f>
        <v>4330</v>
      </c>
      <c r="X1128">
        <f>excelsalesdata[[#This Row],[Gross_sales]]*excelsalesdata[[#This Row],[Discount_%]]</f>
        <v>0</v>
      </c>
      <c r="Y1128">
        <f>excelsalesdata[[#This Row],[Gross_sales]]-excelsalesdata[[#This Row],[Discount_amt]]</f>
        <v>4330</v>
      </c>
      <c r="Z1128" s="4">
        <f>excelsalesdata[[#This Row],[Net_sales]]-excelsalesdata[[#This Row],[Cost]]</f>
        <v>1700</v>
      </c>
      <c r="AA1128" s="5">
        <f>excelsalesdata[[#This Row],[Profit]]/excelsalesdata[[#This Row],[Net_sales]]</f>
        <v>0.39260969976905313</v>
      </c>
      <c r="AB1128" s="4">
        <f>YEAR(excelsalesdata[[#This Row],[Order_Date]])</f>
        <v>2028</v>
      </c>
      <c r="AC1128" s="4" t="str">
        <f>TEXT(excelsalesdata[[#This Row],[Order_Date]],"mmm")</f>
        <v>May</v>
      </c>
      <c r="AD1128" s="4" t="str">
        <f>"Q"&amp;ROUNDUP(MONTH(excelsalesdata[[#This Row],[Order_Date]])/3,0)</f>
        <v>Q2</v>
      </c>
    </row>
    <row r="1129" spans="1:30" x14ac:dyDescent="0.35">
      <c r="A1129" t="s">
        <v>1926</v>
      </c>
      <c r="B1129" s="3">
        <v>46887</v>
      </c>
      <c r="C1129" t="s">
        <v>370</v>
      </c>
      <c r="D1129" t="s">
        <v>265</v>
      </c>
      <c r="E1129" t="str">
        <f>TRIM(excelsalesdata[[#This Row],[Customer_Name]])</f>
        <v>Arjun Bhat</v>
      </c>
      <c r="F1129" t="s">
        <v>44</v>
      </c>
      <c r="G1129">
        <v>27</v>
      </c>
      <c r="H1129" t="s">
        <v>71</v>
      </c>
      <c r="I1129" t="str">
        <f>TRIM(excelsalesdata[[#This Row],[City]])</f>
        <v>Bhubaneswar</v>
      </c>
      <c r="J1129" t="s">
        <v>72</v>
      </c>
      <c r="K1129" t="s">
        <v>37</v>
      </c>
      <c r="L1129" t="s">
        <v>54</v>
      </c>
      <c r="M1129" t="s">
        <v>157</v>
      </c>
      <c r="N1129" t="s">
        <v>157</v>
      </c>
      <c r="O1129">
        <v>1</v>
      </c>
      <c r="P1129">
        <v>51280</v>
      </c>
      <c r="Q1129">
        <v>0.1</v>
      </c>
      <c r="R1129">
        <v>42710</v>
      </c>
      <c r="S1129" t="s">
        <v>80</v>
      </c>
      <c r="T1129" t="s">
        <v>30</v>
      </c>
      <c r="U1129">
        <v>2</v>
      </c>
      <c r="V1129" t="s">
        <v>31</v>
      </c>
      <c r="W1129">
        <f>excelsalesdata[[#This Row],[Quantity]]*excelsalesdata[[#This Row],[Unit_Price]]</f>
        <v>51280</v>
      </c>
      <c r="X1129">
        <f>excelsalesdata[[#This Row],[Gross_sales]]*excelsalesdata[[#This Row],[Discount_%]]</f>
        <v>5128</v>
      </c>
      <c r="Y1129">
        <f>excelsalesdata[[#This Row],[Gross_sales]]-excelsalesdata[[#This Row],[Discount_amt]]</f>
        <v>46152</v>
      </c>
      <c r="Z1129" s="4">
        <f>excelsalesdata[[#This Row],[Net_sales]]-excelsalesdata[[#This Row],[Cost]]</f>
        <v>3442</v>
      </c>
      <c r="AA1129" s="5">
        <f>excelsalesdata[[#This Row],[Profit]]/excelsalesdata[[#This Row],[Net_sales]]</f>
        <v>7.4579649852660773E-2</v>
      </c>
      <c r="AB1129" s="4">
        <f>YEAR(excelsalesdata[[#This Row],[Order_Date]])</f>
        <v>2028</v>
      </c>
      <c r="AC1129" s="4" t="str">
        <f>TEXT(excelsalesdata[[#This Row],[Order_Date]],"mmm")</f>
        <v>May</v>
      </c>
      <c r="AD1129" s="4" t="str">
        <f>"Q"&amp;ROUNDUP(MONTH(excelsalesdata[[#This Row],[Order_Date]])/3,0)</f>
        <v>Q2</v>
      </c>
    </row>
    <row r="1130" spans="1:30" x14ac:dyDescent="0.35">
      <c r="A1130" t="s">
        <v>1927</v>
      </c>
      <c r="B1130" s="3">
        <v>46888</v>
      </c>
      <c r="C1130" t="s">
        <v>1928</v>
      </c>
      <c r="D1130" t="s">
        <v>371</v>
      </c>
      <c r="E1130" t="str">
        <f>TRIM(excelsalesdata[[#This Row],[Customer_Name]])</f>
        <v>Karan Bhat</v>
      </c>
      <c r="F1130" t="s">
        <v>44</v>
      </c>
      <c r="G1130">
        <v>20</v>
      </c>
      <c r="H1130" t="s">
        <v>109</v>
      </c>
      <c r="I1130" t="str">
        <f>TRIM(excelsalesdata[[#This Row],[City]])</f>
        <v>Mysuru</v>
      </c>
      <c r="J1130" t="s">
        <v>53</v>
      </c>
      <c r="K1130" t="s">
        <v>47</v>
      </c>
      <c r="L1130" t="s">
        <v>27</v>
      </c>
      <c r="M1130" t="s">
        <v>48</v>
      </c>
      <c r="N1130" t="s">
        <v>48</v>
      </c>
      <c r="O1130">
        <v>1</v>
      </c>
      <c r="P1130">
        <v>920</v>
      </c>
      <c r="Q1130">
        <v>0.1</v>
      </c>
      <c r="R1130">
        <v>450</v>
      </c>
      <c r="S1130" t="s">
        <v>105</v>
      </c>
      <c r="T1130" t="s">
        <v>30</v>
      </c>
      <c r="U1130">
        <v>3</v>
      </c>
      <c r="V1130" t="s">
        <v>31</v>
      </c>
      <c r="W1130">
        <f>excelsalesdata[[#This Row],[Quantity]]*excelsalesdata[[#This Row],[Unit_Price]]</f>
        <v>920</v>
      </c>
      <c r="X1130">
        <f>excelsalesdata[[#This Row],[Gross_sales]]*excelsalesdata[[#This Row],[Discount_%]]</f>
        <v>92</v>
      </c>
      <c r="Y1130">
        <f>excelsalesdata[[#This Row],[Gross_sales]]-excelsalesdata[[#This Row],[Discount_amt]]</f>
        <v>828</v>
      </c>
      <c r="Z1130" s="4">
        <f>excelsalesdata[[#This Row],[Net_sales]]-excelsalesdata[[#This Row],[Cost]]</f>
        <v>378</v>
      </c>
      <c r="AA1130" s="5">
        <f>excelsalesdata[[#This Row],[Profit]]/excelsalesdata[[#This Row],[Net_sales]]</f>
        <v>0.45652173913043476</v>
      </c>
      <c r="AB1130" s="4">
        <f>YEAR(excelsalesdata[[#This Row],[Order_Date]])</f>
        <v>2028</v>
      </c>
      <c r="AC1130" s="4" t="str">
        <f>TEXT(excelsalesdata[[#This Row],[Order_Date]],"mmm")</f>
        <v>May</v>
      </c>
      <c r="AD1130" s="4" t="str">
        <f>"Q"&amp;ROUNDUP(MONTH(excelsalesdata[[#This Row],[Order_Date]])/3,0)</f>
        <v>Q2</v>
      </c>
    </row>
    <row r="1131" spans="1:30" x14ac:dyDescent="0.35">
      <c r="A1131" t="s">
        <v>1929</v>
      </c>
      <c r="B1131" s="3">
        <v>46889</v>
      </c>
      <c r="C1131" t="s">
        <v>1780</v>
      </c>
      <c r="D1131" t="s">
        <v>224</v>
      </c>
      <c r="E1131" t="str">
        <f>TRIM(excelsalesdata[[#This Row],[Customer_Name]])</f>
        <v>Vivaan Sharma</v>
      </c>
      <c r="F1131" t="s">
        <v>44</v>
      </c>
      <c r="G1131">
        <v>32</v>
      </c>
      <c r="H1131" t="s">
        <v>24</v>
      </c>
      <c r="I1131" t="str">
        <f>TRIM(excelsalesdata[[#This Row],[City]])</f>
        <v>Pune</v>
      </c>
      <c r="J1131" t="s">
        <v>25</v>
      </c>
      <c r="K1131" t="s">
        <v>26</v>
      </c>
      <c r="L1131" t="s">
        <v>38</v>
      </c>
      <c r="M1131" t="s">
        <v>73</v>
      </c>
      <c r="N1131" t="s">
        <v>73</v>
      </c>
      <c r="O1131">
        <v>2</v>
      </c>
      <c r="P1131">
        <v>5290</v>
      </c>
      <c r="Q1131">
        <v>0.2</v>
      </c>
      <c r="R1131">
        <v>3060</v>
      </c>
      <c r="S1131" t="s">
        <v>80</v>
      </c>
      <c r="T1131" t="s">
        <v>30</v>
      </c>
      <c r="U1131">
        <v>2</v>
      </c>
      <c r="V1131" t="s">
        <v>40</v>
      </c>
      <c r="W1131">
        <f>excelsalesdata[[#This Row],[Quantity]]*excelsalesdata[[#This Row],[Unit_Price]]</f>
        <v>10580</v>
      </c>
      <c r="X1131">
        <f>excelsalesdata[[#This Row],[Gross_sales]]*excelsalesdata[[#This Row],[Discount_%]]</f>
        <v>2116</v>
      </c>
      <c r="Y1131">
        <f>excelsalesdata[[#This Row],[Gross_sales]]-excelsalesdata[[#This Row],[Discount_amt]]</f>
        <v>8464</v>
      </c>
      <c r="Z1131" s="4">
        <f>excelsalesdata[[#This Row],[Net_sales]]-excelsalesdata[[#This Row],[Cost]]</f>
        <v>5404</v>
      </c>
      <c r="AA1131" s="5">
        <f>excelsalesdata[[#This Row],[Profit]]/excelsalesdata[[#This Row],[Net_sales]]</f>
        <v>0.63846880907372405</v>
      </c>
      <c r="AB1131" s="4">
        <f>YEAR(excelsalesdata[[#This Row],[Order_Date]])</f>
        <v>2028</v>
      </c>
      <c r="AC1131" s="4" t="str">
        <f>TEXT(excelsalesdata[[#This Row],[Order_Date]],"mmm")</f>
        <v>May</v>
      </c>
      <c r="AD1131" s="4" t="str">
        <f>"Q"&amp;ROUNDUP(MONTH(excelsalesdata[[#This Row],[Order_Date]])/3,0)</f>
        <v>Q2</v>
      </c>
    </row>
    <row r="1132" spans="1:30" x14ac:dyDescent="0.35">
      <c r="A1132" t="s">
        <v>1930</v>
      </c>
      <c r="B1132" s="3">
        <v>46890</v>
      </c>
      <c r="C1132" t="s">
        <v>1353</v>
      </c>
      <c r="D1132" t="s">
        <v>254</v>
      </c>
      <c r="E1132" t="str">
        <f>TRIM(excelsalesdata[[#This Row],[Customer_Name]])</f>
        <v>Meera Sharma</v>
      </c>
      <c r="F1132" t="s">
        <v>23</v>
      </c>
      <c r="G1132">
        <v>51</v>
      </c>
      <c r="H1132" t="s">
        <v>98</v>
      </c>
      <c r="I1132" t="str">
        <f>TRIM(excelsalesdata[[#This Row],[City]])</f>
        <v>Mumbai</v>
      </c>
      <c r="J1132" t="s">
        <v>25</v>
      </c>
      <c r="K1132" t="s">
        <v>26</v>
      </c>
      <c r="L1132" t="s">
        <v>85</v>
      </c>
      <c r="M1132" t="s">
        <v>86</v>
      </c>
      <c r="N1132" t="s">
        <v>86</v>
      </c>
      <c r="O1132">
        <v>3</v>
      </c>
      <c r="P1132">
        <v>2340</v>
      </c>
      <c r="Q1132">
        <v>0.05</v>
      </c>
      <c r="R1132">
        <v>1450</v>
      </c>
      <c r="S1132" t="s">
        <v>80</v>
      </c>
      <c r="T1132" t="s">
        <v>30</v>
      </c>
      <c r="U1132">
        <v>3</v>
      </c>
      <c r="V1132" t="s">
        <v>31</v>
      </c>
      <c r="W1132">
        <f>excelsalesdata[[#This Row],[Quantity]]*excelsalesdata[[#This Row],[Unit_Price]]</f>
        <v>7020</v>
      </c>
      <c r="X1132">
        <f>excelsalesdata[[#This Row],[Gross_sales]]*excelsalesdata[[#This Row],[Discount_%]]</f>
        <v>351</v>
      </c>
      <c r="Y1132">
        <f>excelsalesdata[[#This Row],[Gross_sales]]-excelsalesdata[[#This Row],[Discount_amt]]</f>
        <v>6669</v>
      </c>
      <c r="Z1132" s="4">
        <f>excelsalesdata[[#This Row],[Net_sales]]-excelsalesdata[[#This Row],[Cost]]</f>
        <v>5219</v>
      </c>
      <c r="AA1132" s="5">
        <f>excelsalesdata[[#This Row],[Profit]]/excelsalesdata[[#This Row],[Net_sales]]</f>
        <v>0.78257609836557207</v>
      </c>
      <c r="AB1132" s="4">
        <f>YEAR(excelsalesdata[[#This Row],[Order_Date]])</f>
        <v>2028</v>
      </c>
      <c r="AC1132" s="4" t="str">
        <f>TEXT(excelsalesdata[[#This Row],[Order_Date]],"mmm")</f>
        <v>May</v>
      </c>
      <c r="AD1132" s="4" t="str">
        <f>"Q"&amp;ROUNDUP(MONTH(excelsalesdata[[#This Row],[Order_Date]])/3,0)</f>
        <v>Q2</v>
      </c>
    </row>
    <row r="1133" spans="1:30" x14ac:dyDescent="0.35">
      <c r="A1133" t="s">
        <v>1931</v>
      </c>
      <c r="B1133" s="3">
        <v>46891</v>
      </c>
      <c r="C1133" t="s">
        <v>704</v>
      </c>
      <c r="D1133" t="s">
        <v>113</v>
      </c>
      <c r="E1133" t="str">
        <f>TRIM(excelsalesdata[[#This Row],[Customer_Name]])</f>
        <v>Nisha Joshi</v>
      </c>
      <c r="F1133" t="s">
        <v>23</v>
      </c>
      <c r="G1133">
        <v>59</v>
      </c>
      <c r="H1133" t="s">
        <v>114</v>
      </c>
      <c r="I1133" t="str">
        <f>TRIM(excelsalesdata[[#This Row],[City]])</f>
        <v>Hyderabad</v>
      </c>
      <c r="J1133" t="s">
        <v>115</v>
      </c>
      <c r="K1133" t="s">
        <v>47</v>
      </c>
      <c r="L1133" t="s">
        <v>54</v>
      </c>
      <c r="M1133" t="s">
        <v>129</v>
      </c>
      <c r="N1133" t="s">
        <v>129</v>
      </c>
      <c r="O1133">
        <v>1</v>
      </c>
      <c r="P1133">
        <v>17330</v>
      </c>
      <c r="Q1133">
        <v>0.3</v>
      </c>
      <c r="R1133">
        <v>13010</v>
      </c>
      <c r="S1133" t="s">
        <v>29</v>
      </c>
      <c r="T1133" t="s">
        <v>30</v>
      </c>
      <c r="U1133">
        <v>2</v>
      </c>
      <c r="V1133" t="s">
        <v>40</v>
      </c>
      <c r="W1133">
        <f>excelsalesdata[[#This Row],[Quantity]]*excelsalesdata[[#This Row],[Unit_Price]]</f>
        <v>17330</v>
      </c>
      <c r="X1133">
        <f>excelsalesdata[[#This Row],[Gross_sales]]*excelsalesdata[[#This Row],[Discount_%]]</f>
        <v>5199</v>
      </c>
      <c r="Y1133">
        <f>excelsalesdata[[#This Row],[Gross_sales]]-excelsalesdata[[#This Row],[Discount_amt]]</f>
        <v>12131</v>
      </c>
      <c r="Z1133" s="4">
        <f>excelsalesdata[[#This Row],[Net_sales]]-excelsalesdata[[#This Row],[Cost]]</f>
        <v>-879</v>
      </c>
      <c r="AA1133" s="5">
        <f>excelsalesdata[[#This Row],[Profit]]/excelsalesdata[[#This Row],[Net_sales]]</f>
        <v>-7.2458989366086884E-2</v>
      </c>
      <c r="AB1133" s="4">
        <f>YEAR(excelsalesdata[[#This Row],[Order_Date]])</f>
        <v>2028</v>
      </c>
      <c r="AC1133" s="4" t="str">
        <f>TEXT(excelsalesdata[[#This Row],[Order_Date]],"mmm")</f>
        <v>May</v>
      </c>
      <c r="AD1133" s="4" t="str">
        <f>"Q"&amp;ROUNDUP(MONTH(excelsalesdata[[#This Row],[Order_Date]])/3,0)</f>
        <v>Q2</v>
      </c>
    </row>
    <row r="1134" spans="1:30" x14ac:dyDescent="0.35">
      <c r="A1134" t="s">
        <v>1932</v>
      </c>
      <c r="B1134" s="3">
        <v>46892</v>
      </c>
      <c r="C1134" t="s">
        <v>257</v>
      </c>
      <c r="D1134" t="s">
        <v>234</v>
      </c>
      <c r="E1134" t="str">
        <f>TRIM(excelsalesdata[[#This Row],[Customer_Name]])</f>
        <v>Rohan Gupta</v>
      </c>
      <c r="F1134" t="s">
        <v>44</v>
      </c>
      <c r="G1134">
        <v>28</v>
      </c>
      <c r="H1134" t="s">
        <v>109</v>
      </c>
      <c r="I1134" t="str">
        <f>TRIM(excelsalesdata[[#This Row],[City]])</f>
        <v>Mysuru</v>
      </c>
      <c r="J1134" t="s">
        <v>53</v>
      </c>
      <c r="K1134" t="s">
        <v>47</v>
      </c>
      <c r="L1134" t="s">
        <v>93</v>
      </c>
      <c r="M1134" t="s">
        <v>375</v>
      </c>
      <c r="N1134" t="s">
        <v>375</v>
      </c>
      <c r="O1134">
        <v>1</v>
      </c>
      <c r="P1134">
        <v>2350</v>
      </c>
      <c r="Q1134">
        <v>0</v>
      </c>
      <c r="R1134">
        <v>1220</v>
      </c>
      <c r="S1134" t="s">
        <v>29</v>
      </c>
      <c r="T1134" t="s">
        <v>30</v>
      </c>
      <c r="U1134">
        <v>1</v>
      </c>
      <c r="V1134" t="s">
        <v>40</v>
      </c>
      <c r="W1134">
        <f>excelsalesdata[[#This Row],[Quantity]]*excelsalesdata[[#This Row],[Unit_Price]]</f>
        <v>2350</v>
      </c>
      <c r="X1134">
        <f>excelsalesdata[[#This Row],[Gross_sales]]*excelsalesdata[[#This Row],[Discount_%]]</f>
        <v>0</v>
      </c>
      <c r="Y1134">
        <f>excelsalesdata[[#This Row],[Gross_sales]]-excelsalesdata[[#This Row],[Discount_amt]]</f>
        <v>2350</v>
      </c>
      <c r="Z1134" s="4">
        <f>excelsalesdata[[#This Row],[Net_sales]]-excelsalesdata[[#This Row],[Cost]]</f>
        <v>1130</v>
      </c>
      <c r="AA1134" s="5">
        <f>excelsalesdata[[#This Row],[Profit]]/excelsalesdata[[#This Row],[Net_sales]]</f>
        <v>0.48085106382978721</v>
      </c>
      <c r="AB1134" s="4">
        <f>YEAR(excelsalesdata[[#This Row],[Order_Date]])</f>
        <v>2028</v>
      </c>
      <c r="AC1134" s="4" t="str">
        <f>TEXT(excelsalesdata[[#This Row],[Order_Date]],"mmm")</f>
        <v>May</v>
      </c>
      <c r="AD1134" s="4" t="str">
        <f>"Q"&amp;ROUNDUP(MONTH(excelsalesdata[[#This Row],[Order_Date]])/3,0)</f>
        <v>Q2</v>
      </c>
    </row>
    <row r="1135" spans="1:30" x14ac:dyDescent="0.35">
      <c r="A1135" t="s">
        <v>1933</v>
      </c>
      <c r="B1135" s="3">
        <v>46893</v>
      </c>
      <c r="C1135" t="s">
        <v>750</v>
      </c>
      <c r="D1135" t="s">
        <v>1806</v>
      </c>
      <c r="E1135" t="str">
        <f>TRIM(excelsalesdata[[#This Row],[Customer_Name]])</f>
        <v>Sneha Bhat</v>
      </c>
      <c r="F1135" t="s">
        <v>23</v>
      </c>
      <c r="G1135">
        <v>59</v>
      </c>
      <c r="H1135" t="s">
        <v>52</v>
      </c>
      <c r="I1135" t="str">
        <f>TRIM(excelsalesdata[[#This Row],[City]])</f>
        <v>Bengaluru</v>
      </c>
      <c r="J1135" t="s">
        <v>53</v>
      </c>
      <c r="K1135" t="s">
        <v>47</v>
      </c>
      <c r="L1135" t="s">
        <v>38</v>
      </c>
      <c r="M1135" t="s">
        <v>73</v>
      </c>
      <c r="N1135" t="s">
        <v>73</v>
      </c>
      <c r="O1135">
        <v>2</v>
      </c>
      <c r="P1135">
        <v>5140</v>
      </c>
      <c r="Q1135">
        <v>0.05</v>
      </c>
      <c r="R1135">
        <v>3230</v>
      </c>
      <c r="S1135" t="s">
        <v>29</v>
      </c>
      <c r="T1135" t="s">
        <v>30</v>
      </c>
      <c r="U1135">
        <v>3</v>
      </c>
      <c r="V1135" t="s">
        <v>31</v>
      </c>
      <c r="W1135">
        <f>excelsalesdata[[#This Row],[Quantity]]*excelsalesdata[[#This Row],[Unit_Price]]</f>
        <v>10280</v>
      </c>
      <c r="X1135">
        <f>excelsalesdata[[#This Row],[Gross_sales]]*excelsalesdata[[#This Row],[Discount_%]]</f>
        <v>514</v>
      </c>
      <c r="Y1135">
        <f>excelsalesdata[[#This Row],[Gross_sales]]-excelsalesdata[[#This Row],[Discount_amt]]</f>
        <v>9766</v>
      </c>
      <c r="Z1135" s="4">
        <f>excelsalesdata[[#This Row],[Net_sales]]-excelsalesdata[[#This Row],[Cost]]</f>
        <v>6536</v>
      </c>
      <c r="AA1135" s="5">
        <f>excelsalesdata[[#This Row],[Profit]]/excelsalesdata[[#This Row],[Net_sales]]</f>
        <v>0.66926070038910501</v>
      </c>
      <c r="AB1135" s="4">
        <f>YEAR(excelsalesdata[[#This Row],[Order_Date]])</f>
        <v>2028</v>
      </c>
      <c r="AC1135" s="4" t="str">
        <f>TEXT(excelsalesdata[[#This Row],[Order_Date]],"mmm")</f>
        <v>May</v>
      </c>
      <c r="AD1135" s="4" t="str">
        <f>"Q"&amp;ROUNDUP(MONTH(excelsalesdata[[#This Row],[Order_Date]])/3,0)</f>
        <v>Q2</v>
      </c>
    </row>
    <row r="1136" spans="1:30" x14ac:dyDescent="0.35">
      <c r="A1136" t="s">
        <v>1934</v>
      </c>
      <c r="B1136" s="3">
        <v>46894</v>
      </c>
      <c r="C1136" t="s">
        <v>1905</v>
      </c>
      <c r="D1136" t="s">
        <v>731</v>
      </c>
      <c r="E1136" t="str">
        <f>TRIM(excelsalesdata[[#This Row],[Customer_Name]])</f>
        <v>Diya Bhat</v>
      </c>
      <c r="F1136" t="s">
        <v>44</v>
      </c>
      <c r="G1136">
        <v>35</v>
      </c>
      <c r="H1136" t="s">
        <v>114</v>
      </c>
      <c r="I1136" t="str">
        <f>TRIM(excelsalesdata[[#This Row],[City]])</f>
        <v>Hyderabad</v>
      </c>
      <c r="J1136" t="s">
        <v>115</v>
      </c>
      <c r="K1136" t="s">
        <v>47</v>
      </c>
      <c r="L1136" t="s">
        <v>54</v>
      </c>
      <c r="M1136" t="s">
        <v>62</v>
      </c>
      <c r="N1136" t="s">
        <v>62</v>
      </c>
      <c r="O1136">
        <v>1</v>
      </c>
      <c r="P1136">
        <v>23300</v>
      </c>
      <c r="Q1136">
        <v>0.1</v>
      </c>
      <c r="R1136">
        <v>15270</v>
      </c>
      <c r="S1136" t="s">
        <v>56</v>
      </c>
      <c r="T1136" t="s">
        <v>30</v>
      </c>
      <c r="U1136">
        <v>5</v>
      </c>
      <c r="V1136" t="s">
        <v>31</v>
      </c>
      <c r="W1136">
        <f>excelsalesdata[[#This Row],[Quantity]]*excelsalesdata[[#This Row],[Unit_Price]]</f>
        <v>23300</v>
      </c>
      <c r="X1136">
        <f>excelsalesdata[[#This Row],[Gross_sales]]*excelsalesdata[[#This Row],[Discount_%]]</f>
        <v>2330</v>
      </c>
      <c r="Y1136">
        <f>excelsalesdata[[#This Row],[Gross_sales]]-excelsalesdata[[#This Row],[Discount_amt]]</f>
        <v>20970</v>
      </c>
      <c r="Z1136" s="4">
        <f>excelsalesdata[[#This Row],[Net_sales]]-excelsalesdata[[#This Row],[Cost]]</f>
        <v>5700</v>
      </c>
      <c r="AA1136" s="5">
        <f>excelsalesdata[[#This Row],[Profit]]/excelsalesdata[[#This Row],[Net_sales]]</f>
        <v>0.27181688125894132</v>
      </c>
      <c r="AB1136" s="4">
        <f>YEAR(excelsalesdata[[#This Row],[Order_Date]])</f>
        <v>2028</v>
      </c>
      <c r="AC1136" s="4" t="str">
        <f>TEXT(excelsalesdata[[#This Row],[Order_Date]],"mmm")</f>
        <v>May</v>
      </c>
      <c r="AD1136" s="4" t="str">
        <f>"Q"&amp;ROUNDUP(MONTH(excelsalesdata[[#This Row],[Order_Date]])/3,0)</f>
        <v>Q2</v>
      </c>
    </row>
    <row r="1137" spans="1:30" x14ac:dyDescent="0.35">
      <c r="A1137" t="s">
        <v>1935</v>
      </c>
      <c r="B1137" s="3">
        <v>46895</v>
      </c>
      <c r="C1137" t="s">
        <v>1141</v>
      </c>
      <c r="D1137" t="s">
        <v>1016</v>
      </c>
      <c r="E1137" t="str">
        <f>TRIM(excelsalesdata[[#This Row],[Customer_Name]])</f>
        <v>Meera Reddy</v>
      </c>
      <c r="F1137" t="s">
        <v>44</v>
      </c>
      <c r="G1137">
        <v>22</v>
      </c>
      <c r="H1137" t="s">
        <v>78</v>
      </c>
      <c r="I1137" t="str">
        <f>TRIM(excelsalesdata[[#This Row],[City]])</f>
        <v>Guwahati</v>
      </c>
      <c r="J1137" t="s">
        <v>79</v>
      </c>
      <c r="K1137" t="s">
        <v>37</v>
      </c>
      <c r="L1137" t="s">
        <v>27</v>
      </c>
      <c r="M1137" t="s">
        <v>195</v>
      </c>
      <c r="N1137" t="s">
        <v>195</v>
      </c>
      <c r="O1137">
        <v>1</v>
      </c>
      <c r="P1137">
        <v>2300</v>
      </c>
      <c r="Q1137">
        <v>0.1</v>
      </c>
      <c r="R1137">
        <v>1140</v>
      </c>
      <c r="S1137" t="s">
        <v>105</v>
      </c>
      <c r="T1137" t="s">
        <v>30</v>
      </c>
      <c r="U1137">
        <v>4</v>
      </c>
      <c r="V1137" t="s">
        <v>40</v>
      </c>
      <c r="W1137">
        <f>excelsalesdata[[#This Row],[Quantity]]*excelsalesdata[[#This Row],[Unit_Price]]</f>
        <v>2300</v>
      </c>
      <c r="X1137">
        <f>excelsalesdata[[#This Row],[Gross_sales]]*excelsalesdata[[#This Row],[Discount_%]]</f>
        <v>230</v>
      </c>
      <c r="Y1137">
        <f>excelsalesdata[[#This Row],[Gross_sales]]-excelsalesdata[[#This Row],[Discount_amt]]</f>
        <v>2070</v>
      </c>
      <c r="Z1137" s="4">
        <f>excelsalesdata[[#This Row],[Net_sales]]-excelsalesdata[[#This Row],[Cost]]</f>
        <v>930</v>
      </c>
      <c r="AA1137" s="5">
        <f>excelsalesdata[[#This Row],[Profit]]/excelsalesdata[[#This Row],[Net_sales]]</f>
        <v>0.44927536231884058</v>
      </c>
      <c r="AB1137" s="4">
        <f>YEAR(excelsalesdata[[#This Row],[Order_Date]])</f>
        <v>2028</v>
      </c>
      <c r="AC1137" s="4" t="str">
        <f>TEXT(excelsalesdata[[#This Row],[Order_Date]],"mmm")</f>
        <v>May</v>
      </c>
      <c r="AD1137" s="4" t="str">
        <f>"Q"&amp;ROUNDUP(MONTH(excelsalesdata[[#This Row],[Order_Date]])/3,0)</f>
        <v>Q2</v>
      </c>
    </row>
    <row r="1138" spans="1:30" x14ac:dyDescent="0.35">
      <c r="A1138" t="s">
        <v>1936</v>
      </c>
      <c r="B1138" s="3">
        <v>46896</v>
      </c>
      <c r="C1138" t="s">
        <v>96</v>
      </c>
      <c r="D1138" t="s">
        <v>1202</v>
      </c>
      <c r="E1138" t="str">
        <f>TRIM(excelsalesdata[[#This Row],[Customer_Name]])</f>
        <v>Ishita Naidu</v>
      </c>
      <c r="F1138" t="s">
        <v>23</v>
      </c>
      <c r="G1138">
        <v>47</v>
      </c>
      <c r="H1138" t="s">
        <v>185</v>
      </c>
      <c r="I1138" t="str">
        <f>TRIM(excelsalesdata[[#This Row],[City]])</f>
        <v>Lucknow</v>
      </c>
      <c r="J1138" t="s">
        <v>186</v>
      </c>
      <c r="K1138" t="s">
        <v>61</v>
      </c>
      <c r="L1138" t="s">
        <v>54</v>
      </c>
      <c r="M1138" t="s">
        <v>62</v>
      </c>
      <c r="N1138" t="s">
        <v>62</v>
      </c>
      <c r="O1138">
        <v>3</v>
      </c>
      <c r="P1138">
        <v>23380</v>
      </c>
      <c r="Q1138">
        <v>0.1</v>
      </c>
      <c r="R1138">
        <v>15270</v>
      </c>
      <c r="S1138" t="s">
        <v>105</v>
      </c>
      <c r="T1138" t="s">
        <v>30</v>
      </c>
      <c r="U1138">
        <v>1</v>
      </c>
      <c r="V1138" t="s">
        <v>31</v>
      </c>
      <c r="W1138">
        <f>excelsalesdata[[#This Row],[Quantity]]*excelsalesdata[[#This Row],[Unit_Price]]</f>
        <v>70140</v>
      </c>
      <c r="X1138">
        <f>excelsalesdata[[#This Row],[Gross_sales]]*excelsalesdata[[#This Row],[Discount_%]]</f>
        <v>7014</v>
      </c>
      <c r="Y1138">
        <f>excelsalesdata[[#This Row],[Gross_sales]]-excelsalesdata[[#This Row],[Discount_amt]]</f>
        <v>63126</v>
      </c>
      <c r="Z1138" s="4">
        <f>excelsalesdata[[#This Row],[Net_sales]]-excelsalesdata[[#This Row],[Cost]]</f>
        <v>47856</v>
      </c>
      <c r="AA1138" s="5">
        <f>excelsalesdata[[#This Row],[Profit]]/excelsalesdata[[#This Row],[Net_sales]]</f>
        <v>0.7581028419351773</v>
      </c>
      <c r="AB1138" s="4">
        <f>YEAR(excelsalesdata[[#This Row],[Order_Date]])</f>
        <v>2028</v>
      </c>
      <c r="AC1138" s="4" t="str">
        <f>TEXT(excelsalesdata[[#This Row],[Order_Date]],"mmm")</f>
        <v>May</v>
      </c>
      <c r="AD1138" s="4" t="str">
        <f>"Q"&amp;ROUNDUP(MONTH(excelsalesdata[[#This Row],[Order_Date]])/3,0)</f>
        <v>Q2</v>
      </c>
    </row>
    <row r="1139" spans="1:30" x14ac:dyDescent="0.35">
      <c r="A1139" t="s">
        <v>1937</v>
      </c>
      <c r="B1139" s="3">
        <v>46897</v>
      </c>
      <c r="C1139" t="s">
        <v>364</v>
      </c>
      <c r="D1139" t="s">
        <v>92</v>
      </c>
      <c r="E1139" t="str">
        <f>TRIM(excelsalesdata[[#This Row],[Customer_Name]])</f>
        <v>Nisha Iyer</v>
      </c>
      <c r="F1139" t="s">
        <v>44</v>
      </c>
      <c r="G1139">
        <v>53</v>
      </c>
      <c r="H1139" t="s">
        <v>35</v>
      </c>
      <c r="I1139" t="str">
        <f>TRIM(excelsalesdata[[#This Row],[City]])</f>
        <v>Kolkata</v>
      </c>
      <c r="J1139" t="s">
        <v>36</v>
      </c>
      <c r="K1139" t="s">
        <v>37</v>
      </c>
      <c r="L1139" t="s">
        <v>27</v>
      </c>
      <c r="M1139" t="s">
        <v>123</v>
      </c>
      <c r="N1139" t="s">
        <v>123</v>
      </c>
      <c r="O1139">
        <v>1</v>
      </c>
      <c r="P1139">
        <v>2820</v>
      </c>
      <c r="Q1139">
        <v>0</v>
      </c>
      <c r="R1139">
        <v>1670</v>
      </c>
      <c r="S1139" t="s">
        <v>29</v>
      </c>
      <c r="T1139" t="s">
        <v>74</v>
      </c>
      <c r="U1139">
        <v>3</v>
      </c>
      <c r="V1139" t="s">
        <v>31</v>
      </c>
      <c r="W1139">
        <f>excelsalesdata[[#This Row],[Quantity]]*excelsalesdata[[#This Row],[Unit_Price]]</f>
        <v>2820</v>
      </c>
      <c r="X1139">
        <f>excelsalesdata[[#This Row],[Gross_sales]]*excelsalesdata[[#This Row],[Discount_%]]</f>
        <v>0</v>
      </c>
      <c r="Y1139">
        <f>excelsalesdata[[#This Row],[Gross_sales]]-excelsalesdata[[#This Row],[Discount_amt]]</f>
        <v>2820</v>
      </c>
      <c r="Z1139" s="4">
        <f>excelsalesdata[[#This Row],[Net_sales]]-excelsalesdata[[#This Row],[Cost]]</f>
        <v>1150</v>
      </c>
      <c r="AA1139" s="5">
        <f>excelsalesdata[[#This Row],[Profit]]/excelsalesdata[[#This Row],[Net_sales]]</f>
        <v>0.40780141843971629</v>
      </c>
      <c r="AB1139" s="4">
        <f>YEAR(excelsalesdata[[#This Row],[Order_Date]])</f>
        <v>2028</v>
      </c>
      <c r="AC1139" s="4" t="str">
        <f>TEXT(excelsalesdata[[#This Row],[Order_Date]],"mmm")</f>
        <v>May</v>
      </c>
      <c r="AD1139" s="4" t="str">
        <f>"Q"&amp;ROUNDUP(MONTH(excelsalesdata[[#This Row],[Order_Date]])/3,0)</f>
        <v>Q2</v>
      </c>
    </row>
    <row r="1140" spans="1:30" x14ac:dyDescent="0.35">
      <c r="A1140" t="s">
        <v>1938</v>
      </c>
      <c r="B1140" s="3">
        <v>46898</v>
      </c>
      <c r="C1140" t="s">
        <v>1530</v>
      </c>
      <c r="D1140" t="s">
        <v>150</v>
      </c>
      <c r="E1140" t="str">
        <f>TRIM(excelsalesdata[[#This Row],[Customer_Name]])</f>
        <v>Nisha Reddy</v>
      </c>
      <c r="F1140" t="s">
        <v>44</v>
      </c>
      <c r="G1140">
        <v>48</v>
      </c>
      <c r="H1140" t="s">
        <v>155</v>
      </c>
      <c r="I1140" t="str">
        <f>TRIM(excelsalesdata[[#This Row],[City]])</f>
        <v>Chennai</v>
      </c>
      <c r="J1140" t="s">
        <v>156</v>
      </c>
      <c r="K1140" t="s">
        <v>47</v>
      </c>
      <c r="L1140" t="s">
        <v>54</v>
      </c>
      <c r="M1140" t="s">
        <v>55</v>
      </c>
      <c r="N1140" t="s">
        <v>55</v>
      </c>
      <c r="O1140">
        <v>3</v>
      </c>
      <c r="P1140">
        <v>7490</v>
      </c>
      <c r="Q1140">
        <v>0.3</v>
      </c>
      <c r="R1140">
        <v>4710</v>
      </c>
      <c r="S1140" t="s">
        <v>29</v>
      </c>
      <c r="T1140" t="s">
        <v>30</v>
      </c>
      <c r="U1140">
        <v>2</v>
      </c>
      <c r="V1140" t="s">
        <v>31</v>
      </c>
      <c r="W1140">
        <f>excelsalesdata[[#This Row],[Quantity]]*excelsalesdata[[#This Row],[Unit_Price]]</f>
        <v>22470</v>
      </c>
      <c r="X1140">
        <f>excelsalesdata[[#This Row],[Gross_sales]]*excelsalesdata[[#This Row],[Discount_%]]</f>
        <v>6741</v>
      </c>
      <c r="Y1140">
        <f>excelsalesdata[[#This Row],[Gross_sales]]-excelsalesdata[[#This Row],[Discount_amt]]</f>
        <v>15729</v>
      </c>
      <c r="Z1140" s="4">
        <f>excelsalesdata[[#This Row],[Net_sales]]-excelsalesdata[[#This Row],[Cost]]</f>
        <v>11019</v>
      </c>
      <c r="AA1140" s="5">
        <f>excelsalesdata[[#This Row],[Profit]]/excelsalesdata[[#This Row],[Net_sales]]</f>
        <v>0.7005531184436391</v>
      </c>
      <c r="AB1140" s="4">
        <f>YEAR(excelsalesdata[[#This Row],[Order_Date]])</f>
        <v>2028</v>
      </c>
      <c r="AC1140" s="4" t="str">
        <f>TEXT(excelsalesdata[[#This Row],[Order_Date]],"mmm")</f>
        <v>May</v>
      </c>
      <c r="AD1140" s="4" t="str">
        <f>"Q"&amp;ROUNDUP(MONTH(excelsalesdata[[#This Row],[Order_Date]])/3,0)</f>
        <v>Q2</v>
      </c>
    </row>
    <row r="1141" spans="1:30" x14ac:dyDescent="0.35">
      <c r="A1141" t="s">
        <v>1939</v>
      </c>
      <c r="B1141" s="3">
        <v>46899</v>
      </c>
      <c r="C1141" t="s">
        <v>83</v>
      </c>
      <c r="D1141" t="s">
        <v>214</v>
      </c>
      <c r="E1141" t="str">
        <f>TRIM(excelsalesdata[[#This Row],[Customer_Name]])</f>
        <v>Meera Naidu</v>
      </c>
      <c r="F1141" t="s">
        <v>44</v>
      </c>
      <c r="G1141">
        <v>60</v>
      </c>
      <c r="H1141" t="s">
        <v>24</v>
      </c>
      <c r="I1141" t="str">
        <f>TRIM(excelsalesdata[[#This Row],[City]])</f>
        <v>Pune</v>
      </c>
      <c r="J1141" t="s">
        <v>25</v>
      </c>
      <c r="K1141" t="s">
        <v>26</v>
      </c>
      <c r="L1141" t="s">
        <v>85</v>
      </c>
      <c r="M1141" t="s">
        <v>202</v>
      </c>
      <c r="N1141" t="s">
        <v>202</v>
      </c>
      <c r="O1141">
        <v>5</v>
      </c>
      <c r="P1141">
        <v>970</v>
      </c>
      <c r="Q1141">
        <v>0.25</v>
      </c>
      <c r="R1141">
        <v>420</v>
      </c>
      <c r="S1141" t="s">
        <v>151</v>
      </c>
      <c r="T1141" t="s">
        <v>99</v>
      </c>
      <c r="U1141">
        <v>6</v>
      </c>
      <c r="V1141" t="s">
        <v>40</v>
      </c>
      <c r="W1141">
        <f>excelsalesdata[[#This Row],[Quantity]]*excelsalesdata[[#This Row],[Unit_Price]]</f>
        <v>4850</v>
      </c>
      <c r="X1141">
        <f>excelsalesdata[[#This Row],[Gross_sales]]*excelsalesdata[[#This Row],[Discount_%]]</f>
        <v>1212.5</v>
      </c>
      <c r="Y1141">
        <f>excelsalesdata[[#This Row],[Gross_sales]]-excelsalesdata[[#This Row],[Discount_amt]]</f>
        <v>3637.5</v>
      </c>
      <c r="Z1141" s="4">
        <f>excelsalesdata[[#This Row],[Net_sales]]-excelsalesdata[[#This Row],[Cost]]</f>
        <v>3217.5</v>
      </c>
      <c r="AA1141" s="5">
        <f>excelsalesdata[[#This Row],[Profit]]/excelsalesdata[[#This Row],[Net_sales]]</f>
        <v>0.88453608247422677</v>
      </c>
      <c r="AB1141" s="4">
        <f>YEAR(excelsalesdata[[#This Row],[Order_Date]])</f>
        <v>2028</v>
      </c>
      <c r="AC1141" s="4" t="str">
        <f>TEXT(excelsalesdata[[#This Row],[Order_Date]],"mmm")</f>
        <v>May</v>
      </c>
      <c r="AD1141" s="4" t="str">
        <f>"Q"&amp;ROUNDUP(MONTH(excelsalesdata[[#This Row],[Order_Date]])/3,0)</f>
        <v>Q2</v>
      </c>
    </row>
    <row r="1142" spans="1:30" x14ac:dyDescent="0.35">
      <c r="A1142" t="s">
        <v>1940</v>
      </c>
      <c r="B1142" s="3">
        <v>46900</v>
      </c>
      <c r="C1142" t="s">
        <v>233</v>
      </c>
      <c r="D1142" t="s">
        <v>392</v>
      </c>
      <c r="E1142" t="str">
        <f>TRIM(excelsalesdata[[#This Row],[Customer_Name]])</f>
        <v>Meera Joshi</v>
      </c>
      <c r="F1142" t="s">
        <v>44</v>
      </c>
      <c r="G1142">
        <v>22</v>
      </c>
      <c r="H1142" t="s">
        <v>155</v>
      </c>
      <c r="I1142" t="str">
        <f>TRIM(excelsalesdata[[#This Row],[City]])</f>
        <v>Chennai</v>
      </c>
      <c r="J1142" t="s">
        <v>156</v>
      </c>
      <c r="K1142" t="s">
        <v>47</v>
      </c>
      <c r="L1142" t="s">
        <v>103</v>
      </c>
      <c r="M1142" t="s">
        <v>238</v>
      </c>
      <c r="N1142" t="s">
        <v>238</v>
      </c>
      <c r="O1142">
        <v>1</v>
      </c>
      <c r="P1142">
        <v>3970</v>
      </c>
      <c r="Q1142">
        <v>0.05</v>
      </c>
      <c r="R1142">
        <v>2720</v>
      </c>
      <c r="S1142" t="s">
        <v>80</v>
      </c>
      <c r="T1142" t="s">
        <v>30</v>
      </c>
      <c r="U1142">
        <v>8</v>
      </c>
      <c r="V1142" t="s">
        <v>40</v>
      </c>
      <c r="W1142">
        <f>excelsalesdata[[#This Row],[Quantity]]*excelsalesdata[[#This Row],[Unit_Price]]</f>
        <v>3970</v>
      </c>
      <c r="X1142">
        <f>excelsalesdata[[#This Row],[Gross_sales]]*excelsalesdata[[#This Row],[Discount_%]]</f>
        <v>198.5</v>
      </c>
      <c r="Y1142">
        <f>excelsalesdata[[#This Row],[Gross_sales]]-excelsalesdata[[#This Row],[Discount_amt]]</f>
        <v>3771.5</v>
      </c>
      <c r="Z1142" s="4">
        <f>excelsalesdata[[#This Row],[Net_sales]]-excelsalesdata[[#This Row],[Cost]]</f>
        <v>1051.5</v>
      </c>
      <c r="AA1142" s="5">
        <f>excelsalesdata[[#This Row],[Profit]]/excelsalesdata[[#This Row],[Net_sales]]</f>
        <v>0.27880153784966194</v>
      </c>
      <c r="AB1142" s="4">
        <f>YEAR(excelsalesdata[[#This Row],[Order_Date]])</f>
        <v>2028</v>
      </c>
      <c r="AC1142" s="4" t="str">
        <f>TEXT(excelsalesdata[[#This Row],[Order_Date]],"mmm")</f>
        <v>May</v>
      </c>
      <c r="AD1142" s="4" t="str">
        <f>"Q"&amp;ROUNDUP(MONTH(excelsalesdata[[#This Row],[Order_Date]])/3,0)</f>
        <v>Q2</v>
      </c>
    </row>
    <row r="1143" spans="1:30" x14ac:dyDescent="0.35">
      <c r="A1143" t="s">
        <v>1941</v>
      </c>
      <c r="B1143" s="3">
        <v>46901</v>
      </c>
      <c r="C1143" t="s">
        <v>1053</v>
      </c>
      <c r="D1143" t="s">
        <v>482</v>
      </c>
      <c r="E1143" t="str">
        <f>TRIM(excelsalesdata[[#This Row],[Customer_Name]])</f>
        <v>Aditya Gupta</v>
      </c>
      <c r="F1143" t="s">
        <v>23</v>
      </c>
      <c r="G1143">
        <v>43</v>
      </c>
      <c r="H1143" t="s">
        <v>114</v>
      </c>
      <c r="I1143" t="str">
        <f>TRIM(excelsalesdata[[#This Row],[City]])</f>
        <v>Hyderabad</v>
      </c>
      <c r="J1143" t="s">
        <v>115</v>
      </c>
      <c r="K1143" t="s">
        <v>47</v>
      </c>
      <c r="L1143" t="s">
        <v>54</v>
      </c>
      <c r="M1143" t="s">
        <v>62</v>
      </c>
      <c r="N1143" t="s">
        <v>62</v>
      </c>
      <c r="O1143">
        <v>3</v>
      </c>
      <c r="P1143">
        <v>22260</v>
      </c>
      <c r="Q1143">
        <v>0.1</v>
      </c>
      <c r="R1143">
        <v>15710</v>
      </c>
      <c r="S1143" t="s">
        <v>29</v>
      </c>
      <c r="T1143" t="s">
        <v>30</v>
      </c>
      <c r="U1143">
        <v>4</v>
      </c>
      <c r="V1143" t="s">
        <v>40</v>
      </c>
      <c r="W1143">
        <f>excelsalesdata[[#This Row],[Quantity]]*excelsalesdata[[#This Row],[Unit_Price]]</f>
        <v>66780</v>
      </c>
      <c r="X1143">
        <f>excelsalesdata[[#This Row],[Gross_sales]]*excelsalesdata[[#This Row],[Discount_%]]</f>
        <v>6678</v>
      </c>
      <c r="Y1143">
        <f>excelsalesdata[[#This Row],[Gross_sales]]-excelsalesdata[[#This Row],[Discount_amt]]</f>
        <v>60102</v>
      </c>
      <c r="Z1143" s="4">
        <f>excelsalesdata[[#This Row],[Net_sales]]-excelsalesdata[[#This Row],[Cost]]</f>
        <v>44392</v>
      </c>
      <c r="AA1143" s="5">
        <f>excelsalesdata[[#This Row],[Profit]]/excelsalesdata[[#This Row],[Net_sales]]</f>
        <v>0.73861102791920397</v>
      </c>
      <c r="AB1143" s="4">
        <f>YEAR(excelsalesdata[[#This Row],[Order_Date]])</f>
        <v>2028</v>
      </c>
      <c r="AC1143" s="4" t="str">
        <f>TEXT(excelsalesdata[[#This Row],[Order_Date]],"mmm")</f>
        <v>May</v>
      </c>
      <c r="AD1143" s="4" t="str">
        <f>"Q"&amp;ROUNDUP(MONTH(excelsalesdata[[#This Row],[Order_Date]])/3,0)</f>
        <v>Q2</v>
      </c>
    </row>
    <row r="1144" spans="1:30" x14ac:dyDescent="0.35">
      <c r="A1144" t="s">
        <v>1942</v>
      </c>
      <c r="B1144" s="3">
        <v>46902</v>
      </c>
      <c r="C1144" t="s">
        <v>1317</v>
      </c>
      <c r="D1144" t="s">
        <v>406</v>
      </c>
      <c r="E1144" t="str">
        <f>TRIM(excelsalesdata[[#This Row],[Customer_Name]])</f>
        <v>Ishita Joshi</v>
      </c>
      <c r="F1144" t="s">
        <v>44</v>
      </c>
      <c r="G1144">
        <v>52</v>
      </c>
      <c r="H1144" t="s">
        <v>98</v>
      </c>
      <c r="I1144" t="str">
        <f>TRIM(excelsalesdata[[#This Row],[City]])</f>
        <v>Mumbai</v>
      </c>
      <c r="J1144" t="s">
        <v>25</v>
      </c>
      <c r="K1144" t="s">
        <v>26</v>
      </c>
      <c r="L1144" t="s">
        <v>38</v>
      </c>
      <c r="M1144" t="s">
        <v>119</v>
      </c>
      <c r="N1144" t="s">
        <v>119</v>
      </c>
      <c r="O1144">
        <v>1</v>
      </c>
      <c r="P1144">
        <v>8480</v>
      </c>
      <c r="Q1144">
        <v>0.1</v>
      </c>
      <c r="R1144">
        <v>5680</v>
      </c>
      <c r="S1144" t="s">
        <v>80</v>
      </c>
      <c r="T1144" t="s">
        <v>99</v>
      </c>
      <c r="U1144">
        <v>7</v>
      </c>
      <c r="V1144" t="s">
        <v>31</v>
      </c>
      <c r="W1144">
        <f>excelsalesdata[[#This Row],[Quantity]]*excelsalesdata[[#This Row],[Unit_Price]]</f>
        <v>8480</v>
      </c>
      <c r="X1144">
        <f>excelsalesdata[[#This Row],[Gross_sales]]*excelsalesdata[[#This Row],[Discount_%]]</f>
        <v>848</v>
      </c>
      <c r="Y1144">
        <f>excelsalesdata[[#This Row],[Gross_sales]]-excelsalesdata[[#This Row],[Discount_amt]]</f>
        <v>7632</v>
      </c>
      <c r="Z1144" s="4">
        <f>excelsalesdata[[#This Row],[Net_sales]]-excelsalesdata[[#This Row],[Cost]]</f>
        <v>1952</v>
      </c>
      <c r="AA1144" s="5">
        <f>excelsalesdata[[#This Row],[Profit]]/excelsalesdata[[#This Row],[Net_sales]]</f>
        <v>0.25576519916142559</v>
      </c>
      <c r="AB1144" s="4">
        <f>YEAR(excelsalesdata[[#This Row],[Order_Date]])</f>
        <v>2028</v>
      </c>
      <c r="AC1144" s="4" t="str">
        <f>TEXT(excelsalesdata[[#This Row],[Order_Date]],"mmm")</f>
        <v>May</v>
      </c>
      <c r="AD1144" s="4" t="str">
        <f>"Q"&amp;ROUNDUP(MONTH(excelsalesdata[[#This Row],[Order_Date]])/3,0)</f>
        <v>Q2</v>
      </c>
    </row>
    <row r="1145" spans="1:30" x14ac:dyDescent="0.35">
      <c r="A1145" t="s">
        <v>1943</v>
      </c>
      <c r="B1145" s="3">
        <v>46903</v>
      </c>
      <c r="C1145" t="s">
        <v>929</v>
      </c>
      <c r="D1145" t="s">
        <v>1108</v>
      </c>
      <c r="E1145" t="str">
        <f>TRIM(excelsalesdata[[#This Row],[Customer_Name]])</f>
        <v>Rohan Verma</v>
      </c>
      <c r="F1145" t="s">
        <v>23</v>
      </c>
      <c r="G1145">
        <v>18</v>
      </c>
      <c r="H1145" t="s">
        <v>45</v>
      </c>
      <c r="I1145" t="str">
        <f>TRIM(excelsalesdata[[#This Row],[City]])</f>
        <v>Kochi</v>
      </c>
      <c r="J1145" t="s">
        <v>46</v>
      </c>
      <c r="K1145" t="s">
        <v>47</v>
      </c>
      <c r="L1145" t="s">
        <v>103</v>
      </c>
      <c r="M1145" t="s">
        <v>238</v>
      </c>
      <c r="N1145" t="s">
        <v>238</v>
      </c>
      <c r="O1145">
        <v>5</v>
      </c>
      <c r="P1145">
        <v>4100</v>
      </c>
      <c r="Q1145">
        <v>0.2</v>
      </c>
      <c r="R1145">
        <v>2750</v>
      </c>
      <c r="S1145" t="s">
        <v>105</v>
      </c>
      <c r="T1145" t="s">
        <v>30</v>
      </c>
      <c r="U1145">
        <v>5</v>
      </c>
      <c r="V1145" t="s">
        <v>40</v>
      </c>
      <c r="W1145">
        <f>excelsalesdata[[#This Row],[Quantity]]*excelsalesdata[[#This Row],[Unit_Price]]</f>
        <v>20500</v>
      </c>
      <c r="X1145">
        <f>excelsalesdata[[#This Row],[Gross_sales]]*excelsalesdata[[#This Row],[Discount_%]]</f>
        <v>4100</v>
      </c>
      <c r="Y1145">
        <f>excelsalesdata[[#This Row],[Gross_sales]]-excelsalesdata[[#This Row],[Discount_amt]]</f>
        <v>16400</v>
      </c>
      <c r="Z1145" s="4">
        <f>excelsalesdata[[#This Row],[Net_sales]]-excelsalesdata[[#This Row],[Cost]]</f>
        <v>13650</v>
      </c>
      <c r="AA1145" s="5">
        <f>excelsalesdata[[#This Row],[Profit]]/excelsalesdata[[#This Row],[Net_sales]]</f>
        <v>0.83231707317073167</v>
      </c>
      <c r="AB1145" s="4">
        <f>YEAR(excelsalesdata[[#This Row],[Order_Date]])</f>
        <v>2028</v>
      </c>
      <c r="AC1145" s="4" t="str">
        <f>TEXT(excelsalesdata[[#This Row],[Order_Date]],"mmm")</f>
        <v>May</v>
      </c>
      <c r="AD1145" s="4" t="str">
        <f>"Q"&amp;ROUNDUP(MONTH(excelsalesdata[[#This Row],[Order_Date]])/3,0)</f>
        <v>Q2</v>
      </c>
    </row>
    <row r="1146" spans="1:30" x14ac:dyDescent="0.35">
      <c r="A1146" t="s">
        <v>1944</v>
      </c>
      <c r="B1146" s="3">
        <v>46904</v>
      </c>
      <c r="C1146" t="s">
        <v>1945</v>
      </c>
      <c r="D1146" t="s">
        <v>258</v>
      </c>
      <c r="E1146" t="str">
        <f>TRIM(excelsalesdata[[#This Row],[Customer_Name]])</f>
        <v>Sneha Sharma</v>
      </c>
      <c r="F1146" t="s">
        <v>44</v>
      </c>
      <c r="G1146">
        <v>44</v>
      </c>
      <c r="H1146" t="s">
        <v>133</v>
      </c>
      <c r="I1146" t="str">
        <f>TRIM(excelsalesdata[[#This Row],[City]])</f>
        <v>Jaipur</v>
      </c>
      <c r="J1146" t="s">
        <v>134</v>
      </c>
      <c r="K1146" t="s">
        <v>61</v>
      </c>
      <c r="L1146" t="s">
        <v>38</v>
      </c>
      <c r="M1146" t="s">
        <v>161</v>
      </c>
      <c r="N1146" t="s">
        <v>161</v>
      </c>
      <c r="O1146">
        <v>1</v>
      </c>
      <c r="P1146">
        <v>27470</v>
      </c>
      <c r="Q1146">
        <v>0.15</v>
      </c>
      <c r="R1146">
        <v>19630</v>
      </c>
      <c r="S1146" t="s">
        <v>105</v>
      </c>
      <c r="T1146" t="s">
        <v>81</v>
      </c>
      <c r="U1146">
        <v>0</v>
      </c>
      <c r="V1146" t="s">
        <v>40</v>
      </c>
      <c r="W1146">
        <f>excelsalesdata[[#This Row],[Quantity]]*excelsalesdata[[#This Row],[Unit_Price]]</f>
        <v>27470</v>
      </c>
      <c r="X1146">
        <f>excelsalesdata[[#This Row],[Gross_sales]]*excelsalesdata[[#This Row],[Discount_%]]</f>
        <v>4120.5</v>
      </c>
      <c r="Y1146">
        <f>excelsalesdata[[#This Row],[Gross_sales]]-excelsalesdata[[#This Row],[Discount_amt]]</f>
        <v>23349.5</v>
      </c>
      <c r="Z1146" s="4">
        <f>excelsalesdata[[#This Row],[Net_sales]]-excelsalesdata[[#This Row],[Cost]]</f>
        <v>3719.5</v>
      </c>
      <c r="AA1146" s="5">
        <f>excelsalesdata[[#This Row],[Profit]]/excelsalesdata[[#This Row],[Net_sales]]</f>
        <v>0.15929677295017025</v>
      </c>
      <c r="AB1146" s="4">
        <f>YEAR(excelsalesdata[[#This Row],[Order_Date]])</f>
        <v>2028</v>
      </c>
      <c r="AC1146" s="4" t="str">
        <f>TEXT(excelsalesdata[[#This Row],[Order_Date]],"mmm")</f>
        <v>May</v>
      </c>
      <c r="AD1146" s="4" t="str">
        <f>"Q"&amp;ROUNDUP(MONTH(excelsalesdata[[#This Row],[Order_Date]])/3,0)</f>
        <v>Q2</v>
      </c>
    </row>
    <row r="1147" spans="1:30" x14ac:dyDescent="0.35">
      <c r="A1147" t="s">
        <v>1946</v>
      </c>
      <c r="B1147" s="3">
        <v>46905</v>
      </c>
      <c r="C1147" t="s">
        <v>779</v>
      </c>
      <c r="D1147" t="s">
        <v>224</v>
      </c>
      <c r="E1147" t="str">
        <f>TRIM(excelsalesdata[[#This Row],[Customer_Name]])</f>
        <v>Vivaan Sharma</v>
      </c>
      <c r="F1147" t="s">
        <v>23</v>
      </c>
      <c r="G1147">
        <v>60</v>
      </c>
      <c r="H1147" t="s">
        <v>168</v>
      </c>
      <c r="I1147" t="str">
        <f>TRIM(excelsalesdata[[#This Row],[City]])</f>
        <v>Delhi</v>
      </c>
      <c r="J1147" t="s">
        <v>168</v>
      </c>
      <c r="K1147" t="s">
        <v>61</v>
      </c>
      <c r="L1147" t="s">
        <v>54</v>
      </c>
      <c r="M1147" t="s">
        <v>129</v>
      </c>
      <c r="N1147" t="s">
        <v>129</v>
      </c>
      <c r="O1147">
        <v>3</v>
      </c>
      <c r="P1147">
        <v>16650</v>
      </c>
      <c r="Q1147">
        <v>0.1</v>
      </c>
      <c r="R1147">
        <v>12380</v>
      </c>
      <c r="S1147" t="s">
        <v>80</v>
      </c>
      <c r="T1147" t="s">
        <v>30</v>
      </c>
      <c r="U1147">
        <v>3</v>
      </c>
      <c r="V1147" t="s">
        <v>40</v>
      </c>
      <c r="W1147">
        <f>excelsalesdata[[#This Row],[Quantity]]*excelsalesdata[[#This Row],[Unit_Price]]</f>
        <v>49950</v>
      </c>
      <c r="X1147">
        <f>excelsalesdata[[#This Row],[Gross_sales]]*excelsalesdata[[#This Row],[Discount_%]]</f>
        <v>4995</v>
      </c>
      <c r="Y1147">
        <f>excelsalesdata[[#This Row],[Gross_sales]]-excelsalesdata[[#This Row],[Discount_amt]]</f>
        <v>44955</v>
      </c>
      <c r="Z1147" s="4">
        <f>excelsalesdata[[#This Row],[Net_sales]]-excelsalesdata[[#This Row],[Cost]]</f>
        <v>32575</v>
      </c>
      <c r="AA1147" s="5">
        <f>excelsalesdata[[#This Row],[Profit]]/excelsalesdata[[#This Row],[Net_sales]]</f>
        <v>0.7246135023912802</v>
      </c>
      <c r="AB1147" s="4">
        <f>YEAR(excelsalesdata[[#This Row],[Order_Date]])</f>
        <v>2028</v>
      </c>
      <c r="AC1147" s="4" t="str">
        <f>TEXT(excelsalesdata[[#This Row],[Order_Date]],"mmm")</f>
        <v>Jun</v>
      </c>
      <c r="AD1147" s="4" t="str">
        <f>"Q"&amp;ROUNDUP(MONTH(excelsalesdata[[#This Row],[Order_Date]])/3,0)</f>
        <v>Q2</v>
      </c>
    </row>
    <row r="1148" spans="1:30" x14ac:dyDescent="0.35">
      <c r="A1148" t="s">
        <v>1947</v>
      </c>
      <c r="B1148" s="3">
        <v>46906</v>
      </c>
      <c r="C1148" t="s">
        <v>454</v>
      </c>
      <c r="D1148" t="s">
        <v>43</v>
      </c>
      <c r="E1148" t="str">
        <f>TRIM(excelsalesdata[[#This Row],[Customer_Name]])</f>
        <v>Nisha Nair</v>
      </c>
      <c r="F1148" t="s">
        <v>23</v>
      </c>
      <c r="G1148">
        <v>24</v>
      </c>
      <c r="H1148" t="s">
        <v>98</v>
      </c>
      <c r="I1148" t="str">
        <f>TRIM(excelsalesdata[[#This Row],[City]])</f>
        <v>Mumbai</v>
      </c>
      <c r="J1148" t="s">
        <v>25</v>
      </c>
      <c r="K1148" t="s">
        <v>26</v>
      </c>
      <c r="L1148" t="s">
        <v>54</v>
      </c>
      <c r="M1148" t="s">
        <v>129</v>
      </c>
      <c r="N1148" t="s">
        <v>129</v>
      </c>
      <c r="O1148">
        <v>1</v>
      </c>
      <c r="P1148">
        <v>17530</v>
      </c>
      <c r="Q1148">
        <v>0.15</v>
      </c>
      <c r="R1148">
        <v>12110</v>
      </c>
      <c r="S1148" t="s">
        <v>67</v>
      </c>
      <c r="T1148" t="s">
        <v>30</v>
      </c>
      <c r="U1148">
        <v>3</v>
      </c>
      <c r="V1148" t="s">
        <v>40</v>
      </c>
      <c r="W1148">
        <f>excelsalesdata[[#This Row],[Quantity]]*excelsalesdata[[#This Row],[Unit_Price]]</f>
        <v>17530</v>
      </c>
      <c r="X1148">
        <f>excelsalesdata[[#This Row],[Gross_sales]]*excelsalesdata[[#This Row],[Discount_%]]</f>
        <v>2629.5</v>
      </c>
      <c r="Y1148">
        <f>excelsalesdata[[#This Row],[Gross_sales]]-excelsalesdata[[#This Row],[Discount_amt]]</f>
        <v>14900.5</v>
      </c>
      <c r="Z1148" s="4">
        <f>excelsalesdata[[#This Row],[Net_sales]]-excelsalesdata[[#This Row],[Cost]]</f>
        <v>2790.5</v>
      </c>
      <c r="AA1148" s="5">
        <f>excelsalesdata[[#This Row],[Profit]]/excelsalesdata[[#This Row],[Net_sales]]</f>
        <v>0.18727559477869871</v>
      </c>
      <c r="AB1148" s="4">
        <f>YEAR(excelsalesdata[[#This Row],[Order_Date]])</f>
        <v>2028</v>
      </c>
      <c r="AC1148" s="4" t="str">
        <f>TEXT(excelsalesdata[[#This Row],[Order_Date]],"mmm")</f>
        <v>Jun</v>
      </c>
      <c r="AD1148" s="4" t="str">
        <f>"Q"&amp;ROUNDUP(MONTH(excelsalesdata[[#This Row],[Order_Date]])/3,0)</f>
        <v>Q2</v>
      </c>
    </row>
    <row r="1149" spans="1:30" x14ac:dyDescent="0.35">
      <c r="A1149" t="s">
        <v>1948</v>
      </c>
      <c r="B1149" s="3">
        <v>46907</v>
      </c>
      <c r="C1149" t="s">
        <v>1073</v>
      </c>
      <c r="D1149" t="s">
        <v>254</v>
      </c>
      <c r="E1149" t="str">
        <f>TRIM(excelsalesdata[[#This Row],[Customer_Name]])</f>
        <v>Meera Sharma</v>
      </c>
      <c r="F1149" t="s">
        <v>44</v>
      </c>
      <c r="G1149">
        <v>46</v>
      </c>
      <c r="H1149" t="s">
        <v>60</v>
      </c>
      <c r="I1149" t="str">
        <f>TRIM(excelsalesdata[[#This Row],[City]])</f>
        <v>Chandigarh</v>
      </c>
      <c r="J1149" t="s">
        <v>60</v>
      </c>
      <c r="K1149" t="s">
        <v>61</v>
      </c>
      <c r="L1149" t="s">
        <v>38</v>
      </c>
      <c r="M1149" t="s">
        <v>119</v>
      </c>
      <c r="N1149" t="s">
        <v>119</v>
      </c>
      <c r="O1149">
        <v>1</v>
      </c>
      <c r="P1149">
        <v>8190</v>
      </c>
      <c r="Q1149">
        <v>0</v>
      </c>
      <c r="R1149">
        <v>5720</v>
      </c>
      <c r="S1149" t="s">
        <v>67</v>
      </c>
      <c r="T1149" t="s">
        <v>30</v>
      </c>
      <c r="U1149">
        <v>4</v>
      </c>
      <c r="V1149" t="s">
        <v>31</v>
      </c>
      <c r="W1149">
        <f>excelsalesdata[[#This Row],[Quantity]]*excelsalesdata[[#This Row],[Unit_Price]]</f>
        <v>8190</v>
      </c>
      <c r="X1149">
        <f>excelsalesdata[[#This Row],[Gross_sales]]*excelsalesdata[[#This Row],[Discount_%]]</f>
        <v>0</v>
      </c>
      <c r="Y1149">
        <f>excelsalesdata[[#This Row],[Gross_sales]]-excelsalesdata[[#This Row],[Discount_amt]]</f>
        <v>8190</v>
      </c>
      <c r="Z1149" s="4">
        <f>excelsalesdata[[#This Row],[Net_sales]]-excelsalesdata[[#This Row],[Cost]]</f>
        <v>2470</v>
      </c>
      <c r="AA1149" s="5">
        <f>excelsalesdata[[#This Row],[Profit]]/excelsalesdata[[#This Row],[Net_sales]]</f>
        <v>0.30158730158730157</v>
      </c>
      <c r="AB1149" s="4">
        <f>YEAR(excelsalesdata[[#This Row],[Order_Date]])</f>
        <v>2028</v>
      </c>
      <c r="AC1149" s="4" t="str">
        <f>TEXT(excelsalesdata[[#This Row],[Order_Date]],"mmm")</f>
        <v>Jun</v>
      </c>
      <c r="AD1149" s="4" t="str">
        <f>"Q"&amp;ROUNDUP(MONTH(excelsalesdata[[#This Row],[Order_Date]])/3,0)</f>
        <v>Q2</v>
      </c>
    </row>
    <row r="1150" spans="1:30" x14ac:dyDescent="0.35">
      <c r="A1150" t="s">
        <v>1949</v>
      </c>
      <c r="B1150" s="3">
        <v>46908</v>
      </c>
      <c r="C1150" t="s">
        <v>1278</v>
      </c>
      <c r="D1150" t="s">
        <v>97</v>
      </c>
      <c r="E1150" t="str">
        <f>TRIM(excelsalesdata[[#This Row],[Customer_Name]])</f>
        <v>Aditya Shah</v>
      </c>
      <c r="F1150" t="s">
        <v>44</v>
      </c>
      <c r="G1150">
        <v>30</v>
      </c>
      <c r="H1150" t="s">
        <v>168</v>
      </c>
      <c r="I1150" t="str">
        <f>TRIM(excelsalesdata[[#This Row],[City]])</f>
        <v>Delhi</v>
      </c>
      <c r="J1150" t="s">
        <v>168</v>
      </c>
      <c r="K1150" t="s">
        <v>61</v>
      </c>
      <c r="L1150" t="s">
        <v>85</v>
      </c>
      <c r="M1150" t="s">
        <v>251</v>
      </c>
      <c r="N1150" t="s">
        <v>251</v>
      </c>
      <c r="O1150">
        <v>1</v>
      </c>
      <c r="P1150">
        <v>3260</v>
      </c>
      <c r="Q1150">
        <v>0.1</v>
      </c>
      <c r="R1150">
        <v>1910</v>
      </c>
      <c r="S1150" t="s">
        <v>80</v>
      </c>
      <c r="T1150" t="s">
        <v>30</v>
      </c>
      <c r="U1150">
        <v>4</v>
      </c>
      <c r="V1150" t="s">
        <v>40</v>
      </c>
      <c r="W1150">
        <f>excelsalesdata[[#This Row],[Quantity]]*excelsalesdata[[#This Row],[Unit_Price]]</f>
        <v>3260</v>
      </c>
      <c r="X1150">
        <f>excelsalesdata[[#This Row],[Gross_sales]]*excelsalesdata[[#This Row],[Discount_%]]</f>
        <v>326</v>
      </c>
      <c r="Y1150">
        <f>excelsalesdata[[#This Row],[Gross_sales]]-excelsalesdata[[#This Row],[Discount_amt]]</f>
        <v>2934</v>
      </c>
      <c r="Z1150" s="4">
        <f>excelsalesdata[[#This Row],[Net_sales]]-excelsalesdata[[#This Row],[Cost]]</f>
        <v>1024</v>
      </c>
      <c r="AA1150" s="5">
        <f>excelsalesdata[[#This Row],[Profit]]/excelsalesdata[[#This Row],[Net_sales]]</f>
        <v>0.34901158827539197</v>
      </c>
      <c r="AB1150" s="4">
        <f>YEAR(excelsalesdata[[#This Row],[Order_Date]])</f>
        <v>2028</v>
      </c>
      <c r="AC1150" s="4" t="str">
        <f>TEXT(excelsalesdata[[#This Row],[Order_Date]],"mmm")</f>
        <v>Jun</v>
      </c>
      <c r="AD1150" s="4" t="str">
        <f>"Q"&amp;ROUNDUP(MONTH(excelsalesdata[[#This Row],[Order_Date]])/3,0)</f>
        <v>Q2</v>
      </c>
    </row>
    <row r="1151" spans="1:30" x14ac:dyDescent="0.35">
      <c r="A1151" t="s">
        <v>1950</v>
      </c>
      <c r="B1151" s="3">
        <v>46909</v>
      </c>
      <c r="C1151" t="s">
        <v>1144</v>
      </c>
      <c r="D1151" t="s">
        <v>553</v>
      </c>
      <c r="E1151" t="str">
        <f>TRIM(excelsalesdata[[#This Row],[Customer_Name]])</f>
        <v>Vivaan Reddy</v>
      </c>
      <c r="F1151" t="s">
        <v>44</v>
      </c>
      <c r="G1151">
        <v>23</v>
      </c>
      <c r="H1151" t="s">
        <v>45</v>
      </c>
      <c r="I1151" t="str">
        <f>TRIM(excelsalesdata[[#This Row],[City]])</f>
        <v>Kochi</v>
      </c>
      <c r="J1151" t="s">
        <v>46</v>
      </c>
      <c r="K1151" t="s">
        <v>47</v>
      </c>
      <c r="L1151" t="s">
        <v>54</v>
      </c>
      <c r="M1151" t="s">
        <v>129</v>
      </c>
      <c r="N1151" t="s">
        <v>129</v>
      </c>
      <c r="O1151">
        <v>1</v>
      </c>
      <c r="P1151">
        <v>17920</v>
      </c>
      <c r="Q1151">
        <v>0.2</v>
      </c>
      <c r="R1151">
        <v>12230</v>
      </c>
      <c r="S1151" t="s">
        <v>67</v>
      </c>
      <c r="T1151" t="s">
        <v>30</v>
      </c>
      <c r="U1151">
        <v>3</v>
      </c>
      <c r="V1151" t="s">
        <v>31</v>
      </c>
      <c r="W1151">
        <f>excelsalesdata[[#This Row],[Quantity]]*excelsalesdata[[#This Row],[Unit_Price]]</f>
        <v>17920</v>
      </c>
      <c r="X1151">
        <f>excelsalesdata[[#This Row],[Gross_sales]]*excelsalesdata[[#This Row],[Discount_%]]</f>
        <v>3584</v>
      </c>
      <c r="Y1151">
        <f>excelsalesdata[[#This Row],[Gross_sales]]-excelsalesdata[[#This Row],[Discount_amt]]</f>
        <v>14336</v>
      </c>
      <c r="Z1151" s="4">
        <f>excelsalesdata[[#This Row],[Net_sales]]-excelsalesdata[[#This Row],[Cost]]</f>
        <v>2106</v>
      </c>
      <c r="AA1151" s="5">
        <f>excelsalesdata[[#This Row],[Profit]]/excelsalesdata[[#This Row],[Net_sales]]</f>
        <v>0.14690290178571427</v>
      </c>
      <c r="AB1151" s="4">
        <f>YEAR(excelsalesdata[[#This Row],[Order_Date]])</f>
        <v>2028</v>
      </c>
      <c r="AC1151" s="4" t="str">
        <f>TEXT(excelsalesdata[[#This Row],[Order_Date]],"mmm")</f>
        <v>Jun</v>
      </c>
      <c r="AD1151" s="4" t="str">
        <f>"Q"&amp;ROUNDUP(MONTH(excelsalesdata[[#This Row],[Order_Date]])/3,0)</f>
        <v>Q2</v>
      </c>
    </row>
    <row r="1152" spans="1:30" x14ac:dyDescent="0.35">
      <c r="A1152" t="s">
        <v>1951</v>
      </c>
      <c r="B1152" s="3">
        <v>46910</v>
      </c>
      <c r="C1152" t="s">
        <v>512</v>
      </c>
      <c r="D1152" t="s">
        <v>211</v>
      </c>
      <c r="E1152" t="str">
        <f>TRIM(excelsalesdata[[#This Row],[Customer_Name]])</f>
        <v>Aarav Iyer</v>
      </c>
      <c r="F1152" t="s">
        <v>44</v>
      </c>
      <c r="G1152">
        <v>28</v>
      </c>
      <c r="H1152" t="s">
        <v>133</v>
      </c>
      <c r="I1152" t="str">
        <f>TRIM(excelsalesdata[[#This Row],[City]])</f>
        <v>Jaipur</v>
      </c>
      <c r="J1152" t="s">
        <v>134</v>
      </c>
      <c r="K1152" t="s">
        <v>61</v>
      </c>
      <c r="L1152" t="s">
        <v>93</v>
      </c>
      <c r="M1152" t="s">
        <v>206</v>
      </c>
      <c r="N1152" t="s">
        <v>206</v>
      </c>
      <c r="O1152">
        <v>2</v>
      </c>
      <c r="P1152">
        <v>660</v>
      </c>
      <c r="Q1152">
        <v>0.2</v>
      </c>
      <c r="R1152">
        <v>310</v>
      </c>
      <c r="S1152" t="s">
        <v>151</v>
      </c>
      <c r="T1152" t="s">
        <v>30</v>
      </c>
      <c r="U1152">
        <v>3</v>
      </c>
      <c r="V1152" t="s">
        <v>31</v>
      </c>
      <c r="W1152">
        <f>excelsalesdata[[#This Row],[Quantity]]*excelsalesdata[[#This Row],[Unit_Price]]</f>
        <v>1320</v>
      </c>
      <c r="X1152">
        <f>excelsalesdata[[#This Row],[Gross_sales]]*excelsalesdata[[#This Row],[Discount_%]]</f>
        <v>264</v>
      </c>
      <c r="Y1152">
        <f>excelsalesdata[[#This Row],[Gross_sales]]-excelsalesdata[[#This Row],[Discount_amt]]</f>
        <v>1056</v>
      </c>
      <c r="Z1152" s="4">
        <f>excelsalesdata[[#This Row],[Net_sales]]-excelsalesdata[[#This Row],[Cost]]</f>
        <v>746</v>
      </c>
      <c r="AA1152" s="5">
        <f>excelsalesdata[[#This Row],[Profit]]/excelsalesdata[[#This Row],[Net_sales]]</f>
        <v>0.70643939393939392</v>
      </c>
      <c r="AB1152" s="4">
        <f>YEAR(excelsalesdata[[#This Row],[Order_Date]])</f>
        <v>2028</v>
      </c>
      <c r="AC1152" s="4" t="str">
        <f>TEXT(excelsalesdata[[#This Row],[Order_Date]],"mmm")</f>
        <v>Jun</v>
      </c>
      <c r="AD1152" s="4" t="str">
        <f>"Q"&amp;ROUNDUP(MONTH(excelsalesdata[[#This Row],[Order_Date]])/3,0)</f>
        <v>Q2</v>
      </c>
    </row>
    <row r="1153" spans="1:30" x14ac:dyDescent="0.35">
      <c r="A1153" t="s">
        <v>1952</v>
      </c>
      <c r="B1153" s="3">
        <v>46911</v>
      </c>
      <c r="C1153" t="s">
        <v>1129</v>
      </c>
      <c r="D1153" t="s">
        <v>315</v>
      </c>
      <c r="E1153" t="str">
        <f>TRIM(excelsalesdata[[#This Row],[Customer_Name]])</f>
        <v>Diya Rao</v>
      </c>
      <c r="F1153" t="s">
        <v>44</v>
      </c>
      <c r="G1153">
        <v>57</v>
      </c>
      <c r="H1153" t="s">
        <v>168</v>
      </c>
      <c r="I1153" t="str">
        <f>TRIM(excelsalesdata[[#This Row],[City]])</f>
        <v>Delhi</v>
      </c>
      <c r="J1153" t="s">
        <v>168</v>
      </c>
      <c r="K1153" t="s">
        <v>61</v>
      </c>
      <c r="L1153" t="s">
        <v>27</v>
      </c>
      <c r="M1153" t="s">
        <v>295</v>
      </c>
      <c r="N1153" t="s">
        <v>295</v>
      </c>
      <c r="O1153">
        <v>1</v>
      </c>
      <c r="P1153">
        <v>4110</v>
      </c>
      <c r="Q1153">
        <v>0.2</v>
      </c>
      <c r="R1153">
        <v>2610</v>
      </c>
      <c r="S1153" t="s">
        <v>105</v>
      </c>
      <c r="T1153" t="s">
        <v>30</v>
      </c>
      <c r="U1153">
        <v>2</v>
      </c>
      <c r="V1153" t="s">
        <v>40</v>
      </c>
      <c r="W1153">
        <f>excelsalesdata[[#This Row],[Quantity]]*excelsalesdata[[#This Row],[Unit_Price]]</f>
        <v>4110</v>
      </c>
      <c r="X1153">
        <f>excelsalesdata[[#This Row],[Gross_sales]]*excelsalesdata[[#This Row],[Discount_%]]</f>
        <v>822</v>
      </c>
      <c r="Y1153">
        <f>excelsalesdata[[#This Row],[Gross_sales]]-excelsalesdata[[#This Row],[Discount_amt]]</f>
        <v>3288</v>
      </c>
      <c r="Z1153" s="4">
        <f>excelsalesdata[[#This Row],[Net_sales]]-excelsalesdata[[#This Row],[Cost]]</f>
        <v>678</v>
      </c>
      <c r="AA1153" s="5">
        <f>excelsalesdata[[#This Row],[Profit]]/excelsalesdata[[#This Row],[Net_sales]]</f>
        <v>0.20620437956204379</v>
      </c>
      <c r="AB1153" s="4">
        <f>YEAR(excelsalesdata[[#This Row],[Order_Date]])</f>
        <v>2028</v>
      </c>
      <c r="AC1153" s="4" t="str">
        <f>TEXT(excelsalesdata[[#This Row],[Order_Date]],"mmm")</f>
        <v>Jun</v>
      </c>
      <c r="AD1153" s="4" t="str">
        <f>"Q"&amp;ROUNDUP(MONTH(excelsalesdata[[#This Row],[Order_Date]])/3,0)</f>
        <v>Q2</v>
      </c>
    </row>
    <row r="1154" spans="1:30" x14ac:dyDescent="0.35">
      <c r="A1154" t="s">
        <v>1953</v>
      </c>
      <c r="B1154" s="3">
        <v>46912</v>
      </c>
      <c r="C1154" t="s">
        <v>1945</v>
      </c>
      <c r="D1154" t="s">
        <v>626</v>
      </c>
      <c r="E1154" t="str">
        <f>TRIM(excelsalesdata[[#This Row],[Customer_Name]])</f>
        <v>Aditya Rao</v>
      </c>
      <c r="F1154" t="s">
        <v>23</v>
      </c>
      <c r="G1154">
        <v>50</v>
      </c>
      <c r="H1154" t="s">
        <v>168</v>
      </c>
      <c r="I1154" t="str">
        <f>TRIM(excelsalesdata[[#This Row],[City]])</f>
        <v>Delhi</v>
      </c>
      <c r="J1154" t="s">
        <v>168</v>
      </c>
      <c r="K1154" t="s">
        <v>61</v>
      </c>
      <c r="L1154" t="s">
        <v>93</v>
      </c>
      <c r="M1154" t="s">
        <v>718</v>
      </c>
      <c r="N1154" t="s">
        <v>718</v>
      </c>
      <c r="O1154">
        <v>1</v>
      </c>
      <c r="P1154">
        <v>1810</v>
      </c>
      <c r="Q1154">
        <v>0.05</v>
      </c>
      <c r="R1154">
        <v>870</v>
      </c>
      <c r="S1154" t="s">
        <v>29</v>
      </c>
      <c r="T1154" t="s">
        <v>30</v>
      </c>
      <c r="U1154">
        <v>1</v>
      </c>
      <c r="V1154" t="s">
        <v>40</v>
      </c>
      <c r="W1154">
        <f>excelsalesdata[[#This Row],[Quantity]]*excelsalesdata[[#This Row],[Unit_Price]]</f>
        <v>1810</v>
      </c>
      <c r="X1154">
        <f>excelsalesdata[[#This Row],[Gross_sales]]*excelsalesdata[[#This Row],[Discount_%]]</f>
        <v>90.5</v>
      </c>
      <c r="Y1154">
        <f>excelsalesdata[[#This Row],[Gross_sales]]-excelsalesdata[[#This Row],[Discount_amt]]</f>
        <v>1719.5</v>
      </c>
      <c r="Z1154" s="4">
        <f>excelsalesdata[[#This Row],[Net_sales]]-excelsalesdata[[#This Row],[Cost]]</f>
        <v>849.5</v>
      </c>
      <c r="AA1154" s="5">
        <f>excelsalesdata[[#This Row],[Profit]]/excelsalesdata[[#This Row],[Net_sales]]</f>
        <v>0.49403896481535331</v>
      </c>
      <c r="AB1154" s="4">
        <f>YEAR(excelsalesdata[[#This Row],[Order_Date]])</f>
        <v>2028</v>
      </c>
      <c r="AC1154" s="4" t="str">
        <f>TEXT(excelsalesdata[[#This Row],[Order_Date]],"mmm")</f>
        <v>Jun</v>
      </c>
      <c r="AD1154" s="4" t="str">
        <f>"Q"&amp;ROUNDUP(MONTH(excelsalesdata[[#This Row],[Order_Date]])/3,0)</f>
        <v>Q2</v>
      </c>
    </row>
    <row r="1155" spans="1:30" x14ac:dyDescent="0.35">
      <c r="A1155" t="s">
        <v>1954</v>
      </c>
      <c r="B1155" s="3">
        <v>46913</v>
      </c>
      <c r="C1155" t="s">
        <v>1258</v>
      </c>
      <c r="D1155" t="s">
        <v>205</v>
      </c>
      <c r="E1155" t="str">
        <f>TRIM(excelsalesdata[[#This Row],[Customer_Name]])</f>
        <v>Vivaan Bhat</v>
      </c>
      <c r="F1155" t="s">
        <v>44</v>
      </c>
      <c r="G1155">
        <v>23</v>
      </c>
      <c r="H1155" t="s">
        <v>133</v>
      </c>
      <c r="I1155" t="str">
        <f>TRIM(excelsalesdata[[#This Row],[City]])</f>
        <v>Jaipur</v>
      </c>
      <c r="J1155" t="s">
        <v>134</v>
      </c>
      <c r="K1155" t="s">
        <v>61</v>
      </c>
      <c r="L1155" t="s">
        <v>54</v>
      </c>
      <c r="M1155" t="s">
        <v>157</v>
      </c>
      <c r="N1155" t="s">
        <v>157</v>
      </c>
      <c r="O1155">
        <v>3</v>
      </c>
      <c r="P1155">
        <v>56110</v>
      </c>
      <c r="Q1155">
        <v>0.1</v>
      </c>
      <c r="R1155">
        <v>40290</v>
      </c>
      <c r="S1155" t="s">
        <v>105</v>
      </c>
      <c r="T1155" t="s">
        <v>30</v>
      </c>
      <c r="U1155">
        <v>1</v>
      </c>
      <c r="V1155" t="s">
        <v>31</v>
      </c>
      <c r="W1155">
        <f>excelsalesdata[[#This Row],[Quantity]]*excelsalesdata[[#This Row],[Unit_Price]]</f>
        <v>168330</v>
      </c>
      <c r="X1155">
        <f>excelsalesdata[[#This Row],[Gross_sales]]*excelsalesdata[[#This Row],[Discount_%]]</f>
        <v>16833</v>
      </c>
      <c r="Y1155">
        <f>excelsalesdata[[#This Row],[Gross_sales]]-excelsalesdata[[#This Row],[Discount_amt]]</f>
        <v>151497</v>
      </c>
      <c r="Z1155" s="4">
        <f>excelsalesdata[[#This Row],[Net_sales]]-excelsalesdata[[#This Row],[Cost]]</f>
        <v>111207</v>
      </c>
      <c r="AA1155" s="5">
        <f>excelsalesdata[[#This Row],[Profit]]/excelsalesdata[[#This Row],[Net_sales]]</f>
        <v>0.73405413968593436</v>
      </c>
      <c r="AB1155" s="4">
        <f>YEAR(excelsalesdata[[#This Row],[Order_Date]])</f>
        <v>2028</v>
      </c>
      <c r="AC1155" s="4" t="str">
        <f>TEXT(excelsalesdata[[#This Row],[Order_Date]],"mmm")</f>
        <v>Jun</v>
      </c>
      <c r="AD1155" s="4" t="str">
        <f>"Q"&amp;ROUNDUP(MONTH(excelsalesdata[[#This Row],[Order_Date]])/3,0)</f>
        <v>Q2</v>
      </c>
    </row>
    <row r="1156" spans="1:30" x14ac:dyDescent="0.35">
      <c r="A1156" t="s">
        <v>1955</v>
      </c>
      <c r="B1156" s="3">
        <v>46914</v>
      </c>
      <c r="C1156" t="s">
        <v>1452</v>
      </c>
      <c r="D1156" t="s">
        <v>752</v>
      </c>
      <c r="E1156" t="str">
        <f>TRIM(excelsalesdata[[#This Row],[Customer_Name]])</f>
        <v>Kavya Mehta</v>
      </c>
      <c r="F1156" t="s">
        <v>44</v>
      </c>
      <c r="G1156">
        <v>20</v>
      </c>
      <c r="H1156" t="s">
        <v>98</v>
      </c>
      <c r="I1156" t="str">
        <f>TRIM(excelsalesdata[[#This Row],[City]])</f>
        <v>Mumbai</v>
      </c>
      <c r="J1156" t="s">
        <v>25</v>
      </c>
      <c r="K1156" t="s">
        <v>26</v>
      </c>
      <c r="L1156" t="s">
        <v>27</v>
      </c>
      <c r="M1156" t="s">
        <v>195</v>
      </c>
      <c r="N1156" t="s">
        <v>195</v>
      </c>
      <c r="O1156">
        <v>3</v>
      </c>
      <c r="P1156">
        <v>2160</v>
      </c>
      <c r="Q1156">
        <v>0.1</v>
      </c>
      <c r="R1156">
        <v>1210</v>
      </c>
      <c r="S1156" t="s">
        <v>56</v>
      </c>
      <c r="T1156" t="s">
        <v>74</v>
      </c>
      <c r="U1156">
        <v>3</v>
      </c>
      <c r="V1156" t="s">
        <v>31</v>
      </c>
      <c r="W1156">
        <f>excelsalesdata[[#This Row],[Quantity]]*excelsalesdata[[#This Row],[Unit_Price]]</f>
        <v>6480</v>
      </c>
      <c r="X1156">
        <f>excelsalesdata[[#This Row],[Gross_sales]]*excelsalesdata[[#This Row],[Discount_%]]</f>
        <v>648</v>
      </c>
      <c r="Y1156">
        <f>excelsalesdata[[#This Row],[Gross_sales]]-excelsalesdata[[#This Row],[Discount_amt]]</f>
        <v>5832</v>
      </c>
      <c r="Z1156" s="4">
        <f>excelsalesdata[[#This Row],[Net_sales]]-excelsalesdata[[#This Row],[Cost]]</f>
        <v>4622</v>
      </c>
      <c r="AA1156" s="5">
        <f>excelsalesdata[[#This Row],[Profit]]/excelsalesdata[[#This Row],[Net_sales]]</f>
        <v>0.79252400548696844</v>
      </c>
      <c r="AB1156" s="4">
        <f>YEAR(excelsalesdata[[#This Row],[Order_Date]])</f>
        <v>2028</v>
      </c>
      <c r="AC1156" s="4" t="str">
        <f>TEXT(excelsalesdata[[#This Row],[Order_Date]],"mmm")</f>
        <v>Jun</v>
      </c>
      <c r="AD1156" s="4" t="str">
        <f>"Q"&amp;ROUNDUP(MONTH(excelsalesdata[[#This Row],[Order_Date]])/3,0)</f>
        <v>Q2</v>
      </c>
    </row>
    <row r="1157" spans="1:30" x14ac:dyDescent="0.35">
      <c r="A1157" t="s">
        <v>1956</v>
      </c>
      <c r="B1157" s="3">
        <v>46915</v>
      </c>
      <c r="C1157" t="s">
        <v>639</v>
      </c>
      <c r="D1157" t="s">
        <v>308</v>
      </c>
      <c r="E1157" t="str">
        <f>TRIM(excelsalesdata[[#This Row],[Customer_Name]])</f>
        <v>Vivaan Nair</v>
      </c>
      <c r="F1157" t="s">
        <v>23</v>
      </c>
      <c r="G1157">
        <v>58</v>
      </c>
      <c r="H1157" t="s">
        <v>109</v>
      </c>
      <c r="I1157" t="str">
        <f>TRIM(excelsalesdata[[#This Row],[City]])</f>
        <v>Mysuru</v>
      </c>
      <c r="J1157" t="s">
        <v>53</v>
      </c>
      <c r="K1157" t="s">
        <v>47</v>
      </c>
      <c r="L1157" t="s">
        <v>27</v>
      </c>
      <c r="M1157" t="s">
        <v>123</v>
      </c>
      <c r="N1157" t="s">
        <v>123</v>
      </c>
      <c r="O1157">
        <v>4</v>
      </c>
      <c r="P1157">
        <v>2580</v>
      </c>
      <c r="Q1157">
        <v>0.05</v>
      </c>
      <c r="R1157">
        <v>1680</v>
      </c>
      <c r="S1157" t="s">
        <v>80</v>
      </c>
      <c r="T1157" t="s">
        <v>30</v>
      </c>
      <c r="U1157">
        <v>2</v>
      </c>
      <c r="V1157" t="s">
        <v>31</v>
      </c>
      <c r="W1157">
        <f>excelsalesdata[[#This Row],[Quantity]]*excelsalesdata[[#This Row],[Unit_Price]]</f>
        <v>10320</v>
      </c>
      <c r="X1157">
        <f>excelsalesdata[[#This Row],[Gross_sales]]*excelsalesdata[[#This Row],[Discount_%]]</f>
        <v>516</v>
      </c>
      <c r="Y1157">
        <f>excelsalesdata[[#This Row],[Gross_sales]]-excelsalesdata[[#This Row],[Discount_amt]]</f>
        <v>9804</v>
      </c>
      <c r="Z1157" s="4">
        <f>excelsalesdata[[#This Row],[Net_sales]]-excelsalesdata[[#This Row],[Cost]]</f>
        <v>8124</v>
      </c>
      <c r="AA1157" s="5">
        <f>excelsalesdata[[#This Row],[Profit]]/excelsalesdata[[#This Row],[Net_sales]]</f>
        <v>0.828641370869033</v>
      </c>
      <c r="AB1157" s="4">
        <f>YEAR(excelsalesdata[[#This Row],[Order_Date]])</f>
        <v>2028</v>
      </c>
      <c r="AC1157" s="4" t="str">
        <f>TEXT(excelsalesdata[[#This Row],[Order_Date]],"mmm")</f>
        <v>Jun</v>
      </c>
      <c r="AD1157" s="4" t="str">
        <f>"Q"&amp;ROUNDUP(MONTH(excelsalesdata[[#This Row],[Order_Date]])/3,0)</f>
        <v>Q2</v>
      </c>
    </row>
    <row r="1158" spans="1:30" x14ac:dyDescent="0.35">
      <c r="A1158" t="s">
        <v>1957</v>
      </c>
      <c r="B1158" s="3">
        <v>46916</v>
      </c>
      <c r="C1158" t="s">
        <v>1001</v>
      </c>
      <c r="D1158" t="s">
        <v>1959</v>
      </c>
      <c r="E1158" t="str">
        <f>TRIM(excelsalesdata[[#This Row],[Customer_Name]])</f>
        <v>Nisha Rao</v>
      </c>
      <c r="F1158" t="s">
        <v>44</v>
      </c>
      <c r="G1158">
        <v>48</v>
      </c>
      <c r="H1158" t="s">
        <v>168</v>
      </c>
      <c r="I1158" t="str">
        <f>TRIM(excelsalesdata[[#This Row],[City]])</f>
        <v>Delhi</v>
      </c>
      <c r="J1158" t="s">
        <v>168</v>
      </c>
      <c r="K1158" t="s">
        <v>61</v>
      </c>
      <c r="L1158" t="s">
        <v>85</v>
      </c>
      <c r="M1158" t="s">
        <v>172</v>
      </c>
      <c r="N1158" t="s">
        <v>172</v>
      </c>
      <c r="O1158">
        <v>1</v>
      </c>
      <c r="P1158">
        <v>4730</v>
      </c>
      <c r="Q1158">
        <v>0.1</v>
      </c>
      <c r="R1158">
        <v>2740</v>
      </c>
      <c r="S1158" t="s">
        <v>151</v>
      </c>
      <c r="T1158" t="s">
        <v>30</v>
      </c>
      <c r="U1158">
        <v>6</v>
      </c>
      <c r="V1158" t="s">
        <v>31</v>
      </c>
      <c r="W1158">
        <f>excelsalesdata[[#This Row],[Quantity]]*excelsalesdata[[#This Row],[Unit_Price]]</f>
        <v>4730</v>
      </c>
      <c r="X1158">
        <f>excelsalesdata[[#This Row],[Gross_sales]]*excelsalesdata[[#This Row],[Discount_%]]</f>
        <v>473</v>
      </c>
      <c r="Y1158">
        <f>excelsalesdata[[#This Row],[Gross_sales]]-excelsalesdata[[#This Row],[Discount_amt]]</f>
        <v>4257</v>
      </c>
      <c r="Z1158" s="4">
        <f>excelsalesdata[[#This Row],[Net_sales]]-excelsalesdata[[#This Row],[Cost]]</f>
        <v>1517</v>
      </c>
      <c r="AA1158" s="5">
        <f>excelsalesdata[[#This Row],[Profit]]/excelsalesdata[[#This Row],[Net_sales]]</f>
        <v>0.3563542400751703</v>
      </c>
      <c r="AB1158" s="4">
        <f>YEAR(excelsalesdata[[#This Row],[Order_Date]])</f>
        <v>2028</v>
      </c>
      <c r="AC1158" s="4" t="str">
        <f>TEXT(excelsalesdata[[#This Row],[Order_Date]],"mmm")</f>
        <v>Jun</v>
      </c>
      <c r="AD1158" s="4" t="str">
        <f>"Q"&amp;ROUNDUP(MONTH(excelsalesdata[[#This Row],[Order_Date]])/3,0)</f>
        <v>Q2</v>
      </c>
    </row>
    <row r="1159" spans="1:30" x14ac:dyDescent="0.35">
      <c r="A1159" t="s">
        <v>1958</v>
      </c>
      <c r="B1159" s="3">
        <v>46917</v>
      </c>
      <c r="C1159" t="s">
        <v>688</v>
      </c>
      <c r="D1159" t="s">
        <v>294</v>
      </c>
      <c r="E1159" t="str">
        <f>TRIM(excelsalesdata[[#This Row],[Customer_Name]])</f>
        <v>Ananya Gupta</v>
      </c>
      <c r="F1159" t="s">
        <v>23</v>
      </c>
      <c r="G1159">
        <v>27</v>
      </c>
      <c r="H1159" t="s">
        <v>168</v>
      </c>
      <c r="I1159" t="str">
        <f>TRIM(excelsalesdata[[#This Row],[City]])</f>
        <v>Delhi</v>
      </c>
      <c r="J1159" t="s">
        <v>168</v>
      </c>
      <c r="K1159" t="s">
        <v>61</v>
      </c>
      <c r="L1159" t="s">
        <v>27</v>
      </c>
      <c r="M1159" t="s">
        <v>48</v>
      </c>
      <c r="N1159" t="s">
        <v>48</v>
      </c>
      <c r="O1159">
        <v>2</v>
      </c>
      <c r="P1159">
        <v>840</v>
      </c>
      <c r="Q1159">
        <v>0.15</v>
      </c>
      <c r="R1159">
        <v>450</v>
      </c>
      <c r="S1159" t="s">
        <v>56</v>
      </c>
      <c r="T1159" t="s">
        <v>30</v>
      </c>
      <c r="U1159">
        <v>4</v>
      </c>
      <c r="V1159" t="s">
        <v>31</v>
      </c>
      <c r="W1159">
        <f>excelsalesdata[[#This Row],[Quantity]]*excelsalesdata[[#This Row],[Unit_Price]]</f>
        <v>1680</v>
      </c>
      <c r="X1159">
        <f>excelsalesdata[[#This Row],[Gross_sales]]*excelsalesdata[[#This Row],[Discount_%]]</f>
        <v>252</v>
      </c>
      <c r="Y1159">
        <f>excelsalesdata[[#This Row],[Gross_sales]]-excelsalesdata[[#This Row],[Discount_amt]]</f>
        <v>1428</v>
      </c>
      <c r="Z1159" s="4">
        <f>excelsalesdata[[#This Row],[Net_sales]]-excelsalesdata[[#This Row],[Cost]]</f>
        <v>978</v>
      </c>
      <c r="AA1159" s="5">
        <f>excelsalesdata[[#This Row],[Profit]]/excelsalesdata[[#This Row],[Net_sales]]</f>
        <v>0.68487394957983194</v>
      </c>
      <c r="AB1159" s="4">
        <f>YEAR(excelsalesdata[[#This Row],[Order_Date]])</f>
        <v>2028</v>
      </c>
      <c r="AC1159" s="4" t="str">
        <f>TEXT(excelsalesdata[[#This Row],[Order_Date]],"mmm")</f>
        <v>Jun</v>
      </c>
      <c r="AD1159" s="4" t="str">
        <f>"Q"&amp;ROUNDUP(MONTH(excelsalesdata[[#This Row],[Order_Date]])/3,0)</f>
        <v>Q2</v>
      </c>
    </row>
    <row r="1160" spans="1:30" x14ac:dyDescent="0.35">
      <c r="A1160" t="s">
        <v>1960</v>
      </c>
      <c r="B1160" s="3">
        <v>46918</v>
      </c>
      <c r="C1160" t="s">
        <v>478</v>
      </c>
      <c r="D1160" t="s">
        <v>344</v>
      </c>
      <c r="E1160" t="str">
        <f>TRIM(excelsalesdata[[#This Row],[Customer_Name]])</f>
        <v>Meera Verma</v>
      </c>
      <c r="F1160" t="s">
        <v>23</v>
      </c>
      <c r="G1160">
        <v>59</v>
      </c>
      <c r="H1160" t="s">
        <v>78</v>
      </c>
      <c r="I1160" t="str">
        <f>TRIM(excelsalesdata[[#This Row],[City]])</f>
        <v>Guwahati</v>
      </c>
      <c r="J1160" t="s">
        <v>79</v>
      </c>
      <c r="K1160" t="s">
        <v>37</v>
      </c>
      <c r="L1160" t="s">
        <v>103</v>
      </c>
      <c r="M1160" t="s">
        <v>312</v>
      </c>
      <c r="N1160" t="s">
        <v>312</v>
      </c>
      <c r="O1160">
        <v>1</v>
      </c>
      <c r="P1160">
        <v>6690</v>
      </c>
      <c r="Q1160">
        <v>0.1</v>
      </c>
      <c r="R1160">
        <v>4070</v>
      </c>
      <c r="S1160" t="s">
        <v>105</v>
      </c>
      <c r="T1160" t="s">
        <v>30</v>
      </c>
      <c r="U1160">
        <v>3</v>
      </c>
      <c r="V1160" t="s">
        <v>40</v>
      </c>
      <c r="W1160">
        <f>excelsalesdata[[#This Row],[Quantity]]*excelsalesdata[[#This Row],[Unit_Price]]</f>
        <v>6690</v>
      </c>
      <c r="X1160">
        <f>excelsalesdata[[#This Row],[Gross_sales]]*excelsalesdata[[#This Row],[Discount_%]]</f>
        <v>669</v>
      </c>
      <c r="Y1160">
        <f>excelsalesdata[[#This Row],[Gross_sales]]-excelsalesdata[[#This Row],[Discount_amt]]</f>
        <v>6021</v>
      </c>
      <c r="Z1160" s="4">
        <f>excelsalesdata[[#This Row],[Net_sales]]-excelsalesdata[[#This Row],[Cost]]</f>
        <v>1951</v>
      </c>
      <c r="AA1160" s="5">
        <f>excelsalesdata[[#This Row],[Profit]]/excelsalesdata[[#This Row],[Net_sales]]</f>
        <v>0.3240325527321043</v>
      </c>
      <c r="AB1160" s="4">
        <f>YEAR(excelsalesdata[[#This Row],[Order_Date]])</f>
        <v>2028</v>
      </c>
      <c r="AC1160" s="4" t="str">
        <f>TEXT(excelsalesdata[[#This Row],[Order_Date]],"mmm")</f>
        <v>Jun</v>
      </c>
      <c r="AD1160" s="4" t="str">
        <f>"Q"&amp;ROUNDUP(MONTH(excelsalesdata[[#This Row],[Order_Date]])/3,0)</f>
        <v>Q2</v>
      </c>
    </row>
    <row r="1161" spans="1:30" x14ac:dyDescent="0.35">
      <c r="A1161" t="s">
        <v>1961</v>
      </c>
      <c r="B1161" s="3">
        <v>46919</v>
      </c>
      <c r="C1161" t="s">
        <v>791</v>
      </c>
      <c r="D1161" t="s">
        <v>359</v>
      </c>
      <c r="E1161" t="str">
        <f>TRIM(excelsalesdata[[#This Row],[Customer_Name]])</f>
        <v>Vikram Nair</v>
      </c>
      <c r="F1161" t="s">
        <v>44</v>
      </c>
      <c r="G1161">
        <v>48</v>
      </c>
      <c r="H1161" t="s">
        <v>52</v>
      </c>
      <c r="I1161" t="str">
        <f>TRIM(excelsalesdata[[#This Row],[City]])</f>
        <v>Bengaluru</v>
      </c>
      <c r="J1161" t="s">
        <v>53</v>
      </c>
      <c r="K1161" t="s">
        <v>47</v>
      </c>
      <c r="L1161" t="s">
        <v>54</v>
      </c>
      <c r="M1161" t="s">
        <v>66</v>
      </c>
      <c r="N1161" t="s">
        <v>66</v>
      </c>
      <c r="O1161">
        <v>2</v>
      </c>
      <c r="P1161">
        <v>2650</v>
      </c>
      <c r="Q1161">
        <v>0.1</v>
      </c>
      <c r="R1161">
        <v>1520</v>
      </c>
      <c r="S1161" t="s">
        <v>29</v>
      </c>
      <c r="T1161" t="s">
        <v>30</v>
      </c>
      <c r="U1161">
        <v>5</v>
      </c>
      <c r="V1161" t="s">
        <v>40</v>
      </c>
      <c r="W1161">
        <f>excelsalesdata[[#This Row],[Quantity]]*excelsalesdata[[#This Row],[Unit_Price]]</f>
        <v>5300</v>
      </c>
      <c r="X1161">
        <f>excelsalesdata[[#This Row],[Gross_sales]]*excelsalesdata[[#This Row],[Discount_%]]</f>
        <v>530</v>
      </c>
      <c r="Y1161">
        <f>excelsalesdata[[#This Row],[Gross_sales]]-excelsalesdata[[#This Row],[Discount_amt]]</f>
        <v>4770</v>
      </c>
      <c r="Z1161" s="4">
        <f>excelsalesdata[[#This Row],[Net_sales]]-excelsalesdata[[#This Row],[Cost]]</f>
        <v>3250</v>
      </c>
      <c r="AA1161" s="5">
        <f>excelsalesdata[[#This Row],[Profit]]/excelsalesdata[[#This Row],[Net_sales]]</f>
        <v>0.68134171907756813</v>
      </c>
      <c r="AB1161" s="4">
        <f>YEAR(excelsalesdata[[#This Row],[Order_Date]])</f>
        <v>2028</v>
      </c>
      <c r="AC1161" s="4" t="str">
        <f>TEXT(excelsalesdata[[#This Row],[Order_Date]],"mmm")</f>
        <v>Jun</v>
      </c>
      <c r="AD1161" s="4" t="str">
        <f>"Q"&amp;ROUNDUP(MONTH(excelsalesdata[[#This Row],[Order_Date]])/3,0)</f>
        <v>Q2</v>
      </c>
    </row>
    <row r="1162" spans="1:30" x14ac:dyDescent="0.35">
      <c r="A1162" t="s">
        <v>1962</v>
      </c>
      <c r="B1162" s="3">
        <v>46920</v>
      </c>
      <c r="C1162" t="s">
        <v>558</v>
      </c>
      <c r="D1162" t="s">
        <v>141</v>
      </c>
      <c r="E1162" t="str">
        <f>TRIM(excelsalesdata[[#This Row],[Customer_Name]])</f>
        <v>Aarav Kumar</v>
      </c>
      <c r="F1162" t="s">
        <v>44</v>
      </c>
      <c r="G1162">
        <v>26</v>
      </c>
      <c r="H1162" t="s">
        <v>60</v>
      </c>
      <c r="I1162" t="str">
        <f>TRIM(excelsalesdata[[#This Row],[City]])</f>
        <v>Chandigarh</v>
      </c>
      <c r="J1162" t="s">
        <v>60</v>
      </c>
      <c r="K1162" t="s">
        <v>61</v>
      </c>
      <c r="L1162" t="s">
        <v>27</v>
      </c>
      <c r="M1162" t="s">
        <v>295</v>
      </c>
      <c r="N1162" t="s">
        <v>295</v>
      </c>
      <c r="O1162">
        <v>1</v>
      </c>
      <c r="P1162">
        <v>4120</v>
      </c>
      <c r="Q1162">
        <v>0.1</v>
      </c>
      <c r="R1162">
        <v>2630</v>
      </c>
      <c r="S1162" t="s">
        <v>29</v>
      </c>
      <c r="T1162" t="s">
        <v>99</v>
      </c>
      <c r="U1162">
        <v>3</v>
      </c>
      <c r="V1162" t="s">
        <v>31</v>
      </c>
      <c r="W1162">
        <f>excelsalesdata[[#This Row],[Quantity]]*excelsalesdata[[#This Row],[Unit_Price]]</f>
        <v>4120</v>
      </c>
      <c r="X1162">
        <f>excelsalesdata[[#This Row],[Gross_sales]]*excelsalesdata[[#This Row],[Discount_%]]</f>
        <v>412</v>
      </c>
      <c r="Y1162">
        <f>excelsalesdata[[#This Row],[Gross_sales]]-excelsalesdata[[#This Row],[Discount_amt]]</f>
        <v>3708</v>
      </c>
      <c r="Z1162" s="4">
        <f>excelsalesdata[[#This Row],[Net_sales]]-excelsalesdata[[#This Row],[Cost]]</f>
        <v>1078</v>
      </c>
      <c r="AA1162" s="5">
        <f>excelsalesdata[[#This Row],[Profit]]/excelsalesdata[[#This Row],[Net_sales]]</f>
        <v>0.29072276159654803</v>
      </c>
      <c r="AB1162" s="4">
        <f>YEAR(excelsalesdata[[#This Row],[Order_Date]])</f>
        <v>2028</v>
      </c>
      <c r="AC1162" s="4" t="str">
        <f>TEXT(excelsalesdata[[#This Row],[Order_Date]],"mmm")</f>
        <v>Jun</v>
      </c>
      <c r="AD1162" s="4" t="str">
        <f>"Q"&amp;ROUNDUP(MONTH(excelsalesdata[[#This Row],[Order_Date]])/3,0)</f>
        <v>Q2</v>
      </c>
    </row>
    <row r="1163" spans="1:30" x14ac:dyDescent="0.35">
      <c r="A1163" t="s">
        <v>1963</v>
      </c>
      <c r="B1163" s="3">
        <v>46921</v>
      </c>
      <c r="C1163" t="s">
        <v>1163</v>
      </c>
      <c r="D1163" t="s">
        <v>268</v>
      </c>
      <c r="E1163" t="str">
        <f>TRIM(excelsalesdata[[#This Row],[Customer_Name]])</f>
        <v>Diya Shah</v>
      </c>
      <c r="F1163" t="s">
        <v>44</v>
      </c>
      <c r="G1163">
        <v>32</v>
      </c>
      <c r="H1163" t="s">
        <v>114</v>
      </c>
      <c r="I1163" t="str">
        <f>TRIM(excelsalesdata[[#This Row],[City]])</f>
        <v>Hyderabad</v>
      </c>
      <c r="J1163" t="s">
        <v>115</v>
      </c>
      <c r="K1163" t="s">
        <v>47</v>
      </c>
      <c r="L1163" t="s">
        <v>85</v>
      </c>
      <c r="M1163" t="s">
        <v>172</v>
      </c>
      <c r="N1163" t="s">
        <v>172</v>
      </c>
      <c r="O1163">
        <v>3</v>
      </c>
      <c r="P1163">
        <v>4470</v>
      </c>
      <c r="Q1163">
        <v>0.05</v>
      </c>
      <c r="R1163">
        <v>2720</v>
      </c>
      <c r="S1163" t="s">
        <v>29</v>
      </c>
      <c r="T1163" t="s">
        <v>30</v>
      </c>
      <c r="U1163">
        <v>6</v>
      </c>
      <c r="V1163" t="s">
        <v>31</v>
      </c>
      <c r="W1163">
        <f>excelsalesdata[[#This Row],[Quantity]]*excelsalesdata[[#This Row],[Unit_Price]]</f>
        <v>13410</v>
      </c>
      <c r="X1163">
        <f>excelsalesdata[[#This Row],[Gross_sales]]*excelsalesdata[[#This Row],[Discount_%]]</f>
        <v>670.5</v>
      </c>
      <c r="Y1163">
        <f>excelsalesdata[[#This Row],[Gross_sales]]-excelsalesdata[[#This Row],[Discount_amt]]</f>
        <v>12739.5</v>
      </c>
      <c r="Z1163" s="4">
        <f>excelsalesdata[[#This Row],[Net_sales]]-excelsalesdata[[#This Row],[Cost]]</f>
        <v>10019.5</v>
      </c>
      <c r="AA1163" s="5">
        <f>excelsalesdata[[#This Row],[Profit]]/excelsalesdata[[#This Row],[Net_sales]]</f>
        <v>0.78649083559009381</v>
      </c>
      <c r="AB1163" s="4">
        <f>YEAR(excelsalesdata[[#This Row],[Order_Date]])</f>
        <v>2028</v>
      </c>
      <c r="AC1163" s="4" t="str">
        <f>TEXT(excelsalesdata[[#This Row],[Order_Date]],"mmm")</f>
        <v>Jun</v>
      </c>
      <c r="AD1163" s="4" t="str">
        <f>"Q"&amp;ROUNDUP(MONTH(excelsalesdata[[#This Row],[Order_Date]])/3,0)</f>
        <v>Q2</v>
      </c>
    </row>
    <row r="1164" spans="1:30" x14ac:dyDescent="0.35">
      <c r="A1164" t="s">
        <v>1964</v>
      </c>
      <c r="B1164" s="3">
        <v>46922</v>
      </c>
      <c r="C1164" t="s">
        <v>616</v>
      </c>
      <c r="D1164" t="s">
        <v>1051</v>
      </c>
      <c r="E1164" t="str">
        <f>TRIM(excelsalesdata[[#This Row],[Customer_Name]])</f>
        <v>Aarav Das</v>
      </c>
      <c r="F1164" t="s">
        <v>23</v>
      </c>
      <c r="G1164">
        <v>37</v>
      </c>
      <c r="H1164" t="s">
        <v>60</v>
      </c>
      <c r="I1164" t="str">
        <f>TRIM(excelsalesdata[[#This Row],[City]])</f>
        <v>Chandigarh</v>
      </c>
      <c r="J1164" t="s">
        <v>60</v>
      </c>
      <c r="K1164" t="s">
        <v>61</v>
      </c>
      <c r="L1164" t="s">
        <v>93</v>
      </c>
      <c r="M1164" t="s">
        <v>206</v>
      </c>
      <c r="N1164" t="s">
        <v>206</v>
      </c>
      <c r="O1164">
        <v>2</v>
      </c>
      <c r="P1164">
        <v>660</v>
      </c>
      <c r="Q1164">
        <v>0.05</v>
      </c>
      <c r="R1164">
        <v>290</v>
      </c>
      <c r="S1164" t="s">
        <v>151</v>
      </c>
      <c r="T1164" t="s">
        <v>30</v>
      </c>
      <c r="U1164">
        <v>3</v>
      </c>
      <c r="V1164" t="s">
        <v>40</v>
      </c>
      <c r="W1164">
        <f>excelsalesdata[[#This Row],[Quantity]]*excelsalesdata[[#This Row],[Unit_Price]]</f>
        <v>1320</v>
      </c>
      <c r="X1164">
        <f>excelsalesdata[[#This Row],[Gross_sales]]*excelsalesdata[[#This Row],[Discount_%]]</f>
        <v>66</v>
      </c>
      <c r="Y1164">
        <f>excelsalesdata[[#This Row],[Gross_sales]]-excelsalesdata[[#This Row],[Discount_amt]]</f>
        <v>1254</v>
      </c>
      <c r="Z1164" s="4">
        <f>excelsalesdata[[#This Row],[Net_sales]]-excelsalesdata[[#This Row],[Cost]]</f>
        <v>964</v>
      </c>
      <c r="AA1164" s="5">
        <f>excelsalesdata[[#This Row],[Profit]]/excelsalesdata[[#This Row],[Net_sales]]</f>
        <v>0.76874003189792661</v>
      </c>
      <c r="AB1164" s="4">
        <f>YEAR(excelsalesdata[[#This Row],[Order_Date]])</f>
        <v>2028</v>
      </c>
      <c r="AC1164" s="4" t="str">
        <f>TEXT(excelsalesdata[[#This Row],[Order_Date]],"mmm")</f>
        <v>Jun</v>
      </c>
      <c r="AD1164" s="4" t="str">
        <f>"Q"&amp;ROUNDUP(MONTH(excelsalesdata[[#This Row],[Order_Date]])/3,0)</f>
        <v>Q2</v>
      </c>
    </row>
    <row r="1165" spans="1:30" x14ac:dyDescent="0.35">
      <c r="A1165" t="s">
        <v>1965</v>
      </c>
      <c r="B1165" s="3">
        <v>46923</v>
      </c>
      <c r="C1165" t="s">
        <v>1068</v>
      </c>
      <c r="D1165" t="s">
        <v>510</v>
      </c>
      <c r="E1165" t="str">
        <f>TRIM(excelsalesdata[[#This Row],[Customer_Name]])</f>
        <v>Diya Kumar</v>
      </c>
      <c r="F1165" t="s">
        <v>44</v>
      </c>
      <c r="G1165">
        <v>29</v>
      </c>
      <c r="H1165" t="s">
        <v>185</v>
      </c>
      <c r="I1165" t="str">
        <f>TRIM(excelsalesdata[[#This Row],[City]])</f>
        <v>Lucknow</v>
      </c>
      <c r="J1165" t="s">
        <v>186</v>
      </c>
      <c r="K1165" t="s">
        <v>61</v>
      </c>
      <c r="L1165" t="s">
        <v>85</v>
      </c>
      <c r="M1165" t="s">
        <v>172</v>
      </c>
      <c r="N1165" t="s">
        <v>172</v>
      </c>
      <c r="O1165">
        <v>3</v>
      </c>
      <c r="P1165">
        <v>4710</v>
      </c>
      <c r="Q1165">
        <v>0.05</v>
      </c>
      <c r="R1165">
        <v>2750</v>
      </c>
      <c r="S1165" t="s">
        <v>80</v>
      </c>
      <c r="T1165" t="s">
        <v>30</v>
      </c>
      <c r="U1165">
        <v>7</v>
      </c>
      <c r="V1165" t="s">
        <v>31</v>
      </c>
      <c r="W1165">
        <f>excelsalesdata[[#This Row],[Quantity]]*excelsalesdata[[#This Row],[Unit_Price]]</f>
        <v>14130</v>
      </c>
      <c r="X1165">
        <f>excelsalesdata[[#This Row],[Gross_sales]]*excelsalesdata[[#This Row],[Discount_%]]</f>
        <v>706.5</v>
      </c>
      <c r="Y1165">
        <f>excelsalesdata[[#This Row],[Gross_sales]]-excelsalesdata[[#This Row],[Discount_amt]]</f>
        <v>13423.5</v>
      </c>
      <c r="Z1165" s="4">
        <f>excelsalesdata[[#This Row],[Net_sales]]-excelsalesdata[[#This Row],[Cost]]</f>
        <v>10673.5</v>
      </c>
      <c r="AA1165" s="5">
        <f>excelsalesdata[[#This Row],[Profit]]/excelsalesdata[[#This Row],[Net_sales]]</f>
        <v>0.79513539687860846</v>
      </c>
      <c r="AB1165" s="4">
        <f>YEAR(excelsalesdata[[#This Row],[Order_Date]])</f>
        <v>2028</v>
      </c>
      <c r="AC1165" s="4" t="str">
        <f>TEXT(excelsalesdata[[#This Row],[Order_Date]],"mmm")</f>
        <v>Jun</v>
      </c>
      <c r="AD1165" s="4" t="str">
        <f>"Q"&amp;ROUNDUP(MONTH(excelsalesdata[[#This Row],[Order_Date]])/3,0)</f>
        <v>Q2</v>
      </c>
    </row>
    <row r="1166" spans="1:30" x14ac:dyDescent="0.35">
      <c r="A1166" t="s">
        <v>1966</v>
      </c>
      <c r="B1166" s="3">
        <v>46924</v>
      </c>
      <c r="C1166" t="s">
        <v>223</v>
      </c>
      <c r="D1166" t="s">
        <v>1392</v>
      </c>
      <c r="E1166" t="str">
        <f>TRIM(excelsalesdata[[#This Row],[Customer_Name]])</f>
        <v>Rohan Das</v>
      </c>
      <c r="F1166" t="s">
        <v>44</v>
      </c>
      <c r="G1166">
        <v>40</v>
      </c>
      <c r="H1166" t="s">
        <v>185</v>
      </c>
      <c r="I1166" t="str">
        <f>TRIM(excelsalesdata[[#This Row],[City]])</f>
        <v>Lucknow</v>
      </c>
      <c r="J1166" t="s">
        <v>186</v>
      </c>
      <c r="K1166" t="s">
        <v>61</v>
      </c>
      <c r="L1166" t="s">
        <v>93</v>
      </c>
      <c r="M1166" t="s">
        <v>135</v>
      </c>
      <c r="N1166" t="s">
        <v>135</v>
      </c>
      <c r="O1166">
        <v>2</v>
      </c>
      <c r="P1166">
        <v>1850</v>
      </c>
      <c r="Q1166">
        <v>0.25</v>
      </c>
      <c r="R1166">
        <v>960</v>
      </c>
      <c r="S1166" t="s">
        <v>80</v>
      </c>
      <c r="T1166" t="s">
        <v>30</v>
      </c>
      <c r="U1166">
        <v>3</v>
      </c>
      <c r="V1166" t="s">
        <v>40</v>
      </c>
      <c r="W1166">
        <f>excelsalesdata[[#This Row],[Quantity]]*excelsalesdata[[#This Row],[Unit_Price]]</f>
        <v>3700</v>
      </c>
      <c r="X1166">
        <f>excelsalesdata[[#This Row],[Gross_sales]]*excelsalesdata[[#This Row],[Discount_%]]</f>
        <v>925</v>
      </c>
      <c r="Y1166">
        <f>excelsalesdata[[#This Row],[Gross_sales]]-excelsalesdata[[#This Row],[Discount_amt]]</f>
        <v>2775</v>
      </c>
      <c r="Z1166" s="4">
        <f>excelsalesdata[[#This Row],[Net_sales]]-excelsalesdata[[#This Row],[Cost]]</f>
        <v>1815</v>
      </c>
      <c r="AA1166" s="5">
        <f>excelsalesdata[[#This Row],[Profit]]/excelsalesdata[[#This Row],[Net_sales]]</f>
        <v>0.65405405405405403</v>
      </c>
      <c r="AB1166" s="4">
        <f>YEAR(excelsalesdata[[#This Row],[Order_Date]])</f>
        <v>2028</v>
      </c>
      <c r="AC1166" s="4" t="str">
        <f>TEXT(excelsalesdata[[#This Row],[Order_Date]],"mmm")</f>
        <v>Jun</v>
      </c>
      <c r="AD1166" s="4" t="str">
        <f>"Q"&amp;ROUNDUP(MONTH(excelsalesdata[[#This Row],[Order_Date]])/3,0)</f>
        <v>Q2</v>
      </c>
    </row>
    <row r="1167" spans="1:30" x14ac:dyDescent="0.35">
      <c r="A1167" t="s">
        <v>1967</v>
      </c>
      <c r="B1167" s="3">
        <v>46925</v>
      </c>
      <c r="C1167" t="s">
        <v>624</v>
      </c>
      <c r="D1167" t="s">
        <v>485</v>
      </c>
      <c r="E1167" t="str">
        <f>TRIM(excelsalesdata[[#This Row],[Customer_Name]])</f>
        <v>Ishita Mehta</v>
      </c>
      <c r="F1167" t="s">
        <v>23</v>
      </c>
      <c r="G1167">
        <v>40</v>
      </c>
      <c r="H1167" t="s">
        <v>155</v>
      </c>
      <c r="I1167" t="str">
        <f>TRIM(excelsalesdata[[#This Row],[City]])</f>
        <v>Chennai</v>
      </c>
      <c r="J1167" t="s">
        <v>156</v>
      </c>
      <c r="K1167" t="s">
        <v>47</v>
      </c>
      <c r="L1167" t="s">
        <v>27</v>
      </c>
      <c r="M1167" t="s">
        <v>48</v>
      </c>
      <c r="N1167" t="s">
        <v>48</v>
      </c>
      <c r="O1167">
        <v>1</v>
      </c>
      <c r="P1167">
        <v>840</v>
      </c>
      <c r="Q1167">
        <v>0</v>
      </c>
      <c r="R1167">
        <v>460</v>
      </c>
      <c r="S1167" t="s">
        <v>105</v>
      </c>
      <c r="T1167" t="s">
        <v>30</v>
      </c>
      <c r="U1167">
        <v>4</v>
      </c>
      <c r="V1167" t="s">
        <v>40</v>
      </c>
      <c r="W1167">
        <f>excelsalesdata[[#This Row],[Quantity]]*excelsalesdata[[#This Row],[Unit_Price]]</f>
        <v>840</v>
      </c>
      <c r="X1167">
        <f>excelsalesdata[[#This Row],[Gross_sales]]*excelsalesdata[[#This Row],[Discount_%]]</f>
        <v>0</v>
      </c>
      <c r="Y1167">
        <f>excelsalesdata[[#This Row],[Gross_sales]]-excelsalesdata[[#This Row],[Discount_amt]]</f>
        <v>840</v>
      </c>
      <c r="Z1167" s="4">
        <f>excelsalesdata[[#This Row],[Net_sales]]-excelsalesdata[[#This Row],[Cost]]</f>
        <v>380</v>
      </c>
      <c r="AA1167" s="5">
        <f>excelsalesdata[[#This Row],[Profit]]/excelsalesdata[[#This Row],[Net_sales]]</f>
        <v>0.45238095238095238</v>
      </c>
      <c r="AB1167" s="4">
        <f>YEAR(excelsalesdata[[#This Row],[Order_Date]])</f>
        <v>2028</v>
      </c>
      <c r="AC1167" s="4" t="str">
        <f>TEXT(excelsalesdata[[#This Row],[Order_Date]],"mmm")</f>
        <v>Jun</v>
      </c>
      <c r="AD1167" s="4" t="str">
        <f>"Q"&amp;ROUNDUP(MONTH(excelsalesdata[[#This Row],[Order_Date]])/3,0)</f>
        <v>Q2</v>
      </c>
    </row>
    <row r="1168" spans="1:30" x14ac:dyDescent="0.35">
      <c r="A1168" t="s">
        <v>1968</v>
      </c>
      <c r="B1168" s="3">
        <v>46926</v>
      </c>
      <c r="C1168" t="s">
        <v>1458</v>
      </c>
      <c r="D1168" t="s">
        <v>600</v>
      </c>
      <c r="E1168" t="str">
        <f>TRIM(excelsalesdata[[#This Row],[Customer_Name]])</f>
        <v>Karan Mehta</v>
      </c>
      <c r="F1168" t="s">
        <v>44</v>
      </c>
      <c r="G1168">
        <v>19</v>
      </c>
      <c r="H1168" t="s">
        <v>185</v>
      </c>
      <c r="I1168" t="str">
        <f>TRIM(excelsalesdata[[#This Row],[City]])</f>
        <v>Lucknow</v>
      </c>
      <c r="J1168" t="s">
        <v>186</v>
      </c>
      <c r="K1168" t="s">
        <v>61</v>
      </c>
      <c r="L1168" t="s">
        <v>54</v>
      </c>
      <c r="M1168" t="s">
        <v>66</v>
      </c>
      <c r="N1168" t="s">
        <v>66</v>
      </c>
      <c r="O1168">
        <v>4</v>
      </c>
      <c r="P1168">
        <v>2540</v>
      </c>
      <c r="Q1168">
        <v>0.2</v>
      </c>
      <c r="R1168">
        <v>1460</v>
      </c>
      <c r="S1168" t="s">
        <v>29</v>
      </c>
      <c r="T1168" t="s">
        <v>30</v>
      </c>
      <c r="U1168">
        <v>4</v>
      </c>
      <c r="V1168" t="s">
        <v>31</v>
      </c>
      <c r="W1168">
        <f>excelsalesdata[[#This Row],[Quantity]]*excelsalesdata[[#This Row],[Unit_Price]]</f>
        <v>10160</v>
      </c>
      <c r="X1168">
        <f>excelsalesdata[[#This Row],[Gross_sales]]*excelsalesdata[[#This Row],[Discount_%]]</f>
        <v>2032</v>
      </c>
      <c r="Y1168">
        <f>excelsalesdata[[#This Row],[Gross_sales]]-excelsalesdata[[#This Row],[Discount_amt]]</f>
        <v>8128</v>
      </c>
      <c r="Z1168" s="4">
        <f>excelsalesdata[[#This Row],[Net_sales]]-excelsalesdata[[#This Row],[Cost]]</f>
        <v>6668</v>
      </c>
      <c r="AA1168" s="5">
        <f>excelsalesdata[[#This Row],[Profit]]/excelsalesdata[[#This Row],[Net_sales]]</f>
        <v>0.82037401574803148</v>
      </c>
      <c r="AB1168" s="4">
        <f>YEAR(excelsalesdata[[#This Row],[Order_Date]])</f>
        <v>2028</v>
      </c>
      <c r="AC1168" s="4" t="str">
        <f>TEXT(excelsalesdata[[#This Row],[Order_Date]],"mmm")</f>
        <v>Jun</v>
      </c>
      <c r="AD1168" s="4" t="str">
        <f>"Q"&amp;ROUNDUP(MONTH(excelsalesdata[[#This Row],[Order_Date]])/3,0)</f>
        <v>Q2</v>
      </c>
    </row>
    <row r="1169" spans="1:30" x14ac:dyDescent="0.35">
      <c r="A1169" t="s">
        <v>1969</v>
      </c>
      <c r="B1169" s="3">
        <v>46927</v>
      </c>
      <c r="C1169" t="s">
        <v>726</v>
      </c>
      <c r="D1169" t="s">
        <v>830</v>
      </c>
      <c r="E1169" t="str">
        <f>TRIM(excelsalesdata[[#This Row],[Customer_Name]])</f>
        <v>Rohan Bhat</v>
      </c>
      <c r="F1169" t="s">
        <v>23</v>
      </c>
      <c r="G1169">
        <v>55</v>
      </c>
      <c r="H1169" t="s">
        <v>133</v>
      </c>
      <c r="I1169" t="str">
        <f>TRIM(excelsalesdata[[#This Row],[City]])</f>
        <v>Jaipur</v>
      </c>
      <c r="J1169" t="s">
        <v>134</v>
      </c>
      <c r="K1169" t="s">
        <v>61</v>
      </c>
      <c r="L1169" t="s">
        <v>85</v>
      </c>
      <c r="M1169" t="s">
        <v>110</v>
      </c>
      <c r="N1169" t="s">
        <v>110</v>
      </c>
      <c r="O1169">
        <v>1</v>
      </c>
      <c r="P1169">
        <v>1210</v>
      </c>
      <c r="Q1169">
        <v>0.15</v>
      </c>
      <c r="R1169">
        <v>630</v>
      </c>
      <c r="S1169" t="s">
        <v>80</v>
      </c>
      <c r="T1169" t="s">
        <v>30</v>
      </c>
      <c r="U1169">
        <v>6</v>
      </c>
      <c r="V1169" t="s">
        <v>31</v>
      </c>
      <c r="W1169">
        <f>excelsalesdata[[#This Row],[Quantity]]*excelsalesdata[[#This Row],[Unit_Price]]</f>
        <v>1210</v>
      </c>
      <c r="X1169">
        <f>excelsalesdata[[#This Row],[Gross_sales]]*excelsalesdata[[#This Row],[Discount_%]]</f>
        <v>181.5</v>
      </c>
      <c r="Y1169">
        <f>excelsalesdata[[#This Row],[Gross_sales]]-excelsalesdata[[#This Row],[Discount_amt]]</f>
        <v>1028.5</v>
      </c>
      <c r="Z1169" s="4">
        <f>excelsalesdata[[#This Row],[Net_sales]]-excelsalesdata[[#This Row],[Cost]]</f>
        <v>398.5</v>
      </c>
      <c r="AA1169" s="5">
        <f>excelsalesdata[[#This Row],[Profit]]/excelsalesdata[[#This Row],[Net_sales]]</f>
        <v>0.38745746232377248</v>
      </c>
      <c r="AB1169" s="4">
        <f>YEAR(excelsalesdata[[#This Row],[Order_Date]])</f>
        <v>2028</v>
      </c>
      <c r="AC1169" s="4" t="str">
        <f>TEXT(excelsalesdata[[#This Row],[Order_Date]],"mmm")</f>
        <v>Jun</v>
      </c>
      <c r="AD1169" s="4" t="str">
        <f>"Q"&amp;ROUNDUP(MONTH(excelsalesdata[[#This Row],[Order_Date]])/3,0)</f>
        <v>Q2</v>
      </c>
    </row>
    <row r="1170" spans="1:30" x14ac:dyDescent="0.35">
      <c r="A1170" t="s">
        <v>1970</v>
      </c>
      <c r="B1170" s="3">
        <v>46928</v>
      </c>
      <c r="C1170" t="s">
        <v>117</v>
      </c>
      <c r="D1170" t="s">
        <v>445</v>
      </c>
      <c r="E1170" t="str">
        <f>TRIM(excelsalesdata[[#This Row],[Customer_Name]])</f>
        <v>Priya Gupta</v>
      </c>
      <c r="F1170" t="s">
        <v>44</v>
      </c>
      <c r="G1170">
        <v>28</v>
      </c>
      <c r="H1170" t="s">
        <v>168</v>
      </c>
      <c r="I1170" t="str">
        <f>TRIM(excelsalesdata[[#This Row],[City]])</f>
        <v>Delhi</v>
      </c>
      <c r="J1170" t="s">
        <v>168</v>
      </c>
      <c r="K1170" t="s">
        <v>61</v>
      </c>
      <c r="L1170" t="s">
        <v>103</v>
      </c>
      <c r="M1170" t="s">
        <v>104</v>
      </c>
      <c r="N1170" t="s">
        <v>104</v>
      </c>
      <c r="O1170">
        <v>2</v>
      </c>
      <c r="P1170">
        <v>8320</v>
      </c>
      <c r="Q1170">
        <v>0.2</v>
      </c>
      <c r="R1170">
        <v>5380</v>
      </c>
      <c r="S1170" t="s">
        <v>80</v>
      </c>
      <c r="T1170" t="s">
        <v>30</v>
      </c>
      <c r="U1170">
        <v>6</v>
      </c>
      <c r="V1170" t="s">
        <v>40</v>
      </c>
      <c r="W1170">
        <f>excelsalesdata[[#This Row],[Quantity]]*excelsalesdata[[#This Row],[Unit_Price]]</f>
        <v>16640</v>
      </c>
      <c r="X1170">
        <f>excelsalesdata[[#This Row],[Gross_sales]]*excelsalesdata[[#This Row],[Discount_%]]</f>
        <v>3328</v>
      </c>
      <c r="Y1170">
        <f>excelsalesdata[[#This Row],[Gross_sales]]-excelsalesdata[[#This Row],[Discount_amt]]</f>
        <v>13312</v>
      </c>
      <c r="Z1170" s="4">
        <f>excelsalesdata[[#This Row],[Net_sales]]-excelsalesdata[[#This Row],[Cost]]</f>
        <v>7932</v>
      </c>
      <c r="AA1170" s="5">
        <f>excelsalesdata[[#This Row],[Profit]]/excelsalesdata[[#This Row],[Net_sales]]</f>
        <v>0.59585336538461542</v>
      </c>
      <c r="AB1170" s="4">
        <f>YEAR(excelsalesdata[[#This Row],[Order_Date]])</f>
        <v>2028</v>
      </c>
      <c r="AC1170" s="4" t="str">
        <f>TEXT(excelsalesdata[[#This Row],[Order_Date]],"mmm")</f>
        <v>Jun</v>
      </c>
      <c r="AD1170" s="4" t="str">
        <f>"Q"&amp;ROUNDUP(MONTH(excelsalesdata[[#This Row],[Order_Date]])/3,0)</f>
        <v>Q2</v>
      </c>
    </row>
    <row r="1171" spans="1:30" x14ac:dyDescent="0.35">
      <c r="A1171" t="s">
        <v>1971</v>
      </c>
      <c r="B1171" s="3">
        <v>46929</v>
      </c>
      <c r="C1171" t="s">
        <v>1513</v>
      </c>
      <c r="D1171" t="s">
        <v>1235</v>
      </c>
      <c r="E1171" t="str">
        <f>TRIM(excelsalesdata[[#This Row],[Customer_Name]])</f>
        <v>Priya Nair</v>
      </c>
      <c r="F1171" t="s">
        <v>44</v>
      </c>
      <c r="G1171">
        <v>18</v>
      </c>
      <c r="H1171" t="s">
        <v>24</v>
      </c>
      <c r="I1171" t="str">
        <f>TRIM(excelsalesdata[[#This Row],[City]])</f>
        <v>Pune</v>
      </c>
      <c r="J1171" t="s">
        <v>25</v>
      </c>
      <c r="K1171" t="s">
        <v>26</v>
      </c>
      <c r="L1171" t="s">
        <v>103</v>
      </c>
      <c r="M1171" t="s">
        <v>104</v>
      </c>
      <c r="N1171" t="s">
        <v>104</v>
      </c>
      <c r="O1171">
        <v>1</v>
      </c>
      <c r="P1171">
        <v>9040</v>
      </c>
      <c r="Q1171">
        <v>0.05</v>
      </c>
      <c r="R1171">
        <v>5460</v>
      </c>
      <c r="S1171" t="s">
        <v>67</v>
      </c>
      <c r="T1171" t="s">
        <v>30</v>
      </c>
      <c r="U1171">
        <v>5</v>
      </c>
      <c r="V1171" t="s">
        <v>40</v>
      </c>
      <c r="W1171">
        <f>excelsalesdata[[#This Row],[Quantity]]*excelsalesdata[[#This Row],[Unit_Price]]</f>
        <v>9040</v>
      </c>
      <c r="X1171">
        <f>excelsalesdata[[#This Row],[Gross_sales]]*excelsalesdata[[#This Row],[Discount_%]]</f>
        <v>452</v>
      </c>
      <c r="Y1171">
        <f>excelsalesdata[[#This Row],[Gross_sales]]-excelsalesdata[[#This Row],[Discount_amt]]</f>
        <v>8588</v>
      </c>
      <c r="Z1171" s="4">
        <f>excelsalesdata[[#This Row],[Net_sales]]-excelsalesdata[[#This Row],[Cost]]</f>
        <v>3128</v>
      </c>
      <c r="AA1171" s="5">
        <f>excelsalesdata[[#This Row],[Profit]]/excelsalesdata[[#This Row],[Net_sales]]</f>
        <v>0.36422915696320446</v>
      </c>
      <c r="AB1171" s="4">
        <f>YEAR(excelsalesdata[[#This Row],[Order_Date]])</f>
        <v>2028</v>
      </c>
      <c r="AC1171" s="4" t="str">
        <f>TEXT(excelsalesdata[[#This Row],[Order_Date]],"mmm")</f>
        <v>Jun</v>
      </c>
      <c r="AD1171" s="4" t="str">
        <f>"Q"&amp;ROUNDUP(MONTH(excelsalesdata[[#This Row],[Order_Date]])/3,0)</f>
        <v>Q2</v>
      </c>
    </row>
    <row r="1172" spans="1:30" x14ac:dyDescent="0.35">
      <c r="A1172" t="s">
        <v>1972</v>
      </c>
      <c r="B1172" s="3">
        <v>46930</v>
      </c>
      <c r="C1172" t="s">
        <v>1657</v>
      </c>
      <c r="D1172" t="s">
        <v>507</v>
      </c>
      <c r="E1172" t="str">
        <f>TRIM(excelsalesdata[[#This Row],[Customer_Name]])</f>
        <v>Vikram Iyer</v>
      </c>
      <c r="F1172" t="s">
        <v>44</v>
      </c>
      <c r="G1172">
        <v>22</v>
      </c>
      <c r="H1172" t="s">
        <v>52</v>
      </c>
      <c r="I1172" t="str">
        <f>TRIM(excelsalesdata[[#This Row],[City]])</f>
        <v>Bengaluru</v>
      </c>
      <c r="J1172" t="s">
        <v>53</v>
      </c>
      <c r="K1172" t="s">
        <v>47</v>
      </c>
      <c r="L1172" t="s">
        <v>103</v>
      </c>
      <c r="M1172" t="s">
        <v>178</v>
      </c>
      <c r="N1172" t="s">
        <v>178</v>
      </c>
      <c r="O1172">
        <v>2</v>
      </c>
      <c r="P1172">
        <v>1730</v>
      </c>
      <c r="Q1172">
        <v>0.1</v>
      </c>
      <c r="R1172">
        <v>1000</v>
      </c>
      <c r="S1172" t="s">
        <v>29</v>
      </c>
      <c r="T1172" t="s">
        <v>30</v>
      </c>
      <c r="U1172">
        <v>3</v>
      </c>
      <c r="V1172" t="s">
        <v>40</v>
      </c>
      <c r="W1172">
        <f>excelsalesdata[[#This Row],[Quantity]]*excelsalesdata[[#This Row],[Unit_Price]]</f>
        <v>3460</v>
      </c>
      <c r="X1172">
        <f>excelsalesdata[[#This Row],[Gross_sales]]*excelsalesdata[[#This Row],[Discount_%]]</f>
        <v>346</v>
      </c>
      <c r="Y1172">
        <f>excelsalesdata[[#This Row],[Gross_sales]]-excelsalesdata[[#This Row],[Discount_amt]]</f>
        <v>3114</v>
      </c>
      <c r="Z1172" s="4">
        <f>excelsalesdata[[#This Row],[Net_sales]]-excelsalesdata[[#This Row],[Cost]]</f>
        <v>2114</v>
      </c>
      <c r="AA1172" s="5">
        <f>excelsalesdata[[#This Row],[Profit]]/excelsalesdata[[#This Row],[Net_sales]]</f>
        <v>0.6788696210661529</v>
      </c>
      <c r="AB1172" s="4">
        <f>YEAR(excelsalesdata[[#This Row],[Order_Date]])</f>
        <v>2028</v>
      </c>
      <c r="AC1172" s="4" t="str">
        <f>TEXT(excelsalesdata[[#This Row],[Order_Date]],"mmm")</f>
        <v>Jun</v>
      </c>
      <c r="AD1172" s="4" t="str">
        <f>"Q"&amp;ROUNDUP(MONTH(excelsalesdata[[#This Row],[Order_Date]])/3,0)</f>
        <v>Q2</v>
      </c>
    </row>
    <row r="1173" spans="1:30" x14ac:dyDescent="0.35">
      <c r="A1173" t="s">
        <v>1973</v>
      </c>
      <c r="B1173" s="3">
        <v>46931</v>
      </c>
      <c r="C1173" t="s">
        <v>616</v>
      </c>
      <c r="D1173" t="s">
        <v>1374</v>
      </c>
      <c r="E1173" t="str">
        <f>TRIM(excelsalesdata[[#This Row],[Customer_Name]])</f>
        <v>Karan Joshi</v>
      </c>
      <c r="F1173" t="s">
        <v>44</v>
      </c>
      <c r="G1173">
        <v>37</v>
      </c>
      <c r="H1173" t="s">
        <v>78</v>
      </c>
      <c r="I1173" t="str">
        <f>TRIM(excelsalesdata[[#This Row],[City]])</f>
        <v>Guwahati</v>
      </c>
      <c r="J1173" t="s">
        <v>79</v>
      </c>
      <c r="K1173" t="s">
        <v>37</v>
      </c>
      <c r="L1173" t="s">
        <v>27</v>
      </c>
      <c r="M1173" t="s">
        <v>48</v>
      </c>
      <c r="N1173" t="s">
        <v>48</v>
      </c>
      <c r="O1173">
        <v>2</v>
      </c>
      <c r="P1173">
        <v>890</v>
      </c>
      <c r="Q1173">
        <v>0.25</v>
      </c>
      <c r="R1173">
        <v>450</v>
      </c>
      <c r="S1173" t="s">
        <v>80</v>
      </c>
      <c r="T1173" t="s">
        <v>30</v>
      </c>
      <c r="U1173">
        <v>4</v>
      </c>
      <c r="V1173" t="s">
        <v>40</v>
      </c>
      <c r="W1173">
        <f>excelsalesdata[[#This Row],[Quantity]]*excelsalesdata[[#This Row],[Unit_Price]]</f>
        <v>1780</v>
      </c>
      <c r="X1173">
        <f>excelsalesdata[[#This Row],[Gross_sales]]*excelsalesdata[[#This Row],[Discount_%]]</f>
        <v>445</v>
      </c>
      <c r="Y1173">
        <f>excelsalesdata[[#This Row],[Gross_sales]]-excelsalesdata[[#This Row],[Discount_amt]]</f>
        <v>1335</v>
      </c>
      <c r="Z1173" s="4">
        <f>excelsalesdata[[#This Row],[Net_sales]]-excelsalesdata[[#This Row],[Cost]]</f>
        <v>885</v>
      </c>
      <c r="AA1173" s="5">
        <f>excelsalesdata[[#This Row],[Profit]]/excelsalesdata[[#This Row],[Net_sales]]</f>
        <v>0.6629213483146067</v>
      </c>
      <c r="AB1173" s="4">
        <f>YEAR(excelsalesdata[[#This Row],[Order_Date]])</f>
        <v>2028</v>
      </c>
      <c r="AC1173" s="4" t="str">
        <f>TEXT(excelsalesdata[[#This Row],[Order_Date]],"mmm")</f>
        <v>Jun</v>
      </c>
      <c r="AD1173" s="4" t="str">
        <f>"Q"&amp;ROUNDUP(MONTH(excelsalesdata[[#This Row],[Order_Date]])/3,0)</f>
        <v>Q2</v>
      </c>
    </row>
    <row r="1174" spans="1:30" x14ac:dyDescent="0.35">
      <c r="A1174" t="s">
        <v>1974</v>
      </c>
      <c r="B1174" s="3">
        <v>46932</v>
      </c>
      <c r="C1174" t="s">
        <v>746</v>
      </c>
      <c r="D1174" t="s">
        <v>1976</v>
      </c>
      <c r="E1174" t="str">
        <f>TRIM(excelsalesdata[[#This Row],[Customer_Name]])</f>
        <v>Rahul Nair</v>
      </c>
      <c r="F1174" t="s">
        <v>44</v>
      </c>
      <c r="G1174">
        <v>19</v>
      </c>
      <c r="H1174" t="s">
        <v>168</v>
      </c>
      <c r="I1174" t="str">
        <f>TRIM(excelsalesdata[[#This Row],[City]])</f>
        <v>Delhi</v>
      </c>
      <c r="J1174" t="s">
        <v>168</v>
      </c>
      <c r="K1174" t="s">
        <v>61</v>
      </c>
      <c r="L1174" t="s">
        <v>38</v>
      </c>
      <c r="M1174" t="s">
        <v>73</v>
      </c>
      <c r="N1174" t="s">
        <v>73</v>
      </c>
      <c r="O1174">
        <v>2</v>
      </c>
      <c r="P1174">
        <v>4730</v>
      </c>
      <c r="Q1174">
        <v>0.3</v>
      </c>
      <c r="R1174">
        <v>3190</v>
      </c>
      <c r="S1174" t="s">
        <v>105</v>
      </c>
      <c r="T1174" t="s">
        <v>30</v>
      </c>
      <c r="U1174">
        <v>3</v>
      </c>
      <c r="V1174" t="s">
        <v>31</v>
      </c>
      <c r="W1174">
        <f>excelsalesdata[[#This Row],[Quantity]]*excelsalesdata[[#This Row],[Unit_Price]]</f>
        <v>9460</v>
      </c>
      <c r="X1174">
        <f>excelsalesdata[[#This Row],[Gross_sales]]*excelsalesdata[[#This Row],[Discount_%]]</f>
        <v>2838</v>
      </c>
      <c r="Y1174">
        <f>excelsalesdata[[#This Row],[Gross_sales]]-excelsalesdata[[#This Row],[Discount_amt]]</f>
        <v>6622</v>
      </c>
      <c r="Z1174" s="4">
        <f>excelsalesdata[[#This Row],[Net_sales]]-excelsalesdata[[#This Row],[Cost]]</f>
        <v>3432</v>
      </c>
      <c r="AA1174" s="5">
        <f>excelsalesdata[[#This Row],[Profit]]/excelsalesdata[[#This Row],[Net_sales]]</f>
        <v>0.51827242524916939</v>
      </c>
      <c r="AB1174" s="4">
        <f>YEAR(excelsalesdata[[#This Row],[Order_Date]])</f>
        <v>2028</v>
      </c>
      <c r="AC1174" s="4" t="str">
        <f>TEXT(excelsalesdata[[#This Row],[Order_Date]],"mmm")</f>
        <v>Jun</v>
      </c>
      <c r="AD1174" s="4" t="str">
        <f>"Q"&amp;ROUNDUP(MONTH(excelsalesdata[[#This Row],[Order_Date]])/3,0)</f>
        <v>Q2</v>
      </c>
    </row>
    <row r="1175" spans="1:30" x14ac:dyDescent="0.35">
      <c r="A1175" t="s">
        <v>1975</v>
      </c>
      <c r="B1175" s="3">
        <v>46933</v>
      </c>
      <c r="C1175" t="s">
        <v>125</v>
      </c>
      <c r="D1175" t="s">
        <v>1051</v>
      </c>
      <c r="E1175" t="str">
        <f>TRIM(excelsalesdata[[#This Row],[Customer_Name]])</f>
        <v>Aarav Das</v>
      </c>
      <c r="F1175" t="s">
        <v>23</v>
      </c>
      <c r="G1175">
        <v>51</v>
      </c>
      <c r="H1175" t="s">
        <v>60</v>
      </c>
      <c r="I1175" t="str">
        <f>TRIM(excelsalesdata[[#This Row],[City]])</f>
        <v>Chandigarh</v>
      </c>
      <c r="J1175" t="s">
        <v>60</v>
      </c>
      <c r="K1175" t="s">
        <v>61</v>
      </c>
      <c r="L1175" t="s">
        <v>93</v>
      </c>
      <c r="M1175" t="s">
        <v>718</v>
      </c>
      <c r="N1175" t="s">
        <v>718</v>
      </c>
      <c r="O1175">
        <v>1</v>
      </c>
      <c r="P1175">
        <v>1810</v>
      </c>
      <c r="Q1175">
        <v>0.2</v>
      </c>
      <c r="R1175">
        <v>920</v>
      </c>
      <c r="S1175" t="s">
        <v>105</v>
      </c>
      <c r="T1175" t="s">
        <v>30</v>
      </c>
      <c r="U1175">
        <v>3</v>
      </c>
      <c r="V1175" t="s">
        <v>40</v>
      </c>
      <c r="W1175">
        <f>excelsalesdata[[#This Row],[Quantity]]*excelsalesdata[[#This Row],[Unit_Price]]</f>
        <v>1810</v>
      </c>
      <c r="X1175">
        <f>excelsalesdata[[#This Row],[Gross_sales]]*excelsalesdata[[#This Row],[Discount_%]]</f>
        <v>362</v>
      </c>
      <c r="Y1175">
        <f>excelsalesdata[[#This Row],[Gross_sales]]-excelsalesdata[[#This Row],[Discount_amt]]</f>
        <v>1448</v>
      </c>
      <c r="Z1175" s="4">
        <f>excelsalesdata[[#This Row],[Net_sales]]-excelsalesdata[[#This Row],[Cost]]</f>
        <v>528</v>
      </c>
      <c r="AA1175" s="5">
        <f>excelsalesdata[[#This Row],[Profit]]/excelsalesdata[[#This Row],[Net_sales]]</f>
        <v>0.36464088397790057</v>
      </c>
      <c r="AB1175" s="4">
        <f>YEAR(excelsalesdata[[#This Row],[Order_Date]])</f>
        <v>2028</v>
      </c>
      <c r="AC1175" s="4" t="str">
        <f>TEXT(excelsalesdata[[#This Row],[Order_Date]],"mmm")</f>
        <v>Jun</v>
      </c>
      <c r="AD1175" s="4" t="str">
        <f>"Q"&amp;ROUNDUP(MONTH(excelsalesdata[[#This Row],[Order_Date]])/3,0)</f>
        <v>Q2</v>
      </c>
    </row>
    <row r="1176" spans="1:30" x14ac:dyDescent="0.35">
      <c r="A1176" t="s">
        <v>1977</v>
      </c>
      <c r="B1176" s="3">
        <v>46934</v>
      </c>
      <c r="C1176" t="s">
        <v>698</v>
      </c>
      <c r="D1176" t="s">
        <v>258</v>
      </c>
      <c r="E1176" t="str">
        <f>TRIM(excelsalesdata[[#This Row],[Customer_Name]])</f>
        <v>Sneha Sharma</v>
      </c>
      <c r="F1176" t="s">
        <v>44</v>
      </c>
      <c r="G1176">
        <v>35</v>
      </c>
      <c r="H1176" t="s">
        <v>114</v>
      </c>
      <c r="I1176" t="str">
        <f>TRIM(excelsalesdata[[#This Row],[City]])</f>
        <v>Hyderabad</v>
      </c>
      <c r="J1176" t="s">
        <v>115</v>
      </c>
      <c r="K1176" t="s">
        <v>47</v>
      </c>
      <c r="L1176" t="s">
        <v>54</v>
      </c>
      <c r="M1176" t="s">
        <v>66</v>
      </c>
      <c r="N1176" t="s">
        <v>66</v>
      </c>
      <c r="O1176">
        <v>1</v>
      </c>
      <c r="P1176">
        <v>2480</v>
      </c>
      <c r="Q1176">
        <v>0.25</v>
      </c>
      <c r="R1176">
        <v>1460</v>
      </c>
      <c r="S1176" t="s">
        <v>29</v>
      </c>
      <c r="T1176" t="s">
        <v>30</v>
      </c>
      <c r="U1176">
        <v>4</v>
      </c>
      <c r="V1176" t="s">
        <v>40</v>
      </c>
      <c r="W1176">
        <f>excelsalesdata[[#This Row],[Quantity]]*excelsalesdata[[#This Row],[Unit_Price]]</f>
        <v>2480</v>
      </c>
      <c r="X1176">
        <f>excelsalesdata[[#This Row],[Gross_sales]]*excelsalesdata[[#This Row],[Discount_%]]</f>
        <v>620</v>
      </c>
      <c r="Y1176">
        <f>excelsalesdata[[#This Row],[Gross_sales]]-excelsalesdata[[#This Row],[Discount_amt]]</f>
        <v>1860</v>
      </c>
      <c r="Z1176" s="4">
        <f>excelsalesdata[[#This Row],[Net_sales]]-excelsalesdata[[#This Row],[Cost]]</f>
        <v>400</v>
      </c>
      <c r="AA1176" s="5">
        <f>excelsalesdata[[#This Row],[Profit]]/excelsalesdata[[#This Row],[Net_sales]]</f>
        <v>0.21505376344086022</v>
      </c>
      <c r="AB1176" s="4">
        <f>YEAR(excelsalesdata[[#This Row],[Order_Date]])</f>
        <v>2028</v>
      </c>
      <c r="AC1176" s="4" t="str">
        <f>TEXT(excelsalesdata[[#This Row],[Order_Date]],"mmm")</f>
        <v>Jun</v>
      </c>
      <c r="AD1176" s="4" t="str">
        <f>"Q"&amp;ROUNDUP(MONTH(excelsalesdata[[#This Row],[Order_Date]])/3,0)</f>
        <v>Q2</v>
      </c>
    </row>
    <row r="1177" spans="1:30" x14ac:dyDescent="0.35">
      <c r="A1177" t="s">
        <v>1978</v>
      </c>
      <c r="B1177" s="3">
        <v>46935</v>
      </c>
      <c r="C1177" t="s">
        <v>361</v>
      </c>
      <c r="D1177" t="s">
        <v>544</v>
      </c>
      <c r="E1177" t="str">
        <f>TRIM(excelsalesdata[[#This Row],[Customer_Name]])</f>
        <v>Kavya Iyer</v>
      </c>
      <c r="F1177" t="s">
        <v>23</v>
      </c>
      <c r="G1177">
        <v>33</v>
      </c>
      <c r="H1177" t="s">
        <v>168</v>
      </c>
      <c r="I1177" t="str">
        <f>TRIM(excelsalesdata[[#This Row],[City]])</f>
        <v>Delhi</v>
      </c>
      <c r="J1177" t="s">
        <v>168</v>
      </c>
      <c r="K1177" t="s">
        <v>61</v>
      </c>
      <c r="L1177" t="s">
        <v>93</v>
      </c>
      <c r="M1177" t="s">
        <v>718</v>
      </c>
      <c r="N1177" t="s">
        <v>718</v>
      </c>
      <c r="O1177">
        <v>2</v>
      </c>
      <c r="P1177">
        <v>1720</v>
      </c>
      <c r="Q1177">
        <v>0.2</v>
      </c>
      <c r="R1177">
        <v>900</v>
      </c>
      <c r="S1177" t="s">
        <v>67</v>
      </c>
      <c r="T1177" t="s">
        <v>30</v>
      </c>
      <c r="U1177">
        <v>5</v>
      </c>
      <c r="V1177" t="s">
        <v>40</v>
      </c>
      <c r="W1177">
        <f>excelsalesdata[[#This Row],[Quantity]]*excelsalesdata[[#This Row],[Unit_Price]]</f>
        <v>3440</v>
      </c>
      <c r="X1177">
        <f>excelsalesdata[[#This Row],[Gross_sales]]*excelsalesdata[[#This Row],[Discount_%]]</f>
        <v>688</v>
      </c>
      <c r="Y1177">
        <f>excelsalesdata[[#This Row],[Gross_sales]]-excelsalesdata[[#This Row],[Discount_amt]]</f>
        <v>2752</v>
      </c>
      <c r="Z1177" s="4">
        <f>excelsalesdata[[#This Row],[Net_sales]]-excelsalesdata[[#This Row],[Cost]]</f>
        <v>1852</v>
      </c>
      <c r="AA1177" s="5">
        <f>excelsalesdata[[#This Row],[Profit]]/excelsalesdata[[#This Row],[Net_sales]]</f>
        <v>0.67296511627906974</v>
      </c>
      <c r="AB1177" s="4">
        <f>YEAR(excelsalesdata[[#This Row],[Order_Date]])</f>
        <v>2028</v>
      </c>
      <c r="AC1177" s="4" t="str">
        <f>TEXT(excelsalesdata[[#This Row],[Order_Date]],"mmm")</f>
        <v>Jul</v>
      </c>
      <c r="AD1177" s="4" t="str">
        <f>"Q"&amp;ROUNDUP(MONTH(excelsalesdata[[#This Row],[Order_Date]])/3,0)</f>
        <v>Q3</v>
      </c>
    </row>
    <row r="1178" spans="1:30" x14ac:dyDescent="0.35">
      <c r="A1178" t="s">
        <v>1979</v>
      </c>
      <c r="B1178" s="3">
        <v>46936</v>
      </c>
      <c r="C1178" t="s">
        <v>791</v>
      </c>
      <c r="D1178" t="s">
        <v>423</v>
      </c>
      <c r="E1178" t="str">
        <f>TRIM(excelsalesdata[[#This Row],[Customer_Name]])</f>
        <v>Kavya Kumar</v>
      </c>
      <c r="F1178" t="s">
        <v>44</v>
      </c>
      <c r="G1178">
        <v>27</v>
      </c>
      <c r="H1178" t="s">
        <v>109</v>
      </c>
      <c r="I1178" t="str">
        <f>TRIM(excelsalesdata[[#This Row],[City]])</f>
        <v>Mysuru</v>
      </c>
      <c r="J1178" t="s">
        <v>53</v>
      </c>
      <c r="K1178" t="s">
        <v>47</v>
      </c>
      <c r="L1178" t="s">
        <v>38</v>
      </c>
      <c r="M1178" t="s">
        <v>73</v>
      </c>
      <c r="N1178" t="s">
        <v>73</v>
      </c>
      <c r="O1178">
        <v>2</v>
      </c>
      <c r="P1178">
        <v>5080</v>
      </c>
      <c r="Q1178">
        <v>0.1</v>
      </c>
      <c r="R1178">
        <v>3050</v>
      </c>
      <c r="S1178" t="s">
        <v>151</v>
      </c>
      <c r="T1178" t="s">
        <v>81</v>
      </c>
      <c r="U1178">
        <v>0</v>
      </c>
      <c r="V1178" t="s">
        <v>40</v>
      </c>
      <c r="W1178">
        <f>excelsalesdata[[#This Row],[Quantity]]*excelsalesdata[[#This Row],[Unit_Price]]</f>
        <v>10160</v>
      </c>
      <c r="X1178">
        <f>excelsalesdata[[#This Row],[Gross_sales]]*excelsalesdata[[#This Row],[Discount_%]]</f>
        <v>1016</v>
      </c>
      <c r="Y1178">
        <f>excelsalesdata[[#This Row],[Gross_sales]]-excelsalesdata[[#This Row],[Discount_amt]]</f>
        <v>9144</v>
      </c>
      <c r="Z1178" s="4">
        <f>excelsalesdata[[#This Row],[Net_sales]]-excelsalesdata[[#This Row],[Cost]]</f>
        <v>6094</v>
      </c>
      <c r="AA1178" s="5">
        <f>excelsalesdata[[#This Row],[Profit]]/excelsalesdata[[#This Row],[Net_sales]]</f>
        <v>0.66644794400699914</v>
      </c>
      <c r="AB1178" s="4">
        <f>YEAR(excelsalesdata[[#This Row],[Order_Date]])</f>
        <v>2028</v>
      </c>
      <c r="AC1178" s="4" t="str">
        <f>TEXT(excelsalesdata[[#This Row],[Order_Date]],"mmm")</f>
        <v>Jul</v>
      </c>
      <c r="AD1178" s="4" t="str">
        <f>"Q"&amp;ROUNDUP(MONTH(excelsalesdata[[#This Row],[Order_Date]])/3,0)</f>
        <v>Q3</v>
      </c>
    </row>
    <row r="1179" spans="1:30" x14ac:dyDescent="0.35">
      <c r="A1179" t="s">
        <v>1980</v>
      </c>
      <c r="B1179" s="3">
        <v>46937</v>
      </c>
      <c r="C1179" t="s">
        <v>1139</v>
      </c>
      <c r="D1179" t="s">
        <v>1982</v>
      </c>
      <c r="E1179" t="str">
        <f>TRIM(excelsalesdata[[#This Row],[Customer_Name]])</f>
        <v>Kavya Nair</v>
      </c>
      <c r="F1179" t="s">
        <v>23</v>
      </c>
      <c r="G1179">
        <v>32</v>
      </c>
      <c r="H1179" t="s">
        <v>71</v>
      </c>
      <c r="I1179" t="str">
        <f>TRIM(excelsalesdata[[#This Row],[City]])</f>
        <v>Bhubaneswar</v>
      </c>
      <c r="J1179" t="s">
        <v>72</v>
      </c>
      <c r="K1179" t="s">
        <v>37</v>
      </c>
      <c r="L1179" t="s">
        <v>27</v>
      </c>
      <c r="M1179" t="s">
        <v>28</v>
      </c>
      <c r="N1179" t="s">
        <v>28</v>
      </c>
      <c r="O1179">
        <v>2</v>
      </c>
      <c r="P1179">
        <v>3250</v>
      </c>
      <c r="Q1179">
        <v>0</v>
      </c>
      <c r="R1179">
        <v>2000</v>
      </c>
      <c r="S1179" t="s">
        <v>80</v>
      </c>
      <c r="T1179" t="s">
        <v>74</v>
      </c>
      <c r="U1179">
        <v>3</v>
      </c>
      <c r="V1179" t="s">
        <v>31</v>
      </c>
      <c r="W1179">
        <f>excelsalesdata[[#This Row],[Quantity]]*excelsalesdata[[#This Row],[Unit_Price]]</f>
        <v>6500</v>
      </c>
      <c r="X1179">
        <f>excelsalesdata[[#This Row],[Gross_sales]]*excelsalesdata[[#This Row],[Discount_%]]</f>
        <v>0</v>
      </c>
      <c r="Y1179">
        <f>excelsalesdata[[#This Row],[Gross_sales]]-excelsalesdata[[#This Row],[Discount_amt]]</f>
        <v>6500</v>
      </c>
      <c r="Z1179" s="4">
        <f>excelsalesdata[[#This Row],[Net_sales]]-excelsalesdata[[#This Row],[Cost]]</f>
        <v>4500</v>
      </c>
      <c r="AA1179" s="5">
        <f>excelsalesdata[[#This Row],[Profit]]/excelsalesdata[[#This Row],[Net_sales]]</f>
        <v>0.69230769230769229</v>
      </c>
      <c r="AB1179" s="4">
        <f>YEAR(excelsalesdata[[#This Row],[Order_Date]])</f>
        <v>2028</v>
      </c>
      <c r="AC1179" s="4" t="str">
        <f>TEXT(excelsalesdata[[#This Row],[Order_Date]],"mmm")</f>
        <v>Jul</v>
      </c>
      <c r="AD1179" s="4" t="str">
        <f>"Q"&amp;ROUNDUP(MONTH(excelsalesdata[[#This Row],[Order_Date]])/3,0)</f>
        <v>Q3</v>
      </c>
    </row>
    <row r="1180" spans="1:30" x14ac:dyDescent="0.35">
      <c r="A1180" t="s">
        <v>1981</v>
      </c>
      <c r="B1180" s="3">
        <v>46938</v>
      </c>
      <c r="C1180" t="s">
        <v>1582</v>
      </c>
      <c r="D1180" t="s">
        <v>642</v>
      </c>
      <c r="E1180" t="str">
        <f>TRIM(excelsalesdata[[#This Row],[Customer_Name]])</f>
        <v>Kavya Singh</v>
      </c>
      <c r="F1180" t="s">
        <v>23</v>
      </c>
      <c r="G1180">
        <v>42</v>
      </c>
      <c r="H1180" t="s">
        <v>60</v>
      </c>
      <c r="I1180" t="str">
        <f>TRIM(excelsalesdata[[#This Row],[City]])</f>
        <v>Chandigarh</v>
      </c>
      <c r="J1180" t="s">
        <v>60</v>
      </c>
      <c r="K1180" t="s">
        <v>61</v>
      </c>
      <c r="L1180" t="s">
        <v>54</v>
      </c>
      <c r="M1180" t="s">
        <v>66</v>
      </c>
      <c r="N1180" t="s">
        <v>66</v>
      </c>
      <c r="O1180">
        <v>3</v>
      </c>
      <c r="P1180">
        <v>2580</v>
      </c>
      <c r="Q1180">
        <v>0.05</v>
      </c>
      <c r="R1180">
        <v>1560</v>
      </c>
      <c r="S1180" t="s">
        <v>105</v>
      </c>
      <c r="T1180" t="s">
        <v>30</v>
      </c>
      <c r="U1180">
        <v>6</v>
      </c>
      <c r="V1180" t="s">
        <v>40</v>
      </c>
      <c r="W1180">
        <f>excelsalesdata[[#This Row],[Quantity]]*excelsalesdata[[#This Row],[Unit_Price]]</f>
        <v>7740</v>
      </c>
      <c r="X1180">
        <f>excelsalesdata[[#This Row],[Gross_sales]]*excelsalesdata[[#This Row],[Discount_%]]</f>
        <v>387</v>
      </c>
      <c r="Y1180">
        <f>excelsalesdata[[#This Row],[Gross_sales]]-excelsalesdata[[#This Row],[Discount_amt]]</f>
        <v>7353</v>
      </c>
      <c r="Z1180" s="4">
        <f>excelsalesdata[[#This Row],[Net_sales]]-excelsalesdata[[#This Row],[Cost]]</f>
        <v>5793</v>
      </c>
      <c r="AA1180" s="5">
        <f>excelsalesdata[[#This Row],[Profit]]/excelsalesdata[[#This Row],[Net_sales]]</f>
        <v>0.78784169726642184</v>
      </c>
      <c r="AB1180" s="4">
        <f>YEAR(excelsalesdata[[#This Row],[Order_Date]])</f>
        <v>2028</v>
      </c>
      <c r="AC1180" s="4" t="str">
        <f>TEXT(excelsalesdata[[#This Row],[Order_Date]],"mmm")</f>
        <v>Jul</v>
      </c>
      <c r="AD1180" s="4" t="str">
        <f>"Q"&amp;ROUNDUP(MONTH(excelsalesdata[[#This Row],[Order_Date]])/3,0)</f>
        <v>Q3</v>
      </c>
    </row>
    <row r="1181" spans="1:30" x14ac:dyDescent="0.35">
      <c r="A1181" t="s">
        <v>1983</v>
      </c>
      <c r="B1181" s="3">
        <v>46939</v>
      </c>
      <c r="C1181" t="s">
        <v>612</v>
      </c>
      <c r="D1181" t="s">
        <v>205</v>
      </c>
      <c r="E1181" t="str">
        <f>TRIM(excelsalesdata[[#This Row],[Customer_Name]])</f>
        <v>Vivaan Bhat</v>
      </c>
      <c r="F1181" t="s">
        <v>23</v>
      </c>
      <c r="G1181">
        <v>37</v>
      </c>
      <c r="H1181" t="s">
        <v>98</v>
      </c>
      <c r="I1181" t="str">
        <f>TRIM(excelsalesdata[[#This Row],[City]])</f>
        <v>Mumbai</v>
      </c>
      <c r="J1181" t="s">
        <v>25</v>
      </c>
      <c r="K1181" t="s">
        <v>26</v>
      </c>
      <c r="L1181" t="s">
        <v>38</v>
      </c>
      <c r="M1181" t="s">
        <v>119</v>
      </c>
      <c r="N1181" t="s">
        <v>119</v>
      </c>
      <c r="O1181">
        <v>1</v>
      </c>
      <c r="P1181">
        <v>9040</v>
      </c>
      <c r="Q1181">
        <v>0.25</v>
      </c>
      <c r="R1181">
        <v>5680</v>
      </c>
      <c r="S1181" t="s">
        <v>67</v>
      </c>
      <c r="T1181" t="s">
        <v>30</v>
      </c>
      <c r="U1181">
        <v>1</v>
      </c>
      <c r="V1181" t="s">
        <v>40</v>
      </c>
      <c r="W1181">
        <f>excelsalesdata[[#This Row],[Quantity]]*excelsalesdata[[#This Row],[Unit_Price]]</f>
        <v>9040</v>
      </c>
      <c r="X1181">
        <f>excelsalesdata[[#This Row],[Gross_sales]]*excelsalesdata[[#This Row],[Discount_%]]</f>
        <v>2260</v>
      </c>
      <c r="Y1181">
        <f>excelsalesdata[[#This Row],[Gross_sales]]-excelsalesdata[[#This Row],[Discount_amt]]</f>
        <v>6780</v>
      </c>
      <c r="Z1181" s="4">
        <f>excelsalesdata[[#This Row],[Net_sales]]-excelsalesdata[[#This Row],[Cost]]</f>
        <v>1100</v>
      </c>
      <c r="AA1181" s="5">
        <f>excelsalesdata[[#This Row],[Profit]]/excelsalesdata[[#This Row],[Net_sales]]</f>
        <v>0.16224188790560473</v>
      </c>
      <c r="AB1181" s="4">
        <f>YEAR(excelsalesdata[[#This Row],[Order_Date]])</f>
        <v>2028</v>
      </c>
      <c r="AC1181" s="4" t="str">
        <f>TEXT(excelsalesdata[[#This Row],[Order_Date]],"mmm")</f>
        <v>Jul</v>
      </c>
      <c r="AD1181" s="4" t="str">
        <f>"Q"&amp;ROUNDUP(MONTH(excelsalesdata[[#This Row],[Order_Date]])/3,0)</f>
        <v>Q3</v>
      </c>
    </row>
    <row r="1182" spans="1:30" x14ac:dyDescent="0.35">
      <c r="A1182" t="s">
        <v>1984</v>
      </c>
      <c r="B1182" s="3">
        <v>46940</v>
      </c>
      <c r="C1182" t="s">
        <v>83</v>
      </c>
      <c r="D1182" t="s">
        <v>201</v>
      </c>
      <c r="E1182" t="str">
        <f>TRIM(excelsalesdata[[#This Row],[Customer_Name]])</f>
        <v>Nisha Verma</v>
      </c>
      <c r="F1182" t="s">
        <v>23</v>
      </c>
      <c r="G1182">
        <v>27</v>
      </c>
      <c r="H1182" t="s">
        <v>24</v>
      </c>
      <c r="I1182" t="str">
        <f>TRIM(excelsalesdata[[#This Row],[City]])</f>
        <v>Pune</v>
      </c>
      <c r="J1182" t="s">
        <v>25</v>
      </c>
      <c r="K1182" t="s">
        <v>26</v>
      </c>
      <c r="L1182" t="s">
        <v>38</v>
      </c>
      <c r="M1182" t="s">
        <v>161</v>
      </c>
      <c r="N1182" t="s">
        <v>161</v>
      </c>
      <c r="O1182">
        <v>1</v>
      </c>
      <c r="P1182">
        <v>29300</v>
      </c>
      <c r="Q1182">
        <v>0.05</v>
      </c>
      <c r="R1182">
        <v>20000</v>
      </c>
      <c r="S1182" t="s">
        <v>67</v>
      </c>
      <c r="T1182" t="s">
        <v>30</v>
      </c>
      <c r="U1182">
        <v>3</v>
      </c>
      <c r="V1182" t="s">
        <v>40</v>
      </c>
      <c r="W1182">
        <f>excelsalesdata[[#This Row],[Quantity]]*excelsalesdata[[#This Row],[Unit_Price]]</f>
        <v>29300</v>
      </c>
      <c r="X1182">
        <f>excelsalesdata[[#This Row],[Gross_sales]]*excelsalesdata[[#This Row],[Discount_%]]</f>
        <v>1465</v>
      </c>
      <c r="Y1182">
        <f>excelsalesdata[[#This Row],[Gross_sales]]-excelsalesdata[[#This Row],[Discount_amt]]</f>
        <v>27835</v>
      </c>
      <c r="Z1182" s="4">
        <f>excelsalesdata[[#This Row],[Net_sales]]-excelsalesdata[[#This Row],[Cost]]</f>
        <v>7835</v>
      </c>
      <c r="AA1182" s="5">
        <f>excelsalesdata[[#This Row],[Profit]]/excelsalesdata[[#This Row],[Net_sales]]</f>
        <v>0.28148015088916833</v>
      </c>
      <c r="AB1182" s="4">
        <f>YEAR(excelsalesdata[[#This Row],[Order_Date]])</f>
        <v>2028</v>
      </c>
      <c r="AC1182" s="4" t="str">
        <f>TEXT(excelsalesdata[[#This Row],[Order_Date]],"mmm")</f>
        <v>Jul</v>
      </c>
      <c r="AD1182" s="4" t="str">
        <f>"Q"&amp;ROUNDUP(MONTH(excelsalesdata[[#This Row],[Order_Date]])/3,0)</f>
        <v>Q3</v>
      </c>
    </row>
    <row r="1183" spans="1:30" x14ac:dyDescent="0.35">
      <c r="A1183" t="s">
        <v>1985</v>
      </c>
      <c r="B1183" s="3">
        <v>46941</v>
      </c>
      <c r="C1183" t="s">
        <v>320</v>
      </c>
      <c r="D1183" t="s">
        <v>365</v>
      </c>
      <c r="E1183" t="str">
        <f>TRIM(excelsalesdata[[#This Row],[Customer_Name]])</f>
        <v>Meera Bhat</v>
      </c>
      <c r="F1183" t="s">
        <v>44</v>
      </c>
      <c r="G1183">
        <v>19</v>
      </c>
      <c r="H1183" t="s">
        <v>78</v>
      </c>
      <c r="I1183" t="str">
        <f>TRIM(excelsalesdata[[#This Row],[City]])</f>
        <v>Guwahati</v>
      </c>
      <c r="J1183" t="s">
        <v>79</v>
      </c>
      <c r="K1183" t="s">
        <v>37</v>
      </c>
      <c r="L1183" t="s">
        <v>93</v>
      </c>
      <c r="M1183" t="s">
        <v>206</v>
      </c>
      <c r="N1183" t="s">
        <v>206</v>
      </c>
      <c r="O1183">
        <v>1</v>
      </c>
      <c r="P1183">
        <v>650</v>
      </c>
      <c r="Q1183">
        <v>0.05</v>
      </c>
      <c r="R1183">
        <v>300</v>
      </c>
      <c r="S1183" t="s">
        <v>80</v>
      </c>
      <c r="T1183" t="s">
        <v>30</v>
      </c>
      <c r="U1183">
        <v>2</v>
      </c>
      <c r="V1183" t="s">
        <v>31</v>
      </c>
      <c r="W1183">
        <f>excelsalesdata[[#This Row],[Quantity]]*excelsalesdata[[#This Row],[Unit_Price]]</f>
        <v>650</v>
      </c>
      <c r="X1183">
        <f>excelsalesdata[[#This Row],[Gross_sales]]*excelsalesdata[[#This Row],[Discount_%]]</f>
        <v>32.5</v>
      </c>
      <c r="Y1183">
        <f>excelsalesdata[[#This Row],[Gross_sales]]-excelsalesdata[[#This Row],[Discount_amt]]</f>
        <v>617.5</v>
      </c>
      <c r="Z1183" s="4">
        <f>excelsalesdata[[#This Row],[Net_sales]]-excelsalesdata[[#This Row],[Cost]]</f>
        <v>317.5</v>
      </c>
      <c r="AA1183" s="5">
        <f>excelsalesdata[[#This Row],[Profit]]/excelsalesdata[[#This Row],[Net_sales]]</f>
        <v>0.51417004048582993</v>
      </c>
      <c r="AB1183" s="4">
        <f>YEAR(excelsalesdata[[#This Row],[Order_Date]])</f>
        <v>2028</v>
      </c>
      <c r="AC1183" s="4" t="str">
        <f>TEXT(excelsalesdata[[#This Row],[Order_Date]],"mmm")</f>
        <v>Jul</v>
      </c>
      <c r="AD1183" s="4" t="str">
        <f>"Q"&amp;ROUNDUP(MONTH(excelsalesdata[[#This Row],[Order_Date]])/3,0)</f>
        <v>Q3</v>
      </c>
    </row>
    <row r="1184" spans="1:30" x14ac:dyDescent="0.35">
      <c r="A1184" t="s">
        <v>1986</v>
      </c>
      <c r="B1184" s="3">
        <v>46942</v>
      </c>
      <c r="C1184" t="s">
        <v>612</v>
      </c>
      <c r="D1184" t="s">
        <v>181</v>
      </c>
      <c r="E1184" t="str">
        <f>TRIM(excelsalesdata[[#This Row],[Customer_Name]])</f>
        <v>Ananya Patel</v>
      </c>
      <c r="F1184" t="s">
        <v>23</v>
      </c>
      <c r="G1184">
        <v>44</v>
      </c>
      <c r="H1184" t="s">
        <v>190</v>
      </c>
      <c r="I1184" t="str">
        <f>TRIM(excelsalesdata[[#This Row],[City]])</f>
        <v>Ahmedabad</v>
      </c>
      <c r="J1184" t="s">
        <v>191</v>
      </c>
      <c r="K1184" t="s">
        <v>26</v>
      </c>
      <c r="L1184" t="s">
        <v>54</v>
      </c>
      <c r="M1184" t="s">
        <v>157</v>
      </c>
      <c r="N1184" t="s">
        <v>157</v>
      </c>
      <c r="O1184">
        <v>1</v>
      </c>
      <c r="P1184">
        <v>56450</v>
      </c>
      <c r="Q1184">
        <v>0.2</v>
      </c>
      <c r="R1184">
        <v>42950</v>
      </c>
      <c r="S1184" t="s">
        <v>151</v>
      </c>
      <c r="T1184" t="s">
        <v>30</v>
      </c>
      <c r="U1184">
        <v>6</v>
      </c>
      <c r="V1184" t="s">
        <v>40</v>
      </c>
      <c r="W1184">
        <f>excelsalesdata[[#This Row],[Quantity]]*excelsalesdata[[#This Row],[Unit_Price]]</f>
        <v>56450</v>
      </c>
      <c r="X1184">
        <f>excelsalesdata[[#This Row],[Gross_sales]]*excelsalesdata[[#This Row],[Discount_%]]</f>
        <v>11290</v>
      </c>
      <c r="Y1184">
        <f>excelsalesdata[[#This Row],[Gross_sales]]-excelsalesdata[[#This Row],[Discount_amt]]</f>
        <v>45160</v>
      </c>
      <c r="Z1184" s="4">
        <f>excelsalesdata[[#This Row],[Net_sales]]-excelsalesdata[[#This Row],[Cost]]</f>
        <v>2210</v>
      </c>
      <c r="AA1184" s="5">
        <f>excelsalesdata[[#This Row],[Profit]]/excelsalesdata[[#This Row],[Net_sales]]</f>
        <v>4.8937112488928257E-2</v>
      </c>
      <c r="AB1184" s="4">
        <f>YEAR(excelsalesdata[[#This Row],[Order_Date]])</f>
        <v>2028</v>
      </c>
      <c r="AC1184" s="4" t="str">
        <f>TEXT(excelsalesdata[[#This Row],[Order_Date]],"mmm")</f>
        <v>Jul</v>
      </c>
      <c r="AD1184" s="4" t="str">
        <f>"Q"&amp;ROUNDUP(MONTH(excelsalesdata[[#This Row],[Order_Date]])/3,0)</f>
        <v>Q3</v>
      </c>
    </row>
    <row r="1185" spans="1:30" x14ac:dyDescent="0.35">
      <c r="A1185" t="s">
        <v>1987</v>
      </c>
      <c r="B1185" s="3">
        <v>46943</v>
      </c>
      <c r="C1185" t="s">
        <v>1681</v>
      </c>
      <c r="D1185" t="s">
        <v>368</v>
      </c>
      <c r="E1185" t="str">
        <f>TRIM(excelsalesdata[[#This Row],[Customer_Name]])</f>
        <v>Aditya Naidu</v>
      </c>
      <c r="F1185" t="s">
        <v>23</v>
      </c>
      <c r="G1185">
        <v>40</v>
      </c>
      <c r="H1185" t="s">
        <v>45</v>
      </c>
      <c r="I1185" t="str">
        <f>TRIM(excelsalesdata[[#This Row],[City]])</f>
        <v>Kochi</v>
      </c>
      <c r="J1185" t="s">
        <v>46</v>
      </c>
      <c r="K1185" t="s">
        <v>47</v>
      </c>
      <c r="L1185" t="s">
        <v>103</v>
      </c>
      <c r="M1185" t="s">
        <v>104</v>
      </c>
      <c r="N1185" t="s">
        <v>104</v>
      </c>
      <c r="O1185">
        <v>1</v>
      </c>
      <c r="P1185">
        <v>8580</v>
      </c>
      <c r="Q1185">
        <v>0.05</v>
      </c>
      <c r="R1185">
        <v>5360</v>
      </c>
      <c r="S1185" t="s">
        <v>151</v>
      </c>
      <c r="T1185" t="s">
        <v>30</v>
      </c>
      <c r="U1185">
        <v>3</v>
      </c>
      <c r="V1185" t="s">
        <v>31</v>
      </c>
      <c r="W1185">
        <f>excelsalesdata[[#This Row],[Quantity]]*excelsalesdata[[#This Row],[Unit_Price]]</f>
        <v>8580</v>
      </c>
      <c r="X1185">
        <f>excelsalesdata[[#This Row],[Gross_sales]]*excelsalesdata[[#This Row],[Discount_%]]</f>
        <v>429</v>
      </c>
      <c r="Y1185">
        <f>excelsalesdata[[#This Row],[Gross_sales]]-excelsalesdata[[#This Row],[Discount_amt]]</f>
        <v>8151</v>
      </c>
      <c r="Z1185" s="4">
        <f>excelsalesdata[[#This Row],[Net_sales]]-excelsalesdata[[#This Row],[Cost]]</f>
        <v>2791</v>
      </c>
      <c r="AA1185" s="5">
        <f>excelsalesdata[[#This Row],[Profit]]/excelsalesdata[[#This Row],[Net_sales]]</f>
        <v>0.34241197399092138</v>
      </c>
      <c r="AB1185" s="4">
        <f>YEAR(excelsalesdata[[#This Row],[Order_Date]])</f>
        <v>2028</v>
      </c>
      <c r="AC1185" s="4" t="str">
        <f>TEXT(excelsalesdata[[#This Row],[Order_Date]],"mmm")</f>
        <v>Jul</v>
      </c>
      <c r="AD1185" s="4" t="str">
        <f>"Q"&amp;ROUNDUP(MONTH(excelsalesdata[[#This Row],[Order_Date]])/3,0)</f>
        <v>Q3</v>
      </c>
    </row>
    <row r="1186" spans="1:30" x14ac:dyDescent="0.35">
      <c r="A1186" t="s">
        <v>1988</v>
      </c>
      <c r="B1186" s="3">
        <v>46944</v>
      </c>
      <c r="C1186" t="s">
        <v>112</v>
      </c>
      <c r="D1186" t="s">
        <v>385</v>
      </c>
      <c r="E1186" t="str">
        <f>TRIM(excelsalesdata[[#This Row],[Customer_Name]])</f>
        <v>Diya Verma</v>
      </c>
      <c r="F1186" t="s">
        <v>23</v>
      </c>
      <c r="G1186">
        <v>34</v>
      </c>
      <c r="H1186" t="s">
        <v>35</v>
      </c>
      <c r="I1186" t="str">
        <f>TRIM(excelsalesdata[[#This Row],[City]])</f>
        <v>Kolkata</v>
      </c>
      <c r="J1186" t="s">
        <v>36</v>
      </c>
      <c r="K1186" t="s">
        <v>37</v>
      </c>
      <c r="L1186" t="s">
        <v>27</v>
      </c>
      <c r="M1186" t="s">
        <v>28</v>
      </c>
      <c r="N1186" t="s">
        <v>28</v>
      </c>
      <c r="O1186">
        <v>1</v>
      </c>
      <c r="P1186">
        <v>3340</v>
      </c>
      <c r="Q1186">
        <v>0.1</v>
      </c>
      <c r="R1186">
        <v>2120</v>
      </c>
      <c r="S1186" t="s">
        <v>80</v>
      </c>
      <c r="T1186" t="s">
        <v>30</v>
      </c>
      <c r="U1186">
        <v>1</v>
      </c>
      <c r="V1186" t="s">
        <v>40</v>
      </c>
      <c r="W1186">
        <f>excelsalesdata[[#This Row],[Quantity]]*excelsalesdata[[#This Row],[Unit_Price]]</f>
        <v>3340</v>
      </c>
      <c r="X1186">
        <f>excelsalesdata[[#This Row],[Gross_sales]]*excelsalesdata[[#This Row],[Discount_%]]</f>
        <v>334</v>
      </c>
      <c r="Y1186">
        <f>excelsalesdata[[#This Row],[Gross_sales]]-excelsalesdata[[#This Row],[Discount_amt]]</f>
        <v>3006</v>
      </c>
      <c r="Z1186" s="4">
        <f>excelsalesdata[[#This Row],[Net_sales]]-excelsalesdata[[#This Row],[Cost]]</f>
        <v>886</v>
      </c>
      <c r="AA1186" s="5">
        <f>excelsalesdata[[#This Row],[Profit]]/excelsalesdata[[#This Row],[Net_sales]]</f>
        <v>0.29474384564204925</v>
      </c>
      <c r="AB1186" s="4">
        <f>YEAR(excelsalesdata[[#This Row],[Order_Date]])</f>
        <v>2028</v>
      </c>
      <c r="AC1186" s="4" t="str">
        <f>TEXT(excelsalesdata[[#This Row],[Order_Date]],"mmm")</f>
        <v>Jul</v>
      </c>
      <c r="AD1186" s="4" t="str">
        <f>"Q"&amp;ROUNDUP(MONTH(excelsalesdata[[#This Row],[Order_Date]])/3,0)</f>
        <v>Q3</v>
      </c>
    </row>
    <row r="1187" spans="1:30" x14ac:dyDescent="0.35">
      <c r="A1187" t="s">
        <v>1989</v>
      </c>
      <c r="B1187" s="3">
        <v>46945</v>
      </c>
      <c r="C1187" t="s">
        <v>459</v>
      </c>
      <c r="D1187" t="s">
        <v>138</v>
      </c>
      <c r="E1187" t="str">
        <f>TRIM(excelsalesdata[[#This Row],[Customer_Name]])</f>
        <v>Vikram Bhat</v>
      </c>
      <c r="F1187" t="s">
        <v>44</v>
      </c>
      <c r="G1187">
        <v>19</v>
      </c>
      <c r="H1187" t="s">
        <v>109</v>
      </c>
      <c r="I1187" t="str">
        <f>TRIM(excelsalesdata[[#This Row],[City]])</f>
        <v>Mysuru</v>
      </c>
      <c r="J1187" t="s">
        <v>53</v>
      </c>
      <c r="K1187" t="s">
        <v>47</v>
      </c>
      <c r="L1187" t="s">
        <v>54</v>
      </c>
      <c r="M1187" t="s">
        <v>55</v>
      </c>
      <c r="N1187" t="s">
        <v>55</v>
      </c>
      <c r="O1187">
        <v>1</v>
      </c>
      <c r="P1187">
        <v>6570</v>
      </c>
      <c r="Q1187">
        <v>0.05</v>
      </c>
      <c r="R1187">
        <v>4720</v>
      </c>
      <c r="S1187" t="s">
        <v>80</v>
      </c>
      <c r="T1187" t="s">
        <v>81</v>
      </c>
      <c r="U1187">
        <v>0</v>
      </c>
      <c r="V1187" t="s">
        <v>31</v>
      </c>
      <c r="W1187">
        <f>excelsalesdata[[#This Row],[Quantity]]*excelsalesdata[[#This Row],[Unit_Price]]</f>
        <v>6570</v>
      </c>
      <c r="X1187">
        <f>excelsalesdata[[#This Row],[Gross_sales]]*excelsalesdata[[#This Row],[Discount_%]]</f>
        <v>328.5</v>
      </c>
      <c r="Y1187">
        <f>excelsalesdata[[#This Row],[Gross_sales]]-excelsalesdata[[#This Row],[Discount_amt]]</f>
        <v>6241.5</v>
      </c>
      <c r="Z1187" s="4">
        <f>excelsalesdata[[#This Row],[Net_sales]]-excelsalesdata[[#This Row],[Cost]]</f>
        <v>1521.5</v>
      </c>
      <c r="AA1187" s="5">
        <f>excelsalesdata[[#This Row],[Profit]]/excelsalesdata[[#This Row],[Net_sales]]</f>
        <v>0.24377152927982054</v>
      </c>
      <c r="AB1187" s="4">
        <f>YEAR(excelsalesdata[[#This Row],[Order_Date]])</f>
        <v>2028</v>
      </c>
      <c r="AC1187" s="4" t="str">
        <f>TEXT(excelsalesdata[[#This Row],[Order_Date]],"mmm")</f>
        <v>Jul</v>
      </c>
      <c r="AD1187" s="4" t="str">
        <f>"Q"&amp;ROUNDUP(MONTH(excelsalesdata[[#This Row],[Order_Date]])/3,0)</f>
        <v>Q3</v>
      </c>
    </row>
    <row r="1188" spans="1:30" x14ac:dyDescent="0.35">
      <c r="A1188" t="s">
        <v>1990</v>
      </c>
      <c r="B1188" s="3">
        <v>46946</v>
      </c>
      <c r="C1188" t="s">
        <v>1314</v>
      </c>
      <c r="D1188" t="s">
        <v>988</v>
      </c>
      <c r="E1188" t="str">
        <f>TRIM(excelsalesdata[[#This Row],[Customer_Name]])</f>
        <v>Vikram Das</v>
      </c>
      <c r="F1188" t="s">
        <v>44</v>
      </c>
      <c r="G1188">
        <v>21</v>
      </c>
      <c r="H1188" t="s">
        <v>98</v>
      </c>
      <c r="I1188" t="str">
        <f>TRIM(excelsalesdata[[#This Row],[City]])</f>
        <v>Mumbai</v>
      </c>
      <c r="J1188" t="s">
        <v>25</v>
      </c>
      <c r="K1188" t="s">
        <v>26</v>
      </c>
      <c r="L1188" t="s">
        <v>85</v>
      </c>
      <c r="M1188" t="s">
        <v>110</v>
      </c>
      <c r="N1188" t="s">
        <v>110</v>
      </c>
      <c r="O1188">
        <v>4</v>
      </c>
      <c r="P1188">
        <v>1270</v>
      </c>
      <c r="Q1188">
        <v>0.05</v>
      </c>
      <c r="R1188">
        <v>590</v>
      </c>
      <c r="S1188" t="s">
        <v>29</v>
      </c>
      <c r="T1188" t="s">
        <v>30</v>
      </c>
      <c r="U1188">
        <v>4</v>
      </c>
      <c r="V1188" t="s">
        <v>40</v>
      </c>
      <c r="W1188">
        <f>excelsalesdata[[#This Row],[Quantity]]*excelsalesdata[[#This Row],[Unit_Price]]</f>
        <v>5080</v>
      </c>
      <c r="X1188">
        <f>excelsalesdata[[#This Row],[Gross_sales]]*excelsalesdata[[#This Row],[Discount_%]]</f>
        <v>254</v>
      </c>
      <c r="Y1188">
        <f>excelsalesdata[[#This Row],[Gross_sales]]-excelsalesdata[[#This Row],[Discount_amt]]</f>
        <v>4826</v>
      </c>
      <c r="Z1188" s="4">
        <f>excelsalesdata[[#This Row],[Net_sales]]-excelsalesdata[[#This Row],[Cost]]</f>
        <v>4236</v>
      </c>
      <c r="AA1188" s="5">
        <f>excelsalesdata[[#This Row],[Profit]]/excelsalesdata[[#This Row],[Net_sales]]</f>
        <v>0.87774554496477419</v>
      </c>
      <c r="AB1188" s="4">
        <f>YEAR(excelsalesdata[[#This Row],[Order_Date]])</f>
        <v>2028</v>
      </c>
      <c r="AC1188" s="4" t="str">
        <f>TEXT(excelsalesdata[[#This Row],[Order_Date]],"mmm")</f>
        <v>Jul</v>
      </c>
      <c r="AD1188" s="4" t="str">
        <f>"Q"&amp;ROUNDUP(MONTH(excelsalesdata[[#This Row],[Order_Date]])/3,0)</f>
        <v>Q3</v>
      </c>
    </row>
    <row r="1189" spans="1:30" x14ac:dyDescent="0.35">
      <c r="A1189" t="s">
        <v>1991</v>
      </c>
      <c r="B1189" s="3">
        <v>46947</v>
      </c>
      <c r="C1189" t="s">
        <v>612</v>
      </c>
      <c r="D1189" t="s">
        <v>436</v>
      </c>
      <c r="E1189" t="str">
        <f>TRIM(excelsalesdata[[#This Row],[Customer_Name]])</f>
        <v>Meera Shah</v>
      </c>
      <c r="F1189" t="s">
        <v>44</v>
      </c>
      <c r="G1189">
        <v>43</v>
      </c>
      <c r="H1189" t="s">
        <v>190</v>
      </c>
      <c r="I1189" t="str">
        <f>TRIM(excelsalesdata[[#This Row],[City]])</f>
        <v>Ahmedabad</v>
      </c>
      <c r="J1189" t="s">
        <v>191</v>
      </c>
      <c r="K1189" t="s">
        <v>26</v>
      </c>
      <c r="L1189" t="s">
        <v>54</v>
      </c>
      <c r="M1189" t="s">
        <v>62</v>
      </c>
      <c r="N1189" t="s">
        <v>62</v>
      </c>
      <c r="O1189">
        <v>3</v>
      </c>
      <c r="P1189">
        <v>23050</v>
      </c>
      <c r="Q1189">
        <v>0.1</v>
      </c>
      <c r="R1189">
        <v>15170</v>
      </c>
      <c r="S1189" t="s">
        <v>29</v>
      </c>
      <c r="T1189" t="s">
        <v>30</v>
      </c>
      <c r="U1189">
        <v>3</v>
      </c>
      <c r="V1189" t="s">
        <v>40</v>
      </c>
      <c r="W1189">
        <f>excelsalesdata[[#This Row],[Quantity]]*excelsalesdata[[#This Row],[Unit_Price]]</f>
        <v>69150</v>
      </c>
      <c r="X1189">
        <f>excelsalesdata[[#This Row],[Gross_sales]]*excelsalesdata[[#This Row],[Discount_%]]</f>
        <v>6915</v>
      </c>
      <c r="Y1189">
        <f>excelsalesdata[[#This Row],[Gross_sales]]-excelsalesdata[[#This Row],[Discount_amt]]</f>
        <v>62235</v>
      </c>
      <c r="Z1189" s="4">
        <f>excelsalesdata[[#This Row],[Net_sales]]-excelsalesdata[[#This Row],[Cost]]</f>
        <v>47065</v>
      </c>
      <c r="AA1189" s="5">
        <f>excelsalesdata[[#This Row],[Profit]]/excelsalesdata[[#This Row],[Net_sales]]</f>
        <v>0.75624648509681047</v>
      </c>
      <c r="AB1189" s="4">
        <f>YEAR(excelsalesdata[[#This Row],[Order_Date]])</f>
        <v>2028</v>
      </c>
      <c r="AC1189" s="4" t="str">
        <f>TEXT(excelsalesdata[[#This Row],[Order_Date]],"mmm")</f>
        <v>Jul</v>
      </c>
      <c r="AD1189" s="4" t="str">
        <f>"Q"&amp;ROUNDUP(MONTH(excelsalesdata[[#This Row],[Order_Date]])/3,0)</f>
        <v>Q3</v>
      </c>
    </row>
    <row r="1190" spans="1:30" x14ac:dyDescent="0.35">
      <c r="A1190" t="s">
        <v>1992</v>
      </c>
      <c r="B1190" s="3">
        <v>46948</v>
      </c>
      <c r="C1190" t="s">
        <v>1053</v>
      </c>
      <c r="D1190" t="s">
        <v>291</v>
      </c>
      <c r="E1190" t="str">
        <f>TRIM(excelsalesdata[[#This Row],[Customer_Name]])</f>
        <v>Vikram Patel</v>
      </c>
      <c r="F1190" t="s">
        <v>44</v>
      </c>
      <c r="G1190">
        <v>54</v>
      </c>
      <c r="H1190" t="s">
        <v>24</v>
      </c>
      <c r="I1190" t="str">
        <f>TRIM(excelsalesdata[[#This Row],[City]])</f>
        <v>Pune</v>
      </c>
      <c r="J1190" t="s">
        <v>25</v>
      </c>
      <c r="K1190" t="s">
        <v>26</v>
      </c>
      <c r="L1190" t="s">
        <v>27</v>
      </c>
      <c r="M1190" t="s">
        <v>123</v>
      </c>
      <c r="N1190" t="s">
        <v>123</v>
      </c>
      <c r="O1190">
        <v>3</v>
      </c>
      <c r="P1190">
        <v>2910</v>
      </c>
      <c r="Q1190">
        <v>0.1</v>
      </c>
      <c r="R1190">
        <v>1540</v>
      </c>
      <c r="S1190" t="s">
        <v>80</v>
      </c>
      <c r="T1190" t="s">
        <v>30</v>
      </c>
      <c r="U1190">
        <v>2</v>
      </c>
      <c r="V1190" t="s">
        <v>40</v>
      </c>
      <c r="W1190">
        <f>excelsalesdata[[#This Row],[Quantity]]*excelsalesdata[[#This Row],[Unit_Price]]</f>
        <v>8730</v>
      </c>
      <c r="X1190">
        <f>excelsalesdata[[#This Row],[Gross_sales]]*excelsalesdata[[#This Row],[Discount_%]]</f>
        <v>873</v>
      </c>
      <c r="Y1190">
        <f>excelsalesdata[[#This Row],[Gross_sales]]-excelsalesdata[[#This Row],[Discount_amt]]</f>
        <v>7857</v>
      </c>
      <c r="Z1190" s="4">
        <f>excelsalesdata[[#This Row],[Net_sales]]-excelsalesdata[[#This Row],[Cost]]</f>
        <v>6317</v>
      </c>
      <c r="AA1190" s="5">
        <f>excelsalesdata[[#This Row],[Profit]]/excelsalesdata[[#This Row],[Net_sales]]</f>
        <v>0.80399643629884177</v>
      </c>
      <c r="AB1190" s="4">
        <f>YEAR(excelsalesdata[[#This Row],[Order_Date]])</f>
        <v>2028</v>
      </c>
      <c r="AC1190" s="4" t="str">
        <f>TEXT(excelsalesdata[[#This Row],[Order_Date]],"mmm")</f>
        <v>Jul</v>
      </c>
      <c r="AD1190" s="4" t="str">
        <f>"Q"&amp;ROUNDUP(MONTH(excelsalesdata[[#This Row],[Order_Date]])/3,0)</f>
        <v>Q3</v>
      </c>
    </row>
    <row r="1191" spans="1:30" x14ac:dyDescent="0.35">
      <c r="A1191" t="s">
        <v>1993</v>
      </c>
      <c r="B1191" s="3">
        <v>46949</v>
      </c>
      <c r="C1191" t="s">
        <v>193</v>
      </c>
      <c r="D1191" t="s">
        <v>588</v>
      </c>
      <c r="E1191" t="str">
        <f>TRIM(excelsalesdata[[#This Row],[Customer_Name]])</f>
        <v>Karan Rao</v>
      </c>
      <c r="F1191" t="s">
        <v>44</v>
      </c>
      <c r="G1191">
        <v>49</v>
      </c>
      <c r="H1191" t="s">
        <v>35</v>
      </c>
      <c r="I1191" t="str">
        <f>TRIM(excelsalesdata[[#This Row],[City]])</f>
        <v>Kolkata</v>
      </c>
      <c r="J1191" t="s">
        <v>36</v>
      </c>
      <c r="K1191" t="s">
        <v>37</v>
      </c>
      <c r="L1191" t="s">
        <v>85</v>
      </c>
      <c r="M1191" t="s">
        <v>110</v>
      </c>
      <c r="N1191" t="s">
        <v>110</v>
      </c>
      <c r="O1191">
        <v>1</v>
      </c>
      <c r="P1191">
        <v>1150</v>
      </c>
      <c r="Q1191">
        <v>0.25</v>
      </c>
      <c r="R1191">
        <v>600</v>
      </c>
      <c r="S1191" t="s">
        <v>29</v>
      </c>
      <c r="T1191" t="s">
        <v>30</v>
      </c>
      <c r="U1191">
        <v>4</v>
      </c>
      <c r="V1191" t="s">
        <v>40</v>
      </c>
      <c r="W1191">
        <f>excelsalesdata[[#This Row],[Quantity]]*excelsalesdata[[#This Row],[Unit_Price]]</f>
        <v>1150</v>
      </c>
      <c r="X1191">
        <f>excelsalesdata[[#This Row],[Gross_sales]]*excelsalesdata[[#This Row],[Discount_%]]</f>
        <v>287.5</v>
      </c>
      <c r="Y1191">
        <f>excelsalesdata[[#This Row],[Gross_sales]]-excelsalesdata[[#This Row],[Discount_amt]]</f>
        <v>862.5</v>
      </c>
      <c r="Z1191" s="4">
        <f>excelsalesdata[[#This Row],[Net_sales]]-excelsalesdata[[#This Row],[Cost]]</f>
        <v>262.5</v>
      </c>
      <c r="AA1191" s="5">
        <f>excelsalesdata[[#This Row],[Profit]]/excelsalesdata[[#This Row],[Net_sales]]</f>
        <v>0.30434782608695654</v>
      </c>
      <c r="AB1191" s="4">
        <f>YEAR(excelsalesdata[[#This Row],[Order_Date]])</f>
        <v>2028</v>
      </c>
      <c r="AC1191" s="4" t="str">
        <f>TEXT(excelsalesdata[[#This Row],[Order_Date]],"mmm")</f>
        <v>Jul</v>
      </c>
      <c r="AD1191" s="4" t="str">
        <f>"Q"&amp;ROUNDUP(MONTH(excelsalesdata[[#This Row],[Order_Date]])/3,0)</f>
        <v>Q3</v>
      </c>
    </row>
    <row r="1192" spans="1:30" x14ac:dyDescent="0.35">
      <c r="A1192" t="s">
        <v>1994</v>
      </c>
      <c r="B1192" s="3">
        <v>46950</v>
      </c>
      <c r="C1192" t="s">
        <v>438</v>
      </c>
      <c r="D1192" t="s">
        <v>820</v>
      </c>
      <c r="E1192" t="str">
        <f>TRIM(excelsalesdata[[#This Row],[Customer_Name]])</f>
        <v>Ishita Verma</v>
      </c>
      <c r="F1192" t="s">
        <v>44</v>
      </c>
      <c r="G1192">
        <v>53</v>
      </c>
      <c r="H1192" t="s">
        <v>52</v>
      </c>
      <c r="I1192" t="str">
        <f>TRIM(excelsalesdata[[#This Row],[City]])</f>
        <v>Bengaluru</v>
      </c>
      <c r="J1192" t="s">
        <v>53</v>
      </c>
      <c r="K1192" t="s">
        <v>47</v>
      </c>
      <c r="L1192" t="s">
        <v>27</v>
      </c>
      <c r="M1192" t="s">
        <v>123</v>
      </c>
      <c r="N1192" t="s">
        <v>123</v>
      </c>
      <c r="O1192">
        <v>4</v>
      </c>
      <c r="P1192">
        <v>2680</v>
      </c>
      <c r="Q1192">
        <v>0.1</v>
      </c>
      <c r="R1192">
        <v>1520</v>
      </c>
      <c r="S1192" t="s">
        <v>67</v>
      </c>
      <c r="T1192" t="s">
        <v>30</v>
      </c>
      <c r="U1192">
        <v>6</v>
      </c>
      <c r="V1192" t="s">
        <v>40</v>
      </c>
      <c r="W1192">
        <f>excelsalesdata[[#This Row],[Quantity]]*excelsalesdata[[#This Row],[Unit_Price]]</f>
        <v>10720</v>
      </c>
      <c r="X1192">
        <f>excelsalesdata[[#This Row],[Gross_sales]]*excelsalesdata[[#This Row],[Discount_%]]</f>
        <v>1072</v>
      </c>
      <c r="Y1192">
        <f>excelsalesdata[[#This Row],[Gross_sales]]-excelsalesdata[[#This Row],[Discount_amt]]</f>
        <v>9648</v>
      </c>
      <c r="Z1192" s="4">
        <f>excelsalesdata[[#This Row],[Net_sales]]-excelsalesdata[[#This Row],[Cost]]</f>
        <v>8128</v>
      </c>
      <c r="AA1192" s="5">
        <f>excelsalesdata[[#This Row],[Profit]]/excelsalesdata[[#This Row],[Net_sales]]</f>
        <v>0.84245439469320071</v>
      </c>
      <c r="AB1192" s="4">
        <f>YEAR(excelsalesdata[[#This Row],[Order_Date]])</f>
        <v>2028</v>
      </c>
      <c r="AC1192" s="4" t="str">
        <f>TEXT(excelsalesdata[[#This Row],[Order_Date]],"mmm")</f>
        <v>Jul</v>
      </c>
      <c r="AD1192" s="4" t="str">
        <f>"Q"&amp;ROUNDUP(MONTH(excelsalesdata[[#This Row],[Order_Date]])/3,0)</f>
        <v>Q3</v>
      </c>
    </row>
    <row r="1193" spans="1:30" x14ac:dyDescent="0.35">
      <c r="A1193" t="s">
        <v>1995</v>
      </c>
      <c r="B1193" s="3">
        <v>46951</v>
      </c>
      <c r="C1193" t="s">
        <v>648</v>
      </c>
      <c r="D1193" t="s">
        <v>566</v>
      </c>
      <c r="E1193" t="str">
        <f>TRIM(excelsalesdata[[#This Row],[Customer_Name]])</f>
        <v>Sneha Reddy</v>
      </c>
      <c r="F1193" t="s">
        <v>44</v>
      </c>
      <c r="G1193">
        <v>29</v>
      </c>
      <c r="H1193" t="s">
        <v>155</v>
      </c>
      <c r="I1193" t="str">
        <f>TRIM(excelsalesdata[[#This Row],[City]])</f>
        <v>Chennai</v>
      </c>
      <c r="J1193" t="s">
        <v>156</v>
      </c>
      <c r="K1193" t="s">
        <v>47</v>
      </c>
      <c r="L1193" t="s">
        <v>103</v>
      </c>
      <c r="M1193" t="s">
        <v>178</v>
      </c>
      <c r="N1193" t="s">
        <v>178</v>
      </c>
      <c r="O1193">
        <v>1</v>
      </c>
      <c r="P1193">
        <v>1730</v>
      </c>
      <c r="Q1193">
        <v>0.25</v>
      </c>
      <c r="R1193">
        <v>940</v>
      </c>
      <c r="S1193" t="s">
        <v>105</v>
      </c>
      <c r="T1193" t="s">
        <v>30</v>
      </c>
      <c r="U1193">
        <v>5</v>
      </c>
      <c r="V1193" t="s">
        <v>40</v>
      </c>
      <c r="W1193">
        <f>excelsalesdata[[#This Row],[Quantity]]*excelsalesdata[[#This Row],[Unit_Price]]</f>
        <v>1730</v>
      </c>
      <c r="X1193">
        <f>excelsalesdata[[#This Row],[Gross_sales]]*excelsalesdata[[#This Row],[Discount_%]]</f>
        <v>432.5</v>
      </c>
      <c r="Y1193">
        <f>excelsalesdata[[#This Row],[Gross_sales]]-excelsalesdata[[#This Row],[Discount_amt]]</f>
        <v>1297.5</v>
      </c>
      <c r="Z1193" s="4">
        <f>excelsalesdata[[#This Row],[Net_sales]]-excelsalesdata[[#This Row],[Cost]]</f>
        <v>357.5</v>
      </c>
      <c r="AA1193" s="5">
        <f>excelsalesdata[[#This Row],[Profit]]/excelsalesdata[[#This Row],[Net_sales]]</f>
        <v>0.27552986512524086</v>
      </c>
      <c r="AB1193" s="4">
        <f>YEAR(excelsalesdata[[#This Row],[Order_Date]])</f>
        <v>2028</v>
      </c>
      <c r="AC1193" s="4" t="str">
        <f>TEXT(excelsalesdata[[#This Row],[Order_Date]],"mmm")</f>
        <v>Jul</v>
      </c>
      <c r="AD1193" s="4" t="str">
        <f>"Q"&amp;ROUNDUP(MONTH(excelsalesdata[[#This Row],[Order_Date]])/3,0)</f>
        <v>Q3</v>
      </c>
    </row>
    <row r="1194" spans="1:30" x14ac:dyDescent="0.35">
      <c r="A1194" t="s">
        <v>1996</v>
      </c>
      <c r="B1194" s="3">
        <v>46952</v>
      </c>
      <c r="C1194" t="s">
        <v>412</v>
      </c>
      <c r="D1194" t="s">
        <v>132</v>
      </c>
      <c r="E1194" t="str">
        <f>TRIM(excelsalesdata[[#This Row],[Customer_Name]])</f>
        <v>Vivaan Das</v>
      </c>
      <c r="F1194" t="s">
        <v>44</v>
      </c>
      <c r="G1194">
        <v>49</v>
      </c>
      <c r="H1194" t="s">
        <v>109</v>
      </c>
      <c r="I1194" t="str">
        <f>TRIM(excelsalesdata[[#This Row],[City]])</f>
        <v>Mysuru</v>
      </c>
      <c r="J1194" t="s">
        <v>53</v>
      </c>
      <c r="K1194" t="s">
        <v>47</v>
      </c>
      <c r="L1194" t="s">
        <v>27</v>
      </c>
      <c r="M1194" t="s">
        <v>48</v>
      </c>
      <c r="N1194" t="s">
        <v>48</v>
      </c>
      <c r="O1194">
        <v>1</v>
      </c>
      <c r="P1194">
        <v>960</v>
      </c>
      <c r="Q1194">
        <v>0.25</v>
      </c>
      <c r="R1194">
        <v>430</v>
      </c>
      <c r="S1194" t="s">
        <v>29</v>
      </c>
      <c r="T1194" t="s">
        <v>30</v>
      </c>
      <c r="U1194">
        <v>3</v>
      </c>
      <c r="V1194" t="s">
        <v>40</v>
      </c>
      <c r="W1194">
        <f>excelsalesdata[[#This Row],[Quantity]]*excelsalesdata[[#This Row],[Unit_Price]]</f>
        <v>960</v>
      </c>
      <c r="X1194">
        <f>excelsalesdata[[#This Row],[Gross_sales]]*excelsalesdata[[#This Row],[Discount_%]]</f>
        <v>240</v>
      </c>
      <c r="Y1194">
        <f>excelsalesdata[[#This Row],[Gross_sales]]-excelsalesdata[[#This Row],[Discount_amt]]</f>
        <v>720</v>
      </c>
      <c r="Z1194" s="4">
        <f>excelsalesdata[[#This Row],[Net_sales]]-excelsalesdata[[#This Row],[Cost]]</f>
        <v>290</v>
      </c>
      <c r="AA1194" s="5">
        <f>excelsalesdata[[#This Row],[Profit]]/excelsalesdata[[#This Row],[Net_sales]]</f>
        <v>0.40277777777777779</v>
      </c>
      <c r="AB1194" s="4">
        <f>YEAR(excelsalesdata[[#This Row],[Order_Date]])</f>
        <v>2028</v>
      </c>
      <c r="AC1194" s="4" t="str">
        <f>TEXT(excelsalesdata[[#This Row],[Order_Date]],"mmm")</f>
        <v>Jul</v>
      </c>
      <c r="AD1194" s="4" t="str">
        <f>"Q"&amp;ROUNDUP(MONTH(excelsalesdata[[#This Row],[Order_Date]])/3,0)</f>
        <v>Q3</v>
      </c>
    </row>
    <row r="1195" spans="1:30" x14ac:dyDescent="0.35">
      <c r="A1195" t="s">
        <v>1997</v>
      </c>
      <c r="B1195" s="3">
        <v>46953</v>
      </c>
      <c r="C1195" t="s">
        <v>1003</v>
      </c>
      <c r="D1195" t="s">
        <v>466</v>
      </c>
      <c r="E1195" t="str">
        <f>TRIM(excelsalesdata[[#This Row],[Customer_Name]])</f>
        <v>Ishita Bhat</v>
      </c>
      <c r="F1195" t="s">
        <v>23</v>
      </c>
      <c r="G1195">
        <v>19</v>
      </c>
      <c r="H1195" t="s">
        <v>155</v>
      </c>
      <c r="I1195" t="str">
        <f>TRIM(excelsalesdata[[#This Row],[City]])</f>
        <v>Chennai</v>
      </c>
      <c r="J1195" t="s">
        <v>156</v>
      </c>
      <c r="K1195" t="s">
        <v>47</v>
      </c>
      <c r="L1195" t="s">
        <v>27</v>
      </c>
      <c r="M1195" t="s">
        <v>295</v>
      </c>
      <c r="N1195" t="s">
        <v>295</v>
      </c>
      <c r="O1195">
        <v>4</v>
      </c>
      <c r="P1195">
        <v>4350</v>
      </c>
      <c r="Q1195">
        <v>0.1</v>
      </c>
      <c r="R1195">
        <v>2520</v>
      </c>
      <c r="S1195" t="s">
        <v>29</v>
      </c>
      <c r="T1195" t="s">
        <v>30</v>
      </c>
      <c r="U1195">
        <v>5</v>
      </c>
      <c r="V1195" t="s">
        <v>40</v>
      </c>
      <c r="W1195">
        <f>excelsalesdata[[#This Row],[Quantity]]*excelsalesdata[[#This Row],[Unit_Price]]</f>
        <v>17400</v>
      </c>
      <c r="X1195">
        <f>excelsalesdata[[#This Row],[Gross_sales]]*excelsalesdata[[#This Row],[Discount_%]]</f>
        <v>1740</v>
      </c>
      <c r="Y1195">
        <f>excelsalesdata[[#This Row],[Gross_sales]]-excelsalesdata[[#This Row],[Discount_amt]]</f>
        <v>15660</v>
      </c>
      <c r="Z1195" s="4">
        <f>excelsalesdata[[#This Row],[Net_sales]]-excelsalesdata[[#This Row],[Cost]]</f>
        <v>13140</v>
      </c>
      <c r="AA1195" s="5">
        <f>excelsalesdata[[#This Row],[Profit]]/excelsalesdata[[#This Row],[Net_sales]]</f>
        <v>0.83908045977011492</v>
      </c>
      <c r="AB1195" s="4">
        <f>YEAR(excelsalesdata[[#This Row],[Order_Date]])</f>
        <v>2028</v>
      </c>
      <c r="AC1195" s="4" t="str">
        <f>TEXT(excelsalesdata[[#This Row],[Order_Date]],"mmm")</f>
        <v>Jul</v>
      </c>
      <c r="AD1195" s="4" t="str">
        <f>"Q"&amp;ROUNDUP(MONTH(excelsalesdata[[#This Row],[Order_Date]])/3,0)</f>
        <v>Q3</v>
      </c>
    </row>
    <row r="1196" spans="1:30" x14ac:dyDescent="0.35">
      <c r="A1196" t="s">
        <v>1998</v>
      </c>
      <c r="B1196" s="3">
        <v>46954</v>
      </c>
      <c r="C1196" t="s">
        <v>1999</v>
      </c>
      <c r="D1196" t="s">
        <v>328</v>
      </c>
      <c r="E1196" t="str">
        <f>TRIM(excelsalesdata[[#This Row],[Customer_Name]])</f>
        <v>Aarav Verma</v>
      </c>
      <c r="F1196" t="s">
        <v>23</v>
      </c>
      <c r="G1196">
        <v>51</v>
      </c>
      <c r="H1196" t="s">
        <v>155</v>
      </c>
      <c r="I1196" t="str">
        <f>TRIM(excelsalesdata[[#This Row],[City]])</f>
        <v>Chennai</v>
      </c>
      <c r="J1196" t="s">
        <v>156</v>
      </c>
      <c r="K1196" t="s">
        <v>47</v>
      </c>
      <c r="L1196" t="s">
        <v>38</v>
      </c>
      <c r="M1196" t="s">
        <v>255</v>
      </c>
      <c r="N1196" t="s">
        <v>255</v>
      </c>
      <c r="O1196">
        <v>1</v>
      </c>
      <c r="P1196">
        <v>4800</v>
      </c>
      <c r="Q1196">
        <v>0.05</v>
      </c>
      <c r="R1196">
        <v>2850</v>
      </c>
      <c r="S1196" t="s">
        <v>29</v>
      </c>
      <c r="T1196" t="s">
        <v>30</v>
      </c>
      <c r="U1196">
        <v>6</v>
      </c>
      <c r="V1196" t="s">
        <v>40</v>
      </c>
      <c r="W1196">
        <f>excelsalesdata[[#This Row],[Quantity]]*excelsalesdata[[#This Row],[Unit_Price]]</f>
        <v>4800</v>
      </c>
      <c r="X1196">
        <f>excelsalesdata[[#This Row],[Gross_sales]]*excelsalesdata[[#This Row],[Discount_%]]</f>
        <v>240</v>
      </c>
      <c r="Y1196">
        <f>excelsalesdata[[#This Row],[Gross_sales]]-excelsalesdata[[#This Row],[Discount_amt]]</f>
        <v>4560</v>
      </c>
      <c r="Z1196" s="4">
        <f>excelsalesdata[[#This Row],[Net_sales]]-excelsalesdata[[#This Row],[Cost]]</f>
        <v>1710</v>
      </c>
      <c r="AA1196" s="5">
        <f>excelsalesdata[[#This Row],[Profit]]/excelsalesdata[[#This Row],[Net_sales]]</f>
        <v>0.375</v>
      </c>
      <c r="AB1196" s="4">
        <f>YEAR(excelsalesdata[[#This Row],[Order_Date]])</f>
        <v>2028</v>
      </c>
      <c r="AC1196" s="4" t="str">
        <f>TEXT(excelsalesdata[[#This Row],[Order_Date]],"mmm")</f>
        <v>Jul</v>
      </c>
      <c r="AD1196" s="4" t="str">
        <f>"Q"&amp;ROUNDUP(MONTH(excelsalesdata[[#This Row],[Order_Date]])/3,0)</f>
        <v>Q3</v>
      </c>
    </row>
    <row r="1197" spans="1:30" x14ac:dyDescent="0.35">
      <c r="A1197" t="s">
        <v>2000</v>
      </c>
      <c r="B1197" s="3">
        <v>46955</v>
      </c>
      <c r="C1197" t="s">
        <v>1741</v>
      </c>
      <c r="D1197" t="s">
        <v>499</v>
      </c>
      <c r="E1197" t="str">
        <f>TRIM(excelsalesdata[[#This Row],[Customer_Name]])</f>
        <v>Aditya Nair</v>
      </c>
      <c r="F1197" t="s">
        <v>23</v>
      </c>
      <c r="G1197">
        <v>30</v>
      </c>
      <c r="H1197" t="s">
        <v>78</v>
      </c>
      <c r="I1197" t="str">
        <f>TRIM(excelsalesdata[[#This Row],[City]])</f>
        <v>Guwahati</v>
      </c>
      <c r="J1197" t="s">
        <v>79</v>
      </c>
      <c r="K1197" t="s">
        <v>37</v>
      </c>
      <c r="L1197" t="s">
        <v>38</v>
      </c>
      <c r="M1197" t="s">
        <v>255</v>
      </c>
      <c r="N1197" t="s">
        <v>255</v>
      </c>
      <c r="O1197">
        <v>3</v>
      </c>
      <c r="P1197">
        <v>4520</v>
      </c>
      <c r="Q1197">
        <v>0.1</v>
      </c>
      <c r="R1197">
        <v>2870</v>
      </c>
      <c r="S1197" t="s">
        <v>56</v>
      </c>
      <c r="T1197" t="s">
        <v>30</v>
      </c>
      <c r="U1197">
        <v>7</v>
      </c>
      <c r="V1197" t="s">
        <v>31</v>
      </c>
      <c r="W1197">
        <f>excelsalesdata[[#This Row],[Quantity]]*excelsalesdata[[#This Row],[Unit_Price]]</f>
        <v>13560</v>
      </c>
      <c r="X1197">
        <f>excelsalesdata[[#This Row],[Gross_sales]]*excelsalesdata[[#This Row],[Discount_%]]</f>
        <v>1356</v>
      </c>
      <c r="Y1197">
        <f>excelsalesdata[[#This Row],[Gross_sales]]-excelsalesdata[[#This Row],[Discount_amt]]</f>
        <v>12204</v>
      </c>
      <c r="Z1197" s="4">
        <f>excelsalesdata[[#This Row],[Net_sales]]-excelsalesdata[[#This Row],[Cost]]</f>
        <v>9334</v>
      </c>
      <c r="AA1197" s="5">
        <f>excelsalesdata[[#This Row],[Profit]]/excelsalesdata[[#This Row],[Net_sales]]</f>
        <v>0.76483120288430018</v>
      </c>
      <c r="AB1197" s="4">
        <f>YEAR(excelsalesdata[[#This Row],[Order_Date]])</f>
        <v>2028</v>
      </c>
      <c r="AC1197" s="4" t="str">
        <f>TEXT(excelsalesdata[[#This Row],[Order_Date]],"mmm")</f>
        <v>Jul</v>
      </c>
      <c r="AD1197" s="4" t="str">
        <f>"Q"&amp;ROUNDUP(MONTH(excelsalesdata[[#This Row],[Order_Date]])/3,0)</f>
        <v>Q3</v>
      </c>
    </row>
    <row r="1198" spans="1:30" x14ac:dyDescent="0.35">
      <c r="A1198" t="s">
        <v>2001</v>
      </c>
      <c r="B1198" s="3">
        <v>46956</v>
      </c>
      <c r="C1198" t="s">
        <v>471</v>
      </c>
      <c r="D1198" t="s">
        <v>189</v>
      </c>
      <c r="E1198" t="str">
        <f>TRIM(excelsalesdata[[#This Row],[Customer_Name]])</f>
        <v>Aarav Reddy</v>
      </c>
      <c r="F1198" t="s">
        <v>23</v>
      </c>
      <c r="G1198">
        <v>20</v>
      </c>
      <c r="H1198" t="s">
        <v>155</v>
      </c>
      <c r="I1198" t="str">
        <f>TRIM(excelsalesdata[[#This Row],[City]])</f>
        <v>Chennai</v>
      </c>
      <c r="J1198" t="s">
        <v>156</v>
      </c>
      <c r="K1198" t="s">
        <v>47</v>
      </c>
      <c r="L1198" t="s">
        <v>54</v>
      </c>
      <c r="M1198" t="s">
        <v>55</v>
      </c>
      <c r="N1198" t="s">
        <v>55</v>
      </c>
      <c r="O1198">
        <v>2</v>
      </c>
      <c r="P1198">
        <v>6470</v>
      </c>
      <c r="Q1198">
        <v>0.25</v>
      </c>
      <c r="R1198">
        <v>4370</v>
      </c>
      <c r="S1198" t="s">
        <v>80</v>
      </c>
      <c r="T1198" t="s">
        <v>30</v>
      </c>
      <c r="U1198">
        <v>4</v>
      </c>
      <c r="V1198" t="s">
        <v>40</v>
      </c>
      <c r="W1198">
        <f>excelsalesdata[[#This Row],[Quantity]]*excelsalesdata[[#This Row],[Unit_Price]]</f>
        <v>12940</v>
      </c>
      <c r="X1198">
        <f>excelsalesdata[[#This Row],[Gross_sales]]*excelsalesdata[[#This Row],[Discount_%]]</f>
        <v>3235</v>
      </c>
      <c r="Y1198">
        <f>excelsalesdata[[#This Row],[Gross_sales]]-excelsalesdata[[#This Row],[Discount_amt]]</f>
        <v>9705</v>
      </c>
      <c r="Z1198" s="4">
        <f>excelsalesdata[[#This Row],[Net_sales]]-excelsalesdata[[#This Row],[Cost]]</f>
        <v>5335</v>
      </c>
      <c r="AA1198" s="5">
        <f>excelsalesdata[[#This Row],[Profit]]/excelsalesdata[[#This Row],[Net_sales]]</f>
        <v>0.5497166409067491</v>
      </c>
      <c r="AB1198" s="4">
        <f>YEAR(excelsalesdata[[#This Row],[Order_Date]])</f>
        <v>2028</v>
      </c>
      <c r="AC1198" s="4" t="str">
        <f>TEXT(excelsalesdata[[#This Row],[Order_Date]],"mmm")</f>
        <v>Jul</v>
      </c>
      <c r="AD1198" s="4" t="str">
        <f>"Q"&amp;ROUNDUP(MONTH(excelsalesdata[[#This Row],[Order_Date]])/3,0)</f>
        <v>Q3</v>
      </c>
    </row>
    <row r="1199" spans="1:30" x14ac:dyDescent="0.35">
      <c r="A1199" t="s">
        <v>2002</v>
      </c>
      <c r="B1199" s="3">
        <v>46957</v>
      </c>
      <c r="C1199" t="s">
        <v>1515</v>
      </c>
      <c r="D1199" t="s">
        <v>1604</v>
      </c>
      <c r="E1199" t="str">
        <f>TRIM(excelsalesdata[[#This Row],[Customer_Name]])</f>
        <v>Vivaan Gupta</v>
      </c>
      <c r="F1199" t="s">
        <v>44</v>
      </c>
      <c r="G1199">
        <v>18</v>
      </c>
      <c r="H1199" t="s">
        <v>133</v>
      </c>
      <c r="I1199" t="str">
        <f>TRIM(excelsalesdata[[#This Row],[City]])</f>
        <v>Jaipur</v>
      </c>
      <c r="J1199" t="s">
        <v>134</v>
      </c>
      <c r="K1199" t="s">
        <v>61</v>
      </c>
      <c r="L1199" t="s">
        <v>85</v>
      </c>
      <c r="M1199" t="s">
        <v>251</v>
      </c>
      <c r="N1199" t="s">
        <v>251</v>
      </c>
      <c r="O1199">
        <v>2</v>
      </c>
      <c r="P1199">
        <v>2960</v>
      </c>
      <c r="Q1199">
        <v>0.2</v>
      </c>
      <c r="R1199">
        <v>1830</v>
      </c>
      <c r="S1199" t="s">
        <v>80</v>
      </c>
      <c r="T1199" t="s">
        <v>30</v>
      </c>
      <c r="U1199">
        <v>1</v>
      </c>
      <c r="V1199" t="s">
        <v>31</v>
      </c>
      <c r="W1199">
        <f>excelsalesdata[[#This Row],[Quantity]]*excelsalesdata[[#This Row],[Unit_Price]]</f>
        <v>5920</v>
      </c>
      <c r="X1199">
        <f>excelsalesdata[[#This Row],[Gross_sales]]*excelsalesdata[[#This Row],[Discount_%]]</f>
        <v>1184</v>
      </c>
      <c r="Y1199">
        <f>excelsalesdata[[#This Row],[Gross_sales]]-excelsalesdata[[#This Row],[Discount_amt]]</f>
        <v>4736</v>
      </c>
      <c r="Z1199" s="4">
        <f>excelsalesdata[[#This Row],[Net_sales]]-excelsalesdata[[#This Row],[Cost]]</f>
        <v>2906</v>
      </c>
      <c r="AA1199" s="5">
        <f>excelsalesdata[[#This Row],[Profit]]/excelsalesdata[[#This Row],[Net_sales]]</f>
        <v>0.61359797297297303</v>
      </c>
      <c r="AB1199" s="4">
        <f>YEAR(excelsalesdata[[#This Row],[Order_Date]])</f>
        <v>2028</v>
      </c>
      <c r="AC1199" s="4" t="str">
        <f>TEXT(excelsalesdata[[#This Row],[Order_Date]],"mmm")</f>
        <v>Jul</v>
      </c>
      <c r="AD1199" s="4" t="str">
        <f>"Q"&amp;ROUNDUP(MONTH(excelsalesdata[[#This Row],[Order_Date]])/3,0)</f>
        <v>Q3</v>
      </c>
    </row>
    <row r="1200" spans="1:30" x14ac:dyDescent="0.35">
      <c r="A1200" t="s">
        <v>2003</v>
      </c>
      <c r="B1200" s="3">
        <v>46958</v>
      </c>
      <c r="C1200" t="s">
        <v>431</v>
      </c>
      <c r="D1200" t="s">
        <v>689</v>
      </c>
      <c r="E1200" t="str">
        <f>TRIM(excelsalesdata[[#This Row],[Customer_Name]])</f>
        <v>Priya Rao</v>
      </c>
      <c r="F1200" t="s">
        <v>23</v>
      </c>
      <c r="G1200">
        <v>60</v>
      </c>
      <c r="H1200" t="s">
        <v>114</v>
      </c>
      <c r="I1200" t="str">
        <f>TRIM(excelsalesdata[[#This Row],[City]])</f>
        <v>Hyderabad</v>
      </c>
      <c r="J1200" t="s">
        <v>115</v>
      </c>
      <c r="K1200" t="s">
        <v>47</v>
      </c>
      <c r="L1200" t="s">
        <v>54</v>
      </c>
      <c r="M1200" t="s">
        <v>157</v>
      </c>
      <c r="N1200" t="s">
        <v>157</v>
      </c>
      <c r="O1200">
        <v>1</v>
      </c>
      <c r="P1200">
        <v>58220</v>
      </c>
      <c r="Q1200">
        <v>0.1</v>
      </c>
      <c r="R1200">
        <v>43050</v>
      </c>
      <c r="S1200" t="s">
        <v>80</v>
      </c>
      <c r="T1200" t="s">
        <v>30</v>
      </c>
      <c r="U1200">
        <v>5</v>
      </c>
      <c r="V1200" t="s">
        <v>31</v>
      </c>
      <c r="W1200">
        <f>excelsalesdata[[#This Row],[Quantity]]*excelsalesdata[[#This Row],[Unit_Price]]</f>
        <v>58220</v>
      </c>
      <c r="X1200">
        <f>excelsalesdata[[#This Row],[Gross_sales]]*excelsalesdata[[#This Row],[Discount_%]]</f>
        <v>5822</v>
      </c>
      <c r="Y1200">
        <f>excelsalesdata[[#This Row],[Gross_sales]]-excelsalesdata[[#This Row],[Discount_amt]]</f>
        <v>52398</v>
      </c>
      <c r="Z1200" s="4">
        <f>excelsalesdata[[#This Row],[Net_sales]]-excelsalesdata[[#This Row],[Cost]]</f>
        <v>9348</v>
      </c>
      <c r="AA1200" s="5">
        <f>excelsalesdata[[#This Row],[Profit]]/excelsalesdata[[#This Row],[Net_sales]]</f>
        <v>0.17840375586854459</v>
      </c>
      <c r="AB1200" s="4">
        <f>YEAR(excelsalesdata[[#This Row],[Order_Date]])</f>
        <v>2028</v>
      </c>
      <c r="AC1200" s="4" t="str">
        <f>TEXT(excelsalesdata[[#This Row],[Order_Date]],"mmm")</f>
        <v>Jul</v>
      </c>
      <c r="AD1200" s="4" t="str">
        <f>"Q"&amp;ROUNDUP(MONTH(excelsalesdata[[#This Row],[Order_Date]])/3,0)</f>
        <v>Q3</v>
      </c>
    </row>
    <row r="1201" spans="1:30" x14ac:dyDescent="0.35">
      <c r="A1201" t="s">
        <v>2004</v>
      </c>
      <c r="B1201" s="3">
        <v>46959</v>
      </c>
      <c r="C1201" t="s">
        <v>1473</v>
      </c>
      <c r="D1201" t="s">
        <v>1528</v>
      </c>
      <c r="E1201" t="str">
        <f>TRIM(excelsalesdata[[#This Row],[Customer_Name]])</f>
        <v>Nisha Patel</v>
      </c>
      <c r="F1201" t="s">
        <v>44</v>
      </c>
      <c r="G1201">
        <v>58</v>
      </c>
      <c r="H1201" t="s">
        <v>35</v>
      </c>
      <c r="I1201" t="str">
        <f>TRIM(excelsalesdata[[#This Row],[City]])</f>
        <v>Kolkata</v>
      </c>
      <c r="J1201" t="s">
        <v>36</v>
      </c>
      <c r="K1201" t="s">
        <v>37</v>
      </c>
      <c r="L1201" t="s">
        <v>54</v>
      </c>
      <c r="M1201" t="s">
        <v>62</v>
      </c>
      <c r="N1201" t="s">
        <v>62</v>
      </c>
      <c r="O1201">
        <v>1</v>
      </c>
      <c r="P1201">
        <v>22490</v>
      </c>
      <c r="Q1201">
        <v>0.25</v>
      </c>
      <c r="R1201">
        <v>14960</v>
      </c>
      <c r="S1201" t="s">
        <v>105</v>
      </c>
      <c r="T1201" t="s">
        <v>30</v>
      </c>
      <c r="U1201">
        <v>5</v>
      </c>
      <c r="V1201" t="s">
        <v>31</v>
      </c>
      <c r="W1201">
        <f>excelsalesdata[[#This Row],[Quantity]]*excelsalesdata[[#This Row],[Unit_Price]]</f>
        <v>22490</v>
      </c>
      <c r="X1201">
        <f>excelsalesdata[[#This Row],[Gross_sales]]*excelsalesdata[[#This Row],[Discount_%]]</f>
        <v>5622.5</v>
      </c>
      <c r="Y1201">
        <f>excelsalesdata[[#This Row],[Gross_sales]]-excelsalesdata[[#This Row],[Discount_amt]]</f>
        <v>16867.5</v>
      </c>
      <c r="Z1201" s="4">
        <f>excelsalesdata[[#This Row],[Net_sales]]-excelsalesdata[[#This Row],[Cost]]</f>
        <v>1907.5</v>
      </c>
      <c r="AA1201" s="5">
        <f>excelsalesdata[[#This Row],[Profit]]/excelsalesdata[[#This Row],[Net_sales]]</f>
        <v>0.11308729805839632</v>
      </c>
      <c r="AB1201" s="4">
        <f>YEAR(excelsalesdata[[#This Row],[Order_Date]])</f>
        <v>2028</v>
      </c>
      <c r="AC1201" s="4" t="str">
        <f>TEXT(excelsalesdata[[#This Row],[Order_Date]],"mmm")</f>
        <v>Jul</v>
      </c>
      <c r="AD1201" s="4" t="str">
        <f>"Q"&amp;ROUNDUP(MONTH(excelsalesdata[[#This Row],[Order_Date]])/3,0)</f>
        <v>Q3</v>
      </c>
    </row>
    <row r="1202" spans="1:30" x14ac:dyDescent="0.35">
      <c r="A1202" t="s">
        <v>2005</v>
      </c>
      <c r="B1202" s="3">
        <v>46960</v>
      </c>
      <c r="C1202" t="s">
        <v>743</v>
      </c>
      <c r="D1202" t="s">
        <v>1449</v>
      </c>
      <c r="E1202" t="str">
        <f>TRIM(excelsalesdata[[#This Row],[Customer_Name]])</f>
        <v>Ananya Nair</v>
      </c>
      <c r="F1202" t="s">
        <v>23</v>
      </c>
      <c r="G1202">
        <v>18</v>
      </c>
      <c r="H1202" t="s">
        <v>52</v>
      </c>
      <c r="I1202" t="str">
        <f>TRIM(excelsalesdata[[#This Row],[City]])</f>
        <v>Bengaluru</v>
      </c>
      <c r="J1202" t="s">
        <v>53</v>
      </c>
      <c r="K1202" t="s">
        <v>47</v>
      </c>
      <c r="L1202" t="s">
        <v>103</v>
      </c>
      <c r="M1202" t="s">
        <v>347</v>
      </c>
      <c r="N1202" t="s">
        <v>347</v>
      </c>
      <c r="O1202">
        <v>1</v>
      </c>
      <c r="P1202">
        <v>12940</v>
      </c>
      <c r="Q1202">
        <v>0.1</v>
      </c>
      <c r="R1202">
        <v>8460</v>
      </c>
      <c r="S1202" t="s">
        <v>80</v>
      </c>
      <c r="T1202" t="s">
        <v>74</v>
      </c>
      <c r="U1202">
        <v>8</v>
      </c>
      <c r="V1202" t="s">
        <v>31</v>
      </c>
      <c r="W1202">
        <f>excelsalesdata[[#This Row],[Quantity]]*excelsalesdata[[#This Row],[Unit_Price]]</f>
        <v>12940</v>
      </c>
      <c r="X1202">
        <f>excelsalesdata[[#This Row],[Gross_sales]]*excelsalesdata[[#This Row],[Discount_%]]</f>
        <v>1294</v>
      </c>
      <c r="Y1202">
        <f>excelsalesdata[[#This Row],[Gross_sales]]-excelsalesdata[[#This Row],[Discount_amt]]</f>
        <v>11646</v>
      </c>
      <c r="Z1202" s="4">
        <f>excelsalesdata[[#This Row],[Net_sales]]-excelsalesdata[[#This Row],[Cost]]</f>
        <v>3186</v>
      </c>
      <c r="AA1202" s="5">
        <f>excelsalesdata[[#This Row],[Profit]]/excelsalesdata[[#This Row],[Net_sales]]</f>
        <v>0.27357032457496139</v>
      </c>
      <c r="AB1202" s="4">
        <f>YEAR(excelsalesdata[[#This Row],[Order_Date]])</f>
        <v>2028</v>
      </c>
      <c r="AC1202" s="4" t="str">
        <f>TEXT(excelsalesdata[[#This Row],[Order_Date]],"mmm")</f>
        <v>Jul</v>
      </c>
      <c r="AD1202" s="4" t="str">
        <f>"Q"&amp;ROUNDUP(MONTH(excelsalesdata[[#This Row],[Order_Date]])/3,0)</f>
        <v>Q3</v>
      </c>
    </row>
    <row r="1203" spans="1:30" x14ac:dyDescent="0.35">
      <c r="A1203" t="s">
        <v>2006</v>
      </c>
      <c r="B1203" s="3">
        <v>46961</v>
      </c>
      <c r="C1203" t="s">
        <v>1193</v>
      </c>
      <c r="D1203" t="s">
        <v>1976</v>
      </c>
      <c r="E1203" t="str">
        <f>TRIM(excelsalesdata[[#This Row],[Customer_Name]])</f>
        <v>Rahul Nair</v>
      </c>
      <c r="F1203" t="s">
        <v>23</v>
      </c>
      <c r="G1203">
        <v>51</v>
      </c>
      <c r="H1203" t="s">
        <v>98</v>
      </c>
      <c r="I1203" t="str">
        <f>TRIM(excelsalesdata[[#This Row],[City]])</f>
        <v>Mumbai</v>
      </c>
      <c r="J1203" t="s">
        <v>25</v>
      </c>
      <c r="K1203" t="s">
        <v>26</v>
      </c>
      <c r="L1203" t="s">
        <v>54</v>
      </c>
      <c r="M1203" t="s">
        <v>55</v>
      </c>
      <c r="N1203" t="s">
        <v>55</v>
      </c>
      <c r="O1203">
        <v>1</v>
      </c>
      <c r="P1203">
        <v>6740</v>
      </c>
      <c r="Q1203">
        <v>0.1</v>
      </c>
      <c r="R1203">
        <v>4710</v>
      </c>
      <c r="S1203" t="s">
        <v>67</v>
      </c>
      <c r="T1203" t="s">
        <v>74</v>
      </c>
      <c r="U1203">
        <v>2</v>
      </c>
      <c r="V1203" t="s">
        <v>40</v>
      </c>
      <c r="W1203">
        <f>excelsalesdata[[#This Row],[Quantity]]*excelsalesdata[[#This Row],[Unit_Price]]</f>
        <v>6740</v>
      </c>
      <c r="X1203">
        <f>excelsalesdata[[#This Row],[Gross_sales]]*excelsalesdata[[#This Row],[Discount_%]]</f>
        <v>674</v>
      </c>
      <c r="Y1203">
        <f>excelsalesdata[[#This Row],[Gross_sales]]-excelsalesdata[[#This Row],[Discount_amt]]</f>
        <v>6066</v>
      </c>
      <c r="Z1203" s="4">
        <f>excelsalesdata[[#This Row],[Net_sales]]-excelsalesdata[[#This Row],[Cost]]</f>
        <v>1356</v>
      </c>
      <c r="AA1203" s="5">
        <f>excelsalesdata[[#This Row],[Profit]]/excelsalesdata[[#This Row],[Net_sales]]</f>
        <v>0.22354104846686448</v>
      </c>
      <c r="AB1203" s="4">
        <f>YEAR(excelsalesdata[[#This Row],[Order_Date]])</f>
        <v>2028</v>
      </c>
      <c r="AC1203" s="4" t="str">
        <f>TEXT(excelsalesdata[[#This Row],[Order_Date]],"mmm")</f>
        <v>Jul</v>
      </c>
      <c r="AD1203" s="4" t="str">
        <f>"Q"&amp;ROUNDUP(MONTH(excelsalesdata[[#This Row],[Order_Date]])/3,0)</f>
        <v>Q3</v>
      </c>
    </row>
    <row r="1204" spans="1:30" x14ac:dyDescent="0.35">
      <c r="A1204" t="s">
        <v>2007</v>
      </c>
      <c r="B1204" s="3">
        <v>46962</v>
      </c>
      <c r="C1204" t="s">
        <v>166</v>
      </c>
      <c r="D1204" t="s">
        <v>631</v>
      </c>
      <c r="E1204" t="str">
        <f>TRIM(excelsalesdata[[#This Row],[Customer_Name]])</f>
        <v>Diya Naidu</v>
      </c>
      <c r="F1204" t="s">
        <v>23</v>
      </c>
      <c r="G1204">
        <v>59</v>
      </c>
      <c r="H1204" t="s">
        <v>155</v>
      </c>
      <c r="I1204" t="str">
        <f>TRIM(excelsalesdata[[#This Row],[City]])</f>
        <v>Chennai</v>
      </c>
      <c r="J1204" t="s">
        <v>156</v>
      </c>
      <c r="K1204" t="s">
        <v>47</v>
      </c>
      <c r="L1204" t="s">
        <v>27</v>
      </c>
      <c r="M1204" t="s">
        <v>48</v>
      </c>
      <c r="N1204" t="s">
        <v>48</v>
      </c>
      <c r="O1204">
        <v>1</v>
      </c>
      <c r="P1204">
        <v>960</v>
      </c>
      <c r="Q1204">
        <v>0.3</v>
      </c>
      <c r="R1204">
        <v>440</v>
      </c>
      <c r="S1204" t="s">
        <v>29</v>
      </c>
      <c r="T1204" t="s">
        <v>30</v>
      </c>
      <c r="U1204">
        <v>4</v>
      </c>
      <c r="V1204" t="s">
        <v>31</v>
      </c>
      <c r="W1204">
        <f>excelsalesdata[[#This Row],[Quantity]]*excelsalesdata[[#This Row],[Unit_Price]]</f>
        <v>960</v>
      </c>
      <c r="X1204">
        <f>excelsalesdata[[#This Row],[Gross_sales]]*excelsalesdata[[#This Row],[Discount_%]]</f>
        <v>288</v>
      </c>
      <c r="Y1204">
        <f>excelsalesdata[[#This Row],[Gross_sales]]-excelsalesdata[[#This Row],[Discount_amt]]</f>
        <v>672</v>
      </c>
      <c r="Z1204" s="4">
        <f>excelsalesdata[[#This Row],[Net_sales]]-excelsalesdata[[#This Row],[Cost]]</f>
        <v>232</v>
      </c>
      <c r="AA1204" s="5">
        <f>excelsalesdata[[#This Row],[Profit]]/excelsalesdata[[#This Row],[Net_sales]]</f>
        <v>0.34523809523809523</v>
      </c>
      <c r="AB1204" s="4">
        <f>YEAR(excelsalesdata[[#This Row],[Order_Date]])</f>
        <v>2028</v>
      </c>
      <c r="AC1204" s="4" t="str">
        <f>TEXT(excelsalesdata[[#This Row],[Order_Date]],"mmm")</f>
        <v>Jul</v>
      </c>
      <c r="AD1204" s="4" t="str">
        <f>"Q"&amp;ROUNDUP(MONTH(excelsalesdata[[#This Row],[Order_Date]])/3,0)</f>
        <v>Q3</v>
      </c>
    </row>
    <row r="1205" spans="1:30" x14ac:dyDescent="0.35">
      <c r="A1205" t="s">
        <v>2008</v>
      </c>
      <c r="B1205" s="3">
        <v>46963</v>
      </c>
      <c r="C1205" t="s">
        <v>459</v>
      </c>
      <c r="D1205" t="s">
        <v>328</v>
      </c>
      <c r="E1205" t="str">
        <f>TRIM(excelsalesdata[[#This Row],[Customer_Name]])</f>
        <v>Aarav Verma</v>
      </c>
      <c r="F1205" t="s">
        <v>23</v>
      </c>
      <c r="G1205">
        <v>28</v>
      </c>
      <c r="H1205" t="s">
        <v>168</v>
      </c>
      <c r="I1205" t="str">
        <f>TRIM(excelsalesdata[[#This Row],[City]])</f>
        <v>Delhi</v>
      </c>
      <c r="J1205" t="s">
        <v>168</v>
      </c>
      <c r="K1205" t="s">
        <v>61</v>
      </c>
      <c r="L1205" t="s">
        <v>103</v>
      </c>
      <c r="M1205" t="s">
        <v>178</v>
      </c>
      <c r="N1205" t="s">
        <v>178</v>
      </c>
      <c r="O1205">
        <v>2</v>
      </c>
      <c r="P1205">
        <v>1740</v>
      </c>
      <c r="Q1205">
        <v>0</v>
      </c>
      <c r="R1205">
        <v>950</v>
      </c>
      <c r="S1205" t="s">
        <v>105</v>
      </c>
      <c r="T1205" t="s">
        <v>30</v>
      </c>
      <c r="U1205">
        <v>2</v>
      </c>
      <c r="V1205" t="s">
        <v>31</v>
      </c>
      <c r="W1205">
        <f>excelsalesdata[[#This Row],[Quantity]]*excelsalesdata[[#This Row],[Unit_Price]]</f>
        <v>3480</v>
      </c>
      <c r="X1205">
        <f>excelsalesdata[[#This Row],[Gross_sales]]*excelsalesdata[[#This Row],[Discount_%]]</f>
        <v>0</v>
      </c>
      <c r="Y1205">
        <f>excelsalesdata[[#This Row],[Gross_sales]]-excelsalesdata[[#This Row],[Discount_amt]]</f>
        <v>3480</v>
      </c>
      <c r="Z1205" s="4">
        <f>excelsalesdata[[#This Row],[Net_sales]]-excelsalesdata[[#This Row],[Cost]]</f>
        <v>2530</v>
      </c>
      <c r="AA1205" s="5">
        <f>excelsalesdata[[#This Row],[Profit]]/excelsalesdata[[#This Row],[Net_sales]]</f>
        <v>0.72701149425287359</v>
      </c>
      <c r="AB1205" s="4">
        <f>YEAR(excelsalesdata[[#This Row],[Order_Date]])</f>
        <v>2028</v>
      </c>
      <c r="AC1205" s="4" t="str">
        <f>TEXT(excelsalesdata[[#This Row],[Order_Date]],"mmm")</f>
        <v>Jul</v>
      </c>
      <c r="AD1205" s="4" t="str">
        <f>"Q"&amp;ROUNDUP(MONTH(excelsalesdata[[#This Row],[Order_Date]])/3,0)</f>
        <v>Q3</v>
      </c>
    </row>
    <row r="1206" spans="1:30" x14ac:dyDescent="0.35">
      <c r="A1206" t="s">
        <v>2009</v>
      </c>
      <c r="B1206" s="3">
        <v>46964</v>
      </c>
      <c r="C1206" t="s">
        <v>1502</v>
      </c>
      <c r="D1206" t="s">
        <v>128</v>
      </c>
      <c r="E1206" t="str">
        <f>TRIM(excelsalesdata[[#This Row],[Customer_Name]])</f>
        <v>Sneha Singh</v>
      </c>
      <c r="F1206" t="s">
        <v>23</v>
      </c>
      <c r="G1206">
        <v>47</v>
      </c>
      <c r="H1206" t="s">
        <v>190</v>
      </c>
      <c r="I1206" t="str">
        <f>TRIM(excelsalesdata[[#This Row],[City]])</f>
        <v>Ahmedabad</v>
      </c>
      <c r="J1206" t="s">
        <v>191</v>
      </c>
      <c r="K1206" t="s">
        <v>26</v>
      </c>
      <c r="L1206" t="s">
        <v>103</v>
      </c>
      <c r="M1206" t="s">
        <v>312</v>
      </c>
      <c r="N1206" t="s">
        <v>312</v>
      </c>
      <c r="O1206">
        <v>1</v>
      </c>
      <c r="P1206">
        <v>6140</v>
      </c>
      <c r="Q1206">
        <v>0.1</v>
      </c>
      <c r="R1206">
        <v>4090</v>
      </c>
      <c r="S1206" t="s">
        <v>80</v>
      </c>
      <c r="T1206" t="s">
        <v>99</v>
      </c>
      <c r="U1206">
        <v>5</v>
      </c>
      <c r="V1206" t="s">
        <v>31</v>
      </c>
      <c r="W1206">
        <f>excelsalesdata[[#This Row],[Quantity]]*excelsalesdata[[#This Row],[Unit_Price]]</f>
        <v>6140</v>
      </c>
      <c r="X1206">
        <f>excelsalesdata[[#This Row],[Gross_sales]]*excelsalesdata[[#This Row],[Discount_%]]</f>
        <v>614</v>
      </c>
      <c r="Y1206">
        <f>excelsalesdata[[#This Row],[Gross_sales]]-excelsalesdata[[#This Row],[Discount_amt]]</f>
        <v>5526</v>
      </c>
      <c r="Z1206" s="4">
        <f>excelsalesdata[[#This Row],[Net_sales]]-excelsalesdata[[#This Row],[Cost]]</f>
        <v>1436</v>
      </c>
      <c r="AA1206" s="5">
        <f>excelsalesdata[[#This Row],[Profit]]/excelsalesdata[[#This Row],[Net_sales]]</f>
        <v>0.25986246833152371</v>
      </c>
      <c r="AB1206" s="4">
        <f>YEAR(excelsalesdata[[#This Row],[Order_Date]])</f>
        <v>2028</v>
      </c>
      <c r="AC1206" s="4" t="str">
        <f>TEXT(excelsalesdata[[#This Row],[Order_Date]],"mmm")</f>
        <v>Jul</v>
      </c>
      <c r="AD1206" s="4" t="str">
        <f>"Q"&amp;ROUNDUP(MONTH(excelsalesdata[[#This Row],[Order_Date]])/3,0)</f>
        <v>Q3</v>
      </c>
    </row>
    <row r="1207" spans="1:30" x14ac:dyDescent="0.35">
      <c r="A1207" t="s">
        <v>2010</v>
      </c>
      <c r="B1207" s="3">
        <v>46965</v>
      </c>
      <c r="C1207" t="s">
        <v>473</v>
      </c>
      <c r="D1207" t="s">
        <v>637</v>
      </c>
      <c r="E1207" t="str">
        <f>TRIM(excelsalesdata[[#This Row],[Customer_Name]])</f>
        <v>Vikram Verma</v>
      </c>
      <c r="F1207" t="s">
        <v>44</v>
      </c>
      <c r="G1207">
        <v>42</v>
      </c>
      <c r="H1207" t="s">
        <v>60</v>
      </c>
      <c r="I1207" t="str">
        <f>TRIM(excelsalesdata[[#This Row],[City]])</f>
        <v>Chandigarh</v>
      </c>
      <c r="J1207" t="s">
        <v>60</v>
      </c>
      <c r="K1207" t="s">
        <v>61</v>
      </c>
      <c r="L1207" t="s">
        <v>103</v>
      </c>
      <c r="M1207" t="s">
        <v>178</v>
      </c>
      <c r="N1207" t="s">
        <v>178</v>
      </c>
      <c r="O1207">
        <v>1</v>
      </c>
      <c r="P1207">
        <v>1800</v>
      </c>
      <c r="Q1207">
        <v>0.1</v>
      </c>
      <c r="R1207">
        <v>990</v>
      </c>
      <c r="S1207" t="s">
        <v>80</v>
      </c>
      <c r="T1207" t="s">
        <v>81</v>
      </c>
      <c r="U1207">
        <v>0</v>
      </c>
      <c r="V1207" t="s">
        <v>31</v>
      </c>
      <c r="W1207">
        <f>excelsalesdata[[#This Row],[Quantity]]*excelsalesdata[[#This Row],[Unit_Price]]</f>
        <v>1800</v>
      </c>
      <c r="X1207">
        <f>excelsalesdata[[#This Row],[Gross_sales]]*excelsalesdata[[#This Row],[Discount_%]]</f>
        <v>180</v>
      </c>
      <c r="Y1207">
        <f>excelsalesdata[[#This Row],[Gross_sales]]-excelsalesdata[[#This Row],[Discount_amt]]</f>
        <v>1620</v>
      </c>
      <c r="Z1207" s="4">
        <f>excelsalesdata[[#This Row],[Net_sales]]-excelsalesdata[[#This Row],[Cost]]</f>
        <v>630</v>
      </c>
      <c r="AA1207" s="5">
        <f>excelsalesdata[[#This Row],[Profit]]/excelsalesdata[[#This Row],[Net_sales]]</f>
        <v>0.3888888888888889</v>
      </c>
      <c r="AB1207" s="4">
        <f>YEAR(excelsalesdata[[#This Row],[Order_Date]])</f>
        <v>2028</v>
      </c>
      <c r="AC1207" s="4" t="str">
        <f>TEXT(excelsalesdata[[#This Row],[Order_Date]],"mmm")</f>
        <v>Jul</v>
      </c>
      <c r="AD1207" s="4" t="str">
        <f>"Q"&amp;ROUNDUP(MONTH(excelsalesdata[[#This Row],[Order_Date]])/3,0)</f>
        <v>Q3</v>
      </c>
    </row>
    <row r="1208" spans="1:30" x14ac:dyDescent="0.35">
      <c r="A1208" t="s">
        <v>2011</v>
      </c>
      <c r="B1208" s="3">
        <v>46966</v>
      </c>
      <c r="C1208" t="s">
        <v>484</v>
      </c>
      <c r="D1208" t="s">
        <v>1449</v>
      </c>
      <c r="E1208" t="str">
        <f>TRIM(excelsalesdata[[#This Row],[Customer_Name]])</f>
        <v>Ananya Nair</v>
      </c>
      <c r="F1208" t="s">
        <v>44</v>
      </c>
      <c r="G1208">
        <v>44</v>
      </c>
      <c r="H1208" t="s">
        <v>78</v>
      </c>
      <c r="I1208" t="str">
        <f>TRIM(excelsalesdata[[#This Row],[City]])</f>
        <v>Guwahati</v>
      </c>
      <c r="J1208" t="s">
        <v>79</v>
      </c>
      <c r="K1208" t="s">
        <v>37</v>
      </c>
      <c r="L1208" t="s">
        <v>93</v>
      </c>
      <c r="M1208" t="s">
        <v>718</v>
      </c>
      <c r="N1208" t="s">
        <v>718</v>
      </c>
      <c r="O1208">
        <v>4</v>
      </c>
      <c r="P1208">
        <v>1690</v>
      </c>
      <c r="Q1208">
        <v>0.1</v>
      </c>
      <c r="R1208">
        <v>870</v>
      </c>
      <c r="S1208" t="s">
        <v>67</v>
      </c>
      <c r="T1208" t="s">
        <v>99</v>
      </c>
      <c r="U1208">
        <v>3</v>
      </c>
      <c r="V1208" t="s">
        <v>40</v>
      </c>
      <c r="W1208">
        <f>excelsalesdata[[#This Row],[Quantity]]*excelsalesdata[[#This Row],[Unit_Price]]</f>
        <v>6760</v>
      </c>
      <c r="X1208">
        <f>excelsalesdata[[#This Row],[Gross_sales]]*excelsalesdata[[#This Row],[Discount_%]]</f>
        <v>676</v>
      </c>
      <c r="Y1208">
        <f>excelsalesdata[[#This Row],[Gross_sales]]-excelsalesdata[[#This Row],[Discount_amt]]</f>
        <v>6084</v>
      </c>
      <c r="Z1208" s="4">
        <f>excelsalesdata[[#This Row],[Net_sales]]-excelsalesdata[[#This Row],[Cost]]</f>
        <v>5214</v>
      </c>
      <c r="AA1208" s="5">
        <f>excelsalesdata[[#This Row],[Profit]]/excelsalesdata[[#This Row],[Net_sales]]</f>
        <v>0.85700197238658782</v>
      </c>
      <c r="AB1208" s="4">
        <f>YEAR(excelsalesdata[[#This Row],[Order_Date]])</f>
        <v>2028</v>
      </c>
      <c r="AC1208" s="4" t="str">
        <f>TEXT(excelsalesdata[[#This Row],[Order_Date]],"mmm")</f>
        <v>Aug</v>
      </c>
      <c r="AD1208" s="4" t="str">
        <f>"Q"&amp;ROUNDUP(MONTH(excelsalesdata[[#This Row],[Order_Date]])/3,0)</f>
        <v>Q3</v>
      </c>
    </row>
    <row r="1209" spans="1:30" x14ac:dyDescent="0.35">
      <c r="A1209" t="s">
        <v>2012</v>
      </c>
      <c r="B1209" s="3">
        <v>46967</v>
      </c>
      <c r="C1209" t="s">
        <v>837</v>
      </c>
      <c r="D1209" t="s">
        <v>776</v>
      </c>
      <c r="E1209" t="str">
        <f>TRIM(excelsalesdata[[#This Row],[Customer_Name]])</f>
        <v>Ananya Shah</v>
      </c>
      <c r="F1209" t="s">
        <v>44</v>
      </c>
      <c r="G1209">
        <v>39</v>
      </c>
      <c r="H1209" t="s">
        <v>109</v>
      </c>
      <c r="I1209" t="str">
        <f>TRIM(excelsalesdata[[#This Row],[City]])</f>
        <v>Mysuru</v>
      </c>
      <c r="J1209" t="s">
        <v>53</v>
      </c>
      <c r="K1209" t="s">
        <v>47</v>
      </c>
      <c r="L1209" t="s">
        <v>85</v>
      </c>
      <c r="M1209" t="s">
        <v>202</v>
      </c>
      <c r="N1209" t="s">
        <v>202</v>
      </c>
      <c r="O1209">
        <v>1</v>
      </c>
      <c r="P1209">
        <v>960</v>
      </c>
      <c r="Q1209">
        <v>0.15</v>
      </c>
      <c r="R1209">
        <v>390</v>
      </c>
      <c r="S1209" t="s">
        <v>80</v>
      </c>
      <c r="T1209" t="s">
        <v>30</v>
      </c>
      <c r="U1209">
        <v>3</v>
      </c>
      <c r="V1209" t="s">
        <v>40</v>
      </c>
      <c r="W1209">
        <f>excelsalesdata[[#This Row],[Quantity]]*excelsalesdata[[#This Row],[Unit_Price]]</f>
        <v>960</v>
      </c>
      <c r="X1209">
        <f>excelsalesdata[[#This Row],[Gross_sales]]*excelsalesdata[[#This Row],[Discount_%]]</f>
        <v>144</v>
      </c>
      <c r="Y1209">
        <f>excelsalesdata[[#This Row],[Gross_sales]]-excelsalesdata[[#This Row],[Discount_amt]]</f>
        <v>816</v>
      </c>
      <c r="Z1209" s="4">
        <f>excelsalesdata[[#This Row],[Net_sales]]-excelsalesdata[[#This Row],[Cost]]</f>
        <v>426</v>
      </c>
      <c r="AA1209" s="5">
        <f>excelsalesdata[[#This Row],[Profit]]/excelsalesdata[[#This Row],[Net_sales]]</f>
        <v>0.5220588235294118</v>
      </c>
      <c r="AB1209" s="4">
        <f>YEAR(excelsalesdata[[#This Row],[Order_Date]])</f>
        <v>2028</v>
      </c>
      <c r="AC1209" s="4" t="str">
        <f>TEXT(excelsalesdata[[#This Row],[Order_Date]],"mmm")</f>
        <v>Aug</v>
      </c>
      <c r="AD1209" s="4" t="str">
        <f>"Q"&amp;ROUNDUP(MONTH(excelsalesdata[[#This Row],[Order_Date]])/3,0)</f>
        <v>Q3</v>
      </c>
    </row>
    <row r="1210" spans="1:30" x14ac:dyDescent="0.35">
      <c r="A1210" t="s">
        <v>2013</v>
      </c>
      <c r="B1210" s="3">
        <v>46968</v>
      </c>
      <c r="C1210" t="s">
        <v>1174</v>
      </c>
      <c r="D1210" t="s">
        <v>1238</v>
      </c>
      <c r="E1210" t="str">
        <f>TRIM(excelsalesdata[[#This Row],[Customer_Name]])</f>
        <v>Rahul Das</v>
      </c>
      <c r="F1210" t="s">
        <v>23</v>
      </c>
      <c r="G1210">
        <v>49</v>
      </c>
      <c r="H1210" t="s">
        <v>60</v>
      </c>
      <c r="I1210" t="str">
        <f>TRIM(excelsalesdata[[#This Row],[City]])</f>
        <v>Chandigarh</v>
      </c>
      <c r="J1210" t="s">
        <v>60</v>
      </c>
      <c r="K1210" t="s">
        <v>61</v>
      </c>
      <c r="L1210" t="s">
        <v>38</v>
      </c>
      <c r="M1210" t="s">
        <v>119</v>
      </c>
      <c r="N1210" t="s">
        <v>119</v>
      </c>
      <c r="O1210">
        <v>3</v>
      </c>
      <c r="P1210">
        <v>8690</v>
      </c>
      <c r="Q1210">
        <v>0.05</v>
      </c>
      <c r="R1210">
        <v>5550</v>
      </c>
      <c r="S1210" t="s">
        <v>151</v>
      </c>
      <c r="T1210" t="s">
        <v>30</v>
      </c>
      <c r="U1210">
        <v>3</v>
      </c>
      <c r="V1210" t="s">
        <v>40</v>
      </c>
      <c r="W1210">
        <f>excelsalesdata[[#This Row],[Quantity]]*excelsalesdata[[#This Row],[Unit_Price]]</f>
        <v>26070</v>
      </c>
      <c r="X1210">
        <f>excelsalesdata[[#This Row],[Gross_sales]]*excelsalesdata[[#This Row],[Discount_%]]</f>
        <v>1303.5</v>
      </c>
      <c r="Y1210">
        <f>excelsalesdata[[#This Row],[Gross_sales]]-excelsalesdata[[#This Row],[Discount_amt]]</f>
        <v>24766.5</v>
      </c>
      <c r="Z1210" s="4">
        <f>excelsalesdata[[#This Row],[Net_sales]]-excelsalesdata[[#This Row],[Cost]]</f>
        <v>19216.5</v>
      </c>
      <c r="AA1210" s="5">
        <f>excelsalesdata[[#This Row],[Profit]]/excelsalesdata[[#This Row],[Net_sales]]</f>
        <v>0.77590697111016893</v>
      </c>
      <c r="AB1210" s="4">
        <f>YEAR(excelsalesdata[[#This Row],[Order_Date]])</f>
        <v>2028</v>
      </c>
      <c r="AC1210" s="4" t="str">
        <f>TEXT(excelsalesdata[[#This Row],[Order_Date]],"mmm")</f>
        <v>Aug</v>
      </c>
      <c r="AD1210" s="4" t="str">
        <f>"Q"&amp;ROUNDUP(MONTH(excelsalesdata[[#This Row],[Order_Date]])/3,0)</f>
        <v>Q3</v>
      </c>
    </row>
    <row r="1211" spans="1:30" x14ac:dyDescent="0.35">
      <c r="A1211" t="s">
        <v>2014</v>
      </c>
      <c r="B1211" s="3">
        <v>46969</v>
      </c>
      <c r="C1211" t="s">
        <v>471</v>
      </c>
      <c r="D1211" t="s">
        <v>550</v>
      </c>
      <c r="E1211" t="str">
        <f>TRIM(excelsalesdata[[#This Row],[Customer_Name]])</f>
        <v>Rohan Reddy</v>
      </c>
      <c r="F1211" t="s">
        <v>23</v>
      </c>
      <c r="G1211">
        <v>45</v>
      </c>
      <c r="H1211" t="s">
        <v>98</v>
      </c>
      <c r="I1211" t="str">
        <f>TRIM(excelsalesdata[[#This Row],[City]])</f>
        <v>Mumbai</v>
      </c>
      <c r="J1211" t="s">
        <v>25</v>
      </c>
      <c r="K1211" t="s">
        <v>26</v>
      </c>
      <c r="L1211" t="s">
        <v>93</v>
      </c>
      <c r="M1211" t="s">
        <v>375</v>
      </c>
      <c r="N1211" t="s">
        <v>375</v>
      </c>
      <c r="O1211">
        <v>5</v>
      </c>
      <c r="P1211">
        <v>2110</v>
      </c>
      <c r="Q1211">
        <v>0.05</v>
      </c>
      <c r="R1211">
        <v>1200</v>
      </c>
      <c r="S1211" t="s">
        <v>29</v>
      </c>
      <c r="T1211" t="s">
        <v>30</v>
      </c>
      <c r="U1211">
        <v>6</v>
      </c>
      <c r="V1211" t="s">
        <v>40</v>
      </c>
      <c r="W1211">
        <f>excelsalesdata[[#This Row],[Quantity]]*excelsalesdata[[#This Row],[Unit_Price]]</f>
        <v>10550</v>
      </c>
      <c r="X1211">
        <f>excelsalesdata[[#This Row],[Gross_sales]]*excelsalesdata[[#This Row],[Discount_%]]</f>
        <v>527.5</v>
      </c>
      <c r="Y1211">
        <f>excelsalesdata[[#This Row],[Gross_sales]]-excelsalesdata[[#This Row],[Discount_amt]]</f>
        <v>10022.5</v>
      </c>
      <c r="Z1211" s="4">
        <f>excelsalesdata[[#This Row],[Net_sales]]-excelsalesdata[[#This Row],[Cost]]</f>
        <v>8822.5</v>
      </c>
      <c r="AA1211" s="5">
        <f>excelsalesdata[[#This Row],[Profit]]/excelsalesdata[[#This Row],[Net_sales]]</f>
        <v>0.88026939386380643</v>
      </c>
      <c r="AB1211" s="4">
        <f>YEAR(excelsalesdata[[#This Row],[Order_Date]])</f>
        <v>2028</v>
      </c>
      <c r="AC1211" s="4" t="str">
        <f>TEXT(excelsalesdata[[#This Row],[Order_Date]],"mmm")</f>
        <v>Aug</v>
      </c>
      <c r="AD1211" s="4" t="str">
        <f>"Q"&amp;ROUNDUP(MONTH(excelsalesdata[[#This Row],[Order_Date]])/3,0)</f>
        <v>Q3</v>
      </c>
    </row>
    <row r="1212" spans="1:30" x14ac:dyDescent="0.35">
      <c r="A1212" t="s">
        <v>2015</v>
      </c>
      <c r="B1212" s="3">
        <v>46970</v>
      </c>
      <c r="C1212" t="s">
        <v>112</v>
      </c>
      <c r="D1212" t="s">
        <v>318</v>
      </c>
      <c r="E1212" t="str">
        <f>TRIM(excelsalesdata[[#This Row],[Customer_Name]])</f>
        <v>Kavya Joshi</v>
      </c>
      <c r="F1212" t="s">
        <v>44</v>
      </c>
      <c r="G1212">
        <v>27</v>
      </c>
      <c r="H1212" t="s">
        <v>78</v>
      </c>
      <c r="I1212" t="str">
        <f>TRIM(excelsalesdata[[#This Row],[City]])</f>
        <v>Guwahati</v>
      </c>
      <c r="J1212" t="s">
        <v>79</v>
      </c>
      <c r="K1212" t="s">
        <v>37</v>
      </c>
      <c r="L1212" t="s">
        <v>103</v>
      </c>
      <c r="M1212" t="s">
        <v>312</v>
      </c>
      <c r="N1212" t="s">
        <v>312</v>
      </c>
      <c r="O1212">
        <v>2</v>
      </c>
      <c r="P1212">
        <v>6030</v>
      </c>
      <c r="Q1212">
        <v>0.25</v>
      </c>
      <c r="R1212">
        <v>4250</v>
      </c>
      <c r="S1212" t="s">
        <v>56</v>
      </c>
      <c r="T1212" t="s">
        <v>30</v>
      </c>
      <c r="U1212">
        <v>5</v>
      </c>
      <c r="V1212" t="s">
        <v>40</v>
      </c>
      <c r="W1212">
        <f>excelsalesdata[[#This Row],[Quantity]]*excelsalesdata[[#This Row],[Unit_Price]]</f>
        <v>12060</v>
      </c>
      <c r="X1212">
        <f>excelsalesdata[[#This Row],[Gross_sales]]*excelsalesdata[[#This Row],[Discount_%]]</f>
        <v>3015</v>
      </c>
      <c r="Y1212">
        <f>excelsalesdata[[#This Row],[Gross_sales]]-excelsalesdata[[#This Row],[Discount_amt]]</f>
        <v>9045</v>
      </c>
      <c r="Z1212" s="4">
        <f>excelsalesdata[[#This Row],[Net_sales]]-excelsalesdata[[#This Row],[Cost]]</f>
        <v>4795</v>
      </c>
      <c r="AA1212" s="5">
        <f>excelsalesdata[[#This Row],[Profit]]/excelsalesdata[[#This Row],[Net_sales]]</f>
        <v>0.5301271420674406</v>
      </c>
      <c r="AB1212" s="4">
        <f>YEAR(excelsalesdata[[#This Row],[Order_Date]])</f>
        <v>2028</v>
      </c>
      <c r="AC1212" s="4" t="str">
        <f>TEXT(excelsalesdata[[#This Row],[Order_Date]],"mmm")</f>
        <v>Aug</v>
      </c>
      <c r="AD1212" s="4" t="str">
        <f>"Q"&amp;ROUNDUP(MONTH(excelsalesdata[[#This Row],[Order_Date]])/3,0)</f>
        <v>Q3</v>
      </c>
    </row>
    <row r="1213" spans="1:30" x14ac:dyDescent="0.35">
      <c r="A1213" t="s">
        <v>2016</v>
      </c>
      <c r="B1213" s="3">
        <v>46971</v>
      </c>
      <c r="C1213" t="s">
        <v>204</v>
      </c>
      <c r="D1213" t="s">
        <v>335</v>
      </c>
      <c r="E1213" t="str">
        <f>TRIM(excelsalesdata[[#This Row],[Customer_Name]])</f>
        <v>Vikram Joshi</v>
      </c>
      <c r="F1213" t="s">
        <v>23</v>
      </c>
      <c r="G1213">
        <v>24</v>
      </c>
      <c r="H1213" t="s">
        <v>109</v>
      </c>
      <c r="I1213" t="str">
        <f>TRIM(excelsalesdata[[#This Row],[City]])</f>
        <v>Mysuru</v>
      </c>
      <c r="J1213" t="s">
        <v>53</v>
      </c>
      <c r="K1213" t="s">
        <v>47</v>
      </c>
      <c r="L1213" t="s">
        <v>54</v>
      </c>
      <c r="M1213" t="s">
        <v>55</v>
      </c>
      <c r="N1213" t="s">
        <v>55</v>
      </c>
      <c r="O1213">
        <v>5</v>
      </c>
      <c r="P1213">
        <v>6520</v>
      </c>
      <c r="Q1213">
        <v>0.25</v>
      </c>
      <c r="R1213">
        <v>4410</v>
      </c>
      <c r="S1213" t="s">
        <v>105</v>
      </c>
      <c r="T1213" t="s">
        <v>30</v>
      </c>
      <c r="U1213">
        <v>8</v>
      </c>
      <c r="V1213" t="s">
        <v>40</v>
      </c>
      <c r="W1213">
        <f>excelsalesdata[[#This Row],[Quantity]]*excelsalesdata[[#This Row],[Unit_Price]]</f>
        <v>32600</v>
      </c>
      <c r="X1213">
        <f>excelsalesdata[[#This Row],[Gross_sales]]*excelsalesdata[[#This Row],[Discount_%]]</f>
        <v>8150</v>
      </c>
      <c r="Y1213">
        <f>excelsalesdata[[#This Row],[Gross_sales]]-excelsalesdata[[#This Row],[Discount_amt]]</f>
        <v>24450</v>
      </c>
      <c r="Z1213" s="4">
        <f>excelsalesdata[[#This Row],[Net_sales]]-excelsalesdata[[#This Row],[Cost]]</f>
        <v>20040</v>
      </c>
      <c r="AA1213" s="5">
        <f>excelsalesdata[[#This Row],[Profit]]/excelsalesdata[[#This Row],[Net_sales]]</f>
        <v>0.81963190184049084</v>
      </c>
      <c r="AB1213" s="4">
        <f>YEAR(excelsalesdata[[#This Row],[Order_Date]])</f>
        <v>2028</v>
      </c>
      <c r="AC1213" s="4" t="str">
        <f>TEXT(excelsalesdata[[#This Row],[Order_Date]],"mmm")</f>
        <v>Aug</v>
      </c>
      <c r="AD1213" s="4" t="str">
        <f>"Q"&amp;ROUNDUP(MONTH(excelsalesdata[[#This Row],[Order_Date]])/3,0)</f>
        <v>Q3</v>
      </c>
    </row>
    <row r="1214" spans="1:30" x14ac:dyDescent="0.35">
      <c r="A1214" t="s">
        <v>2017</v>
      </c>
      <c r="B1214" s="3">
        <v>46972</v>
      </c>
      <c r="C1214" t="s">
        <v>228</v>
      </c>
      <c r="D1214" t="s">
        <v>132</v>
      </c>
      <c r="E1214" t="str">
        <f>TRIM(excelsalesdata[[#This Row],[Customer_Name]])</f>
        <v>Vivaan Das</v>
      </c>
      <c r="F1214" t="s">
        <v>44</v>
      </c>
      <c r="G1214">
        <v>27</v>
      </c>
      <c r="H1214" t="s">
        <v>78</v>
      </c>
      <c r="I1214" t="str">
        <f>TRIM(excelsalesdata[[#This Row],[City]])</f>
        <v>Guwahati</v>
      </c>
      <c r="J1214" t="s">
        <v>79</v>
      </c>
      <c r="K1214" t="s">
        <v>37</v>
      </c>
      <c r="L1214" t="s">
        <v>27</v>
      </c>
      <c r="M1214" t="s">
        <v>295</v>
      </c>
      <c r="N1214" t="s">
        <v>295</v>
      </c>
      <c r="O1214">
        <v>2</v>
      </c>
      <c r="P1214">
        <v>4500</v>
      </c>
      <c r="Q1214">
        <v>0.15</v>
      </c>
      <c r="R1214">
        <v>2630</v>
      </c>
      <c r="S1214" t="s">
        <v>105</v>
      </c>
      <c r="T1214" t="s">
        <v>30</v>
      </c>
      <c r="U1214">
        <v>3</v>
      </c>
      <c r="V1214" t="s">
        <v>40</v>
      </c>
      <c r="W1214">
        <f>excelsalesdata[[#This Row],[Quantity]]*excelsalesdata[[#This Row],[Unit_Price]]</f>
        <v>9000</v>
      </c>
      <c r="X1214">
        <f>excelsalesdata[[#This Row],[Gross_sales]]*excelsalesdata[[#This Row],[Discount_%]]</f>
        <v>1350</v>
      </c>
      <c r="Y1214">
        <f>excelsalesdata[[#This Row],[Gross_sales]]-excelsalesdata[[#This Row],[Discount_amt]]</f>
        <v>7650</v>
      </c>
      <c r="Z1214" s="4">
        <f>excelsalesdata[[#This Row],[Net_sales]]-excelsalesdata[[#This Row],[Cost]]</f>
        <v>5020</v>
      </c>
      <c r="AA1214" s="5">
        <f>excelsalesdata[[#This Row],[Profit]]/excelsalesdata[[#This Row],[Net_sales]]</f>
        <v>0.65620915032679739</v>
      </c>
      <c r="AB1214" s="4">
        <f>YEAR(excelsalesdata[[#This Row],[Order_Date]])</f>
        <v>2028</v>
      </c>
      <c r="AC1214" s="4" t="str">
        <f>TEXT(excelsalesdata[[#This Row],[Order_Date]],"mmm")</f>
        <v>Aug</v>
      </c>
      <c r="AD1214" s="4" t="str">
        <f>"Q"&amp;ROUNDUP(MONTH(excelsalesdata[[#This Row],[Order_Date]])/3,0)</f>
        <v>Q3</v>
      </c>
    </row>
    <row r="1215" spans="1:30" x14ac:dyDescent="0.35">
      <c r="A1215" t="s">
        <v>2018</v>
      </c>
      <c r="B1215" s="3">
        <v>46973</v>
      </c>
      <c r="C1215" t="s">
        <v>639</v>
      </c>
      <c r="D1215" t="s">
        <v>302</v>
      </c>
      <c r="E1215" t="str">
        <f>TRIM(excelsalesdata[[#This Row],[Customer_Name]])</f>
        <v>Diya Patel</v>
      </c>
      <c r="F1215" t="s">
        <v>23</v>
      </c>
      <c r="G1215">
        <v>20</v>
      </c>
      <c r="H1215" t="s">
        <v>109</v>
      </c>
      <c r="I1215" t="str">
        <f>TRIM(excelsalesdata[[#This Row],[City]])</f>
        <v>Mysuru</v>
      </c>
      <c r="J1215" t="s">
        <v>53</v>
      </c>
      <c r="K1215" t="s">
        <v>47</v>
      </c>
      <c r="L1215" t="s">
        <v>103</v>
      </c>
      <c r="M1215" t="s">
        <v>104</v>
      </c>
      <c r="N1215" t="s">
        <v>104</v>
      </c>
      <c r="O1215">
        <v>2</v>
      </c>
      <c r="P1215">
        <v>8200</v>
      </c>
      <c r="Q1215">
        <v>0.15</v>
      </c>
      <c r="R1215">
        <v>5630</v>
      </c>
      <c r="S1215" t="s">
        <v>29</v>
      </c>
      <c r="T1215" t="s">
        <v>81</v>
      </c>
      <c r="U1215">
        <v>0</v>
      </c>
      <c r="V1215" t="s">
        <v>31</v>
      </c>
      <c r="W1215">
        <f>excelsalesdata[[#This Row],[Quantity]]*excelsalesdata[[#This Row],[Unit_Price]]</f>
        <v>16400</v>
      </c>
      <c r="X1215">
        <f>excelsalesdata[[#This Row],[Gross_sales]]*excelsalesdata[[#This Row],[Discount_%]]</f>
        <v>2460</v>
      </c>
      <c r="Y1215">
        <f>excelsalesdata[[#This Row],[Gross_sales]]-excelsalesdata[[#This Row],[Discount_amt]]</f>
        <v>13940</v>
      </c>
      <c r="Z1215" s="4">
        <f>excelsalesdata[[#This Row],[Net_sales]]-excelsalesdata[[#This Row],[Cost]]</f>
        <v>8310</v>
      </c>
      <c r="AA1215" s="5">
        <f>excelsalesdata[[#This Row],[Profit]]/excelsalesdata[[#This Row],[Net_sales]]</f>
        <v>0.59612625538020081</v>
      </c>
      <c r="AB1215" s="4">
        <f>YEAR(excelsalesdata[[#This Row],[Order_Date]])</f>
        <v>2028</v>
      </c>
      <c r="AC1215" s="4" t="str">
        <f>TEXT(excelsalesdata[[#This Row],[Order_Date]],"mmm")</f>
        <v>Aug</v>
      </c>
      <c r="AD1215" s="4" t="str">
        <f>"Q"&amp;ROUNDUP(MONTH(excelsalesdata[[#This Row],[Order_Date]])/3,0)</f>
        <v>Q3</v>
      </c>
    </row>
    <row r="1216" spans="1:30" x14ac:dyDescent="0.35">
      <c r="A1216" t="s">
        <v>2019</v>
      </c>
      <c r="B1216" s="3">
        <v>46974</v>
      </c>
      <c r="C1216" t="s">
        <v>2020</v>
      </c>
      <c r="D1216" t="s">
        <v>474</v>
      </c>
      <c r="E1216" t="str">
        <f>TRIM(excelsalesdata[[#This Row],[Customer_Name]])</f>
        <v>Arjun Gupta</v>
      </c>
      <c r="F1216" t="s">
        <v>23</v>
      </c>
      <c r="G1216">
        <v>50</v>
      </c>
      <c r="H1216" t="s">
        <v>45</v>
      </c>
      <c r="I1216" t="str">
        <f>TRIM(excelsalesdata[[#This Row],[City]])</f>
        <v>Kochi</v>
      </c>
      <c r="J1216" t="s">
        <v>46</v>
      </c>
      <c r="K1216" t="s">
        <v>47</v>
      </c>
      <c r="L1216" t="s">
        <v>103</v>
      </c>
      <c r="M1216" t="s">
        <v>104</v>
      </c>
      <c r="N1216" t="s">
        <v>104</v>
      </c>
      <c r="O1216">
        <v>1</v>
      </c>
      <c r="P1216">
        <v>8980</v>
      </c>
      <c r="Q1216">
        <v>0.05</v>
      </c>
      <c r="R1216">
        <v>5650</v>
      </c>
      <c r="S1216" t="s">
        <v>80</v>
      </c>
      <c r="T1216" t="s">
        <v>30</v>
      </c>
      <c r="U1216">
        <v>5</v>
      </c>
      <c r="V1216" t="s">
        <v>31</v>
      </c>
      <c r="W1216">
        <f>excelsalesdata[[#This Row],[Quantity]]*excelsalesdata[[#This Row],[Unit_Price]]</f>
        <v>8980</v>
      </c>
      <c r="X1216">
        <f>excelsalesdata[[#This Row],[Gross_sales]]*excelsalesdata[[#This Row],[Discount_%]]</f>
        <v>449</v>
      </c>
      <c r="Y1216">
        <f>excelsalesdata[[#This Row],[Gross_sales]]-excelsalesdata[[#This Row],[Discount_amt]]</f>
        <v>8531</v>
      </c>
      <c r="Z1216" s="4">
        <f>excelsalesdata[[#This Row],[Net_sales]]-excelsalesdata[[#This Row],[Cost]]</f>
        <v>2881</v>
      </c>
      <c r="AA1216" s="5">
        <f>excelsalesdata[[#This Row],[Profit]]/excelsalesdata[[#This Row],[Net_sales]]</f>
        <v>0.33770952994959558</v>
      </c>
      <c r="AB1216" s="4">
        <f>YEAR(excelsalesdata[[#This Row],[Order_Date]])</f>
        <v>2028</v>
      </c>
      <c r="AC1216" s="4" t="str">
        <f>TEXT(excelsalesdata[[#This Row],[Order_Date]],"mmm")</f>
        <v>Aug</v>
      </c>
      <c r="AD1216" s="4" t="str">
        <f>"Q"&amp;ROUNDUP(MONTH(excelsalesdata[[#This Row],[Order_Date]])/3,0)</f>
        <v>Q3</v>
      </c>
    </row>
    <row r="1217" spans="1:30" x14ac:dyDescent="0.35">
      <c r="A1217" t="s">
        <v>2021</v>
      </c>
      <c r="B1217" s="3">
        <v>46975</v>
      </c>
      <c r="C1217" t="s">
        <v>748</v>
      </c>
      <c r="D1217" t="s">
        <v>550</v>
      </c>
      <c r="E1217" t="str">
        <f>TRIM(excelsalesdata[[#This Row],[Customer_Name]])</f>
        <v>Rohan Reddy</v>
      </c>
      <c r="F1217" t="s">
        <v>44</v>
      </c>
      <c r="G1217">
        <v>54</v>
      </c>
      <c r="H1217" t="s">
        <v>190</v>
      </c>
      <c r="I1217" t="str">
        <f>TRIM(excelsalesdata[[#This Row],[City]])</f>
        <v>Ahmedabad</v>
      </c>
      <c r="J1217" t="s">
        <v>191</v>
      </c>
      <c r="K1217" t="s">
        <v>26</v>
      </c>
      <c r="L1217" t="s">
        <v>38</v>
      </c>
      <c r="M1217" t="s">
        <v>39</v>
      </c>
      <c r="N1217" t="s">
        <v>39</v>
      </c>
      <c r="O1217">
        <v>2</v>
      </c>
      <c r="P1217">
        <v>6440</v>
      </c>
      <c r="Q1217">
        <v>0.15</v>
      </c>
      <c r="R1217">
        <v>4380</v>
      </c>
      <c r="S1217" t="s">
        <v>105</v>
      </c>
      <c r="T1217" t="s">
        <v>30</v>
      </c>
      <c r="U1217">
        <v>5</v>
      </c>
      <c r="V1217" t="s">
        <v>31</v>
      </c>
      <c r="W1217">
        <f>excelsalesdata[[#This Row],[Quantity]]*excelsalesdata[[#This Row],[Unit_Price]]</f>
        <v>12880</v>
      </c>
      <c r="X1217">
        <f>excelsalesdata[[#This Row],[Gross_sales]]*excelsalesdata[[#This Row],[Discount_%]]</f>
        <v>1932</v>
      </c>
      <c r="Y1217">
        <f>excelsalesdata[[#This Row],[Gross_sales]]-excelsalesdata[[#This Row],[Discount_amt]]</f>
        <v>10948</v>
      </c>
      <c r="Z1217" s="4">
        <f>excelsalesdata[[#This Row],[Net_sales]]-excelsalesdata[[#This Row],[Cost]]</f>
        <v>6568</v>
      </c>
      <c r="AA1217" s="5">
        <f>excelsalesdata[[#This Row],[Profit]]/excelsalesdata[[#This Row],[Net_sales]]</f>
        <v>0.59992692729265618</v>
      </c>
      <c r="AB1217" s="4">
        <f>YEAR(excelsalesdata[[#This Row],[Order_Date]])</f>
        <v>2028</v>
      </c>
      <c r="AC1217" s="4" t="str">
        <f>TEXT(excelsalesdata[[#This Row],[Order_Date]],"mmm")</f>
        <v>Aug</v>
      </c>
      <c r="AD1217" s="4" t="str">
        <f>"Q"&amp;ROUNDUP(MONTH(excelsalesdata[[#This Row],[Order_Date]])/3,0)</f>
        <v>Q3</v>
      </c>
    </row>
    <row r="1218" spans="1:30" x14ac:dyDescent="0.35">
      <c r="A1218" t="s">
        <v>2022</v>
      </c>
      <c r="B1218" s="3">
        <v>46976</v>
      </c>
      <c r="C1218" t="s">
        <v>33</v>
      </c>
      <c r="D1218" t="s">
        <v>305</v>
      </c>
      <c r="E1218" t="str">
        <f>TRIM(excelsalesdata[[#This Row],[Customer_Name]])</f>
        <v>Priya Reddy</v>
      </c>
      <c r="F1218" t="s">
        <v>23</v>
      </c>
      <c r="G1218">
        <v>43</v>
      </c>
      <c r="H1218" t="s">
        <v>168</v>
      </c>
      <c r="I1218" t="str">
        <f>TRIM(excelsalesdata[[#This Row],[City]])</f>
        <v>Delhi</v>
      </c>
      <c r="J1218" t="s">
        <v>168</v>
      </c>
      <c r="K1218" t="s">
        <v>61</v>
      </c>
      <c r="L1218" t="s">
        <v>38</v>
      </c>
      <c r="M1218" t="s">
        <v>39</v>
      </c>
      <c r="N1218" t="s">
        <v>39</v>
      </c>
      <c r="O1218">
        <v>4</v>
      </c>
      <c r="P1218">
        <v>6260</v>
      </c>
      <c r="Q1218">
        <v>0.15</v>
      </c>
      <c r="R1218">
        <v>4020</v>
      </c>
      <c r="S1218" t="s">
        <v>80</v>
      </c>
      <c r="T1218" t="s">
        <v>74</v>
      </c>
      <c r="U1218">
        <v>4</v>
      </c>
      <c r="V1218" t="s">
        <v>40</v>
      </c>
      <c r="W1218">
        <f>excelsalesdata[[#This Row],[Quantity]]*excelsalesdata[[#This Row],[Unit_Price]]</f>
        <v>25040</v>
      </c>
      <c r="X1218">
        <f>excelsalesdata[[#This Row],[Gross_sales]]*excelsalesdata[[#This Row],[Discount_%]]</f>
        <v>3756</v>
      </c>
      <c r="Y1218">
        <f>excelsalesdata[[#This Row],[Gross_sales]]-excelsalesdata[[#This Row],[Discount_amt]]</f>
        <v>21284</v>
      </c>
      <c r="Z1218" s="4">
        <f>excelsalesdata[[#This Row],[Net_sales]]-excelsalesdata[[#This Row],[Cost]]</f>
        <v>17264</v>
      </c>
      <c r="AA1218" s="5">
        <f>excelsalesdata[[#This Row],[Profit]]/excelsalesdata[[#This Row],[Net_sales]]</f>
        <v>0.81112572824657014</v>
      </c>
      <c r="AB1218" s="4">
        <f>YEAR(excelsalesdata[[#This Row],[Order_Date]])</f>
        <v>2028</v>
      </c>
      <c r="AC1218" s="4" t="str">
        <f>TEXT(excelsalesdata[[#This Row],[Order_Date]],"mmm")</f>
        <v>Aug</v>
      </c>
      <c r="AD1218" s="4" t="str">
        <f>"Q"&amp;ROUNDUP(MONTH(excelsalesdata[[#This Row],[Order_Date]])/3,0)</f>
        <v>Q3</v>
      </c>
    </row>
    <row r="1219" spans="1:30" x14ac:dyDescent="0.35">
      <c r="A1219" t="s">
        <v>2023</v>
      </c>
      <c r="B1219" s="3">
        <v>46977</v>
      </c>
      <c r="C1219" t="s">
        <v>257</v>
      </c>
      <c r="D1219" t="s">
        <v>524</v>
      </c>
      <c r="E1219" t="str">
        <f>TRIM(excelsalesdata[[#This Row],[Customer_Name]])</f>
        <v>Arjun Das</v>
      </c>
      <c r="F1219" t="s">
        <v>23</v>
      </c>
      <c r="G1219">
        <v>22</v>
      </c>
      <c r="H1219" t="s">
        <v>98</v>
      </c>
      <c r="I1219" t="str">
        <f>TRIM(excelsalesdata[[#This Row],[City]])</f>
        <v>Mumbai</v>
      </c>
      <c r="J1219" t="s">
        <v>25</v>
      </c>
      <c r="K1219" t="s">
        <v>26</v>
      </c>
      <c r="L1219" t="s">
        <v>54</v>
      </c>
      <c r="M1219" t="s">
        <v>62</v>
      </c>
      <c r="N1219" t="s">
        <v>62</v>
      </c>
      <c r="O1219">
        <v>3</v>
      </c>
      <c r="P1219">
        <v>23690</v>
      </c>
      <c r="Q1219">
        <v>0.2</v>
      </c>
      <c r="R1219">
        <v>15820</v>
      </c>
      <c r="S1219" t="s">
        <v>29</v>
      </c>
      <c r="T1219" t="s">
        <v>30</v>
      </c>
      <c r="U1219">
        <v>5</v>
      </c>
      <c r="V1219" t="s">
        <v>40</v>
      </c>
      <c r="W1219">
        <f>excelsalesdata[[#This Row],[Quantity]]*excelsalesdata[[#This Row],[Unit_Price]]</f>
        <v>71070</v>
      </c>
      <c r="X1219">
        <f>excelsalesdata[[#This Row],[Gross_sales]]*excelsalesdata[[#This Row],[Discount_%]]</f>
        <v>14214</v>
      </c>
      <c r="Y1219">
        <f>excelsalesdata[[#This Row],[Gross_sales]]-excelsalesdata[[#This Row],[Discount_amt]]</f>
        <v>56856</v>
      </c>
      <c r="Z1219" s="4">
        <f>excelsalesdata[[#This Row],[Net_sales]]-excelsalesdata[[#This Row],[Cost]]</f>
        <v>41036</v>
      </c>
      <c r="AA1219" s="5">
        <f>excelsalesdata[[#This Row],[Profit]]/excelsalesdata[[#This Row],[Net_sales]]</f>
        <v>0.72175320106936824</v>
      </c>
      <c r="AB1219" s="4">
        <f>YEAR(excelsalesdata[[#This Row],[Order_Date]])</f>
        <v>2028</v>
      </c>
      <c r="AC1219" s="4" t="str">
        <f>TEXT(excelsalesdata[[#This Row],[Order_Date]],"mmm")</f>
        <v>Aug</v>
      </c>
      <c r="AD1219" s="4" t="str">
        <f>"Q"&amp;ROUNDUP(MONTH(excelsalesdata[[#This Row],[Order_Date]])/3,0)</f>
        <v>Q3</v>
      </c>
    </row>
    <row r="1220" spans="1:30" x14ac:dyDescent="0.35">
      <c r="A1220" t="s">
        <v>2024</v>
      </c>
      <c r="B1220" s="3">
        <v>46978</v>
      </c>
      <c r="C1220" t="s">
        <v>789</v>
      </c>
      <c r="D1220" t="s">
        <v>588</v>
      </c>
      <c r="E1220" t="str">
        <f>TRIM(excelsalesdata[[#This Row],[Customer_Name]])</f>
        <v>Karan Rao</v>
      </c>
      <c r="F1220" t="s">
        <v>44</v>
      </c>
      <c r="G1220">
        <v>60</v>
      </c>
      <c r="H1220" t="s">
        <v>133</v>
      </c>
      <c r="I1220" t="str">
        <f>TRIM(excelsalesdata[[#This Row],[City]])</f>
        <v>Jaipur</v>
      </c>
      <c r="J1220" t="s">
        <v>134</v>
      </c>
      <c r="K1220" t="s">
        <v>61</v>
      </c>
      <c r="L1220" t="s">
        <v>93</v>
      </c>
      <c r="M1220" t="s">
        <v>94</v>
      </c>
      <c r="N1220" t="s">
        <v>94</v>
      </c>
      <c r="O1220">
        <v>2</v>
      </c>
      <c r="P1220">
        <v>490</v>
      </c>
      <c r="Q1220">
        <v>0</v>
      </c>
      <c r="R1220">
        <v>220</v>
      </c>
      <c r="S1220" t="s">
        <v>67</v>
      </c>
      <c r="T1220" t="s">
        <v>30</v>
      </c>
      <c r="U1220">
        <v>2</v>
      </c>
      <c r="V1220" t="s">
        <v>40</v>
      </c>
      <c r="W1220">
        <f>excelsalesdata[[#This Row],[Quantity]]*excelsalesdata[[#This Row],[Unit_Price]]</f>
        <v>980</v>
      </c>
      <c r="X1220">
        <f>excelsalesdata[[#This Row],[Gross_sales]]*excelsalesdata[[#This Row],[Discount_%]]</f>
        <v>0</v>
      </c>
      <c r="Y1220">
        <f>excelsalesdata[[#This Row],[Gross_sales]]-excelsalesdata[[#This Row],[Discount_amt]]</f>
        <v>980</v>
      </c>
      <c r="Z1220" s="4">
        <f>excelsalesdata[[#This Row],[Net_sales]]-excelsalesdata[[#This Row],[Cost]]</f>
        <v>760</v>
      </c>
      <c r="AA1220" s="5">
        <f>excelsalesdata[[#This Row],[Profit]]/excelsalesdata[[#This Row],[Net_sales]]</f>
        <v>0.77551020408163263</v>
      </c>
      <c r="AB1220" s="4">
        <f>YEAR(excelsalesdata[[#This Row],[Order_Date]])</f>
        <v>2028</v>
      </c>
      <c r="AC1220" s="4" t="str">
        <f>TEXT(excelsalesdata[[#This Row],[Order_Date]],"mmm")</f>
        <v>Aug</v>
      </c>
      <c r="AD1220" s="4" t="str">
        <f>"Q"&amp;ROUNDUP(MONTH(excelsalesdata[[#This Row],[Order_Date]])/3,0)</f>
        <v>Q3</v>
      </c>
    </row>
    <row r="1221" spans="1:30" x14ac:dyDescent="0.35">
      <c r="A1221" t="s">
        <v>2025</v>
      </c>
      <c r="B1221" s="3">
        <v>46979</v>
      </c>
      <c r="C1221" t="s">
        <v>700</v>
      </c>
      <c r="D1221" t="s">
        <v>291</v>
      </c>
      <c r="E1221" t="str">
        <f>TRIM(excelsalesdata[[#This Row],[Customer_Name]])</f>
        <v>Vikram Patel</v>
      </c>
      <c r="F1221" t="s">
        <v>23</v>
      </c>
      <c r="G1221">
        <v>36</v>
      </c>
      <c r="H1221" t="s">
        <v>52</v>
      </c>
      <c r="I1221" t="str">
        <f>TRIM(excelsalesdata[[#This Row],[City]])</f>
        <v>Bengaluru</v>
      </c>
      <c r="J1221" t="s">
        <v>53</v>
      </c>
      <c r="K1221" t="s">
        <v>47</v>
      </c>
      <c r="L1221" t="s">
        <v>27</v>
      </c>
      <c r="M1221" t="s">
        <v>123</v>
      </c>
      <c r="N1221" t="s">
        <v>123</v>
      </c>
      <c r="O1221">
        <v>1</v>
      </c>
      <c r="P1221">
        <v>2590</v>
      </c>
      <c r="Q1221">
        <v>0.1</v>
      </c>
      <c r="R1221">
        <v>1520</v>
      </c>
      <c r="S1221" t="s">
        <v>56</v>
      </c>
      <c r="T1221" t="s">
        <v>30</v>
      </c>
      <c r="U1221">
        <v>2</v>
      </c>
      <c r="V1221" t="s">
        <v>40</v>
      </c>
      <c r="W1221">
        <f>excelsalesdata[[#This Row],[Quantity]]*excelsalesdata[[#This Row],[Unit_Price]]</f>
        <v>2590</v>
      </c>
      <c r="X1221">
        <f>excelsalesdata[[#This Row],[Gross_sales]]*excelsalesdata[[#This Row],[Discount_%]]</f>
        <v>259</v>
      </c>
      <c r="Y1221">
        <f>excelsalesdata[[#This Row],[Gross_sales]]-excelsalesdata[[#This Row],[Discount_amt]]</f>
        <v>2331</v>
      </c>
      <c r="Z1221" s="4">
        <f>excelsalesdata[[#This Row],[Net_sales]]-excelsalesdata[[#This Row],[Cost]]</f>
        <v>811</v>
      </c>
      <c r="AA1221" s="5">
        <f>excelsalesdata[[#This Row],[Profit]]/excelsalesdata[[#This Row],[Net_sales]]</f>
        <v>0.34791934791934792</v>
      </c>
      <c r="AB1221" s="4">
        <f>YEAR(excelsalesdata[[#This Row],[Order_Date]])</f>
        <v>2028</v>
      </c>
      <c r="AC1221" s="4" t="str">
        <f>TEXT(excelsalesdata[[#This Row],[Order_Date]],"mmm")</f>
        <v>Aug</v>
      </c>
      <c r="AD1221" s="4" t="str">
        <f>"Q"&amp;ROUNDUP(MONTH(excelsalesdata[[#This Row],[Order_Date]])/3,0)</f>
        <v>Q3</v>
      </c>
    </row>
    <row r="1222" spans="1:30" x14ac:dyDescent="0.35">
      <c r="A1222" t="s">
        <v>2026</v>
      </c>
      <c r="B1222" s="3">
        <v>46980</v>
      </c>
      <c r="C1222" t="s">
        <v>2027</v>
      </c>
      <c r="D1222" t="s">
        <v>488</v>
      </c>
      <c r="E1222" t="str">
        <f>TRIM(excelsalesdata[[#This Row],[Customer_Name]])</f>
        <v>Nisha Singh</v>
      </c>
      <c r="F1222" t="s">
        <v>44</v>
      </c>
      <c r="G1222">
        <v>23</v>
      </c>
      <c r="H1222" t="s">
        <v>24</v>
      </c>
      <c r="I1222" t="str">
        <f>TRIM(excelsalesdata[[#This Row],[City]])</f>
        <v>Pune</v>
      </c>
      <c r="J1222" t="s">
        <v>25</v>
      </c>
      <c r="K1222" t="s">
        <v>26</v>
      </c>
      <c r="L1222" t="s">
        <v>27</v>
      </c>
      <c r="M1222" t="s">
        <v>123</v>
      </c>
      <c r="N1222" t="s">
        <v>123</v>
      </c>
      <c r="O1222">
        <v>4</v>
      </c>
      <c r="P1222">
        <v>2660</v>
      </c>
      <c r="Q1222">
        <v>0.15</v>
      </c>
      <c r="R1222">
        <v>1640</v>
      </c>
      <c r="S1222" t="s">
        <v>67</v>
      </c>
      <c r="T1222" t="s">
        <v>30</v>
      </c>
      <c r="U1222">
        <v>8</v>
      </c>
      <c r="V1222" t="s">
        <v>31</v>
      </c>
      <c r="W1222">
        <f>excelsalesdata[[#This Row],[Quantity]]*excelsalesdata[[#This Row],[Unit_Price]]</f>
        <v>10640</v>
      </c>
      <c r="X1222">
        <f>excelsalesdata[[#This Row],[Gross_sales]]*excelsalesdata[[#This Row],[Discount_%]]</f>
        <v>1596</v>
      </c>
      <c r="Y1222">
        <f>excelsalesdata[[#This Row],[Gross_sales]]-excelsalesdata[[#This Row],[Discount_amt]]</f>
        <v>9044</v>
      </c>
      <c r="Z1222" s="4">
        <f>excelsalesdata[[#This Row],[Net_sales]]-excelsalesdata[[#This Row],[Cost]]</f>
        <v>7404</v>
      </c>
      <c r="AA1222" s="5">
        <f>excelsalesdata[[#This Row],[Profit]]/excelsalesdata[[#This Row],[Net_sales]]</f>
        <v>0.8186643078283945</v>
      </c>
      <c r="AB1222" s="4">
        <f>YEAR(excelsalesdata[[#This Row],[Order_Date]])</f>
        <v>2028</v>
      </c>
      <c r="AC1222" s="4" t="str">
        <f>TEXT(excelsalesdata[[#This Row],[Order_Date]],"mmm")</f>
        <v>Aug</v>
      </c>
      <c r="AD1222" s="4" t="str">
        <f>"Q"&amp;ROUNDUP(MONTH(excelsalesdata[[#This Row],[Order_Date]])/3,0)</f>
        <v>Q3</v>
      </c>
    </row>
    <row r="1223" spans="1:30" x14ac:dyDescent="0.35">
      <c r="A1223" t="s">
        <v>2028</v>
      </c>
      <c r="B1223" s="3">
        <v>46981</v>
      </c>
      <c r="C1223" t="s">
        <v>425</v>
      </c>
      <c r="D1223" t="s">
        <v>1200</v>
      </c>
      <c r="E1223" t="str">
        <f>TRIM(excelsalesdata[[#This Row],[Customer_Name]])</f>
        <v>Priya Iyer</v>
      </c>
      <c r="F1223" t="s">
        <v>44</v>
      </c>
      <c r="G1223">
        <v>39</v>
      </c>
      <c r="H1223" t="s">
        <v>185</v>
      </c>
      <c r="I1223" t="str">
        <f>TRIM(excelsalesdata[[#This Row],[City]])</f>
        <v>Lucknow</v>
      </c>
      <c r="J1223" t="s">
        <v>186</v>
      </c>
      <c r="K1223" t="s">
        <v>61</v>
      </c>
      <c r="L1223" t="s">
        <v>93</v>
      </c>
      <c r="M1223" t="s">
        <v>375</v>
      </c>
      <c r="N1223" t="s">
        <v>375</v>
      </c>
      <c r="O1223">
        <v>1</v>
      </c>
      <c r="P1223">
        <v>2370</v>
      </c>
      <c r="Q1223">
        <v>0.1</v>
      </c>
      <c r="R1223">
        <v>1230</v>
      </c>
      <c r="S1223" t="s">
        <v>29</v>
      </c>
      <c r="T1223" t="s">
        <v>30</v>
      </c>
      <c r="U1223">
        <v>3</v>
      </c>
      <c r="V1223" t="s">
        <v>40</v>
      </c>
      <c r="W1223">
        <f>excelsalesdata[[#This Row],[Quantity]]*excelsalesdata[[#This Row],[Unit_Price]]</f>
        <v>2370</v>
      </c>
      <c r="X1223">
        <f>excelsalesdata[[#This Row],[Gross_sales]]*excelsalesdata[[#This Row],[Discount_%]]</f>
        <v>237</v>
      </c>
      <c r="Y1223">
        <f>excelsalesdata[[#This Row],[Gross_sales]]-excelsalesdata[[#This Row],[Discount_amt]]</f>
        <v>2133</v>
      </c>
      <c r="Z1223" s="4">
        <f>excelsalesdata[[#This Row],[Net_sales]]-excelsalesdata[[#This Row],[Cost]]</f>
        <v>903</v>
      </c>
      <c r="AA1223" s="5">
        <f>excelsalesdata[[#This Row],[Profit]]/excelsalesdata[[#This Row],[Net_sales]]</f>
        <v>0.42334739803094235</v>
      </c>
      <c r="AB1223" s="4">
        <f>YEAR(excelsalesdata[[#This Row],[Order_Date]])</f>
        <v>2028</v>
      </c>
      <c r="AC1223" s="4" t="str">
        <f>TEXT(excelsalesdata[[#This Row],[Order_Date]],"mmm")</f>
        <v>Aug</v>
      </c>
      <c r="AD1223" s="4" t="str">
        <f>"Q"&amp;ROUNDUP(MONTH(excelsalesdata[[#This Row],[Order_Date]])/3,0)</f>
        <v>Q3</v>
      </c>
    </row>
    <row r="1224" spans="1:30" x14ac:dyDescent="0.35">
      <c r="A1224" t="s">
        <v>2029</v>
      </c>
      <c r="B1224" s="3">
        <v>46982</v>
      </c>
      <c r="C1224" t="s">
        <v>688</v>
      </c>
      <c r="D1224" t="s">
        <v>299</v>
      </c>
      <c r="E1224" t="str">
        <f>TRIM(excelsalesdata[[#This Row],[Customer_Name]])</f>
        <v>Aarav Joshi</v>
      </c>
      <c r="F1224" t="s">
        <v>44</v>
      </c>
      <c r="G1224">
        <v>47</v>
      </c>
      <c r="H1224" t="s">
        <v>155</v>
      </c>
      <c r="I1224" t="str">
        <f>TRIM(excelsalesdata[[#This Row],[City]])</f>
        <v>Chennai</v>
      </c>
      <c r="J1224" t="s">
        <v>156</v>
      </c>
      <c r="K1224" t="s">
        <v>47</v>
      </c>
      <c r="L1224" t="s">
        <v>38</v>
      </c>
      <c r="M1224" t="s">
        <v>119</v>
      </c>
      <c r="N1224" t="s">
        <v>119</v>
      </c>
      <c r="O1224">
        <v>1</v>
      </c>
      <c r="P1224">
        <v>8970</v>
      </c>
      <c r="Q1224">
        <v>0.1</v>
      </c>
      <c r="R1224">
        <v>5470</v>
      </c>
      <c r="S1224" t="s">
        <v>67</v>
      </c>
      <c r="T1224" t="s">
        <v>30</v>
      </c>
      <c r="U1224">
        <v>1</v>
      </c>
      <c r="V1224" t="s">
        <v>31</v>
      </c>
      <c r="W1224">
        <f>excelsalesdata[[#This Row],[Quantity]]*excelsalesdata[[#This Row],[Unit_Price]]</f>
        <v>8970</v>
      </c>
      <c r="X1224">
        <f>excelsalesdata[[#This Row],[Gross_sales]]*excelsalesdata[[#This Row],[Discount_%]]</f>
        <v>897</v>
      </c>
      <c r="Y1224">
        <f>excelsalesdata[[#This Row],[Gross_sales]]-excelsalesdata[[#This Row],[Discount_amt]]</f>
        <v>8073</v>
      </c>
      <c r="Z1224" s="4">
        <f>excelsalesdata[[#This Row],[Net_sales]]-excelsalesdata[[#This Row],[Cost]]</f>
        <v>2603</v>
      </c>
      <c r="AA1224" s="5">
        <f>excelsalesdata[[#This Row],[Profit]]/excelsalesdata[[#This Row],[Net_sales]]</f>
        <v>0.32243280069367025</v>
      </c>
      <c r="AB1224" s="4">
        <f>YEAR(excelsalesdata[[#This Row],[Order_Date]])</f>
        <v>2028</v>
      </c>
      <c r="AC1224" s="4" t="str">
        <f>TEXT(excelsalesdata[[#This Row],[Order_Date]],"mmm")</f>
        <v>Aug</v>
      </c>
      <c r="AD1224" s="4" t="str">
        <f>"Q"&amp;ROUNDUP(MONTH(excelsalesdata[[#This Row],[Order_Date]])/3,0)</f>
        <v>Q3</v>
      </c>
    </row>
    <row r="1225" spans="1:30" x14ac:dyDescent="0.35">
      <c r="A1225" t="s">
        <v>2030</v>
      </c>
      <c r="B1225" s="3">
        <v>46983</v>
      </c>
      <c r="C1225" t="s">
        <v>1320</v>
      </c>
      <c r="D1225" t="s">
        <v>1703</v>
      </c>
      <c r="E1225" t="str">
        <f>TRIM(excelsalesdata[[#This Row],[Customer_Name]])</f>
        <v>Meera Patel</v>
      </c>
      <c r="F1225" t="s">
        <v>44</v>
      </c>
      <c r="G1225">
        <v>52</v>
      </c>
      <c r="H1225" t="s">
        <v>155</v>
      </c>
      <c r="I1225" t="str">
        <f>TRIM(excelsalesdata[[#This Row],[City]])</f>
        <v>Chennai</v>
      </c>
      <c r="J1225" t="s">
        <v>156</v>
      </c>
      <c r="K1225" t="s">
        <v>47</v>
      </c>
      <c r="L1225" t="s">
        <v>54</v>
      </c>
      <c r="M1225" t="s">
        <v>55</v>
      </c>
      <c r="N1225" t="s">
        <v>55</v>
      </c>
      <c r="O1225">
        <v>3</v>
      </c>
      <c r="P1225">
        <v>6900</v>
      </c>
      <c r="Q1225">
        <v>0.1</v>
      </c>
      <c r="R1225">
        <v>4310</v>
      </c>
      <c r="S1225" t="s">
        <v>29</v>
      </c>
      <c r="T1225" t="s">
        <v>30</v>
      </c>
      <c r="U1225">
        <v>3</v>
      </c>
      <c r="V1225" t="s">
        <v>40</v>
      </c>
      <c r="W1225">
        <f>excelsalesdata[[#This Row],[Quantity]]*excelsalesdata[[#This Row],[Unit_Price]]</f>
        <v>20700</v>
      </c>
      <c r="X1225">
        <f>excelsalesdata[[#This Row],[Gross_sales]]*excelsalesdata[[#This Row],[Discount_%]]</f>
        <v>2070</v>
      </c>
      <c r="Y1225">
        <f>excelsalesdata[[#This Row],[Gross_sales]]-excelsalesdata[[#This Row],[Discount_amt]]</f>
        <v>18630</v>
      </c>
      <c r="Z1225" s="4">
        <f>excelsalesdata[[#This Row],[Net_sales]]-excelsalesdata[[#This Row],[Cost]]</f>
        <v>14320</v>
      </c>
      <c r="AA1225" s="5">
        <f>excelsalesdata[[#This Row],[Profit]]/excelsalesdata[[#This Row],[Net_sales]]</f>
        <v>0.76865271068169616</v>
      </c>
      <c r="AB1225" s="4">
        <f>YEAR(excelsalesdata[[#This Row],[Order_Date]])</f>
        <v>2028</v>
      </c>
      <c r="AC1225" s="4" t="str">
        <f>TEXT(excelsalesdata[[#This Row],[Order_Date]],"mmm")</f>
        <v>Aug</v>
      </c>
      <c r="AD1225" s="4" t="str">
        <f>"Q"&amp;ROUNDUP(MONTH(excelsalesdata[[#This Row],[Order_Date]])/3,0)</f>
        <v>Q3</v>
      </c>
    </row>
    <row r="1226" spans="1:30" x14ac:dyDescent="0.35">
      <c r="A1226" t="s">
        <v>2031</v>
      </c>
      <c r="B1226" s="3">
        <v>46984</v>
      </c>
      <c r="C1226" t="s">
        <v>163</v>
      </c>
      <c r="D1226" t="s">
        <v>833</v>
      </c>
      <c r="E1226" t="str">
        <f>TRIM(excelsalesdata[[#This Row],[Customer_Name]])</f>
        <v>Rohan Mehta</v>
      </c>
      <c r="F1226" t="s">
        <v>44</v>
      </c>
      <c r="G1226">
        <v>31</v>
      </c>
      <c r="H1226" t="s">
        <v>45</v>
      </c>
      <c r="I1226" t="str">
        <f>TRIM(excelsalesdata[[#This Row],[City]])</f>
        <v>Kochi</v>
      </c>
      <c r="J1226" t="s">
        <v>46</v>
      </c>
      <c r="K1226" t="s">
        <v>47</v>
      </c>
      <c r="L1226" t="s">
        <v>27</v>
      </c>
      <c r="M1226" t="s">
        <v>48</v>
      </c>
      <c r="N1226" t="s">
        <v>48</v>
      </c>
      <c r="O1226">
        <v>3</v>
      </c>
      <c r="P1226">
        <v>910</v>
      </c>
      <c r="Q1226">
        <v>0.05</v>
      </c>
      <c r="R1226">
        <v>440</v>
      </c>
      <c r="S1226" t="s">
        <v>105</v>
      </c>
      <c r="T1226" t="s">
        <v>30</v>
      </c>
      <c r="U1226">
        <v>2</v>
      </c>
      <c r="V1226" t="s">
        <v>31</v>
      </c>
      <c r="W1226">
        <f>excelsalesdata[[#This Row],[Quantity]]*excelsalesdata[[#This Row],[Unit_Price]]</f>
        <v>2730</v>
      </c>
      <c r="X1226">
        <f>excelsalesdata[[#This Row],[Gross_sales]]*excelsalesdata[[#This Row],[Discount_%]]</f>
        <v>136.5</v>
      </c>
      <c r="Y1226">
        <f>excelsalesdata[[#This Row],[Gross_sales]]-excelsalesdata[[#This Row],[Discount_amt]]</f>
        <v>2593.5</v>
      </c>
      <c r="Z1226" s="4">
        <f>excelsalesdata[[#This Row],[Net_sales]]-excelsalesdata[[#This Row],[Cost]]</f>
        <v>2153.5</v>
      </c>
      <c r="AA1226" s="5">
        <f>excelsalesdata[[#This Row],[Profit]]/excelsalesdata[[#This Row],[Net_sales]]</f>
        <v>0.83034509350298824</v>
      </c>
      <c r="AB1226" s="4">
        <f>YEAR(excelsalesdata[[#This Row],[Order_Date]])</f>
        <v>2028</v>
      </c>
      <c r="AC1226" s="4" t="str">
        <f>TEXT(excelsalesdata[[#This Row],[Order_Date]],"mmm")</f>
        <v>Aug</v>
      </c>
      <c r="AD1226" s="4" t="str">
        <f>"Q"&amp;ROUNDUP(MONTH(excelsalesdata[[#This Row],[Order_Date]])/3,0)</f>
        <v>Q3</v>
      </c>
    </row>
    <row r="1227" spans="1:30" x14ac:dyDescent="0.35">
      <c r="A1227" t="s">
        <v>2032</v>
      </c>
      <c r="B1227" s="3">
        <v>46985</v>
      </c>
      <c r="C1227" t="s">
        <v>614</v>
      </c>
      <c r="D1227" t="s">
        <v>871</v>
      </c>
      <c r="E1227" t="str">
        <f>TRIM(excelsalesdata[[#This Row],[Customer_Name]])</f>
        <v>Rahul Iyer</v>
      </c>
      <c r="F1227" t="s">
        <v>44</v>
      </c>
      <c r="G1227">
        <v>47</v>
      </c>
      <c r="H1227" t="s">
        <v>45</v>
      </c>
      <c r="I1227" t="str">
        <f>TRIM(excelsalesdata[[#This Row],[City]])</f>
        <v>Kochi</v>
      </c>
      <c r="J1227" t="s">
        <v>46</v>
      </c>
      <c r="K1227" t="s">
        <v>47</v>
      </c>
      <c r="L1227" t="s">
        <v>85</v>
      </c>
      <c r="M1227" t="s">
        <v>110</v>
      </c>
      <c r="N1227" t="s">
        <v>110</v>
      </c>
      <c r="O1227">
        <v>1</v>
      </c>
      <c r="P1227">
        <v>1240</v>
      </c>
      <c r="Q1227">
        <v>0</v>
      </c>
      <c r="R1227">
        <v>590</v>
      </c>
      <c r="S1227" t="s">
        <v>80</v>
      </c>
      <c r="T1227" t="s">
        <v>74</v>
      </c>
      <c r="U1227">
        <v>4</v>
      </c>
      <c r="V1227" t="s">
        <v>31</v>
      </c>
      <c r="W1227">
        <f>excelsalesdata[[#This Row],[Quantity]]*excelsalesdata[[#This Row],[Unit_Price]]</f>
        <v>1240</v>
      </c>
      <c r="X1227">
        <f>excelsalesdata[[#This Row],[Gross_sales]]*excelsalesdata[[#This Row],[Discount_%]]</f>
        <v>0</v>
      </c>
      <c r="Y1227">
        <f>excelsalesdata[[#This Row],[Gross_sales]]-excelsalesdata[[#This Row],[Discount_amt]]</f>
        <v>1240</v>
      </c>
      <c r="Z1227" s="4">
        <f>excelsalesdata[[#This Row],[Net_sales]]-excelsalesdata[[#This Row],[Cost]]</f>
        <v>650</v>
      </c>
      <c r="AA1227" s="5">
        <f>excelsalesdata[[#This Row],[Profit]]/excelsalesdata[[#This Row],[Net_sales]]</f>
        <v>0.52419354838709675</v>
      </c>
      <c r="AB1227" s="4">
        <f>YEAR(excelsalesdata[[#This Row],[Order_Date]])</f>
        <v>2028</v>
      </c>
      <c r="AC1227" s="4" t="str">
        <f>TEXT(excelsalesdata[[#This Row],[Order_Date]],"mmm")</f>
        <v>Aug</v>
      </c>
      <c r="AD1227" s="4" t="str">
        <f>"Q"&amp;ROUNDUP(MONTH(excelsalesdata[[#This Row],[Order_Date]])/3,0)</f>
        <v>Q3</v>
      </c>
    </row>
    <row r="1228" spans="1:30" x14ac:dyDescent="0.35">
      <c r="A1228" t="s">
        <v>2033</v>
      </c>
      <c r="B1228" s="3">
        <v>46986</v>
      </c>
      <c r="C1228" t="s">
        <v>890</v>
      </c>
      <c r="D1228" t="s">
        <v>395</v>
      </c>
      <c r="E1228" t="str">
        <f>TRIM(excelsalesdata[[#This Row],[Customer_Name]])</f>
        <v>Meera Gupta</v>
      </c>
      <c r="F1228" t="s">
        <v>23</v>
      </c>
      <c r="G1228">
        <v>42</v>
      </c>
      <c r="H1228" t="s">
        <v>78</v>
      </c>
      <c r="I1228" t="str">
        <f>TRIM(excelsalesdata[[#This Row],[City]])</f>
        <v>Guwahati</v>
      </c>
      <c r="J1228" t="s">
        <v>79</v>
      </c>
      <c r="K1228" t="s">
        <v>37</v>
      </c>
      <c r="L1228" t="s">
        <v>93</v>
      </c>
      <c r="M1228" t="s">
        <v>718</v>
      </c>
      <c r="N1228" t="s">
        <v>718</v>
      </c>
      <c r="O1228">
        <v>2</v>
      </c>
      <c r="P1228">
        <v>1760</v>
      </c>
      <c r="Q1228">
        <v>0.1</v>
      </c>
      <c r="R1228">
        <v>910</v>
      </c>
      <c r="S1228" t="s">
        <v>56</v>
      </c>
      <c r="T1228" t="s">
        <v>30</v>
      </c>
      <c r="U1228">
        <v>3</v>
      </c>
      <c r="V1228" t="s">
        <v>40</v>
      </c>
      <c r="W1228">
        <f>excelsalesdata[[#This Row],[Quantity]]*excelsalesdata[[#This Row],[Unit_Price]]</f>
        <v>3520</v>
      </c>
      <c r="X1228">
        <f>excelsalesdata[[#This Row],[Gross_sales]]*excelsalesdata[[#This Row],[Discount_%]]</f>
        <v>352</v>
      </c>
      <c r="Y1228">
        <f>excelsalesdata[[#This Row],[Gross_sales]]-excelsalesdata[[#This Row],[Discount_amt]]</f>
        <v>3168</v>
      </c>
      <c r="Z1228" s="4">
        <f>excelsalesdata[[#This Row],[Net_sales]]-excelsalesdata[[#This Row],[Cost]]</f>
        <v>2258</v>
      </c>
      <c r="AA1228" s="5">
        <f>excelsalesdata[[#This Row],[Profit]]/excelsalesdata[[#This Row],[Net_sales]]</f>
        <v>0.7127525252525253</v>
      </c>
      <c r="AB1228" s="4">
        <f>YEAR(excelsalesdata[[#This Row],[Order_Date]])</f>
        <v>2028</v>
      </c>
      <c r="AC1228" s="4" t="str">
        <f>TEXT(excelsalesdata[[#This Row],[Order_Date]],"mmm")</f>
        <v>Aug</v>
      </c>
      <c r="AD1228" s="4" t="str">
        <f>"Q"&amp;ROUNDUP(MONTH(excelsalesdata[[#This Row],[Order_Date]])/3,0)</f>
        <v>Q3</v>
      </c>
    </row>
    <row r="1229" spans="1:30" x14ac:dyDescent="0.35">
      <c r="A1229" t="s">
        <v>2034</v>
      </c>
      <c r="B1229" s="3">
        <v>46987</v>
      </c>
      <c r="C1229" t="s">
        <v>1058</v>
      </c>
      <c r="D1229" t="s">
        <v>2036</v>
      </c>
      <c r="E1229" t="str">
        <f>TRIM(excelsalesdata[[#This Row],[Customer_Name]])</f>
        <v>Sneha Joshi</v>
      </c>
      <c r="F1229" t="s">
        <v>44</v>
      </c>
      <c r="G1229">
        <v>35</v>
      </c>
      <c r="H1229" t="s">
        <v>98</v>
      </c>
      <c r="I1229" t="str">
        <f>TRIM(excelsalesdata[[#This Row],[City]])</f>
        <v>Mumbai</v>
      </c>
      <c r="J1229" t="s">
        <v>25</v>
      </c>
      <c r="K1229" t="s">
        <v>26</v>
      </c>
      <c r="L1229" t="s">
        <v>27</v>
      </c>
      <c r="M1229" t="s">
        <v>195</v>
      </c>
      <c r="N1229" t="s">
        <v>195</v>
      </c>
      <c r="O1229">
        <v>1</v>
      </c>
      <c r="P1229">
        <v>2050</v>
      </c>
      <c r="Q1229">
        <v>0.1</v>
      </c>
      <c r="R1229">
        <v>1240</v>
      </c>
      <c r="S1229" t="s">
        <v>80</v>
      </c>
      <c r="T1229" t="s">
        <v>30</v>
      </c>
      <c r="U1229">
        <v>5</v>
      </c>
      <c r="V1229" t="s">
        <v>40</v>
      </c>
      <c r="W1229">
        <f>excelsalesdata[[#This Row],[Quantity]]*excelsalesdata[[#This Row],[Unit_Price]]</f>
        <v>2050</v>
      </c>
      <c r="X1229">
        <f>excelsalesdata[[#This Row],[Gross_sales]]*excelsalesdata[[#This Row],[Discount_%]]</f>
        <v>205</v>
      </c>
      <c r="Y1229">
        <f>excelsalesdata[[#This Row],[Gross_sales]]-excelsalesdata[[#This Row],[Discount_amt]]</f>
        <v>1845</v>
      </c>
      <c r="Z1229" s="4">
        <f>excelsalesdata[[#This Row],[Net_sales]]-excelsalesdata[[#This Row],[Cost]]</f>
        <v>605</v>
      </c>
      <c r="AA1229" s="5">
        <f>excelsalesdata[[#This Row],[Profit]]/excelsalesdata[[#This Row],[Net_sales]]</f>
        <v>0.32791327913279134</v>
      </c>
      <c r="AB1229" s="4">
        <f>YEAR(excelsalesdata[[#This Row],[Order_Date]])</f>
        <v>2028</v>
      </c>
      <c r="AC1229" s="4" t="str">
        <f>TEXT(excelsalesdata[[#This Row],[Order_Date]],"mmm")</f>
        <v>Aug</v>
      </c>
      <c r="AD1229" s="4" t="str">
        <f>"Q"&amp;ROUNDUP(MONTH(excelsalesdata[[#This Row],[Order_Date]])/3,0)</f>
        <v>Q3</v>
      </c>
    </row>
    <row r="1230" spans="1:30" x14ac:dyDescent="0.35">
      <c r="A1230" t="s">
        <v>2035</v>
      </c>
      <c r="B1230" s="3">
        <v>46988</v>
      </c>
      <c r="C1230" t="s">
        <v>1690</v>
      </c>
      <c r="D1230" t="s">
        <v>285</v>
      </c>
      <c r="E1230" t="str">
        <f>TRIM(excelsalesdata[[#This Row],[Customer_Name]])</f>
        <v>Aditya Bhat</v>
      </c>
      <c r="F1230" t="s">
        <v>23</v>
      </c>
      <c r="G1230">
        <v>39</v>
      </c>
      <c r="H1230" t="s">
        <v>24</v>
      </c>
      <c r="I1230" t="str">
        <f>TRIM(excelsalesdata[[#This Row],[City]])</f>
        <v>Pune</v>
      </c>
      <c r="J1230" t="s">
        <v>25</v>
      </c>
      <c r="K1230" t="s">
        <v>26</v>
      </c>
      <c r="L1230" t="s">
        <v>85</v>
      </c>
      <c r="M1230" t="s">
        <v>86</v>
      </c>
      <c r="N1230" t="s">
        <v>86</v>
      </c>
      <c r="O1230">
        <v>1</v>
      </c>
      <c r="P1230">
        <v>2400</v>
      </c>
      <c r="Q1230">
        <v>0</v>
      </c>
      <c r="R1230">
        <v>1530</v>
      </c>
      <c r="S1230" t="s">
        <v>29</v>
      </c>
      <c r="T1230" t="s">
        <v>81</v>
      </c>
      <c r="U1230">
        <v>0</v>
      </c>
      <c r="V1230" t="s">
        <v>40</v>
      </c>
      <c r="W1230">
        <f>excelsalesdata[[#This Row],[Quantity]]*excelsalesdata[[#This Row],[Unit_Price]]</f>
        <v>2400</v>
      </c>
      <c r="X1230">
        <f>excelsalesdata[[#This Row],[Gross_sales]]*excelsalesdata[[#This Row],[Discount_%]]</f>
        <v>0</v>
      </c>
      <c r="Y1230">
        <f>excelsalesdata[[#This Row],[Gross_sales]]-excelsalesdata[[#This Row],[Discount_amt]]</f>
        <v>2400</v>
      </c>
      <c r="Z1230" s="4">
        <f>excelsalesdata[[#This Row],[Net_sales]]-excelsalesdata[[#This Row],[Cost]]</f>
        <v>870</v>
      </c>
      <c r="AA1230" s="5">
        <f>excelsalesdata[[#This Row],[Profit]]/excelsalesdata[[#This Row],[Net_sales]]</f>
        <v>0.36249999999999999</v>
      </c>
      <c r="AB1230" s="4">
        <f>YEAR(excelsalesdata[[#This Row],[Order_Date]])</f>
        <v>2028</v>
      </c>
      <c r="AC1230" s="4" t="str">
        <f>TEXT(excelsalesdata[[#This Row],[Order_Date]],"mmm")</f>
        <v>Aug</v>
      </c>
      <c r="AD1230" s="4" t="str">
        <f>"Q"&amp;ROUNDUP(MONTH(excelsalesdata[[#This Row],[Order_Date]])/3,0)</f>
        <v>Q3</v>
      </c>
    </row>
    <row r="1231" spans="1:30" x14ac:dyDescent="0.35">
      <c r="A1231" t="s">
        <v>2037</v>
      </c>
      <c r="B1231" s="3">
        <v>46989</v>
      </c>
      <c r="C1231" t="s">
        <v>1673</v>
      </c>
      <c r="D1231" t="s">
        <v>937</v>
      </c>
      <c r="E1231" t="str">
        <f>TRIM(excelsalesdata[[#This Row],[Customer_Name]])</f>
        <v>Vikram Singh</v>
      </c>
      <c r="F1231" t="s">
        <v>23</v>
      </c>
      <c r="G1231">
        <v>50</v>
      </c>
      <c r="H1231" t="s">
        <v>109</v>
      </c>
      <c r="I1231" t="str">
        <f>TRIM(excelsalesdata[[#This Row],[City]])</f>
        <v>Mysuru</v>
      </c>
      <c r="J1231" t="s">
        <v>53</v>
      </c>
      <c r="K1231" t="s">
        <v>47</v>
      </c>
      <c r="L1231" t="s">
        <v>27</v>
      </c>
      <c r="M1231" t="s">
        <v>295</v>
      </c>
      <c r="N1231" t="s">
        <v>295</v>
      </c>
      <c r="O1231">
        <v>2</v>
      </c>
      <c r="P1231">
        <v>3970</v>
      </c>
      <c r="Q1231">
        <v>0.25</v>
      </c>
      <c r="R1231">
        <v>2640</v>
      </c>
      <c r="S1231" t="s">
        <v>29</v>
      </c>
      <c r="T1231" t="s">
        <v>30</v>
      </c>
      <c r="U1231">
        <v>2</v>
      </c>
      <c r="V1231" t="s">
        <v>40</v>
      </c>
      <c r="W1231">
        <f>excelsalesdata[[#This Row],[Quantity]]*excelsalesdata[[#This Row],[Unit_Price]]</f>
        <v>7940</v>
      </c>
      <c r="X1231">
        <f>excelsalesdata[[#This Row],[Gross_sales]]*excelsalesdata[[#This Row],[Discount_%]]</f>
        <v>1985</v>
      </c>
      <c r="Y1231">
        <f>excelsalesdata[[#This Row],[Gross_sales]]-excelsalesdata[[#This Row],[Discount_amt]]</f>
        <v>5955</v>
      </c>
      <c r="Z1231" s="4">
        <f>excelsalesdata[[#This Row],[Net_sales]]-excelsalesdata[[#This Row],[Cost]]</f>
        <v>3315</v>
      </c>
      <c r="AA1231" s="5">
        <f>excelsalesdata[[#This Row],[Profit]]/excelsalesdata[[#This Row],[Net_sales]]</f>
        <v>0.55667506297229219</v>
      </c>
      <c r="AB1231" s="4">
        <f>YEAR(excelsalesdata[[#This Row],[Order_Date]])</f>
        <v>2028</v>
      </c>
      <c r="AC1231" s="4" t="str">
        <f>TEXT(excelsalesdata[[#This Row],[Order_Date]],"mmm")</f>
        <v>Aug</v>
      </c>
      <c r="AD1231" s="4" t="str">
        <f>"Q"&amp;ROUNDUP(MONTH(excelsalesdata[[#This Row],[Order_Date]])/3,0)</f>
        <v>Q3</v>
      </c>
    </row>
    <row r="1232" spans="1:30" x14ac:dyDescent="0.35">
      <c r="A1232" t="s">
        <v>2038</v>
      </c>
      <c r="B1232" s="3">
        <v>46990</v>
      </c>
      <c r="C1232" t="s">
        <v>1003</v>
      </c>
      <c r="D1232" t="s">
        <v>672</v>
      </c>
      <c r="E1232" t="str">
        <f>TRIM(excelsalesdata[[#This Row],[Customer_Name]])</f>
        <v>Aditya Kumar</v>
      </c>
      <c r="F1232" t="s">
        <v>44</v>
      </c>
      <c r="G1232">
        <v>31</v>
      </c>
      <c r="H1232" t="s">
        <v>24</v>
      </c>
      <c r="I1232" t="str">
        <f>TRIM(excelsalesdata[[#This Row],[City]])</f>
        <v>Pune</v>
      </c>
      <c r="J1232" t="s">
        <v>25</v>
      </c>
      <c r="K1232" t="s">
        <v>26</v>
      </c>
      <c r="L1232" t="s">
        <v>54</v>
      </c>
      <c r="M1232" t="s">
        <v>62</v>
      </c>
      <c r="N1232" t="s">
        <v>62</v>
      </c>
      <c r="O1232">
        <v>2</v>
      </c>
      <c r="P1232">
        <v>22090</v>
      </c>
      <c r="Q1232">
        <v>0.2</v>
      </c>
      <c r="R1232">
        <v>15890</v>
      </c>
      <c r="S1232" t="s">
        <v>80</v>
      </c>
      <c r="T1232" t="s">
        <v>30</v>
      </c>
      <c r="U1232">
        <v>5</v>
      </c>
      <c r="V1232" t="s">
        <v>40</v>
      </c>
      <c r="W1232">
        <f>excelsalesdata[[#This Row],[Quantity]]*excelsalesdata[[#This Row],[Unit_Price]]</f>
        <v>44180</v>
      </c>
      <c r="X1232">
        <f>excelsalesdata[[#This Row],[Gross_sales]]*excelsalesdata[[#This Row],[Discount_%]]</f>
        <v>8836</v>
      </c>
      <c r="Y1232">
        <f>excelsalesdata[[#This Row],[Gross_sales]]-excelsalesdata[[#This Row],[Discount_amt]]</f>
        <v>35344</v>
      </c>
      <c r="Z1232" s="4">
        <f>excelsalesdata[[#This Row],[Net_sales]]-excelsalesdata[[#This Row],[Cost]]</f>
        <v>19454</v>
      </c>
      <c r="AA1232" s="5">
        <f>excelsalesdata[[#This Row],[Profit]]/excelsalesdata[[#This Row],[Net_sales]]</f>
        <v>0.55041874151199632</v>
      </c>
      <c r="AB1232" s="4">
        <f>YEAR(excelsalesdata[[#This Row],[Order_Date]])</f>
        <v>2028</v>
      </c>
      <c r="AC1232" s="4" t="str">
        <f>TEXT(excelsalesdata[[#This Row],[Order_Date]],"mmm")</f>
        <v>Aug</v>
      </c>
      <c r="AD1232" s="4" t="str">
        <f>"Q"&amp;ROUNDUP(MONTH(excelsalesdata[[#This Row],[Order_Date]])/3,0)</f>
        <v>Q3</v>
      </c>
    </row>
    <row r="1233" spans="1:30" x14ac:dyDescent="0.35">
      <c r="A1233" t="s">
        <v>2039</v>
      </c>
      <c r="B1233" s="3">
        <v>46991</v>
      </c>
      <c r="C1233" t="s">
        <v>177</v>
      </c>
      <c r="D1233" t="s">
        <v>122</v>
      </c>
      <c r="E1233" t="str">
        <f>TRIM(excelsalesdata[[#This Row],[Customer_Name]])</f>
        <v>Vikram Rao</v>
      </c>
      <c r="F1233" t="s">
        <v>23</v>
      </c>
      <c r="G1233">
        <v>23</v>
      </c>
      <c r="H1233" t="s">
        <v>168</v>
      </c>
      <c r="I1233" t="str">
        <f>TRIM(excelsalesdata[[#This Row],[City]])</f>
        <v>Delhi</v>
      </c>
      <c r="J1233" t="s">
        <v>168</v>
      </c>
      <c r="K1233" t="s">
        <v>61</v>
      </c>
      <c r="L1233" t="s">
        <v>38</v>
      </c>
      <c r="M1233" t="s">
        <v>73</v>
      </c>
      <c r="N1233" t="s">
        <v>73</v>
      </c>
      <c r="O1233">
        <v>1</v>
      </c>
      <c r="P1233">
        <v>4600</v>
      </c>
      <c r="Q1233">
        <v>0.1</v>
      </c>
      <c r="R1233">
        <v>3280</v>
      </c>
      <c r="S1233" t="s">
        <v>29</v>
      </c>
      <c r="T1233" t="s">
        <v>30</v>
      </c>
      <c r="U1233">
        <v>2</v>
      </c>
      <c r="V1233" t="s">
        <v>40</v>
      </c>
      <c r="W1233">
        <f>excelsalesdata[[#This Row],[Quantity]]*excelsalesdata[[#This Row],[Unit_Price]]</f>
        <v>4600</v>
      </c>
      <c r="X1233">
        <f>excelsalesdata[[#This Row],[Gross_sales]]*excelsalesdata[[#This Row],[Discount_%]]</f>
        <v>460</v>
      </c>
      <c r="Y1233">
        <f>excelsalesdata[[#This Row],[Gross_sales]]-excelsalesdata[[#This Row],[Discount_amt]]</f>
        <v>4140</v>
      </c>
      <c r="Z1233" s="4">
        <f>excelsalesdata[[#This Row],[Net_sales]]-excelsalesdata[[#This Row],[Cost]]</f>
        <v>860</v>
      </c>
      <c r="AA1233" s="5">
        <f>excelsalesdata[[#This Row],[Profit]]/excelsalesdata[[#This Row],[Net_sales]]</f>
        <v>0.20772946859903382</v>
      </c>
      <c r="AB1233" s="4">
        <f>YEAR(excelsalesdata[[#This Row],[Order_Date]])</f>
        <v>2028</v>
      </c>
      <c r="AC1233" s="4" t="str">
        <f>TEXT(excelsalesdata[[#This Row],[Order_Date]],"mmm")</f>
        <v>Aug</v>
      </c>
      <c r="AD1233" s="4" t="str">
        <f>"Q"&amp;ROUNDUP(MONTH(excelsalesdata[[#This Row],[Order_Date]])/3,0)</f>
        <v>Q3</v>
      </c>
    </row>
    <row r="1234" spans="1:30" x14ac:dyDescent="0.35">
      <c r="A1234" t="s">
        <v>2040</v>
      </c>
      <c r="B1234" s="3">
        <v>46992</v>
      </c>
      <c r="C1234" t="s">
        <v>2041</v>
      </c>
      <c r="D1234" t="s">
        <v>642</v>
      </c>
      <c r="E1234" t="str">
        <f>TRIM(excelsalesdata[[#This Row],[Customer_Name]])</f>
        <v>Kavya Singh</v>
      </c>
      <c r="F1234" t="s">
        <v>23</v>
      </c>
      <c r="G1234">
        <v>41</v>
      </c>
      <c r="H1234" t="s">
        <v>78</v>
      </c>
      <c r="I1234" t="str">
        <f>TRIM(excelsalesdata[[#This Row],[City]])</f>
        <v>Guwahati</v>
      </c>
      <c r="J1234" t="s">
        <v>79</v>
      </c>
      <c r="K1234" t="s">
        <v>37</v>
      </c>
      <c r="L1234" t="s">
        <v>27</v>
      </c>
      <c r="M1234" t="s">
        <v>48</v>
      </c>
      <c r="N1234" t="s">
        <v>48</v>
      </c>
      <c r="O1234">
        <v>2</v>
      </c>
      <c r="P1234">
        <v>880</v>
      </c>
      <c r="Q1234">
        <v>0</v>
      </c>
      <c r="R1234">
        <v>440</v>
      </c>
      <c r="S1234" t="s">
        <v>67</v>
      </c>
      <c r="T1234" t="s">
        <v>30</v>
      </c>
      <c r="U1234">
        <v>5</v>
      </c>
      <c r="V1234" t="s">
        <v>31</v>
      </c>
      <c r="W1234">
        <f>excelsalesdata[[#This Row],[Quantity]]*excelsalesdata[[#This Row],[Unit_Price]]</f>
        <v>1760</v>
      </c>
      <c r="X1234">
        <f>excelsalesdata[[#This Row],[Gross_sales]]*excelsalesdata[[#This Row],[Discount_%]]</f>
        <v>0</v>
      </c>
      <c r="Y1234">
        <f>excelsalesdata[[#This Row],[Gross_sales]]-excelsalesdata[[#This Row],[Discount_amt]]</f>
        <v>1760</v>
      </c>
      <c r="Z1234" s="4">
        <f>excelsalesdata[[#This Row],[Net_sales]]-excelsalesdata[[#This Row],[Cost]]</f>
        <v>1320</v>
      </c>
      <c r="AA1234" s="5">
        <f>excelsalesdata[[#This Row],[Profit]]/excelsalesdata[[#This Row],[Net_sales]]</f>
        <v>0.75</v>
      </c>
      <c r="AB1234" s="4">
        <f>YEAR(excelsalesdata[[#This Row],[Order_Date]])</f>
        <v>2028</v>
      </c>
      <c r="AC1234" s="4" t="str">
        <f>TEXT(excelsalesdata[[#This Row],[Order_Date]],"mmm")</f>
        <v>Aug</v>
      </c>
      <c r="AD1234" s="4" t="str">
        <f>"Q"&amp;ROUNDUP(MONTH(excelsalesdata[[#This Row],[Order_Date]])/3,0)</f>
        <v>Q3</v>
      </c>
    </row>
    <row r="1235" spans="1:30" x14ac:dyDescent="0.35">
      <c r="A1235" t="s">
        <v>2042</v>
      </c>
      <c r="B1235" s="3">
        <v>46993</v>
      </c>
      <c r="C1235" t="s">
        <v>377</v>
      </c>
      <c r="D1235" t="s">
        <v>395</v>
      </c>
      <c r="E1235" t="str">
        <f>TRIM(excelsalesdata[[#This Row],[Customer_Name]])</f>
        <v>Meera Gupta</v>
      </c>
      <c r="F1235" t="s">
        <v>44</v>
      </c>
      <c r="G1235">
        <v>37</v>
      </c>
      <c r="H1235" t="s">
        <v>78</v>
      </c>
      <c r="I1235" t="str">
        <f>TRIM(excelsalesdata[[#This Row],[City]])</f>
        <v>Guwahati</v>
      </c>
      <c r="J1235" t="s">
        <v>79</v>
      </c>
      <c r="K1235" t="s">
        <v>37</v>
      </c>
      <c r="L1235" t="s">
        <v>27</v>
      </c>
      <c r="M1235" t="s">
        <v>48</v>
      </c>
      <c r="N1235" t="s">
        <v>48</v>
      </c>
      <c r="O1235">
        <v>2</v>
      </c>
      <c r="P1235">
        <v>840</v>
      </c>
      <c r="Q1235">
        <v>0.1</v>
      </c>
      <c r="R1235">
        <v>450</v>
      </c>
      <c r="S1235" t="s">
        <v>29</v>
      </c>
      <c r="T1235" t="s">
        <v>30</v>
      </c>
      <c r="U1235">
        <v>3</v>
      </c>
      <c r="V1235" t="s">
        <v>40</v>
      </c>
      <c r="W1235">
        <f>excelsalesdata[[#This Row],[Quantity]]*excelsalesdata[[#This Row],[Unit_Price]]</f>
        <v>1680</v>
      </c>
      <c r="X1235">
        <f>excelsalesdata[[#This Row],[Gross_sales]]*excelsalesdata[[#This Row],[Discount_%]]</f>
        <v>168</v>
      </c>
      <c r="Y1235">
        <f>excelsalesdata[[#This Row],[Gross_sales]]-excelsalesdata[[#This Row],[Discount_amt]]</f>
        <v>1512</v>
      </c>
      <c r="Z1235" s="4">
        <f>excelsalesdata[[#This Row],[Net_sales]]-excelsalesdata[[#This Row],[Cost]]</f>
        <v>1062</v>
      </c>
      <c r="AA1235" s="5">
        <f>excelsalesdata[[#This Row],[Profit]]/excelsalesdata[[#This Row],[Net_sales]]</f>
        <v>0.70238095238095233</v>
      </c>
      <c r="AB1235" s="4">
        <f>YEAR(excelsalesdata[[#This Row],[Order_Date]])</f>
        <v>2028</v>
      </c>
      <c r="AC1235" s="4" t="str">
        <f>TEXT(excelsalesdata[[#This Row],[Order_Date]],"mmm")</f>
        <v>Aug</v>
      </c>
      <c r="AD1235" s="4" t="str">
        <f>"Q"&amp;ROUNDUP(MONTH(excelsalesdata[[#This Row],[Order_Date]])/3,0)</f>
        <v>Q3</v>
      </c>
    </row>
    <row r="1236" spans="1:30" x14ac:dyDescent="0.35">
      <c r="A1236" t="s">
        <v>2043</v>
      </c>
      <c r="B1236" s="3">
        <v>46994</v>
      </c>
      <c r="C1236" t="s">
        <v>1068</v>
      </c>
      <c r="D1236" t="s">
        <v>631</v>
      </c>
      <c r="E1236" t="str">
        <f>TRIM(excelsalesdata[[#This Row],[Customer_Name]])</f>
        <v>Diya Naidu</v>
      </c>
      <c r="F1236" t="s">
        <v>23</v>
      </c>
      <c r="G1236">
        <v>39</v>
      </c>
      <c r="H1236" t="s">
        <v>52</v>
      </c>
      <c r="I1236" t="str">
        <f>TRIM(excelsalesdata[[#This Row],[City]])</f>
        <v>Bengaluru</v>
      </c>
      <c r="J1236" t="s">
        <v>53</v>
      </c>
      <c r="K1236" t="s">
        <v>47</v>
      </c>
      <c r="L1236" t="s">
        <v>54</v>
      </c>
      <c r="M1236" t="s">
        <v>62</v>
      </c>
      <c r="N1236" t="s">
        <v>62</v>
      </c>
      <c r="O1236">
        <v>1</v>
      </c>
      <c r="P1236">
        <v>21210</v>
      </c>
      <c r="Q1236">
        <v>0.1</v>
      </c>
      <c r="R1236">
        <v>16220</v>
      </c>
      <c r="S1236" t="s">
        <v>80</v>
      </c>
      <c r="T1236" t="s">
        <v>30</v>
      </c>
      <c r="U1236">
        <v>7</v>
      </c>
      <c r="V1236" t="s">
        <v>31</v>
      </c>
      <c r="W1236">
        <f>excelsalesdata[[#This Row],[Quantity]]*excelsalesdata[[#This Row],[Unit_Price]]</f>
        <v>21210</v>
      </c>
      <c r="X1236">
        <f>excelsalesdata[[#This Row],[Gross_sales]]*excelsalesdata[[#This Row],[Discount_%]]</f>
        <v>2121</v>
      </c>
      <c r="Y1236">
        <f>excelsalesdata[[#This Row],[Gross_sales]]-excelsalesdata[[#This Row],[Discount_amt]]</f>
        <v>19089</v>
      </c>
      <c r="Z1236" s="4">
        <f>excelsalesdata[[#This Row],[Net_sales]]-excelsalesdata[[#This Row],[Cost]]</f>
        <v>2869</v>
      </c>
      <c r="AA1236" s="5">
        <f>excelsalesdata[[#This Row],[Profit]]/excelsalesdata[[#This Row],[Net_sales]]</f>
        <v>0.15029598197915028</v>
      </c>
      <c r="AB1236" s="4">
        <f>YEAR(excelsalesdata[[#This Row],[Order_Date]])</f>
        <v>2028</v>
      </c>
      <c r="AC1236" s="4" t="str">
        <f>TEXT(excelsalesdata[[#This Row],[Order_Date]],"mmm")</f>
        <v>Aug</v>
      </c>
      <c r="AD1236" s="4" t="str">
        <f>"Q"&amp;ROUNDUP(MONTH(excelsalesdata[[#This Row],[Order_Date]])/3,0)</f>
        <v>Q3</v>
      </c>
    </row>
    <row r="1237" spans="1:30" x14ac:dyDescent="0.35">
      <c r="A1237" t="s">
        <v>2044</v>
      </c>
      <c r="B1237" s="3">
        <v>46995</v>
      </c>
      <c r="C1237" t="s">
        <v>2045</v>
      </c>
      <c r="D1237" t="s">
        <v>844</v>
      </c>
      <c r="E1237" t="str">
        <f>TRIM(excelsalesdata[[#This Row],[Customer_Name]])</f>
        <v>Vikram Gupta</v>
      </c>
      <c r="F1237" t="s">
        <v>44</v>
      </c>
      <c r="G1237">
        <v>58</v>
      </c>
      <c r="H1237" t="s">
        <v>190</v>
      </c>
      <c r="I1237" t="str">
        <f>TRIM(excelsalesdata[[#This Row],[City]])</f>
        <v>Ahmedabad</v>
      </c>
      <c r="J1237" t="s">
        <v>191</v>
      </c>
      <c r="K1237" t="s">
        <v>26</v>
      </c>
      <c r="L1237" t="s">
        <v>103</v>
      </c>
      <c r="M1237" t="s">
        <v>312</v>
      </c>
      <c r="N1237" t="s">
        <v>312</v>
      </c>
      <c r="O1237">
        <v>1</v>
      </c>
      <c r="P1237">
        <v>6670</v>
      </c>
      <c r="Q1237">
        <v>0.15</v>
      </c>
      <c r="R1237">
        <v>4150</v>
      </c>
      <c r="S1237" t="s">
        <v>105</v>
      </c>
      <c r="T1237" t="s">
        <v>30</v>
      </c>
      <c r="U1237">
        <v>1</v>
      </c>
      <c r="V1237" t="s">
        <v>31</v>
      </c>
      <c r="W1237">
        <f>excelsalesdata[[#This Row],[Quantity]]*excelsalesdata[[#This Row],[Unit_Price]]</f>
        <v>6670</v>
      </c>
      <c r="X1237">
        <f>excelsalesdata[[#This Row],[Gross_sales]]*excelsalesdata[[#This Row],[Discount_%]]</f>
        <v>1000.5</v>
      </c>
      <c r="Y1237">
        <f>excelsalesdata[[#This Row],[Gross_sales]]-excelsalesdata[[#This Row],[Discount_amt]]</f>
        <v>5669.5</v>
      </c>
      <c r="Z1237" s="4">
        <f>excelsalesdata[[#This Row],[Net_sales]]-excelsalesdata[[#This Row],[Cost]]</f>
        <v>1519.5</v>
      </c>
      <c r="AA1237" s="5">
        <f>excelsalesdata[[#This Row],[Profit]]/excelsalesdata[[#This Row],[Net_sales]]</f>
        <v>0.26801305229738071</v>
      </c>
      <c r="AB1237" s="4">
        <f>YEAR(excelsalesdata[[#This Row],[Order_Date]])</f>
        <v>2028</v>
      </c>
      <c r="AC1237" s="4" t="str">
        <f>TEXT(excelsalesdata[[#This Row],[Order_Date]],"mmm")</f>
        <v>Aug</v>
      </c>
      <c r="AD1237" s="4" t="str">
        <f>"Q"&amp;ROUNDUP(MONTH(excelsalesdata[[#This Row],[Order_Date]])/3,0)</f>
        <v>Q3</v>
      </c>
    </row>
    <row r="1238" spans="1:30" x14ac:dyDescent="0.35">
      <c r="A1238" t="s">
        <v>2046</v>
      </c>
      <c r="B1238" s="3">
        <v>46996</v>
      </c>
      <c r="C1238" t="s">
        <v>1186</v>
      </c>
      <c r="D1238" t="s">
        <v>1371</v>
      </c>
      <c r="E1238" t="str">
        <f>TRIM(excelsalesdata[[#This Row],[Customer_Name]])</f>
        <v>Aditya Das</v>
      </c>
      <c r="F1238" t="s">
        <v>23</v>
      </c>
      <c r="G1238">
        <v>37</v>
      </c>
      <c r="H1238" t="s">
        <v>71</v>
      </c>
      <c r="I1238" t="str">
        <f>TRIM(excelsalesdata[[#This Row],[City]])</f>
        <v>Bhubaneswar</v>
      </c>
      <c r="J1238" t="s">
        <v>72</v>
      </c>
      <c r="K1238" t="s">
        <v>37</v>
      </c>
      <c r="L1238" t="s">
        <v>27</v>
      </c>
      <c r="M1238" t="s">
        <v>48</v>
      </c>
      <c r="N1238" t="s">
        <v>48</v>
      </c>
      <c r="O1238">
        <v>1</v>
      </c>
      <c r="P1238">
        <v>900</v>
      </c>
      <c r="Q1238">
        <v>0</v>
      </c>
      <c r="R1238">
        <v>430</v>
      </c>
      <c r="S1238" t="s">
        <v>80</v>
      </c>
      <c r="T1238" t="s">
        <v>30</v>
      </c>
      <c r="U1238">
        <v>8</v>
      </c>
      <c r="V1238" t="s">
        <v>40</v>
      </c>
      <c r="W1238">
        <f>excelsalesdata[[#This Row],[Quantity]]*excelsalesdata[[#This Row],[Unit_Price]]</f>
        <v>900</v>
      </c>
      <c r="X1238">
        <f>excelsalesdata[[#This Row],[Gross_sales]]*excelsalesdata[[#This Row],[Discount_%]]</f>
        <v>0</v>
      </c>
      <c r="Y1238">
        <f>excelsalesdata[[#This Row],[Gross_sales]]-excelsalesdata[[#This Row],[Discount_amt]]</f>
        <v>900</v>
      </c>
      <c r="Z1238" s="4">
        <f>excelsalesdata[[#This Row],[Net_sales]]-excelsalesdata[[#This Row],[Cost]]</f>
        <v>470</v>
      </c>
      <c r="AA1238" s="5">
        <f>excelsalesdata[[#This Row],[Profit]]/excelsalesdata[[#This Row],[Net_sales]]</f>
        <v>0.52222222222222225</v>
      </c>
      <c r="AB1238" s="4">
        <f>YEAR(excelsalesdata[[#This Row],[Order_Date]])</f>
        <v>2028</v>
      </c>
      <c r="AC1238" s="4" t="str">
        <f>TEXT(excelsalesdata[[#This Row],[Order_Date]],"mmm")</f>
        <v>Aug</v>
      </c>
      <c r="AD1238" s="4" t="str">
        <f>"Q"&amp;ROUNDUP(MONTH(excelsalesdata[[#This Row],[Order_Date]])/3,0)</f>
        <v>Q3</v>
      </c>
    </row>
    <row r="1239" spans="1:30" x14ac:dyDescent="0.35">
      <c r="A1239" t="s">
        <v>2047</v>
      </c>
      <c r="B1239" s="3">
        <v>46997</v>
      </c>
      <c r="C1239" t="s">
        <v>1595</v>
      </c>
      <c r="D1239" t="s">
        <v>97</v>
      </c>
      <c r="E1239" t="str">
        <f>TRIM(excelsalesdata[[#This Row],[Customer_Name]])</f>
        <v>Aditya Shah</v>
      </c>
      <c r="F1239" t="s">
        <v>23</v>
      </c>
      <c r="G1239">
        <v>26</v>
      </c>
      <c r="H1239" t="s">
        <v>185</v>
      </c>
      <c r="I1239" t="str">
        <f>TRIM(excelsalesdata[[#This Row],[City]])</f>
        <v>Lucknow</v>
      </c>
      <c r="J1239" t="s">
        <v>186</v>
      </c>
      <c r="K1239" t="s">
        <v>61</v>
      </c>
      <c r="L1239" t="s">
        <v>103</v>
      </c>
      <c r="M1239" t="s">
        <v>312</v>
      </c>
      <c r="N1239" t="s">
        <v>312</v>
      </c>
      <c r="O1239">
        <v>1</v>
      </c>
      <c r="P1239">
        <v>6770</v>
      </c>
      <c r="Q1239">
        <v>0.15</v>
      </c>
      <c r="R1239">
        <v>4200</v>
      </c>
      <c r="S1239" t="s">
        <v>67</v>
      </c>
      <c r="T1239" t="s">
        <v>81</v>
      </c>
      <c r="U1239">
        <v>0</v>
      </c>
      <c r="V1239" t="s">
        <v>40</v>
      </c>
      <c r="W1239">
        <f>excelsalesdata[[#This Row],[Quantity]]*excelsalesdata[[#This Row],[Unit_Price]]</f>
        <v>6770</v>
      </c>
      <c r="X1239">
        <f>excelsalesdata[[#This Row],[Gross_sales]]*excelsalesdata[[#This Row],[Discount_%]]</f>
        <v>1015.5</v>
      </c>
      <c r="Y1239">
        <f>excelsalesdata[[#This Row],[Gross_sales]]-excelsalesdata[[#This Row],[Discount_amt]]</f>
        <v>5754.5</v>
      </c>
      <c r="Z1239" s="4">
        <f>excelsalesdata[[#This Row],[Net_sales]]-excelsalesdata[[#This Row],[Cost]]</f>
        <v>1554.5</v>
      </c>
      <c r="AA1239" s="5">
        <f>excelsalesdata[[#This Row],[Profit]]/excelsalesdata[[#This Row],[Net_sales]]</f>
        <v>0.27013641497958119</v>
      </c>
      <c r="AB1239" s="4">
        <f>YEAR(excelsalesdata[[#This Row],[Order_Date]])</f>
        <v>2028</v>
      </c>
      <c r="AC1239" s="4" t="str">
        <f>TEXT(excelsalesdata[[#This Row],[Order_Date]],"mmm")</f>
        <v>Sep</v>
      </c>
      <c r="AD1239" s="4" t="str">
        <f>"Q"&amp;ROUNDUP(MONTH(excelsalesdata[[#This Row],[Order_Date]])/3,0)</f>
        <v>Q3</v>
      </c>
    </row>
    <row r="1240" spans="1:30" x14ac:dyDescent="0.35">
      <c r="A1240" t="s">
        <v>2048</v>
      </c>
      <c r="B1240" s="3">
        <v>46998</v>
      </c>
      <c r="C1240" t="s">
        <v>616</v>
      </c>
      <c r="D1240" t="s">
        <v>1756</v>
      </c>
      <c r="E1240" t="str">
        <f>TRIM(excelsalesdata[[#This Row],[Customer_Name]])</f>
        <v>Meera Rao</v>
      </c>
      <c r="F1240" t="s">
        <v>44</v>
      </c>
      <c r="G1240">
        <v>49</v>
      </c>
      <c r="H1240" t="s">
        <v>98</v>
      </c>
      <c r="I1240" t="str">
        <f>TRIM(excelsalesdata[[#This Row],[City]])</f>
        <v>Mumbai</v>
      </c>
      <c r="J1240" t="s">
        <v>25</v>
      </c>
      <c r="K1240" t="s">
        <v>26</v>
      </c>
      <c r="L1240" t="s">
        <v>85</v>
      </c>
      <c r="M1240" t="s">
        <v>110</v>
      </c>
      <c r="N1240" t="s">
        <v>110</v>
      </c>
      <c r="O1240">
        <v>3</v>
      </c>
      <c r="P1240">
        <v>1120</v>
      </c>
      <c r="Q1240">
        <v>0.3</v>
      </c>
      <c r="R1240">
        <v>610</v>
      </c>
      <c r="S1240" t="s">
        <v>67</v>
      </c>
      <c r="T1240" t="s">
        <v>30</v>
      </c>
      <c r="U1240">
        <v>3</v>
      </c>
      <c r="V1240" t="s">
        <v>40</v>
      </c>
      <c r="W1240">
        <f>excelsalesdata[[#This Row],[Quantity]]*excelsalesdata[[#This Row],[Unit_Price]]</f>
        <v>3360</v>
      </c>
      <c r="X1240">
        <f>excelsalesdata[[#This Row],[Gross_sales]]*excelsalesdata[[#This Row],[Discount_%]]</f>
        <v>1008</v>
      </c>
      <c r="Y1240">
        <f>excelsalesdata[[#This Row],[Gross_sales]]-excelsalesdata[[#This Row],[Discount_amt]]</f>
        <v>2352</v>
      </c>
      <c r="Z1240" s="4">
        <f>excelsalesdata[[#This Row],[Net_sales]]-excelsalesdata[[#This Row],[Cost]]</f>
        <v>1742</v>
      </c>
      <c r="AA1240" s="5">
        <f>excelsalesdata[[#This Row],[Profit]]/excelsalesdata[[#This Row],[Net_sales]]</f>
        <v>0.74064625850340138</v>
      </c>
      <c r="AB1240" s="4">
        <f>YEAR(excelsalesdata[[#This Row],[Order_Date]])</f>
        <v>2028</v>
      </c>
      <c r="AC1240" s="4" t="str">
        <f>TEXT(excelsalesdata[[#This Row],[Order_Date]],"mmm")</f>
        <v>Sep</v>
      </c>
      <c r="AD1240" s="4" t="str">
        <f>"Q"&amp;ROUNDUP(MONTH(excelsalesdata[[#This Row],[Order_Date]])/3,0)</f>
        <v>Q3</v>
      </c>
    </row>
    <row r="1241" spans="1:30" x14ac:dyDescent="0.35">
      <c r="A1241" t="s">
        <v>2049</v>
      </c>
      <c r="B1241" s="3">
        <v>46999</v>
      </c>
      <c r="C1241" t="s">
        <v>715</v>
      </c>
      <c r="D1241" t="s">
        <v>282</v>
      </c>
      <c r="E1241" t="str">
        <f>TRIM(excelsalesdata[[#This Row],[Customer_Name]])</f>
        <v>Priya Bhat</v>
      </c>
      <c r="F1241" t="s">
        <v>23</v>
      </c>
      <c r="G1241">
        <v>23</v>
      </c>
      <c r="H1241" t="s">
        <v>52</v>
      </c>
      <c r="I1241" t="str">
        <f>TRIM(excelsalesdata[[#This Row],[City]])</f>
        <v>Bengaluru</v>
      </c>
      <c r="J1241" t="s">
        <v>53</v>
      </c>
      <c r="K1241" t="s">
        <v>47</v>
      </c>
      <c r="L1241" t="s">
        <v>38</v>
      </c>
      <c r="M1241" t="s">
        <v>73</v>
      </c>
      <c r="N1241" t="s">
        <v>73</v>
      </c>
      <c r="O1241">
        <v>2</v>
      </c>
      <c r="P1241">
        <v>4950</v>
      </c>
      <c r="Q1241">
        <v>0.2</v>
      </c>
      <c r="R1241">
        <v>3240</v>
      </c>
      <c r="S1241" t="s">
        <v>105</v>
      </c>
      <c r="T1241" t="s">
        <v>81</v>
      </c>
      <c r="U1241">
        <v>0</v>
      </c>
      <c r="V1241" t="s">
        <v>40</v>
      </c>
      <c r="W1241">
        <f>excelsalesdata[[#This Row],[Quantity]]*excelsalesdata[[#This Row],[Unit_Price]]</f>
        <v>9900</v>
      </c>
      <c r="X1241">
        <f>excelsalesdata[[#This Row],[Gross_sales]]*excelsalesdata[[#This Row],[Discount_%]]</f>
        <v>1980</v>
      </c>
      <c r="Y1241">
        <f>excelsalesdata[[#This Row],[Gross_sales]]-excelsalesdata[[#This Row],[Discount_amt]]</f>
        <v>7920</v>
      </c>
      <c r="Z1241" s="4">
        <f>excelsalesdata[[#This Row],[Net_sales]]-excelsalesdata[[#This Row],[Cost]]</f>
        <v>4680</v>
      </c>
      <c r="AA1241" s="5">
        <f>excelsalesdata[[#This Row],[Profit]]/excelsalesdata[[#This Row],[Net_sales]]</f>
        <v>0.59090909090909094</v>
      </c>
      <c r="AB1241" s="4">
        <f>YEAR(excelsalesdata[[#This Row],[Order_Date]])</f>
        <v>2028</v>
      </c>
      <c r="AC1241" s="4" t="str">
        <f>TEXT(excelsalesdata[[#This Row],[Order_Date]],"mmm")</f>
        <v>Sep</v>
      </c>
      <c r="AD1241" s="4" t="str">
        <f>"Q"&amp;ROUNDUP(MONTH(excelsalesdata[[#This Row],[Order_Date]])/3,0)</f>
        <v>Q3</v>
      </c>
    </row>
    <row r="1242" spans="1:30" x14ac:dyDescent="0.35">
      <c r="A1242" t="s">
        <v>2050</v>
      </c>
      <c r="B1242" s="3">
        <v>47000</v>
      </c>
      <c r="C1242" t="s">
        <v>2051</v>
      </c>
      <c r="D1242" t="s">
        <v>311</v>
      </c>
      <c r="E1242" t="str">
        <f>TRIM(excelsalesdata[[#This Row],[Customer_Name]])</f>
        <v>Karan Verma</v>
      </c>
      <c r="F1242" t="s">
        <v>23</v>
      </c>
      <c r="G1242">
        <v>52</v>
      </c>
      <c r="H1242" t="s">
        <v>35</v>
      </c>
      <c r="I1242" t="str">
        <f>TRIM(excelsalesdata[[#This Row],[City]])</f>
        <v>Kolkata</v>
      </c>
      <c r="J1242" t="s">
        <v>36</v>
      </c>
      <c r="K1242" t="s">
        <v>37</v>
      </c>
      <c r="L1242" t="s">
        <v>27</v>
      </c>
      <c r="M1242" t="s">
        <v>195</v>
      </c>
      <c r="N1242" t="s">
        <v>195</v>
      </c>
      <c r="O1242">
        <v>1</v>
      </c>
      <c r="P1242">
        <v>2040</v>
      </c>
      <c r="Q1242">
        <v>0</v>
      </c>
      <c r="R1242">
        <v>1160</v>
      </c>
      <c r="S1242" t="s">
        <v>29</v>
      </c>
      <c r="T1242" t="s">
        <v>30</v>
      </c>
      <c r="U1242">
        <v>2</v>
      </c>
      <c r="V1242" t="s">
        <v>40</v>
      </c>
      <c r="W1242">
        <f>excelsalesdata[[#This Row],[Quantity]]*excelsalesdata[[#This Row],[Unit_Price]]</f>
        <v>2040</v>
      </c>
      <c r="X1242">
        <f>excelsalesdata[[#This Row],[Gross_sales]]*excelsalesdata[[#This Row],[Discount_%]]</f>
        <v>0</v>
      </c>
      <c r="Y1242">
        <f>excelsalesdata[[#This Row],[Gross_sales]]-excelsalesdata[[#This Row],[Discount_amt]]</f>
        <v>2040</v>
      </c>
      <c r="Z1242" s="4">
        <f>excelsalesdata[[#This Row],[Net_sales]]-excelsalesdata[[#This Row],[Cost]]</f>
        <v>880</v>
      </c>
      <c r="AA1242" s="5">
        <f>excelsalesdata[[#This Row],[Profit]]/excelsalesdata[[#This Row],[Net_sales]]</f>
        <v>0.43137254901960786</v>
      </c>
      <c r="AB1242" s="4">
        <f>YEAR(excelsalesdata[[#This Row],[Order_Date]])</f>
        <v>2028</v>
      </c>
      <c r="AC1242" s="4" t="str">
        <f>TEXT(excelsalesdata[[#This Row],[Order_Date]],"mmm")</f>
        <v>Sep</v>
      </c>
      <c r="AD1242" s="4" t="str">
        <f>"Q"&amp;ROUNDUP(MONTH(excelsalesdata[[#This Row],[Order_Date]])/3,0)</f>
        <v>Q3</v>
      </c>
    </row>
    <row r="1243" spans="1:30" x14ac:dyDescent="0.35">
      <c r="A1243" t="s">
        <v>2052</v>
      </c>
      <c r="B1243" s="3">
        <v>47001</v>
      </c>
      <c r="C1243" t="s">
        <v>2053</v>
      </c>
      <c r="D1243" t="s">
        <v>1108</v>
      </c>
      <c r="E1243" t="str">
        <f>TRIM(excelsalesdata[[#This Row],[Customer_Name]])</f>
        <v>Rohan Verma</v>
      </c>
      <c r="F1243" t="s">
        <v>44</v>
      </c>
      <c r="G1243">
        <v>27</v>
      </c>
      <c r="H1243" t="s">
        <v>24</v>
      </c>
      <c r="I1243" t="str">
        <f>TRIM(excelsalesdata[[#This Row],[City]])</f>
        <v>Pune</v>
      </c>
      <c r="J1243" t="s">
        <v>25</v>
      </c>
      <c r="K1243" t="s">
        <v>26</v>
      </c>
      <c r="L1243" t="s">
        <v>103</v>
      </c>
      <c r="M1243" t="s">
        <v>238</v>
      </c>
      <c r="N1243" t="s">
        <v>238</v>
      </c>
      <c r="O1243">
        <v>1</v>
      </c>
      <c r="P1243">
        <v>4250</v>
      </c>
      <c r="Q1243">
        <v>0.05</v>
      </c>
      <c r="R1243">
        <v>2660</v>
      </c>
      <c r="S1243" t="s">
        <v>29</v>
      </c>
      <c r="T1243" t="s">
        <v>30</v>
      </c>
      <c r="U1243">
        <v>4</v>
      </c>
      <c r="V1243" t="s">
        <v>40</v>
      </c>
      <c r="W1243">
        <f>excelsalesdata[[#This Row],[Quantity]]*excelsalesdata[[#This Row],[Unit_Price]]</f>
        <v>4250</v>
      </c>
      <c r="X1243">
        <f>excelsalesdata[[#This Row],[Gross_sales]]*excelsalesdata[[#This Row],[Discount_%]]</f>
        <v>212.5</v>
      </c>
      <c r="Y1243">
        <f>excelsalesdata[[#This Row],[Gross_sales]]-excelsalesdata[[#This Row],[Discount_amt]]</f>
        <v>4037.5</v>
      </c>
      <c r="Z1243" s="4">
        <f>excelsalesdata[[#This Row],[Net_sales]]-excelsalesdata[[#This Row],[Cost]]</f>
        <v>1377.5</v>
      </c>
      <c r="AA1243" s="5">
        <f>excelsalesdata[[#This Row],[Profit]]/excelsalesdata[[#This Row],[Net_sales]]</f>
        <v>0.3411764705882353</v>
      </c>
      <c r="AB1243" s="4">
        <f>YEAR(excelsalesdata[[#This Row],[Order_Date]])</f>
        <v>2028</v>
      </c>
      <c r="AC1243" s="4" t="str">
        <f>TEXT(excelsalesdata[[#This Row],[Order_Date]],"mmm")</f>
        <v>Sep</v>
      </c>
      <c r="AD1243" s="4" t="str">
        <f>"Q"&amp;ROUNDUP(MONTH(excelsalesdata[[#This Row],[Order_Date]])/3,0)</f>
        <v>Q3</v>
      </c>
    </row>
    <row r="1244" spans="1:30" x14ac:dyDescent="0.35">
      <c r="A1244" t="s">
        <v>2054</v>
      </c>
      <c r="B1244" s="3">
        <v>47002</v>
      </c>
      <c r="C1244" t="s">
        <v>1058</v>
      </c>
      <c r="D1244" t="s">
        <v>1401</v>
      </c>
      <c r="E1244" t="str">
        <f>TRIM(excelsalesdata[[#This Row],[Customer_Name]])</f>
        <v>Meera Kumar</v>
      </c>
      <c r="F1244" t="s">
        <v>44</v>
      </c>
      <c r="G1244">
        <v>20</v>
      </c>
      <c r="H1244" t="s">
        <v>60</v>
      </c>
      <c r="I1244" t="str">
        <f>TRIM(excelsalesdata[[#This Row],[City]])</f>
        <v>Chandigarh</v>
      </c>
      <c r="J1244" t="s">
        <v>60</v>
      </c>
      <c r="K1244" t="s">
        <v>61</v>
      </c>
      <c r="L1244" t="s">
        <v>38</v>
      </c>
      <c r="M1244" t="s">
        <v>39</v>
      </c>
      <c r="N1244" t="s">
        <v>39</v>
      </c>
      <c r="O1244">
        <v>2</v>
      </c>
      <c r="P1244">
        <v>6740</v>
      </c>
      <c r="Q1244">
        <v>0.1</v>
      </c>
      <c r="R1244">
        <v>4100</v>
      </c>
      <c r="S1244" t="s">
        <v>29</v>
      </c>
      <c r="T1244" t="s">
        <v>30</v>
      </c>
      <c r="U1244">
        <v>3</v>
      </c>
      <c r="V1244" t="s">
        <v>40</v>
      </c>
      <c r="W1244">
        <f>excelsalesdata[[#This Row],[Quantity]]*excelsalesdata[[#This Row],[Unit_Price]]</f>
        <v>13480</v>
      </c>
      <c r="X1244">
        <f>excelsalesdata[[#This Row],[Gross_sales]]*excelsalesdata[[#This Row],[Discount_%]]</f>
        <v>1348</v>
      </c>
      <c r="Y1244">
        <f>excelsalesdata[[#This Row],[Gross_sales]]-excelsalesdata[[#This Row],[Discount_amt]]</f>
        <v>12132</v>
      </c>
      <c r="Z1244" s="4">
        <f>excelsalesdata[[#This Row],[Net_sales]]-excelsalesdata[[#This Row],[Cost]]</f>
        <v>8032</v>
      </c>
      <c r="AA1244" s="5">
        <f>excelsalesdata[[#This Row],[Profit]]/excelsalesdata[[#This Row],[Net_sales]]</f>
        <v>0.66205077481041874</v>
      </c>
      <c r="AB1244" s="4">
        <f>YEAR(excelsalesdata[[#This Row],[Order_Date]])</f>
        <v>2028</v>
      </c>
      <c r="AC1244" s="4" t="str">
        <f>TEXT(excelsalesdata[[#This Row],[Order_Date]],"mmm")</f>
        <v>Sep</v>
      </c>
      <c r="AD1244" s="4" t="str">
        <f>"Q"&amp;ROUNDUP(MONTH(excelsalesdata[[#This Row],[Order_Date]])/3,0)</f>
        <v>Q3</v>
      </c>
    </row>
    <row r="1245" spans="1:30" x14ac:dyDescent="0.35">
      <c r="A1245" t="s">
        <v>2055</v>
      </c>
      <c r="B1245" s="3">
        <v>47003</v>
      </c>
      <c r="C1245" t="s">
        <v>881</v>
      </c>
      <c r="D1245" t="s">
        <v>1108</v>
      </c>
      <c r="E1245" t="str">
        <f>TRIM(excelsalesdata[[#This Row],[Customer_Name]])</f>
        <v>Rohan Verma</v>
      </c>
      <c r="F1245" t="s">
        <v>44</v>
      </c>
      <c r="G1245">
        <v>50</v>
      </c>
      <c r="H1245" t="s">
        <v>52</v>
      </c>
      <c r="I1245" t="str">
        <f>TRIM(excelsalesdata[[#This Row],[City]])</f>
        <v>Bengaluru</v>
      </c>
      <c r="J1245" t="s">
        <v>53</v>
      </c>
      <c r="K1245" t="s">
        <v>47</v>
      </c>
      <c r="L1245" t="s">
        <v>54</v>
      </c>
      <c r="M1245" t="s">
        <v>66</v>
      </c>
      <c r="N1245" t="s">
        <v>66</v>
      </c>
      <c r="O1245">
        <v>2</v>
      </c>
      <c r="P1245">
        <v>2420</v>
      </c>
      <c r="Q1245">
        <v>0.2</v>
      </c>
      <c r="R1245">
        <v>1500</v>
      </c>
      <c r="S1245" t="s">
        <v>80</v>
      </c>
      <c r="T1245" t="s">
        <v>99</v>
      </c>
      <c r="U1245">
        <v>7</v>
      </c>
      <c r="V1245" t="s">
        <v>31</v>
      </c>
      <c r="W1245">
        <f>excelsalesdata[[#This Row],[Quantity]]*excelsalesdata[[#This Row],[Unit_Price]]</f>
        <v>4840</v>
      </c>
      <c r="X1245">
        <f>excelsalesdata[[#This Row],[Gross_sales]]*excelsalesdata[[#This Row],[Discount_%]]</f>
        <v>968</v>
      </c>
      <c r="Y1245">
        <f>excelsalesdata[[#This Row],[Gross_sales]]-excelsalesdata[[#This Row],[Discount_amt]]</f>
        <v>3872</v>
      </c>
      <c r="Z1245" s="4">
        <f>excelsalesdata[[#This Row],[Net_sales]]-excelsalesdata[[#This Row],[Cost]]</f>
        <v>2372</v>
      </c>
      <c r="AA1245" s="5">
        <f>excelsalesdata[[#This Row],[Profit]]/excelsalesdata[[#This Row],[Net_sales]]</f>
        <v>0.61260330578512401</v>
      </c>
      <c r="AB1245" s="4">
        <f>YEAR(excelsalesdata[[#This Row],[Order_Date]])</f>
        <v>2028</v>
      </c>
      <c r="AC1245" s="4" t="str">
        <f>TEXT(excelsalesdata[[#This Row],[Order_Date]],"mmm")</f>
        <v>Sep</v>
      </c>
      <c r="AD1245" s="4" t="str">
        <f>"Q"&amp;ROUNDUP(MONTH(excelsalesdata[[#This Row],[Order_Date]])/3,0)</f>
        <v>Q3</v>
      </c>
    </row>
    <row r="1246" spans="1:30" x14ac:dyDescent="0.35">
      <c r="A1246" t="s">
        <v>2056</v>
      </c>
      <c r="B1246" s="3">
        <v>47004</v>
      </c>
      <c r="C1246" t="s">
        <v>425</v>
      </c>
      <c r="D1246" t="s">
        <v>335</v>
      </c>
      <c r="E1246" t="str">
        <f>TRIM(excelsalesdata[[#This Row],[Customer_Name]])</f>
        <v>Vikram Joshi</v>
      </c>
      <c r="F1246" t="s">
        <v>44</v>
      </c>
      <c r="G1246">
        <v>48</v>
      </c>
      <c r="H1246" t="s">
        <v>78</v>
      </c>
      <c r="I1246" t="str">
        <f>TRIM(excelsalesdata[[#This Row],[City]])</f>
        <v>Guwahati</v>
      </c>
      <c r="J1246" t="s">
        <v>79</v>
      </c>
      <c r="K1246" t="s">
        <v>37</v>
      </c>
      <c r="L1246" t="s">
        <v>38</v>
      </c>
      <c r="M1246" t="s">
        <v>73</v>
      </c>
      <c r="N1246" t="s">
        <v>73</v>
      </c>
      <c r="O1246">
        <v>2</v>
      </c>
      <c r="P1246">
        <v>5090</v>
      </c>
      <c r="Q1246">
        <v>0.05</v>
      </c>
      <c r="R1246">
        <v>3260</v>
      </c>
      <c r="S1246" t="s">
        <v>80</v>
      </c>
      <c r="T1246" t="s">
        <v>30</v>
      </c>
      <c r="U1246">
        <v>1</v>
      </c>
      <c r="V1246" t="s">
        <v>40</v>
      </c>
      <c r="W1246">
        <f>excelsalesdata[[#This Row],[Quantity]]*excelsalesdata[[#This Row],[Unit_Price]]</f>
        <v>10180</v>
      </c>
      <c r="X1246">
        <f>excelsalesdata[[#This Row],[Gross_sales]]*excelsalesdata[[#This Row],[Discount_%]]</f>
        <v>509</v>
      </c>
      <c r="Y1246">
        <f>excelsalesdata[[#This Row],[Gross_sales]]-excelsalesdata[[#This Row],[Discount_amt]]</f>
        <v>9671</v>
      </c>
      <c r="Z1246" s="4">
        <f>excelsalesdata[[#This Row],[Net_sales]]-excelsalesdata[[#This Row],[Cost]]</f>
        <v>6411</v>
      </c>
      <c r="AA1246" s="5">
        <f>excelsalesdata[[#This Row],[Profit]]/excelsalesdata[[#This Row],[Net_sales]]</f>
        <v>0.6629097301209802</v>
      </c>
      <c r="AB1246" s="4">
        <f>YEAR(excelsalesdata[[#This Row],[Order_Date]])</f>
        <v>2028</v>
      </c>
      <c r="AC1246" s="4" t="str">
        <f>TEXT(excelsalesdata[[#This Row],[Order_Date]],"mmm")</f>
        <v>Sep</v>
      </c>
      <c r="AD1246" s="4" t="str">
        <f>"Q"&amp;ROUNDUP(MONTH(excelsalesdata[[#This Row],[Order_Date]])/3,0)</f>
        <v>Q3</v>
      </c>
    </row>
    <row r="1247" spans="1:30" x14ac:dyDescent="0.35">
      <c r="A1247" t="s">
        <v>2057</v>
      </c>
      <c r="B1247" s="3">
        <v>47005</v>
      </c>
      <c r="C1247" t="s">
        <v>992</v>
      </c>
      <c r="D1247" t="s">
        <v>1815</v>
      </c>
      <c r="E1247" t="str">
        <f>TRIM(excelsalesdata[[#This Row],[Customer_Name]])</f>
        <v>Rahul Patel</v>
      </c>
      <c r="F1247" t="s">
        <v>23</v>
      </c>
      <c r="G1247">
        <v>51</v>
      </c>
      <c r="H1247" t="s">
        <v>185</v>
      </c>
      <c r="I1247" t="str">
        <f>TRIM(excelsalesdata[[#This Row],[City]])</f>
        <v>Lucknow</v>
      </c>
      <c r="J1247" t="s">
        <v>186</v>
      </c>
      <c r="K1247" t="s">
        <v>61</v>
      </c>
      <c r="L1247" t="s">
        <v>38</v>
      </c>
      <c r="M1247" t="s">
        <v>119</v>
      </c>
      <c r="N1247" t="s">
        <v>119</v>
      </c>
      <c r="O1247">
        <v>2</v>
      </c>
      <c r="P1247">
        <v>8290</v>
      </c>
      <c r="Q1247">
        <v>0.1</v>
      </c>
      <c r="R1247">
        <v>5490</v>
      </c>
      <c r="S1247" t="s">
        <v>56</v>
      </c>
      <c r="T1247" t="s">
        <v>30</v>
      </c>
      <c r="U1247">
        <v>4</v>
      </c>
      <c r="V1247" t="s">
        <v>40</v>
      </c>
      <c r="W1247">
        <f>excelsalesdata[[#This Row],[Quantity]]*excelsalesdata[[#This Row],[Unit_Price]]</f>
        <v>16580</v>
      </c>
      <c r="X1247">
        <f>excelsalesdata[[#This Row],[Gross_sales]]*excelsalesdata[[#This Row],[Discount_%]]</f>
        <v>1658</v>
      </c>
      <c r="Y1247">
        <f>excelsalesdata[[#This Row],[Gross_sales]]-excelsalesdata[[#This Row],[Discount_amt]]</f>
        <v>14922</v>
      </c>
      <c r="Z1247" s="4">
        <f>excelsalesdata[[#This Row],[Net_sales]]-excelsalesdata[[#This Row],[Cost]]</f>
        <v>9432</v>
      </c>
      <c r="AA1247" s="5">
        <f>excelsalesdata[[#This Row],[Profit]]/excelsalesdata[[#This Row],[Net_sales]]</f>
        <v>0.632086851628468</v>
      </c>
      <c r="AB1247" s="4">
        <f>YEAR(excelsalesdata[[#This Row],[Order_Date]])</f>
        <v>2028</v>
      </c>
      <c r="AC1247" s="4" t="str">
        <f>TEXT(excelsalesdata[[#This Row],[Order_Date]],"mmm")</f>
        <v>Sep</v>
      </c>
      <c r="AD1247" s="4" t="str">
        <f>"Q"&amp;ROUNDUP(MONTH(excelsalesdata[[#This Row],[Order_Date]])/3,0)</f>
        <v>Q3</v>
      </c>
    </row>
    <row r="1248" spans="1:30" x14ac:dyDescent="0.35">
      <c r="A1248" t="s">
        <v>2058</v>
      </c>
      <c r="B1248" s="3">
        <v>47006</v>
      </c>
      <c r="C1248" t="s">
        <v>597</v>
      </c>
      <c r="D1248" t="s">
        <v>102</v>
      </c>
      <c r="E1248" t="str">
        <f>TRIM(excelsalesdata[[#This Row],[Customer_Name]])</f>
        <v>Nisha Sharma</v>
      </c>
      <c r="F1248" t="s">
        <v>44</v>
      </c>
      <c r="G1248">
        <v>51</v>
      </c>
      <c r="H1248" t="s">
        <v>190</v>
      </c>
      <c r="I1248" t="str">
        <f>TRIM(excelsalesdata[[#This Row],[City]])</f>
        <v>Ahmedabad</v>
      </c>
      <c r="J1248" t="s">
        <v>191</v>
      </c>
      <c r="K1248" t="s">
        <v>26</v>
      </c>
      <c r="L1248" t="s">
        <v>38</v>
      </c>
      <c r="M1248" t="s">
        <v>39</v>
      </c>
      <c r="N1248" t="s">
        <v>39</v>
      </c>
      <c r="O1248">
        <v>2</v>
      </c>
      <c r="P1248">
        <v>7000</v>
      </c>
      <c r="Q1248">
        <v>0.15</v>
      </c>
      <c r="R1248">
        <v>4030</v>
      </c>
      <c r="S1248" t="s">
        <v>80</v>
      </c>
      <c r="T1248" t="s">
        <v>30</v>
      </c>
      <c r="U1248">
        <v>5</v>
      </c>
      <c r="V1248" t="s">
        <v>40</v>
      </c>
      <c r="W1248">
        <f>excelsalesdata[[#This Row],[Quantity]]*excelsalesdata[[#This Row],[Unit_Price]]</f>
        <v>14000</v>
      </c>
      <c r="X1248">
        <f>excelsalesdata[[#This Row],[Gross_sales]]*excelsalesdata[[#This Row],[Discount_%]]</f>
        <v>2100</v>
      </c>
      <c r="Y1248">
        <f>excelsalesdata[[#This Row],[Gross_sales]]-excelsalesdata[[#This Row],[Discount_amt]]</f>
        <v>11900</v>
      </c>
      <c r="Z1248" s="4">
        <f>excelsalesdata[[#This Row],[Net_sales]]-excelsalesdata[[#This Row],[Cost]]</f>
        <v>7870</v>
      </c>
      <c r="AA1248" s="5">
        <f>excelsalesdata[[#This Row],[Profit]]/excelsalesdata[[#This Row],[Net_sales]]</f>
        <v>0.66134453781512603</v>
      </c>
      <c r="AB1248" s="4">
        <f>YEAR(excelsalesdata[[#This Row],[Order_Date]])</f>
        <v>2028</v>
      </c>
      <c r="AC1248" s="4" t="str">
        <f>TEXT(excelsalesdata[[#This Row],[Order_Date]],"mmm")</f>
        <v>Sep</v>
      </c>
      <c r="AD1248" s="4" t="str">
        <f>"Q"&amp;ROUNDUP(MONTH(excelsalesdata[[#This Row],[Order_Date]])/3,0)</f>
        <v>Q3</v>
      </c>
    </row>
    <row r="1249" spans="1:30" x14ac:dyDescent="0.35">
      <c r="A1249" t="s">
        <v>2059</v>
      </c>
      <c r="B1249" s="3">
        <v>47007</v>
      </c>
      <c r="C1249" t="s">
        <v>1362</v>
      </c>
      <c r="D1249" t="s">
        <v>490</v>
      </c>
      <c r="E1249" t="str">
        <f>TRIM(excelsalesdata[[#This Row],[Customer_Name]])</f>
        <v>Aditya Singh</v>
      </c>
      <c r="F1249" t="s">
        <v>23</v>
      </c>
      <c r="G1249">
        <v>29</v>
      </c>
      <c r="H1249" t="s">
        <v>168</v>
      </c>
      <c r="I1249" t="str">
        <f>TRIM(excelsalesdata[[#This Row],[City]])</f>
        <v>Delhi</v>
      </c>
      <c r="J1249" t="s">
        <v>168</v>
      </c>
      <c r="K1249" t="s">
        <v>61</v>
      </c>
      <c r="L1249" t="s">
        <v>54</v>
      </c>
      <c r="M1249" t="s">
        <v>66</v>
      </c>
      <c r="N1249" t="s">
        <v>66</v>
      </c>
      <c r="O1249">
        <v>3</v>
      </c>
      <c r="P1249">
        <v>2570</v>
      </c>
      <c r="Q1249">
        <v>0.15</v>
      </c>
      <c r="R1249">
        <v>1500</v>
      </c>
      <c r="S1249" t="s">
        <v>105</v>
      </c>
      <c r="T1249" t="s">
        <v>30</v>
      </c>
      <c r="U1249">
        <v>6</v>
      </c>
      <c r="V1249" t="s">
        <v>31</v>
      </c>
      <c r="W1249">
        <f>excelsalesdata[[#This Row],[Quantity]]*excelsalesdata[[#This Row],[Unit_Price]]</f>
        <v>7710</v>
      </c>
      <c r="X1249">
        <f>excelsalesdata[[#This Row],[Gross_sales]]*excelsalesdata[[#This Row],[Discount_%]]</f>
        <v>1156.5</v>
      </c>
      <c r="Y1249">
        <f>excelsalesdata[[#This Row],[Gross_sales]]-excelsalesdata[[#This Row],[Discount_amt]]</f>
        <v>6553.5</v>
      </c>
      <c r="Z1249" s="4">
        <f>excelsalesdata[[#This Row],[Net_sales]]-excelsalesdata[[#This Row],[Cost]]</f>
        <v>5053.5</v>
      </c>
      <c r="AA1249" s="5">
        <f>excelsalesdata[[#This Row],[Profit]]/excelsalesdata[[#This Row],[Net_sales]]</f>
        <v>0.77111467154955371</v>
      </c>
      <c r="AB1249" s="4">
        <f>YEAR(excelsalesdata[[#This Row],[Order_Date]])</f>
        <v>2028</v>
      </c>
      <c r="AC1249" s="4" t="str">
        <f>TEXT(excelsalesdata[[#This Row],[Order_Date]],"mmm")</f>
        <v>Sep</v>
      </c>
      <c r="AD1249" s="4" t="str">
        <f>"Q"&amp;ROUNDUP(MONTH(excelsalesdata[[#This Row],[Order_Date]])/3,0)</f>
        <v>Q3</v>
      </c>
    </row>
    <row r="1250" spans="1:30" x14ac:dyDescent="0.35">
      <c r="A1250" t="s">
        <v>2060</v>
      </c>
      <c r="B1250" s="3">
        <v>47008</v>
      </c>
      <c r="C1250" t="s">
        <v>1399</v>
      </c>
      <c r="D1250" t="s">
        <v>626</v>
      </c>
      <c r="E1250" t="str">
        <f>TRIM(excelsalesdata[[#This Row],[Customer_Name]])</f>
        <v>Aditya Rao</v>
      </c>
      <c r="F1250" t="s">
        <v>44</v>
      </c>
      <c r="G1250">
        <v>36</v>
      </c>
      <c r="H1250" t="s">
        <v>52</v>
      </c>
      <c r="I1250" t="str">
        <f>TRIM(excelsalesdata[[#This Row],[City]])</f>
        <v>Bengaluru</v>
      </c>
      <c r="J1250" t="s">
        <v>53</v>
      </c>
      <c r="K1250" t="s">
        <v>47</v>
      </c>
      <c r="L1250" t="s">
        <v>93</v>
      </c>
      <c r="M1250" t="s">
        <v>375</v>
      </c>
      <c r="N1250" t="s">
        <v>375</v>
      </c>
      <c r="O1250">
        <v>2</v>
      </c>
      <c r="P1250">
        <v>2200</v>
      </c>
      <c r="Q1250">
        <v>0.05</v>
      </c>
      <c r="R1250">
        <v>1230</v>
      </c>
      <c r="S1250" t="s">
        <v>151</v>
      </c>
      <c r="T1250" t="s">
        <v>30</v>
      </c>
      <c r="U1250">
        <v>3</v>
      </c>
      <c r="V1250" t="s">
        <v>40</v>
      </c>
      <c r="W1250">
        <f>excelsalesdata[[#This Row],[Quantity]]*excelsalesdata[[#This Row],[Unit_Price]]</f>
        <v>4400</v>
      </c>
      <c r="X1250">
        <f>excelsalesdata[[#This Row],[Gross_sales]]*excelsalesdata[[#This Row],[Discount_%]]</f>
        <v>220</v>
      </c>
      <c r="Y1250">
        <f>excelsalesdata[[#This Row],[Gross_sales]]-excelsalesdata[[#This Row],[Discount_amt]]</f>
        <v>4180</v>
      </c>
      <c r="Z1250" s="4">
        <f>excelsalesdata[[#This Row],[Net_sales]]-excelsalesdata[[#This Row],[Cost]]</f>
        <v>2950</v>
      </c>
      <c r="AA1250" s="5">
        <f>excelsalesdata[[#This Row],[Profit]]/excelsalesdata[[#This Row],[Net_sales]]</f>
        <v>0.70574162679425834</v>
      </c>
      <c r="AB1250" s="4">
        <f>YEAR(excelsalesdata[[#This Row],[Order_Date]])</f>
        <v>2028</v>
      </c>
      <c r="AC1250" s="4" t="str">
        <f>TEXT(excelsalesdata[[#This Row],[Order_Date]],"mmm")</f>
        <v>Sep</v>
      </c>
      <c r="AD1250" s="4" t="str">
        <f>"Q"&amp;ROUNDUP(MONTH(excelsalesdata[[#This Row],[Order_Date]])/3,0)</f>
        <v>Q3</v>
      </c>
    </row>
    <row r="1251" spans="1:30" x14ac:dyDescent="0.35">
      <c r="A1251" t="s">
        <v>2061</v>
      </c>
      <c r="B1251" s="3">
        <v>47009</v>
      </c>
      <c r="C1251" t="s">
        <v>526</v>
      </c>
      <c r="D1251" t="s">
        <v>532</v>
      </c>
      <c r="E1251" t="str">
        <f>TRIM(excelsalesdata[[#This Row],[Customer_Name]])</f>
        <v>Ananya Mehta</v>
      </c>
      <c r="F1251" t="s">
        <v>44</v>
      </c>
      <c r="G1251">
        <v>50</v>
      </c>
      <c r="H1251" t="s">
        <v>185</v>
      </c>
      <c r="I1251" t="str">
        <f>TRIM(excelsalesdata[[#This Row],[City]])</f>
        <v>Lucknow</v>
      </c>
      <c r="J1251" t="s">
        <v>186</v>
      </c>
      <c r="K1251" t="s">
        <v>61</v>
      </c>
      <c r="L1251" t="s">
        <v>38</v>
      </c>
      <c r="M1251" t="s">
        <v>119</v>
      </c>
      <c r="N1251" t="s">
        <v>119</v>
      </c>
      <c r="O1251">
        <v>1</v>
      </c>
      <c r="P1251">
        <v>8670</v>
      </c>
      <c r="Q1251">
        <v>0.25</v>
      </c>
      <c r="R1251">
        <v>5420</v>
      </c>
      <c r="S1251" t="s">
        <v>151</v>
      </c>
      <c r="T1251" t="s">
        <v>30</v>
      </c>
      <c r="U1251">
        <v>5</v>
      </c>
      <c r="V1251" t="s">
        <v>40</v>
      </c>
      <c r="W1251">
        <f>excelsalesdata[[#This Row],[Quantity]]*excelsalesdata[[#This Row],[Unit_Price]]</f>
        <v>8670</v>
      </c>
      <c r="X1251">
        <f>excelsalesdata[[#This Row],[Gross_sales]]*excelsalesdata[[#This Row],[Discount_%]]</f>
        <v>2167.5</v>
      </c>
      <c r="Y1251">
        <f>excelsalesdata[[#This Row],[Gross_sales]]-excelsalesdata[[#This Row],[Discount_amt]]</f>
        <v>6502.5</v>
      </c>
      <c r="Z1251" s="4">
        <f>excelsalesdata[[#This Row],[Net_sales]]-excelsalesdata[[#This Row],[Cost]]</f>
        <v>1082.5</v>
      </c>
      <c r="AA1251" s="5">
        <f>excelsalesdata[[#This Row],[Profit]]/excelsalesdata[[#This Row],[Net_sales]]</f>
        <v>0.16647443291041908</v>
      </c>
      <c r="AB1251" s="4">
        <f>YEAR(excelsalesdata[[#This Row],[Order_Date]])</f>
        <v>2028</v>
      </c>
      <c r="AC1251" s="4" t="str">
        <f>TEXT(excelsalesdata[[#This Row],[Order_Date]],"mmm")</f>
        <v>Sep</v>
      </c>
      <c r="AD1251" s="4" t="str">
        <f>"Q"&amp;ROUNDUP(MONTH(excelsalesdata[[#This Row],[Order_Date]])/3,0)</f>
        <v>Q3</v>
      </c>
    </row>
    <row r="1252" spans="1:30" x14ac:dyDescent="0.35">
      <c r="A1252" t="s">
        <v>2062</v>
      </c>
      <c r="B1252" s="3">
        <v>47010</v>
      </c>
      <c r="C1252" t="s">
        <v>846</v>
      </c>
      <c r="D1252" t="s">
        <v>546</v>
      </c>
      <c r="E1252" t="str">
        <f>TRIM(excelsalesdata[[#This Row],[Customer_Name]])</f>
        <v>Karan Nair</v>
      </c>
      <c r="F1252" t="s">
        <v>23</v>
      </c>
      <c r="G1252">
        <v>46</v>
      </c>
      <c r="H1252" t="s">
        <v>35</v>
      </c>
      <c r="I1252" t="str">
        <f>TRIM(excelsalesdata[[#This Row],[City]])</f>
        <v>Kolkata</v>
      </c>
      <c r="J1252" t="s">
        <v>36</v>
      </c>
      <c r="K1252" t="s">
        <v>37</v>
      </c>
      <c r="L1252" t="s">
        <v>27</v>
      </c>
      <c r="M1252" t="s">
        <v>195</v>
      </c>
      <c r="N1252" t="s">
        <v>195</v>
      </c>
      <c r="O1252">
        <v>4</v>
      </c>
      <c r="P1252">
        <v>2200</v>
      </c>
      <c r="Q1252">
        <v>0.1</v>
      </c>
      <c r="R1252">
        <v>1240</v>
      </c>
      <c r="S1252" t="s">
        <v>80</v>
      </c>
      <c r="T1252" t="s">
        <v>30</v>
      </c>
      <c r="U1252">
        <v>6</v>
      </c>
      <c r="V1252" t="s">
        <v>40</v>
      </c>
      <c r="W1252">
        <f>excelsalesdata[[#This Row],[Quantity]]*excelsalesdata[[#This Row],[Unit_Price]]</f>
        <v>8800</v>
      </c>
      <c r="X1252">
        <f>excelsalesdata[[#This Row],[Gross_sales]]*excelsalesdata[[#This Row],[Discount_%]]</f>
        <v>880</v>
      </c>
      <c r="Y1252">
        <f>excelsalesdata[[#This Row],[Gross_sales]]-excelsalesdata[[#This Row],[Discount_amt]]</f>
        <v>7920</v>
      </c>
      <c r="Z1252" s="4">
        <f>excelsalesdata[[#This Row],[Net_sales]]-excelsalesdata[[#This Row],[Cost]]</f>
        <v>6680</v>
      </c>
      <c r="AA1252" s="5">
        <f>excelsalesdata[[#This Row],[Profit]]/excelsalesdata[[#This Row],[Net_sales]]</f>
        <v>0.84343434343434343</v>
      </c>
      <c r="AB1252" s="4">
        <f>YEAR(excelsalesdata[[#This Row],[Order_Date]])</f>
        <v>2028</v>
      </c>
      <c r="AC1252" s="4" t="str">
        <f>TEXT(excelsalesdata[[#This Row],[Order_Date]],"mmm")</f>
        <v>Sep</v>
      </c>
      <c r="AD1252" s="4" t="str">
        <f>"Q"&amp;ROUNDUP(MONTH(excelsalesdata[[#This Row],[Order_Date]])/3,0)</f>
        <v>Q3</v>
      </c>
    </row>
    <row r="1253" spans="1:30" x14ac:dyDescent="0.35">
      <c r="A1253" t="s">
        <v>2063</v>
      </c>
      <c r="B1253" s="3">
        <v>47011</v>
      </c>
      <c r="C1253" t="s">
        <v>763</v>
      </c>
      <c r="D1253" t="s">
        <v>59</v>
      </c>
      <c r="E1253" t="str">
        <f>TRIM(excelsalesdata[[#This Row],[Customer_Name]])</f>
        <v>Nisha Naidu</v>
      </c>
      <c r="F1253" t="s">
        <v>23</v>
      </c>
      <c r="G1253">
        <v>59</v>
      </c>
      <c r="H1253" t="s">
        <v>60</v>
      </c>
      <c r="I1253" t="str">
        <f>TRIM(excelsalesdata[[#This Row],[City]])</f>
        <v>Chandigarh</v>
      </c>
      <c r="J1253" t="s">
        <v>60</v>
      </c>
      <c r="K1253" t="s">
        <v>61</v>
      </c>
      <c r="L1253" t="s">
        <v>103</v>
      </c>
      <c r="M1253" t="s">
        <v>178</v>
      </c>
      <c r="N1253" t="s">
        <v>178</v>
      </c>
      <c r="O1253">
        <v>1</v>
      </c>
      <c r="P1253">
        <v>1890</v>
      </c>
      <c r="Q1253">
        <v>0.15</v>
      </c>
      <c r="R1253">
        <v>920</v>
      </c>
      <c r="S1253" t="s">
        <v>80</v>
      </c>
      <c r="T1253" t="s">
        <v>30</v>
      </c>
      <c r="U1253">
        <v>4</v>
      </c>
      <c r="V1253" t="s">
        <v>40</v>
      </c>
      <c r="W1253">
        <f>excelsalesdata[[#This Row],[Quantity]]*excelsalesdata[[#This Row],[Unit_Price]]</f>
        <v>1890</v>
      </c>
      <c r="X1253">
        <f>excelsalesdata[[#This Row],[Gross_sales]]*excelsalesdata[[#This Row],[Discount_%]]</f>
        <v>283.5</v>
      </c>
      <c r="Y1253">
        <f>excelsalesdata[[#This Row],[Gross_sales]]-excelsalesdata[[#This Row],[Discount_amt]]</f>
        <v>1606.5</v>
      </c>
      <c r="Z1253" s="4">
        <f>excelsalesdata[[#This Row],[Net_sales]]-excelsalesdata[[#This Row],[Cost]]</f>
        <v>686.5</v>
      </c>
      <c r="AA1253" s="5">
        <f>excelsalesdata[[#This Row],[Profit]]/excelsalesdata[[#This Row],[Net_sales]]</f>
        <v>0.42732648615001556</v>
      </c>
      <c r="AB1253" s="4">
        <f>YEAR(excelsalesdata[[#This Row],[Order_Date]])</f>
        <v>2028</v>
      </c>
      <c r="AC1253" s="4" t="str">
        <f>TEXT(excelsalesdata[[#This Row],[Order_Date]],"mmm")</f>
        <v>Sep</v>
      </c>
      <c r="AD1253" s="4" t="str">
        <f>"Q"&amp;ROUNDUP(MONTH(excelsalesdata[[#This Row],[Order_Date]])/3,0)</f>
        <v>Q3</v>
      </c>
    </row>
    <row r="1254" spans="1:30" x14ac:dyDescent="0.35">
      <c r="A1254" t="s">
        <v>2064</v>
      </c>
      <c r="B1254" s="3">
        <v>47012</v>
      </c>
      <c r="C1254" t="s">
        <v>769</v>
      </c>
      <c r="D1254" t="s">
        <v>664</v>
      </c>
      <c r="E1254" t="str">
        <f>TRIM(excelsalesdata[[#This Row],[Customer_Name]])</f>
        <v>Ishita Reddy</v>
      </c>
      <c r="F1254" t="s">
        <v>44</v>
      </c>
      <c r="G1254">
        <v>58</v>
      </c>
      <c r="H1254" t="s">
        <v>78</v>
      </c>
      <c r="I1254" t="str">
        <f>TRIM(excelsalesdata[[#This Row],[City]])</f>
        <v>Guwahati</v>
      </c>
      <c r="J1254" t="s">
        <v>79</v>
      </c>
      <c r="K1254" t="s">
        <v>37</v>
      </c>
      <c r="L1254" t="s">
        <v>54</v>
      </c>
      <c r="M1254" t="s">
        <v>62</v>
      </c>
      <c r="N1254" t="s">
        <v>62</v>
      </c>
      <c r="O1254">
        <v>2</v>
      </c>
      <c r="P1254">
        <v>23070</v>
      </c>
      <c r="Q1254">
        <v>0.05</v>
      </c>
      <c r="R1254">
        <v>15540</v>
      </c>
      <c r="S1254" t="s">
        <v>29</v>
      </c>
      <c r="T1254" t="s">
        <v>30</v>
      </c>
      <c r="U1254">
        <v>4</v>
      </c>
      <c r="V1254" t="s">
        <v>40</v>
      </c>
      <c r="W1254">
        <f>excelsalesdata[[#This Row],[Quantity]]*excelsalesdata[[#This Row],[Unit_Price]]</f>
        <v>46140</v>
      </c>
      <c r="X1254">
        <f>excelsalesdata[[#This Row],[Gross_sales]]*excelsalesdata[[#This Row],[Discount_%]]</f>
        <v>2307</v>
      </c>
      <c r="Y1254">
        <f>excelsalesdata[[#This Row],[Gross_sales]]-excelsalesdata[[#This Row],[Discount_amt]]</f>
        <v>43833</v>
      </c>
      <c r="Z1254" s="4">
        <f>excelsalesdata[[#This Row],[Net_sales]]-excelsalesdata[[#This Row],[Cost]]</f>
        <v>28293</v>
      </c>
      <c r="AA1254" s="5">
        <f>excelsalesdata[[#This Row],[Profit]]/excelsalesdata[[#This Row],[Net_sales]]</f>
        <v>0.64547258914516459</v>
      </c>
      <c r="AB1254" s="4">
        <f>YEAR(excelsalesdata[[#This Row],[Order_Date]])</f>
        <v>2028</v>
      </c>
      <c r="AC1254" s="4" t="str">
        <f>TEXT(excelsalesdata[[#This Row],[Order_Date]],"mmm")</f>
        <v>Sep</v>
      </c>
      <c r="AD1254" s="4" t="str">
        <f>"Q"&amp;ROUNDUP(MONTH(excelsalesdata[[#This Row],[Order_Date]])/3,0)</f>
        <v>Q3</v>
      </c>
    </row>
    <row r="1255" spans="1:30" x14ac:dyDescent="0.35">
      <c r="A1255" t="s">
        <v>2065</v>
      </c>
      <c r="B1255" s="3">
        <v>47013</v>
      </c>
      <c r="C1255" t="s">
        <v>1182</v>
      </c>
      <c r="D1255" t="s">
        <v>1354</v>
      </c>
      <c r="E1255" t="str">
        <f>TRIM(excelsalesdata[[#This Row],[Customer_Name]])</f>
        <v>Priya Shah</v>
      </c>
      <c r="F1255" t="s">
        <v>44</v>
      </c>
      <c r="G1255">
        <v>45</v>
      </c>
      <c r="H1255" t="s">
        <v>109</v>
      </c>
      <c r="I1255" t="str">
        <f>TRIM(excelsalesdata[[#This Row],[City]])</f>
        <v>Mysuru</v>
      </c>
      <c r="J1255" t="s">
        <v>53</v>
      </c>
      <c r="K1255" t="s">
        <v>47</v>
      </c>
      <c r="L1255" t="s">
        <v>85</v>
      </c>
      <c r="M1255" t="s">
        <v>202</v>
      </c>
      <c r="N1255" t="s">
        <v>202</v>
      </c>
      <c r="O1255">
        <v>2</v>
      </c>
      <c r="P1255">
        <v>960</v>
      </c>
      <c r="Q1255">
        <v>0.1</v>
      </c>
      <c r="R1255">
        <v>390</v>
      </c>
      <c r="S1255" t="s">
        <v>80</v>
      </c>
      <c r="T1255" t="s">
        <v>30</v>
      </c>
      <c r="U1255">
        <v>1</v>
      </c>
      <c r="V1255" t="s">
        <v>40</v>
      </c>
      <c r="W1255">
        <f>excelsalesdata[[#This Row],[Quantity]]*excelsalesdata[[#This Row],[Unit_Price]]</f>
        <v>1920</v>
      </c>
      <c r="X1255">
        <f>excelsalesdata[[#This Row],[Gross_sales]]*excelsalesdata[[#This Row],[Discount_%]]</f>
        <v>192</v>
      </c>
      <c r="Y1255">
        <f>excelsalesdata[[#This Row],[Gross_sales]]-excelsalesdata[[#This Row],[Discount_amt]]</f>
        <v>1728</v>
      </c>
      <c r="Z1255" s="4">
        <f>excelsalesdata[[#This Row],[Net_sales]]-excelsalesdata[[#This Row],[Cost]]</f>
        <v>1338</v>
      </c>
      <c r="AA1255" s="5">
        <f>excelsalesdata[[#This Row],[Profit]]/excelsalesdata[[#This Row],[Net_sales]]</f>
        <v>0.77430555555555558</v>
      </c>
      <c r="AB1255" s="4">
        <f>YEAR(excelsalesdata[[#This Row],[Order_Date]])</f>
        <v>2028</v>
      </c>
      <c r="AC1255" s="4" t="str">
        <f>TEXT(excelsalesdata[[#This Row],[Order_Date]],"mmm")</f>
        <v>Sep</v>
      </c>
      <c r="AD1255" s="4" t="str">
        <f>"Q"&amp;ROUNDUP(MONTH(excelsalesdata[[#This Row],[Order_Date]])/3,0)</f>
        <v>Q3</v>
      </c>
    </row>
    <row r="1256" spans="1:30" x14ac:dyDescent="0.35">
      <c r="A1256" t="s">
        <v>2066</v>
      </c>
      <c r="B1256" s="3">
        <v>47014</v>
      </c>
      <c r="C1256" t="s">
        <v>1019</v>
      </c>
      <c r="D1256" t="s">
        <v>1959</v>
      </c>
      <c r="E1256" t="str">
        <f>TRIM(excelsalesdata[[#This Row],[Customer_Name]])</f>
        <v>Nisha Rao</v>
      </c>
      <c r="F1256" t="s">
        <v>23</v>
      </c>
      <c r="G1256">
        <v>48</v>
      </c>
      <c r="H1256" t="s">
        <v>35</v>
      </c>
      <c r="I1256" t="str">
        <f>TRIM(excelsalesdata[[#This Row],[City]])</f>
        <v>Kolkata</v>
      </c>
      <c r="J1256" t="s">
        <v>36</v>
      </c>
      <c r="K1256" t="s">
        <v>37</v>
      </c>
      <c r="L1256" t="s">
        <v>27</v>
      </c>
      <c r="M1256" t="s">
        <v>28</v>
      </c>
      <c r="N1256" t="s">
        <v>28</v>
      </c>
      <c r="O1256">
        <v>3</v>
      </c>
      <c r="P1256">
        <v>3510</v>
      </c>
      <c r="Q1256">
        <v>0.15</v>
      </c>
      <c r="R1256">
        <v>2010</v>
      </c>
      <c r="S1256" t="s">
        <v>80</v>
      </c>
      <c r="T1256" t="s">
        <v>30</v>
      </c>
      <c r="U1256">
        <v>4</v>
      </c>
      <c r="V1256" t="s">
        <v>40</v>
      </c>
      <c r="W1256">
        <f>excelsalesdata[[#This Row],[Quantity]]*excelsalesdata[[#This Row],[Unit_Price]]</f>
        <v>10530</v>
      </c>
      <c r="X1256">
        <f>excelsalesdata[[#This Row],[Gross_sales]]*excelsalesdata[[#This Row],[Discount_%]]</f>
        <v>1579.5</v>
      </c>
      <c r="Y1256">
        <f>excelsalesdata[[#This Row],[Gross_sales]]-excelsalesdata[[#This Row],[Discount_amt]]</f>
        <v>8950.5</v>
      </c>
      <c r="Z1256" s="4">
        <f>excelsalesdata[[#This Row],[Net_sales]]-excelsalesdata[[#This Row],[Cost]]</f>
        <v>6940.5</v>
      </c>
      <c r="AA1256" s="5">
        <f>excelsalesdata[[#This Row],[Profit]]/excelsalesdata[[#This Row],[Net_sales]]</f>
        <v>0.77543154013742244</v>
      </c>
      <c r="AB1256" s="4">
        <f>YEAR(excelsalesdata[[#This Row],[Order_Date]])</f>
        <v>2028</v>
      </c>
      <c r="AC1256" s="4" t="str">
        <f>TEXT(excelsalesdata[[#This Row],[Order_Date]],"mmm")</f>
        <v>Sep</v>
      </c>
      <c r="AD1256" s="4" t="str">
        <f>"Q"&amp;ROUNDUP(MONTH(excelsalesdata[[#This Row],[Order_Date]])/3,0)</f>
        <v>Q3</v>
      </c>
    </row>
    <row r="1257" spans="1:30" x14ac:dyDescent="0.35">
      <c r="A1257" t="s">
        <v>2067</v>
      </c>
      <c r="B1257" s="3">
        <v>47015</v>
      </c>
      <c r="C1257" t="s">
        <v>1571</v>
      </c>
      <c r="D1257" t="s">
        <v>84</v>
      </c>
      <c r="E1257" t="str">
        <f>TRIM(excelsalesdata[[#This Row],[Customer_Name]])</f>
        <v>Arjun Verma</v>
      </c>
      <c r="F1257" t="s">
        <v>44</v>
      </c>
      <c r="G1257">
        <v>35</v>
      </c>
      <c r="H1257" t="s">
        <v>133</v>
      </c>
      <c r="I1257" t="str">
        <f>TRIM(excelsalesdata[[#This Row],[City]])</f>
        <v>Jaipur</v>
      </c>
      <c r="J1257" t="s">
        <v>134</v>
      </c>
      <c r="K1257" t="s">
        <v>61</v>
      </c>
      <c r="L1257" t="s">
        <v>27</v>
      </c>
      <c r="M1257" t="s">
        <v>195</v>
      </c>
      <c r="N1257" t="s">
        <v>195</v>
      </c>
      <c r="O1257">
        <v>2</v>
      </c>
      <c r="P1257">
        <v>2320</v>
      </c>
      <c r="Q1257">
        <v>0.2</v>
      </c>
      <c r="R1257">
        <v>1250</v>
      </c>
      <c r="S1257" t="s">
        <v>56</v>
      </c>
      <c r="T1257" t="s">
        <v>30</v>
      </c>
      <c r="U1257">
        <v>7</v>
      </c>
      <c r="V1257" t="s">
        <v>40</v>
      </c>
      <c r="W1257">
        <f>excelsalesdata[[#This Row],[Quantity]]*excelsalesdata[[#This Row],[Unit_Price]]</f>
        <v>4640</v>
      </c>
      <c r="X1257">
        <f>excelsalesdata[[#This Row],[Gross_sales]]*excelsalesdata[[#This Row],[Discount_%]]</f>
        <v>928</v>
      </c>
      <c r="Y1257">
        <f>excelsalesdata[[#This Row],[Gross_sales]]-excelsalesdata[[#This Row],[Discount_amt]]</f>
        <v>3712</v>
      </c>
      <c r="Z1257" s="4">
        <f>excelsalesdata[[#This Row],[Net_sales]]-excelsalesdata[[#This Row],[Cost]]</f>
        <v>2462</v>
      </c>
      <c r="AA1257" s="5">
        <f>excelsalesdata[[#This Row],[Profit]]/excelsalesdata[[#This Row],[Net_sales]]</f>
        <v>0.66325431034482762</v>
      </c>
      <c r="AB1257" s="4">
        <f>YEAR(excelsalesdata[[#This Row],[Order_Date]])</f>
        <v>2028</v>
      </c>
      <c r="AC1257" s="4" t="str">
        <f>TEXT(excelsalesdata[[#This Row],[Order_Date]],"mmm")</f>
        <v>Sep</v>
      </c>
      <c r="AD1257" s="4" t="str">
        <f>"Q"&amp;ROUNDUP(MONTH(excelsalesdata[[#This Row],[Order_Date]])/3,0)</f>
        <v>Q3</v>
      </c>
    </row>
    <row r="1258" spans="1:30" x14ac:dyDescent="0.35">
      <c r="A1258" t="s">
        <v>2068</v>
      </c>
      <c r="B1258" s="3">
        <v>47016</v>
      </c>
      <c r="C1258" t="s">
        <v>1170</v>
      </c>
      <c r="D1258" t="s">
        <v>1335</v>
      </c>
      <c r="E1258" t="str">
        <f>TRIM(excelsalesdata[[#This Row],[Customer_Name]])</f>
        <v>Kavya Patel</v>
      </c>
      <c r="F1258" t="s">
        <v>23</v>
      </c>
      <c r="G1258">
        <v>46</v>
      </c>
      <c r="H1258" t="s">
        <v>45</v>
      </c>
      <c r="I1258" t="str">
        <f>TRIM(excelsalesdata[[#This Row],[City]])</f>
        <v>Kochi</v>
      </c>
      <c r="J1258" t="s">
        <v>46</v>
      </c>
      <c r="K1258" t="s">
        <v>47</v>
      </c>
      <c r="L1258" t="s">
        <v>27</v>
      </c>
      <c r="M1258" t="s">
        <v>195</v>
      </c>
      <c r="N1258" t="s">
        <v>195</v>
      </c>
      <c r="O1258">
        <v>1</v>
      </c>
      <c r="P1258">
        <v>2140</v>
      </c>
      <c r="Q1258">
        <v>0</v>
      </c>
      <c r="R1258">
        <v>1200</v>
      </c>
      <c r="S1258" t="s">
        <v>151</v>
      </c>
      <c r="T1258" t="s">
        <v>30</v>
      </c>
      <c r="U1258">
        <v>4</v>
      </c>
      <c r="V1258" t="s">
        <v>40</v>
      </c>
      <c r="W1258">
        <f>excelsalesdata[[#This Row],[Quantity]]*excelsalesdata[[#This Row],[Unit_Price]]</f>
        <v>2140</v>
      </c>
      <c r="X1258">
        <f>excelsalesdata[[#This Row],[Gross_sales]]*excelsalesdata[[#This Row],[Discount_%]]</f>
        <v>0</v>
      </c>
      <c r="Y1258">
        <f>excelsalesdata[[#This Row],[Gross_sales]]-excelsalesdata[[#This Row],[Discount_amt]]</f>
        <v>2140</v>
      </c>
      <c r="Z1258" s="4">
        <f>excelsalesdata[[#This Row],[Net_sales]]-excelsalesdata[[#This Row],[Cost]]</f>
        <v>940</v>
      </c>
      <c r="AA1258" s="5">
        <f>excelsalesdata[[#This Row],[Profit]]/excelsalesdata[[#This Row],[Net_sales]]</f>
        <v>0.43925233644859812</v>
      </c>
      <c r="AB1258" s="4">
        <f>YEAR(excelsalesdata[[#This Row],[Order_Date]])</f>
        <v>2028</v>
      </c>
      <c r="AC1258" s="4" t="str">
        <f>TEXT(excelsalesdata[[#This Row],[Order_Date]],"mmm")</f>
        <v>Sep</v>
      </c>
      <c r="AD1258" s="4" t="str">
        <f>"Q"&amp;ROUNDUP(MONTH(excelsalesdata[[#This Row],[Order_Date]])/3,0)</f>
        <v>Q3</v>
      </c>
    </row>
    <row r="1259" spans="1:30" x14ac:dyDescent="0.35">
      <c r="A1259" t="s">
        <v>2069</v>
      </c>
      <c r="B1259" s="3">
        <v>47017</v>
      </c>
      <c r="C1259" t="s">
        <v>730</v>
      </c>
      <c r="D1259" t="s">
        <v>600</v>
      </c>
      <c r="E1259" t="str">
        <f>TRIM(excelsalesdata[[#This Row],[Customer_Name]])</f>
        <v>Karan Mehta</v>
      </c>
      <c r="F1259" t="s">
        <v>44</v>
      </c>
      <c r="G1259">
        <v>38</v>
      </c>
      <c r="H1259" t="s">
        <v>190</v>
      </c>
      <c r="I1259" t="str">
        <f>TRIM(excelsalesdata[[#This Row],[City]])</f>
        <v>Ahmedabad</v>
      </c>
      <c r="J1259" t="s">
        <v>191</v>
      </c>
      <c r="K1259" t="s">
        <v>26</v>
      </c>
      <c r="L1259" t="s">
        <v>54</v>
      </c>
      <c r="M1259" t="s">
        <v>157</v>
      </c>
      <c r="N1259" t="s">
        <v>157</v>
      </c>
      <c r="O1259">
        <v>1</v>
      </c>
      <c r="P1259">
        <v>55440</v>
      </c>
      <c r="Q1259">
        <v>0.1</v>
      </c>
      <c r="R1259">
        <v>40020</v>
      </c>
      <c r="S1259" t="s">
        <v>105</v>
      </c>
      <c r="T1259" t="s">
        <v>74</v>
      </c>
      <c r="U1259">
        <v>5</v>
      </c>
      <c r="V1259" t="s">
        <v>40</v>
      </c>
      <c r="W1259">
        <f>excelsalesdata[[#This Row],[Quantity]]*excelsalesdata[[#This Row],[Unit_Price]]</f>
        <v>55440</v>
      </c>
      <c r="X1259">
        <f>excelsalesdata[[#This Row],[Gross_sales]]*excelsalesdata[[#This Row],[Discount_%]]</f>
        <v>5544</v>
      </c>
      <c r="Y1259">
        <f>excelsalesdata[[#This Row],[Gross_sales]]-excelsalesdata[[#This Row],[Discount_amt]]</f>
        <v>49896</v>
      </c>
      <c r="Z1259" s="4">
        <f>excelsalesdata[[#This Row],[Net_sales]]-excelsalesdata[[#This Row],[Cost]]</f>
        <v>9876</v>
      </c>
      <c r="AA1259" s="5">
        <f>excelsalesdata[[#This Row],[Profit]]/excelsalesdata[[#This Row],[Net_sales]]</f>
        <v>0.19793169793169793</v>
      </c>
      <c r="AB1259" s="4">
        <f>YEAR(excelsalesdata[[#This Row],[Order_Date]])</f>
        <v>2028</v>
      </c>
      <c r="AC1259" s="4" t="str">
        <f>TEXT(excelsalesdata[[#This Row],[Order_Date]],"mmm")</f>
        <v>Sep</v>
      </c>
      <c r="AD1259" s="4" t="str">
        <f>"Q"&amp;ROUNDUP(MONTH(excelsalesdata[[#This Row],[Order_Date]])/3,0)</f>
        <v>Q3</v>
      </c>
    </row>
    <row r="1260" spans="1:30" x14ac:dyDescent="0.35">
      <c r="A1260" t="s">
        <v>2070</v>
      </c>
      <c r="B1260" s="3">
        <v>47018</v>
      </c>
      <c r="C1260" t="s">
        <v>2071</v>
      </c>
      <c r="D1260" t="s">
        <v>463</v>
      </c>
      <c r="E1260" t="str">
        <f>TRIM(excelsalesdata[[#This Row],[Customer_Name]])</f>
        <v>Kavya Sharma</v>
      </c>
      <c r="F1260" t="s">
        <v>23</v>
      </c>
      <c r="G1260">
        <v>26</v>
      </c>
      <c r="H1260" t="s">
        <v>109</v>
      </c>
      <c r="I1260" t="str">
        <f>TRIM(excelsalesdata[[#This Row],[City]])</f>
        <v>Mysuru</v>
      </c>
      <c r="J1260" t="s">
        <v>53</v>
      </c>
      <c r="K1260" t="s">
        <v>47</v>
      </c>
      <c r="L1260" t="s">
        <v>93</v>
      </c>
      <c r="M1260" t="s">
        <v>135</v>
      </c>
      <c r="N1260" t="s">
        <v>135</v>
      </c>
      <c r="O1260">
        <v>3</v>
      </c>
      <c r="P1260">
        <v>1890</v>
      </c>
      <c r="Q1260">
        <v>0.15</v>
      </c>
      <c r="R1260">
        <v>1010</v>
      </c>
      <c r="S1260" t="s">
        <v>105</v>
      </c>
      <c r="T1260" t="s">
        <v>30</v>
      </c>
      <c r="U1260">
        <v>4</v>
      </c>
      <c r="V1260" t="s">
        <v>40</v>
      </c>
      <c r="W1260">
        <f>excelsalesdata[[#This Row],[Quantity]]*excelsalesdata[[#This Row],[Unit_Price]]</f>
        <v>5670</v>
      </c>
      <c r="X1260">
        <f>excelsalesdata[[#This Row],[Gross_sales]]*excelsalesdata[[#This Row],[Discount_%]]</f>
        <v>850.5</v>
      </c>
      <c r="Y1260">
        <f>excelsalesdata[[#This Row],[Gross_sales]]-excelsalesdata[[#This Row],[Discount_amt]]</f>
        <v>4819.5</v>
      </c>
      <c r="Z1260" s="4">
        <f>excelsalesdata[[#This Row],[Net_sales]]-excelsalesdata[[#This Row],[Cost]]</f>
        <v>3809.5</v>
      </c>
      <c r="AA1260" s="5">
        <f>excelsalesdata[[#This Row],[Profit]]/excelsalesdata[[#This Row],[Net_sales]]</f>
        <v>0.7904346923954767</v>
      </c>
      <c r="AB1260" s="4">
        <f>YEAR(excelsalesdata[[#This Row],[Order_Date]])</f>
        <v>2028</v>
      </c>
      <c r="AC1260" s="4" t="str">
        <f>TEXT(excelsalesdata[[#This Row],[Order_Date]],"mmm")</f>
        <v>Sep</v>
      </c>
      <c r="AD1260" s="4" t="str">
        <f>"Q"&amp;ROUNDUP(MONTH(excelsalesdata[[#This Row],[Order_Date]])/3,0)</f>
        <v>Q3</v>
      </c>
    </row>
    <row r="1261" spans="1:30" x14ac:dyDescent="0.35">
      <c r="A1261" t="s">
        <v>2072</v>
      </c>
      <c r="B1261" s="3">
        <v>47019</v>
      </c>
      <c r="C1261" t="s">
        <v>789</v>
      </c>
      <c r="D1261" t="s">
        <v>279</v>
      </c>
      <c r="E1261" t="str">
        <f>TRIM(excelsalesdata[[#This Row],[Customer_Name]])</f>
        <v>Vivaan Patel</v>
      </c>
      <c r="F1261" t="s">
        <v>23</v>
      </c>
      <c r="G1261">
        <v>41</v>
      </c>
      <c r="H1261" t="s">
        <v>52</v>
      </c>
      <c r="I1261" t="str">
        <f>TRIM(excelsalesdata[[#This Row],[City]])</f>
        <v>Bengaluru</v>
      </c>
      <c r="J1261" t="s">
        <v>53</v>
      </c>
      <c r="K1261" t="s">
        <v>47</v>
      </c>
      <c r="L1261" t="s">
        <v>103</v>
      </c>
      <c r="M1261" t="s">
        <v>238</v>
      </c>
      <c r="N1261" t="s">
        <v>238</v>
      </c>
      <c r="O1261">
        <v>5</v>
      </c>
      <c r="P1261">
        <v>4330</v>
      </c>
      <c r="Q1261">
        <v>0</v>
      </c>
      <c r="R1261">
        <v>2790</v>
      </c>
      <c r="S1261" t="s">
        <v>29</v>
      </c>
      <c r="T1261" t="s">
        <v>30</v>
      </c>
      <c r="U1261">
        <v>3</v>
      </c>
      <c r="V1261" t="s">
        <v>40</v>
      </c>
      <c r="W1261">
        <f>excelsalesdata[[#This Row],[Quantity]]*excelsalesdata[[#This Row],[Unit_Price]]</f>
        <v>21650</v>
      </c>
      <c r="X1261">
        <f>excelsalesdata[[#This Row],[Gross_sales]]*excelsalesdata[[#This Row],[Discount_%]]</f>
        <v>0</v>
      </c>
      <c r="Y1261">
        <f>excelsalesdata[[#This Row],[Gross_sales]]-excelsalesdata[[#This Row],[Discount_amt]]</f>
        <v>21650</v>
      </c>
      <c r="Z1261" s="4">
        <f>excelsalesdata[[#This Row],[Net_sales]]-excelsalesdata[[#This Row],[Cost]]</f>
        <v>18860</v>
      </c>
      <c r="AA1261" s="5">
        <f>excelsalesdata[[#This Row],[Profit]]/excelsalesdata[[#This Row],[Net_sales]]</f>
        <v>0.87113163972286378</v>
      </c>
      <c r="AB1261" s="4">
        <f>YEAR(excelsalesdata[[#This Row],[Order_Date]])</f>
        <v>2028</v>
      </c>
      <c r="AC1261" s="4" t="str">
        <f>TEXT(excelsalesdata[[#This Row],[Order_Date]],"mmm")</f>
        <v>Sep</v>
      </c>
      <c r="AD1261" s="4" t="str">
        <f>"Q"&amp;ROUNDUP(MONTH(excelsalesdata[[#This Row],[Order_Date]])/3,0)</f>
        <v>Q3</v>
      </c>
    </row>
    <row r="1262" spans="1:30" x14ac:dyDescent="0.35">
      <c r="A1262" t="s">
        <v>2073</v>
      </c>
      <c r="B1262" s="3">
        <v>47020</v>
      </c>
      <c r="C1262" t="s">
        <v>837</v>
      </c>
      <c r="D1262" t="s">
        <v>102</v>
      </c>
      <c r="E1262" t="str">
        <f>TRIM(excelsalesdata[[#This Row],[Customer_Name]])</f>
        <v>Nisha Sharma</v>
      </c>
      <c r="F1262" t="s">
        <v>44</v>
      </c>
      <c r="G1262">
        <v>44</v>
      </c>
      <c r="H1262" t="s">
        <v>168</v>
      </c>
      <c r="I1262" t="str">
        <f>TRIM(excelsalesdata[[#This Row],[City]])</f>
        <v>Delhi</v>
      </c>
      <c r="J1262" t="s">
        <v>168</v>
      </c>
      <c r="K1262" t="s">
        <v>61</v>
      </c>
      <c r="L1262" t="s">
        <v>38</v>
      </c>
      <c r="M1262" t="s">
        <v>255</v>
      </c>
      <c r="N1262" t="s">
        <v>255</v>
      </c>
      <c r="O1262">
        <v>2</v>
      </c>
      <c r="P1262">
        <v>4620</v>
      </c>
      <c r="Q1262">
        <v>0.2</v>
      </c>
      <c r="R1262">
        <v>2760</v>
      </c>
      <c r="S1262" t="s">
        <v>67</v>
      </c>
      <c r="T1262" t="s">
        <v>30</v>
      </c>
      <c r="U1262">
        <v>4</v>
      </c>
      <c r="V1262" t="s">
        <v>40</v>
      </c>
      <c r="W1262">
        <f>excelsalesdata[[#This Row],[Quantity]]*excelsalesdata[[#This Row],[Unit_Price]]</f>
        <v>9240</v>
      </c>
      <c r="X1262">
        <f>excelsalesdata[[#This Row],[Gross_sales]]*excelsalesdata[[#This Row],[Discount_%]]</f>
        <v>1848</v>
      </c>
      <c r="Y1262">
        <f>excelsalesdata[[#This Row],[Gross_sales]]-excelsalesdata[[#This Row],[Discount_amt]]</f>
        <v>7392</v>
      </c>
      <c r="Z1262" s="4">
        <f>excelsalesdata[[#This Row],[Net_sales]]-excelsalesdata[[#This Row],[Cost]]</f>
        <v>4632</v>
      </c>
      <c r="AA1262" s="5">
        <f>excelsalesdata[[#This Row],[Profit]]/excelsalesdata[[#This Row],[Net_sales]]</f>
        <v>0.62662337662337664</v>
      </c>
      <c r="AB1262" s="4">
        <f>YEAR(excelsalesdata[[#This Row],[Order_Date]])</f>
        <v>2028</v>
      </c>
      <c r="AC1262" s="4" t="str">
        <f>TEXT(excelsalesdata[[#This Row],[Order_Date]],"mmm")</f>
        <v>Sep</v>
      </c>
      <c r="AD1262" s="4" t="str">
        <f>"Q"&amp;ROUNDUP(MONTH(excelsalesdata[[#This Row],[Order_Date]])/3,0)</f>
        <v>Q3</v>
      </c>
    </row>
    <row r="1263" spans="1:30" x14ac:dyDescent="0.35">
      <c r="A1263" t="s">
        <v>2074</v>
      </c>
      <c r="B1263" s="3">
        <v>47021</v>
      </c>
      <c r="C1263" t="s">
        <v>506</v>
      </c>
      <c r="D1263" t="s">
        <v>352</v>
      </c>
      <c r="E1263" t="str">
        <f>TRIM(excelsalesdata[[#This Row],[Customer_Name]])</f>
        <v>Meera Mehta</v>
      </c>
      <c r="F1263" t="s">
        <v>44</v>
      </c>
      <c r="G1263">
        <v>29</v>
      </c>
      <c r="H1263" t="s">
        <v>24</v>
      </c>
      <c r="I1263" t="str">
        <f>TRIM(excelsalesdata[[#This Row],[City]])</f>
        <v>Pune</v>
      </c>
      <c r="J1263" t="s">
        <v>25</v>
      </c>
      <c r="K1263" t="s">
        <v>26</v>
      </c>
      <c r="L1263" t="s">
        <v>103</v>
      </c>
      <c r="M1263" t="s">
        <v>104</v>
      </c>
      <c r="N1263" t="s">
        <v>104</v>
      </c>
      <c r="O1263">
        <v>2</v>
      </c>
      <c r="P1263">
        <v>8850</v>
      </c>
      <c r="Q1263">
        <v>0.05</v>
      </c>
      <c r="R1263">
        <v>5480</v>
      </c>
      <c r="S1263" t="s">
        <v>105</v>
      </c>
      <c r="T1263" t="s">
        <v>74</v>
      </c>
      <c r="U1263">
        <v>8</v>
      </c>
      <c r="V1263" t="s">
        <v>40</v>
      </c>
      <c r="W1263">
        <f>excelsalesdata[[#This Row],[Quantity]]*excelsalesdata[[#This Row],[Unit_Price]]</f>
        <v>17700</v>
      </c>
      <c r="X1263">
        <f>excelsalesdata[[#This Row],[Gross_sales]]*excelsalesdata[[#This Row],[Discount_%]]</f>
        <v>885</v>
      </c>
      <c r="Y1263">
        <f>excelsalesdata[[#This Row],[Gross_sales]]-excelsalesdata[[#This Row],[Discount_amt]]</f>
        <v>16815</v>
      </c>
      <c r="Z1263" s="4">
        <f>excelsalesdata[[#This Row],[Net_sales]]-excelsalesdata[[#This Row],[Cost]]</f>
        <v>11335</v>
      </c>
      <c r="AA1263" s="5">
        <f>excelsalesdata[[#This Row],[Profit]]/excelsalesdata[[#This Row],[Net_sales]]</f>
        <v>0.67410050550104073</v>
      </c>
      <c r="AB1263" s="4">
        <f>YEAR(excelsalesdata[[#This Row],[Order_Date]])</f>
        <v>2028</v>
      </c>
      <c r="AC1263" s="4" t="str">
        <f>TEXT(excelsalesdata[[#This Row],[Order_Date]],"mmm")</f>
        <v>Sep</v>
      </c>
      <c r="AD1263" s="4" t="str">
        <f>"Q"&amp;ROUNDUP(MONTH(excelsalesdata[[#This Row],[Order_Date]])/3,0)</f>
        <v>Q3</v>
      </c>
    </row>
    <row r="1264" spans="1:30" x14ac:dyDescent="0.35">
      <c r="A1264" t="s">
        <v>2075</v>
      </c>
      <c r="B1264" s="3">
        <v>47022</v>
      </c>
      <c r="C1264" t="s">
        <v>644</v>
      </c>
      <c r="D1264" t="s">
        <v>279</v>
      </c>
      <c r="E1264" t="str">
        <f>TRIM(excelsalesdata[[#This Row],[Customer_Name]])</f>
        <v>Vivaan Patel</v>
      </c>
      <c r="F1264" t="s">
        <v>23</v>
      </c>
      <c r="G1264">
        <v>48</v>
      </c>
      <c r="H1264" t="s">
        <v>98</v>
      </c>
      <c r="I1264" t="str">
        <f>TRIM(excelsalesdata[[#This Row],[City]])</f>
        <v>Mumbai</v>
      </c>
      <c r="J1264" t="s">
        <v>25</v>
      </c>
      <c r="K1264" t="s">
        <v>26</v>
      </c>
      <c r="L1264" t="s">
        <v>38</v>
      </c>
      <c r="M1264" t="s">
        <v>161</v>
      </c>
      <c r="N1264" t="s">
        <v>161</v>
      </c>
      <c r="O1264">
        <v>2</v>
      </c>
      <c r="P1264">
        <v>26070</v>
      </c>
      <c r="Q1264">
        <v>0.1</v>
      </c>
      <c r="R1264">
        <v>21390</v>
      </c>
      <c r="S1264" t="s">
        <v>67</v>
      </c>
      <c r="T1264" t="s">
        <v>30</v>
      </c>
      <c r="U1264">
        <v>2</v>
      </c>
      <c r="V1264" t="s">
        <v>31</v>
      </c>
      <c r="W1264">
        <f>excelsalesdata[[#This Row],[Quantity]]*excelsalesdata[[#This Row],[Unit_Price]]</f>
        <v>52140</v>
      </c>
      <c r="X1264">
        <f>excelsalesdata[[#This Row],[Gross_sales]]*excelsalesdata[[#This Row],[Discount_%]]</f>
        <v>5214</v>
      </c>
      <c r="Y1264">
        <f>excelsalesdata[[#This Row],[Gross_sales]]-excelsalesdata[[#This Row],[Discount_amt]]</f>
        <v>46926</v>
      </c>
      <c r="Z1264" s="4">
        <f>excelsalesdata[[#This Row],[Net_sales]]-excelsalesdata[[#This Row],[Cost]]</f>
        <v>25536</v>
      </c>
      <c r="AA1264" s="5">
        <f>excelsalesdata[[#This Row],[Profit]]/excelsalesdata[[#This Row],[Net_sales]]</f>
        <v>0.54417593658099983</v>
      </c>
      <c r="AB1264" s="4">
        <f>YEAR(excelsalesdata[[#This Row],[Order_Date]])</f>
        <v>2028</v>
      </c>
      <c r="AC1264" s="4" t="str">
        <f>TEXT(excelsalesdata[[#This Row],[Order_Date]],"mmm")</f>
        <v>Sep</v>
      </c>
      <c r="AD1264" s="4" t="str">
        <f>"Q"&amp;ROUNDUP(MONTH(excelsalesdata[[#This Row],[Order_Date]])/3,0)</f>
        <v>Q3</v>
      </c>
    </row>
    <row r="1265" spans="1:30" x14ac:dyDescent="0.35">
      <c r="A1265" t="s">
        <v>2076</v>
      </c>
      <c r="B1265" s="3">
        <v>47023</v>
      </c>
      <c r="C1265" t="s">
        <v>438</v>
      </c>
      <c r="D1265" t="s">
        <v>205</v>
      </c>
      <c r="E1265" t="str">
        <f>TRIM(excelsalesdata[[#This Row],[Customer_Name]])</f>
        <v>Vivaan Bhat</v>
      </c>
      <c r="F1265" t="s">
        <v>23</v>
      </c>
      <c r="G1265">
        <v>39</v>
      </c>
      <c r="H1265" t="s">
        <v>35</v>
      </c>
      <c r="I1265" t="str">
        <f>TRIM(excelsalesdata[[#This Row],[City]])</f>
        <v>Kolkata</v>
      </c>
      <c r="J1265" t="s">
        <v>36</v>
      </c>
      <c r="K1265" t="s">
        <v>37</v>
      </c>
      <c r="L1265" t="s">
        <v>38</v>
      </c>
      <c r="M1265" t="s">
        <v>255</v>
      </c>
      <c r="N1265" t="s">
        <v>255</v>
      </c>
      <c r="O1265">
        <v>4</v>
      </c>
      <c r="P1265">
        <v>4170</v>
      </c>
      <c r="Q1265">
        <v>0.25</v>
      </c>
      <c r="R1265">
        <v>2950</v>
      </c>
      <c r="S1265" t="s">
        <v>67</v>
      </c>
      <c r="T1265" t="s">
        <v>30</v>
      </c>
      <c r="U1265">
        <v>1</v>
      </c>
      <c r="V1265" t="s">
        <v>40</v>
      </c>
      <c r="W1265">
        <f>excelsalesdata[[#This Row],[Quantity]]*excelsalesdata[[#This Row],[Unit_Price]]</f>
        <v>16680</v>
      </c>
      <c r="X1265">
        <f>excelsalesdata[[#This Row],[Gross_sales]]*excelsalesdata[[#This Row],[Discount_%]]</f>
        <v>4170</v>
      </c>
      <c r="Y1265">
        <f>excelsalesdata[[#This Row],[Gross_sales]]-excelsalesdata[[#This Row],[Discount_amt]]</f>
        <v>12510</v>
      </c>
      <c r="Z1265" s="4">
        <f>excelsalesdata[[#This Row],[Net_sales]]-excelsalesdata[[#This Row],[Cost]]</f>
        <v>9560</v>
      </c>
      <c r="AA1265" s="5">
        <f>excelsalesdata[[#This Row],[Profit]]/excelsalesdata[[#This Row],[Net_sales]]</f>
        <v>0.76418864908073536</v>
      </c>
      <c r="AB1265" s="4">
        <f>YEAR(excelsalesdata[[#This Row],[Order_Date]])</f>
        <v>2028</v>
      </c>
      <c r="AC1265" s="4" t="str">
        <f>TEXT(excelsalesdata[[#This Row],[Order_Date]],"mmm")</f>
        <v>Sep</v>
      </c>
      <c r="AD1265" s="4" t="str">
        <f>"Q"&amp;ROUNDUP(MONTH(excelsalesdata[[#This Row],[Order_Date]])/3,0)</f>
        <v>Q3</v>
      </c>
    </row>
    <row r="1266" spans="1:30" x14ac:dyDescent="0.35">
      <c r="A1266" t="s">
        <v>2077</v>
      </c>
      <c r="B1266" s="3">
        <v>47024</v>
      </c>
      <c r="C1266" t="s">
        <v>481</v>
      </c>
      <c r="D1266" t="s">
        <v>482</v>
      </c>
      <c r="E1266" t="str">
        <f>TRIM(excelsalesdata[[#This Row],[Customer_Name]])</f>
        <v>Aditya Gupta</v>
      </c>
      <c r="F1266" t="s">
        <v>44</v>
      </c>
      <c r="G1266">
        <v>33</v>
      </c>
      <c r="H1266" t="s">
        <v>185</v>
      </c>
      <c r="I1266" t="str">
        <f>TRIM(excelsalesdata[[#This Row],[City]])</f>
        <v>Lucknow</v>
      </c>
      <c r="J1266" t="s">
        <v>186</v>
      </c>
      <c r="K1266" t="s">
        <v>61</v>
      </c>
      <c r="L1266" t="s">
        <v>103</v>
      </c>
      <c r="M1266" t="s">
        <v>178</v>
      </c>
      <c r="N1266" t="s">
        <v>178</v>
      </c>
      <c r="O1266">
        <v>1</v>
      </c>
      <c r="P1266">
        <v>1870</v>
      </c>
      <c r="Q1266">
        <v>0.15</v>
      </c>
      <c r="R1266">
        <v>940</v>
      </c>
      <c r="S1266" t="s">
        <v>67</v>
      </c>
      <c r="T1266" t="s">
        <v>30</v>
      </c>
      <c r="U1266">
        <v>3</v>
      </c>
      <c r="V1266" t="s">
        <v>31</v>
      </c>
      <c r="W1266">
        <f>excelsalesdata[[#This Row],[Quantity]]*excelsalesdata[[#This Row],[Unit_Price]]</f>
        <v>1870</v>
      </c>
      <c r="X1266">
        <f>excelsalesdata[[#This Row],[Gross_sales]]*excelsalesdata[[#This Row],[Discount_%]]</f>
        <v>280.5</v>
      </c>
      <c r="Y1266">
        <f>excelsalesdata[[#This Row],[Gross_sales]]-excelsalesdata[[#This Row],[Discount_amt]]</f>
        <v>1589.5</v>
      </c>
      <c r="Z1266" s="4">
        <f>excelsalesdata[[#This Row],[Net_sales]]-excelsalesdata[[#This Row],[Cost]]</f>
        <v>649.5</v>
      </c>
      <c r="AA1266" s="5">
        <f>excelsalesdata[[#This Row],[Profit]]/excelsalesdata[[#This Row],[Net_sales]]</f>
        <v>0.40861906259830133</v>
      </c>
      <c r="AB1266" s="4">
        <f>YEAR(excelsalesdata[[#This Row],[Order_Date]])</f>
        <v>2028</v>
      </c>
      <c r="AC1266" s="4" t="str">
        <f>TEXT(excelsalesdata[[#This Row],[Order_Date]],"mmm")</f>
        <v>Sep</v>
      </c>
      <c r="AD1266" s="4" t="str">
        <f>"Q"&amp;ROUNDUP(MONTH(excelsalesdata[[#This Row],[Order_Date]])/3,0)</f>
        <v>Q3</v>
      </c>
    </row>
    <row r="1267" spans="1:30" x14ac:dyDescent="0.35">
      <c r="A1267" t="s">
        <v>2078</v>
      </c>
      <c r="B1267" s="3">
        <v>47025</v>
      </c>
      <c r="C1267" t="s">
        <v>1308</v>
      </c>
      <c r="D1267" t="s">
        <v>600</v>
      </c>
      <c r="E1267" t="str">
        <f>TRIM(excelsalesdata[[#This Row],[Customer_Name]])</f>
        <v>Karan Mehta</v>
      </c>
      <c r="F1267" t="s">
        <v>23</v>
      </c>
      <c r="G1267">
        <v>34</v>
      </c>
      <c r="H1267" t="s">
        <v>133</v>
      </c>
      <c r="I1267" t="str">
        <f>TRIM(excelsalesdata[[#This Row],[City]])</f>
        <v>Jaipur</v>
      </c>
      <c r="J1267" t="s">
        <v>134</v>
      </c>
      <c r="K1267" t="s">
        <v>61</v>
      </c>
      <c r="L1267" t="s">
        <v>54</v>
      </c>
      <c r="M1267" t="s">
        <v>157</v>
      </c>
      <c r="N1267" t="s">
        <v>157</v>
      </c>
      <c r="O1267">
        <v>1</v>
      </c>
      <c r="P1267">
        <v>53840</v>
      </c>
      <c r="Q1267">
        <v>0.05</v>
      </c>
      <c r="R1267">
        <v>41780</v>
      </c>
      <c r="S1267" t="s">
        <v>105</v>
      </c>
      <c r="T1267" t="s">
        <v>30</v>
      </c>
      <c r="U1267">
        <v>8</v>
      </c>
      <c r="V1267" t="s">
        <v>31</v>
      </c>
      <c r="W1267">
        <f>excelsalesdata[[#This Row],[Quantity]]*excelsalesdata[[#This Row],[Unit_Price]]</f>
        <v>53840</v>
      </c>
      <c r="X1267">
        <f>excelsalesdata[[#This Row],[Gross_sales]]*excelsalesdata[[#This Row],[Discount_%]]</f>
        <v>2692</v>
      </c>
      <c r="Y1267">
        <f>excelsalesdata[[#This Row],[Gross_sales]]-excelsalesdata[[#This Row],[Discount_amt]]</f>
        <v>51148</v>
      </c>
      <c r="Z1267" s="4">
        <f>excelsalesdata[[#This Row],[Net_sales]]-excelsalesdata[[#This Row],[Cost]]</f>
        <v>9368</v>
      </c>
      <c r="AA1267" s="5">
        <f>excelsalesdata[[#This Row],[Profit]]/excelsalesdata[[#This Row],[Net_sales]]</f>
        <v>0.1831547665597873</v>
      </c>
      <c r="AB1267" s="4">
        <f>YEAR(excelsalesdata[[#This Row],[Order_Date]])</f>
        <v>2028</v>
      </c>
      <c r="AC1267" s="4" t="str">
        <f>TEXT(excelsalesdata[[#This Row],[Order_Date]],"mmm")</f>
        <v>Sep</v>
      </c>
      <c r="AD1267" s="4" t="str">
        <f>"Q"&amp;ROUNDUP(MONTH(excelsalesdata[[#This Row],[Order_Date]])/3,0)</f>
        <v>Q3</v>
      </c>
    </row>
    <row r="1268" spans="1:30" x14ac:dyDescent="0.35">
      <c r="A1268" t="s">
        <v>2079</v>
      </c>
      <c r="B1268" s="3">
        <v>47026</v>
      </c>
      <c r="C1268" t="s">
        <v>1538</v>
      </c>
      <c r="D1268" t="s">
        <v>432</v>
      </c>
      <c r="E1268" t="str">
        <f>TRIM(excelsalesdata[[#This Row],[Customer_Name]])</f>
        <v>Karan Gupta</v>
      </c>
      <c r="F1268" t="s">
        <v>44</v>
      </c>
      <c r="G1268">
        <v>18</v>
      </c>
      <c r="H1268" t="s">
        <v>114</v>
      </c>
      <c r="I1268" t="str">
        <f>TRIM(excelsalesdata[[#This Row],[City]])</f>
        <v>Hyderabad</v>
      </c>
      <c r="J1268" t="s">
        <v>115</v>
      </c>
      <c r="K1268" t="s">
        <v>47</v>
      </c>
      <c r="L1268" t="s">
        <v>27</v>
      </c>
      <c r="M1268" t="s">
        <v>195</v>
      </c>
      <c r="N1268" t="s">
        <v>195</v>
      </c>
      <c r="O1268">
        <v>4</v>
      </c>
      <c r="P1268">
        <v>2240</v>
      </c>
      <c r="Q1268">
        <v>0.15</v>
      </c>
      <c r="R1268">
        <v>1250</v>
      </c>
      <c r="S1268" t="s">
        <v>151</v>
      </c>
      <c r="T1268" t="s">
        <v>30</v>
      </c>
      <c r="U1268">
        <v>3</v>
      </c>
      <c r="V1268" t="s">
        <v>40</v>
      </c>
      <c r="W1268">
        <f>excelsalesdata[[#This Row],[Quantity]]*excelsalesdata[[#This Row],[Unit_Price]]</f>
        <v>8960</v>
      </c>
      <c r="X1268">
        <f>excelsalesdata[[#This Row],[Gross_sales]]*excelsalesdata[[#This Row],[Discount_%]]</f>
        <v>1344</v>
      </c>
      <c r="Y1268">
        <f>excelsalesdata[[#This Row],[Gross_sales]]-excelsalesdata[[#This Row],[Discount_amt]]</f>
        <v>7616</v>
      </c>
      <c r="Z1268" s="4">
        <f>excelsalesdata[[#This Row],[Net_sales]]-excelsalesdata[[#This Row],[Cost]]</f>
        <v>6366</v>
      </c>
      <c r="AA1268" s="5">
        <f>excelsalesdata[[#This Row],[Profit]]/excelsalesdata[[#This Row],[Net_sales]]</f>
        <v>0.83587184873949583</v>
      </c>
      <c r="AB1268" s="4">
        <f>YEAR(excelsalesdata[[#This Row],[Order_Date]])</f>
        <v>2028</v>
      </c>
      <c r="AC1268" s="4" t="str">
        <f>TEXT(excelsalesdata[[#This Row],[Order_Date]],"mmm")</f>
        <v>Sep</v>
      </c>
      <c r="AD1268" s="4" t="str">
        <f>"Q"&amp;ROUNDUP(MONTH(excelsalesdata[[#This Row],[Order_Date]])/3,0)</f>
        <v>Q3</v>
      </c>
    </row>
    <row r="1269" spans="1:30" x14ac:dyDescent="0.35">
      <c r="A1269" t="s">
        <v>2080</v>
      </c>
      <c r="B1269" s="3">
        <v>47027</v>
      </c>
      <c r="C1269" t="s">
        <v>1923</v>
      </c>
      <c r="D1269" t="s">
        <v>1528</v>
      </c>
      <c r="E1269" t="str">
        <f>TRIM(excelsalesdata[[#This Row],[Customer_Name]])</f>
        <v>Nisha Patel</v>
      </c>
      <c r="F1269" t="s">
        <v>23</v>
      </c>
      <c r="G1269">
        <v>22</v>
      </c>
      <c r="H1269" t="s">
        <v>71</v>
      </c>
      <c r="I1269" t="str">
        <f>TRIM(excelsalesdata[[#This Row],[City]])</f>
        <v>Bhubaneswar</v>
      </c>
      <c r="J1269" t="s">
        <v>72</v>
      </c>
      <c r="K1269" t="s">
        <v>37</v>
      </c>
      <c r="L1269" t="s">
        <v>93</v>
      </c>
      <c r="M1269" t="s">
        <v>94</v>
      </c>
      <c r="N1269" t="s">
        <v>94</v>
      </c>
      <c r="O1269">
        <v>2</v>
      </c>
      <c r="P1269">
        <v>530</v>
      </c>
      <c r="Q1269">
        <v>0.15</v>
      </c>
      <c r="R1269">
        <v>230</v>
      </c>
      <c r="S1269" t="s">
        <v>29</v>
      </c>
      <c r="T1269" t="s">
        <v>30</v>
      </c>
      <c r="U1269">
        <v>3</v>
      </c>
      <c r="V1269" t="s">
        <v>40</v>
      </c>
      <c r="W1269">
        <f>excelsalesdata[[#This Row],[Quantity]]*excelsalesdata[[#This Row],[Unit_Price]]</f>
        <v>1060</v>
      </c>
      <c r="X1269">
        <f>excelsalesdata[[#This Row],[Gross_sales]]*excelsalesdata[[#This Row],[Discount_%]]</f>
        <v>159</v>
      </c>
      <c r="Y1269">
        <f>excelsalesdata[[#This Row],[Gross_sales]]-excelsalesdata[[#This Row],[Discount_amt]]</f>
        <v>901</v>
      </c>
      <c r="Z1269" s="4">
        <f>excelsalesdata[[#This Row],[Net_sales]]-excelsalesdata[[#This Row],[Cost]]</f>
        <v>671</v>
      </c>
      <c r="AA1269" s="5">
        <f>excelsalesdata[[#This Row],[Profit]]/excelsalesdata[[#This Row],[Net_sales]]</f>
        <v>0.74472807991120982</v>
      </c>
      <c r="AB1269" s="4">
        <f>YEAR(excelsalesdata[[#This Row],[Order_Date]])</f>
        <v>2028</v>
      </c>
      <c r="AC1269" s="4" t="str">
        <f>TEXT(excelsalesdata[[#This Row],[Order_Date]],"mmm")</f>
        <v>Oct</v>
      </c>
      <c r="AD1269" s="4" t="str">
        <f>"Q"&amp;ROUNDUP(MONTH(excelsalesdata[[#This Row],[Order_Date]])/3,0)</f>
        <v>Q4</v>
      </c>
    </row>
    <row r="1270" spans="1:30" x14ac:dyDescent="0.35">
      <c r="A1270" t="s">
        <v>2081</v>
      </c>
      <c r="B1270" s="3">
        <v>47028</v>
      </c>
      <c r="C1270" t="s">
        <v>800</v>
      </c>
      <c r="D1270" t="s">
        <v>1197</v>
      </c>
      <c r="E1270" t="str">
        <f>TRIM(excelsalesdata[[#This Row],[Customer_Name]])</f>
        <v>Rahul Rao</v>
      </c>
      <c r="F1270" t="s">
        <v>23</v>
      </c>
      <c r="G1270">
        <v>44</v>
      </c>
      <c r="H1270" t="s">
        <v>133</v>
      </c>
      <c r="I1270" t="str">
        <f>TRIM(excelsalesdata[[#This Row],[City]])</f>
        <v>Jaipur</v>
      </c>
      <c r="J1270" t="s">
        <v>134</v>
      </c>
      <c r="K1270" t="s">
        <v>61</v>
      </c>
      <c r="L1270" t="s">
        <v>54</v>
      </c>
      <c r="M1270" t="s">
        <v>66</v>
      </c>
      <c r="N1270" t="s">
        <v>66</v>
      </c>
      <c r="O1270">
        <v>1</v>
      </c>
      <c r="P1270">
        <v>2640</v>
      </c>
      <c r="Q1270">
        <v>0.05</v>
      </c>
      <c r="R1270">
        <v>1450</v>
      </c>
      <c r="S1270" t="s">
        <v>29</v>
      </c>
      <c r="T1270" t="s">
        <v>30</v>
      </c>
      <c r="U1270">
        <v>5</v>
      </c>
      <c r="V1270" t="s">
        <v>40</v>
      </c>
      <c r="W1270">
        <f>excelsalesdata[[#This Row],[Quantity]]*excelsalesdata[[#This Row],[Unit_Price]]</f>
        <v>2640</v>
      </c>
      <c r="X1270">
        <f>excelsalesdata[[#This Row],[Gross_sales]]*excelsalesdata[[#This Row],[Discount_%]]</f>
        <v>132</v>
      </c>
      <c r="Y1270">
        <f>excelsalesdata[[#This Row],[Gross_sales]]-excelsalesdata[[#This Row],[Discount_amt]]</f>
        <v>2508</v>
      </c>
      <c r="Z1270" s="4">
        <f>excelsalesdata[[#This Row],[Net_sales]]-excelsalesdata[[#This Row],[Cost]]</f>
        <v>1058</v>
      </c>
      <c r="AA1270" s="5">
        <f>excelsalesdata[[#This Row],[Profit]]/excelsalesdata[[#This Row],[Net_sales]]</f>
        <v>0.42185007974481659</v>
      </c>
      <c r="AB1270" s="4">
        <f>YEAR(excelsalesdata[[#This Row],[Order_Date]])</f>
        <v>2028</v>
      </c>
      <c r="AC1270" s="4" t="str">
        <f>TEXT(excelsalesdata[[#This Row],[Order_Date]],"mmm")</f>
        <v>Oct</v>
      </c>
      <c r="AD1270" s="4" t="str">
        <f>"Q"&amp;ROUNDUP(MONTH(excelsalesdata[[#This Row],[Order_Date]])/3,0)</f>
        <v>Q4</v>
      </c>
    </row>
    <row r="1271" spans="1:30" x14ac:dyDescent="0.35">
      <c r="A1271" t="s">
        <v>2082</v>
      </c>
      <c r="B1271" s="3">
        <v>47029</v>
      </c>
      <c r="C1271" t="s">
        <v>240</v>
      </c>
      <c r="D1271" t="s">
        <v>798</v>
      </c>
      <c r="E1271" t="str">
        <f>TRIM(excelsalesdata[[#This Row],[Customer_Name]])</f>
        <v>Rahul Bhat</v>
      </c>
      <c r="F1271" t="s">
        <v>44</v>
      </c>
      <c r="G1271">
        <v>24</v>
      </c>
      <c r="H1271" t="s">
        <v>52</v>
      </c>
      <c r="I1271" t="str">
        <f>TRIM(excelsalesdata[[#This Row],[City]])</f>
        <v>Bengaluru</v>
      </c>
      <c r="J1271" t="s">
        <v>53</v>
      </c>
      <c r="K1271" t="s">
        <v>47</v>
      </c>
      <c r="L1271" t="s">
        <v>27</v>
      </c>
      <c r="M1271" t="s">
        <v>48</v>
      </c>
      <c r="N1271" t="s">
        <v>48</v>
      </c>
      <c r="O1271">
        <v>1</v>
      </c>
      <c r="P1271">
        <v>840</v>
      </c>
      <c r="Q1271">
        <v>0.2</v>
      </c>
      <c r="R1271">
        <v>460</v>
      </c>
      <c r="S1271" t="s">
        <v>56</v>
      </c>
      <c r="T1271" t="s">
        <v>30</v>
      </c>
      <c r="U1271">
        <v>2</v>
      </c>
      <c r="V1271" t="s">
        <v>31</v>
      </c>
      <c r="W1271">
        <f>excelsalesdata[[#This Row],[Quantity]]*excelsalesdata[[#This Row],[Unit_Price]]</f>
        <v>840</v>
      </c>
      <c r="X1271">
        <f>excelsalesdata[[#This Row],[Gross_sales]]*excelsalesdata[[#This Row],[Discount_%]]</f>
        <v>168</v>
      </c>
      <c r="Y1271">
        <f>excelsalesdata[[#This Row],[Gross_sales]]-excelsalesdata[[#This Row],[Discount_amt]]</f>
        <v>672</v>
      </c>
      <c r="Z1271" s="4">
        <f>excelsalesdata[[#This Row],[Net_sales]]-excelsalesdata[[#This Row],[Cost]]</f>
        <v>212</v>
      </c>
      <c r="AA1271" s="5">
        <f>excelsalesdata[[#This Row],[Profit]]/excelsalesdata[[#This Row],[Net_sales]]</f>
        <v>0.31547619047619047</v>
      </c>
      <c r="AB1271" s="4">
        <f>YEAR(excelsalesdata[[#This Row],[Order_Date]])</f>
        <v>2028</v>
      </c>
      <c r="AC1271" s="4" t="str">
        <f>TEXT(excelsalesdata[[#This Row],[Order_Date]],"mmm")</f>
        <v>Oct</v>
      </c>
      <c r="AD1271" s="4" t="str">
        <f>"Q"&amp;ROUNDUP(MONTH(excelsalesdata[[#This Row],[Order_Date]])/3,0)</f>
        <v>Q4</v>
      </c>
    </row>
    <row r="1272" spans="1:30" x14ac:dyDescent="0.35">
      <c r="A1272" t="s">
        <v>2083</v>
      </c>
      <c r="B1272" s="3">
        <v>47030</v>
      </c>
      <c r="C1272" t="s">
        <v>660</v>
      </c>
      <c r="D1272" t="s">
        <v>631</v>
      </c>
      <c r="E1272" t="str">
        <f>TRIM(excelsalesdata[[#This Row],[Customer_Name]])</f>
        <v>Diya Naidu</v>
      </c>
      <c r="F1272" t="s">
        <v>44</v>
      </c>
      <c r="G1272">
        <v>56</v>
      </c>
      <c r="H1272" t="s">
        <v>60</v>
      </c>
      <c r="I1272" t="str">
        <f>TRIM(excelsalesdata[[#This Row],[City]])</f>
        <v>Chandigarh</v>
      </c>
      <c r="J1272" t="s">
        <v>60</v>
      </c>
      <c r="K1272" t="s">
        <v>61</v>
      </c>
      <c r="L1272" t="s">
        <v>103</v>
      </c>
      <c r="M1272" t="s">
        <v>312</v>
      </c>
      <c r="N1272" t="s">
        <v>312</v>
      </c>
      <c r="O1272">
        <v>1</v>
      </c>
      <c r="P1272">
        <v>6950</v>
      </c>
      <c r="Q1272">
        <v>0.15</v>
      </c>
      <c r="R1272">
        <v>4380</v>
      </c>
      <c r="S1272" t="s">
        <v>151</v>
      </c>
      <c r="T1272" t="s">
        <v>30</v>
      </c>
      <c r="U1272">
        <v>2</v>
      </c>
      <c r="V1272" t="s">
        <v>40</v>
      </c>
      <c r="W1272">
        <f>excelsalesdata[[#This Row],[Quantity]]*excelsalesdata[[#This Row],[Unit_Price]]</f>
        <v>6950</v>
      </c>
      <c r="X1272">
        <f>excelsalesdata[[#This Row],[Gross_sales]]*excelsalesdata[[#This Row],[Discount_%]]</f>
        <v>1042.5</v>
      </c>
      <c r="Y1272">
        <f>excelsalesdata[[#This Row],[Gross_sales]]-excelsalesdata[[#This Row],[Discount_amt]]</f>
        <v>5907.5</v>
      </c>
      <c r="Z1272" s="4">
        <f>excelsalesdata[[#This Row],[Net_sales]]-excelsalesdata[[#This Row],[Cost]]</f>
        <v>1527.5</v>
      </c>
      <c r="AA1272" s="5">
        <f>excelsalesdata[[#This Row],[Profit]]/excelsalesdata[[#This Row],[Net_sales]]</f>
        <v>0.25856961489631825</v>
      </c>
      <c r="AB1272" s="4">
        <f>YEAR(excelsalesdata[[#This Row],[Order_Date]])</f>
        <v>2028</v>
      </c>
      <c r="AC1272" s="4" t="str">
        <f>TEXT(excelsalesdata[[#This Row],[Order_Date]],"mmm")</f>
        <v>Oct</v>
      </c>
      <c r="AD1272" s="4" t="str">
        <f>"Q"&amp;ROUNDUP(MONTH(excelsalesdata[[#This Row],[Order_Date]])/3,0)</f>
        <v>Q4</v>
      </c>
    </row>
    <row r="1273" spans="1:30" x14ac:dyDescent="0.35">
      <c r="A1273" t="s">
        <v>2084</v>
      </c>
      <c r="B1273" s="3">
        <v>47031</v>
      </c>
      <c r="C1273" t="s">
        <v>1303</v>
      </c>
      <c r="D1273" t="s">
        <v>250</v>
      </c>
      <c r="E1273" t="str">
        <f>TRIM(excelsalesdata[[#This Row],[Customer_Name]])</f>
        <v>Rohan Singh</v>
      </c>
      <c r="F1273" t="s">
        <v>44</v>
      </c>
      <c r="G1273">
        <v>21</v>
      </c>
      <c r="H1273" t="s">
        <v>155</v>
      </c>
      <c r="I1273" t="str">
        <f>TRIM(excelsalesdata[[#This Row],[City]])</f>
        <v>Chennai</v>
      </c>
      <c r="J1273" t="s">
        <v>156</v>
      </c>
      <c r="K1273" t="s">
        <v>47</v>
      </c>
      <c r="L1273" t="s">
        <v>93</v>
      </c>
      <c r="M1273" t="s">
        <v>375</v>
      </c>
      <c r="N1273" t="s">
        <v>375</v>
      </c>
      <c r="O1273">
        <v>1</v>
      </c>
      <c r="P1273">
        <v>2260</v>
      </c>
      <c r="Q1273">
        <v>0.15</v>
      </c>
      <c r="R1273">
        <v>1160</v>
      </c>
      <c r="S1273" t="s">
        <v>80</v>
      </c>
      <c r="T1273" t="s">
        <v>30</v>
      </c>
      <c r="U1273">
        <v>4</v>
      </c>
      <c r="V1273" t="s">
        <v>40</v>
      </c>
      <c r="W1273">
        <f>excelsalesdata[[#This Row],[Quantity]]*excelsalesdata[[#This Row],[Unit_Price]]</f>
        <v>2260</v>
      </c>
      <c r="X1273">
        <f>excelsalesdata[[#This Row],[Gross_sales]]*excelsalesdata[[#This Row],[Discount_%]]</f>
        <v>339</v>
      </c>
      <c r="Y1273">
        <f>excelsalesdata[[#This Row],[Gross_sales]]-excelsalesdata[[#This Row],[Discount_amt]]</f>
        <v>1921</v>
      </c>
      <c r="Z1273" s="4">
        <f>excelsalesdata[[#This Row],[Net_sales]]-excelsalesdata[[#This Row],[Cost]]</f>
        <v>761</v>
      </c>
      <c r="AA1273" s="5">
        <f>excelsalesdata[[#This Row],[Profit]]/excelsalesdata[[#This Row],[Net_sales]]</f>
        <v>0.3961478396668402</v>
      </c>
      <c r="AB1273" s="4">
        <f>YEAR(excelsalesdata[[#This Row],[Order_Date]])</f>
        <v>2028</v>
      </c>
      <c r="AC1273" s="4" t="str">
        <f>TEXT(excelsalesdata[[#This Row],[Order_Date]],"mmm")</f>
        <v>Oct</v>
      </c>
      <c r="AD1273" s="4" t="str">
        <f>"Q"&amp;ROUNDUP(MONTH(excelsalesdata[[#This Row],[Order_Date]])/3,0)</f>
        <v>Q4</v>
      </c>
    </row>
    <row r="1274" spans="1:30" x14ac:dyDescent="0.35">
      <c r="A1274" t="s">
        <v>2085</v>
      </c>
      <c r="B1274" s="3">
        <v>47032</v>
      </c>
      <c r="C1274" t="s">
        <v>568</v>
      </c>
      <c r="D1274" t="s">
        <v>432</v>
      </c>
      <c r="E1274" t="str">
        <f>TRIM(excelsalesdata[[#This Row],[Customer_Name]])</f>
        <v>Karan Gupta</v>
      </c>
      <c r="F1274" t="s">
        <v>44</v>
      </c>
      <c r="G1274">
        <v>57</v>
      </c>
      <c r="H1274" t="s">
        <v>168</v>
      </c>
      <c r="I1274" t="str">
        <f>TRIM(excelsalesdata[[#This Row],[City]])</f>
        <v>Delhi</v>
      </c>
      <c r="J1274" t="s">
        <v>168</v>
      </c>
      <c r="K1274" t="s">
        <v>61</v>
      </c>
      <c r="L1274" t="s">
        <v>103</v>
      </c>
      <c r="M1274" t="s">
        <v>238</v>
      </c>
      <c r="N1274" t="s">
        <v>238</v>
      </c>
      <c r="O1274">
        <v>3</v>
      </c>
      <c r="P1274">
        <v>4390</v>
      </c>
      <c r="Q1274">
        <v>0</v>
      </c>
      <c r="R1274">
        <v>2630</v>
      </c>
      <c r="S1274" t="s">
        <v>80</v>
      </c>
      <c r="T1274" t="s">
        <v>30</v>
      </c>
      <c r="U1274">
        <v>6</v>
      </c>
      <c r="V1274" t="s">
        <v>31</v>
      </c>
      <c r="W1274">
        <f>excelsalesdata[[#This Row],[Quantity]]*excelsalesdata[[#This Row],[Unit_Price]]</f>
        <v>13170</v>
      </c>
      <c r="X1274">
        <f>excelsalesdata[[#This Row],[Gross_sales]]*excelsalesdata[[#This Row],[Discount_%]]</f>
        <v>0</v>
      </c>
      <c r="Y1274">
        <f>excelsalesdata[[#This Row],[Gross_sales]]-excelsalesdata[[#This Row],[Discount_amt]]</f>
        <v>13170</v>
      </c>
      <c r="Z1274" s="4">
        <f>excelsalesdata[[#This Row],[Net_sales]]-excelsalesdata[[#This Row],[Cost]]</f>
        <v>10540</v>
      </c>
      <c r="AA1274" s="5">
        <f>excelsalesdata[[#This Row],[Profit]]/excelsalesdata[[#This Row],[Net_sales]]</f>
        <v>0.80030372057706911</v>
      </c>
      <c r="AB1274" s="4">
        <f>YEAR(excelsalesdata[[#This Row],[Order_Date]])</f>
        <v>2028</v>
      </c>
      <c r="AC1274" s="4" t="str">
        <f>TEXT(excelsalesdata[[#This Row],[Order_Date]],"mmm")</f>
        <v>Oct</v>
      </c>
      <c r="AD1274" s="4" t="str">
        <f>"Q"&amp;ROUNDUP(MONTH(excelsalesdata[[#This Row],[Order_Date]])/3,0)</f>
        <v>Q4</v>
      </c>
    </row>
    <row r="1275" spans="1:30" x14ac:dyDescent="0.35">
      <c r="A1275" t="s">
        <v>2086</v>
      </c>
      <c r="B1275" s="3">
        <v>47033</v>
      </c>
      <c r="C1275" t="s">
        <v>261</v>
      </c>
      <c r="D1275" t="s">
        <v>1087</v>
      </c>
      <c r="E1275" t="str">
        <f>TRIM(excelsalesdata[[#This Row],[Customer_Name]])</f>
        <v>Vivaan Verma</v>
      </c>
      <c r="F1275" t="s">
        <v>44</v>
      </c>
      <c r="G1275">
        <v>21</v>
      </c>
      <c r="H1275" t="s">
        <v>114</v>
      </c>
      <c r="I1275" t="str">
        <f>TRIM(excelsalesdata[[#This Row],[City]])</f>
        <v>Hyderabad</v>
      </c>
      <c r="J1275" t="s">
        <v>115</v>
      </c>
      <c r="K1275" t="s">
        <v>47</v>
      </c>
      <c r="L1275" t="s">
        <v>54</v>
      </c>
      <c r="M1275" t="s">
        <v>129</v>
      </c>
      <c r="N1275" t="s">
        <v>129</v>
      </c>
      <c r="O1275">
        <v>4</v>
      </c>
      <c r="P1275">
        <v>18080</v>
      </c>
      <c r="Q1275">
        <v>0</v>
      </c>
      <c r="R1275">
        <v>12590</v>
      </c>
      <c r="S1275" t="s">
        <v>29</v>
      </c>
      <c r="T1275" t="s">
        <v>30</v>
      </c>
      <c r="U1275">
        <v>1</v>
      </c>
      <c r="V1275" t="s">
        <v>40</v>
      </c>
      <c r="W1275">
        <f>excelsalesdata[[#This Row],[Quantity]]*excelsalesdata[[#This Row],[Unit_Price]]</f>
        <v>72320</v>
      </c>
      <c r="X1275">
        <f>excelsalesdata[[#This Row],[Gross_sales]]*excelsalesdata[[#This Row],[Discount_%]]</f>
        <v>0</v>
      </c>
      <c r="Y1275">
        <f>excelsalesdata[[#This Row],[Gross_sales]]-excelsalesdata[[#This Row],[Discount_amt]]</f>
        <v>72320</v>
      </c>
      <c r="Z1275" s="4">
        <f>excelsalesdata[[#This Row],[Net_sales]]-excelsalesdata[[#This Row],[Cost]]</f>
        <v>59730</v>
      </c>
      <c r="AA1275" s="5">
        <f>excelsalesdata[[#This Row],[Profit]]/excelsalesdata[[#This Row],[Net_sales]]</f>
        <v>0.82591261061946908</v>
      </c>
      <c r="AB1275" s="4">
        <f>YEAR(excelsalesdata[[#This Row],[Order_Date]])</f>
        <v>2028</v>
      </c>
      <c r="AC1275" s="4" t="str">
        <f>TEXT(excelsalesdata[[#This Row],[Order_Date]],"mmm")</f>
        <v>Oct</v>
      </c>
      <c r="AD1275" s="4" t="str">
        <f>"Q"&amp;ROUNDUP(MONTH(excelsalesdata[[#This Row],[Order_Date]])/3,0)</f>
        <v>Q4</v>
      </c>
    </row>
    <row r="1276" spans="1:30" x14ac:dyDescent="0.35">
      <c r="A1276" t="s">
        <v>2087</v>
      </c>
      <c r="B1276" s="3">
        <v>47034</v>
      </c>
      <c r="C1276" t="s">
        <v>88</v>
      </c>
      <c r="D1276" t="s">
        <v>241</v>
      </c>
      <c r="E1276" t="str">
        <f>TRIM(excelsalesdata[[#This Row],[Customer_Name]])</f>
        <v>Rahul Kumar</v>
      </c>
      <c r="F1276" t="s">
        <v>44</v>
      </c>
      <c r="G1276">
        <v>42</v>
      </c>
      <c r="H1276" t="s">
        <v>168</v>
      </c>
      <c r="I1276" t="str">
        <f>TRIM(excelsalesdata[[#This Row],[City]])</f>
        <v>Delhi</v>
      </c>
      <c r="J1276" t="s">
        <v>168</v>
      </c>
      <c r="K1276" t="s">
        <v>61</v>
      </c>
      <c r="L1276" t="s">
        <v>93</v>
      </c>
      <c r="M1276" t="s">
        <v>135</v>
      </c>
      <c r="N1276" t="s">
        <v>135</v>
      </c>
      <c r="O1276">
        <v>1</v>
      </c>
      <c r="P1276">
        <v>1850</v>
      </c>
      <c r="Q1276">
        <v>0.2</v>
      </c>
      <c r="R1276">
        <v>950</v>
      </c>
      <c r="S1276" t="s">
        <v>151</v>
      </c>
      <c r="T1276" t="s">
        <v>30</v>
      </c>
      <c r="U1276">
        <v>4</v>
      </c>
      <c r="V1276" t="s">
        <v>31</v>
      </c>
      <c r="W1276">
        <f>excelsalesdata[[#This Row],[Quantity]]*excelsalesdata[[#This Row],[Unit_Price]]</f>
        <v>1850</v>
      </c>
      <c r="X1276">
        <f>excelsalesdata[[#This Row],[Gross_sales]]*excelsalesdata[[#This Row],[Discount_%]]</f>
        <v>370</v>
      </c>
      <c r="Y1276">
        <f>excelsalesdata[[#This Row],[Gross_sales]]-excelsalesdata[[#This Row],[Discount_amt]]</f>
        <v>1480</v>
      </c>
      <c r="Z1276" s="4">
        <f>excelsalesdata[[#This Row],[Net_sales]]-excelsalesdata[[#This Row],[Cost]]</f>
        <v>530</v>
      </c>
      <c r="AA1276" s="5">
        <f>excelsalesdata[[#This Row],[Profit]]/excelsalesdata[[#This Row],[Net_sales]]</f>
        <v>0.35810810810810811</v>
      </c>
      <c r="AB1276" s="4">
        <f>YEAR(excelsalesdata[[#This Row],[Order_Date]])</f>
        <v>2028</v>
      </c>
      <c r="AC1276" s="4" t="str">
        <f>TEXT(excelsalesdata[[#This Row],[Order_Date]],"mmm")</f>
        <v>Oct</v>
      </c>
      <c r="AD1276" s="4" t="str">
        <f>"Q"&amp;ROUNDUP(MONTH(excelsalesdata[[#This Row],[Order_Date]])/3,0)</f>
        <v>Q4</v>
      </c>
    </row>
    <row r="1277" spans="1:30" x14ac:dyDescent="0.35">
      <c r="A1277" t="s">
        <v>2088</v>
      </c>
      <c r="B1277" s="3">
        <v>47035</v>
      </c>
      <c r="C1277" t="s">
        <v>2089</v>
      </c>
      <c r="D1277" t="s">
        <v>385</v>
      </c>
      <c r="E1277" t="str">
        <f>TRIM(excelsalesdata[[#This Row],[Customer_Name]])</f>
        <v>Diya Verma</v>
      </c>
      <c r="F1277" t="s">
        <v>44</v>
      </c>
      <c r="G1277">
        <v>37</v>
      </c>
      <c r="H1277" t="s">
        <v>24</v>
      </c>
      <c r="I1277" t="str">
        <f>TRIM(excelsalesdata[[#This Row],[City]])</f>
        <v>Pune</v>
      </c>
      <c r="J1277" t="s">
        <v>25</v>
      </c>
      <c r="K1277" t="s">
        <v>26</v>
      </c>
      <c r="L1277" t="s">
        <v>27</v>
      </c>
      <c r="M1277" t="s">
        <v>195</v>
      </c>
      <c r="N1277" t="s">
        <v>195</v>
      </c>
      <c r="O1277">
        <v>3</v>
      </c>
      <c r="P1277">
        <v>2280</v>
      </c>
      <c r="Q1277">
        <v>0.05</v>
      </c>
      <c r="R1277">
        <v>1240</v>
      </c>
      <c r="S1277" t="s">
        <v>80</v>
      </c>
      <c r="T1277" t="s">
        <v>30</v>
      </c>
      <c r="U1277">
        <v>3</v>
      </c>
      <c r="V1277" t="s">
        <v>31</v>
      </c>
      <c r="W1277">
        <f>excelsalesdata[[#This Row],[Quantity]]*excelsalesdata[[#This Row],[Unit_Price]]</f>
        <v>6840</v>
      </c>
      <c r="X1277">
        <f>excelsalesdata[[#This Row],[Gross_sales]]*excelsalesdata[[#This Row],[Discount_%]]</f>
        <v>342</v>
      </c>
      <c r="Y1277">
        <f>excelsalesdata[[#This Row],[Gross_sales]]-excelsalesdata[[#This Row],[Discount_amt]]</f>
        <v>6498</v>
      </c>
      <c r="Z1277" s="4">
        <f>excelsalesdata[[#This Row],[Net_sales]]-excelsalesdata[[#This Row],[Cost]]</f>
        <v>5258</v>
      </c>
      <c r="AA1277" s="5">
        <f>excelsalesdata[[#This Row],[Profit]]/excelsalesdata[[#This Row],[Net_sales]]</f>
        <v>0.809172052939366</v>
      </c>
      <c r="AB1277" s="4">
        <f>YEAR(excelsalesdata[[#This Row],[Order_Date]])</f>
        <v>2028</v>
      </c>
      <c r="AC1277" s="4" t="str">
        <f>TEXT(excelsalesdata[[#This Row],[Order_Date]],"mmm")</f>
        <v>Oct</v>
      </c>
      <c r="AD1277" s="4" t="str">
        <f>"Q"&amp;ROUNDUP(MONTH(excelsalesdata[[#This Row],[Order_Date]])/3,0)</f>
        <v>Q4</v>
      </c>
    </row>
    <row r="1278" spans="1:30" x14ac:dyDescent="0.35">
      <c r="A1278" t="s">
        <v>2090</v>
      </c>
      <c r="B1278" s="3">
        <v>47036</v>
      </c>
      <c r="C1278" t="s">
        <v>1585</v>
      </c>
      <c r="D1278" t="s">
        <v>144</v>
      </c>
      <c r="E1278" t="str">
        <f>TRIM(excelsalesdata[[#This Row],[Customer_Name]])</f>
        <v>Karan Iyer</v>
      </c>
      <c r="F1278" t="s">
        <v>23</v>
      </c>
      <c r="G1278">
        <v>37</v>
      </c>
      <c r="H1278" t="s">
        <v>35</v>
      </c>
      <c r="I1278" t="str">
        <f>TRIM(excelsalesdata[[#This Row],[City]])</f>
        <v>Kolkata</v>
      </c>
      <c r="J1278" t="s">
        <v>36</v>
      </c>
      <c r="K1278" t="s">
        <v>37</v>
      </c>
      <c r="L1278" t="s">
        <v>93</v>
      </c>
      <c r="M1278" t="s">
        <v>375</v>
      </c>
      <c r="N1278" t="s">
        <v>375</v>
      </c>
      <c r="O1278">
        <v>1</v>
      </c>
      <c r="P1278">
        <v>2210</v>
      </c>
      <c r="Q1278">
        <v>0.25</v>
      </c>
      <c r="R1278">
        <v>1150</v>
      </c>
      <c r="S1278" t="s">
        <v>105</v>
      </c>
      <c r="T1278" t="s">
        <v>99</v>
      </c>
      <c r="U1278">
        <v>3</v>
      </c>
      <c r="V1278" t="s">
        <v>31</v>
      </c>
      <c r="W1278">
        <f>excelsalesdata[[#This Row],[Quantity]]*excelsalesdata[[#This Row],[Unit_Price]]</f>
        <v>2210</v>
      </c>
      <c r="X1278">
        <f>excelsalesdata[[#This Row],[Gross_sales]]*excelsalesdata[[#This Row],[Discount_%]]</f>
        <v>552.5</v>
      </c>
      <c r="Y1278">
        <f>excelsalesdata[[#This Row],[Gross_sales]]-excelsalesdata[[#This Row],[Discount_amt]]</f>
        <v>1657.5</v>
      </c>
      <c r="Z1278" s="4">
        <f>excelsalesdata[[#This Row],[Net_sales]]-excelsalesdata[[#This Row],[Cost]]</f>
        <v>507.5</v>
      </c>
      <c r="AA1278" s="5">
        <f>excelsalesdata[[#This Row],[Profit]]/excelsalesdata[[#This Row],[Net_sales]]</f>
        <v>0.30618401206636503</v>
      </c>
      <c r="AB1278" s="4">
        <f>YEAR(excelsalesdata[[#This Row],[Order_Date]])</f>
        <v>2028</v>
      </c>
      <c r="AC1278" s="4" t="str">
        <f>TEXT(excelsalesdata[[#This Row],[Order_Date]],"mmm")</f>
        <v>Oct</v>
      </c>
      <c r="AD1278" s="4" t="str">
        <f>"Q"&amp;ROUNDUP(MONTH(excelsalesdata[[#This Row],[Order_Date]])/3,0)</f>
        <v>Q4</v>
      </c>
    </row>
    <row r="1279" spans="1:30" x14ac:dyDescent="0.35">
      <c r="A1279" t="s">
        <v>2091</v>
      </c>
      <c r="B1279" s="3">
        <v>47037</v>
      </c>
      <c r="C1279" t="s">
        <v>320</v>
      </c>
      <c r="D1279" t="s">
        <v>265</v>
      </c>
      <c r="E1279" t="str">
        <f>TRIM(excelsalesdata[[#This Row],[Customer_Name]])</f>
        <v>Arjun Bhat</v>
      </c>
      <c r="F1279" t="s">
        <v>23</v>
      </c>
      <c r="G1279">
        <v>46</v>
      </c>
      <c r="H1279" t="s">
        <v>114</v>
      </c>
      <c r="I1279" t="str">
        <f>TRIM(excelsalesdata[[#This Row],[City]])</f>
        <v>Hyderabad</v>
      </c>
      <c r="J1279" t="s">
        <v>115</v>
      </c>
      <c r="K1279" t="s">
        <v>47</v>
      </c>
      <c r="L1279" t="s">
        <v>38</v>
      </c>
      <c r="M1279" t="s">
        <v>119</v>
      </c>
      <c r="N1279" t="s">
        <v>119</v>
      </c>
      <c r="O1279">
        <v>1</v>
      </c>
      <c r="P1279">
        <v>7870</v>
      </c>
      <c r="Q1279">
        <v>0</v>
      </c>
      <c r="R1279">
        <v>5480</v>
      </c>
      <c r="S1279" t="s">
        <v>29</v>
      </c>
      <c r="T1279" t="s">
        <v>30</v>
      </c>
      <c r="U1279">
        <v>3</v>
      </c>
      <c r="V1279" t="s">
        <v>31</v>
      </c>
      <c r="W1279">
        <f>excelsalesdata[[#This Row],[Quantity]]*excelsalesdata[[#This Row],[Unit_Price]]</f>
        <v>7870</v>
      </c>
      <c r="X1279">
        <f>excelsalesdata[[#This Row],[Gross_sales]]*excelsalesdata[[#This Row],[Discount_%]]</f>
        <v>0</v>
      </c>
      <c r="Y1279">
        <f>excelsalesdata[[#This Row],[Gross_sales]]-excelsalesdata[[#This Row],[Discount_amt]]</f>
        <v>7870</v>
      </c>
      <c r="Z1279" s="4">
        <f>excelsalesdata[[#This Row],[Net_sales]]-excelsalesdata[[#This Row],[Cost]]</f>
        <v>2390</v>
      </c>
      <c r="AA1279" s="5">
        <f>excelsalesdata[[#This Row],[Profit]]/excelsalesdata[[#This Row],[Net_sales]]</f>
        <v>0.30368487928843713</v>
      </c>
      <c r="AB1279" s="4">
        <f>YEAR(excelsalesdata[[#This Row],[Order_Date]])</f>
        <v>2028</v>
      </c>
      <c r="AC1279" s="4" t="str">
        <f>TEXT(excelsalesdata[[#This Row],[Order_Date]],"mmm")</f>
        <v>Oct</v>
      </c>
      <c r="AD1279" s="4" t="str">
        <f>"Q"&amp;ROUNDUP(MONTH(excelsalesdata[[#This Row],[Order_Date]])/3,0)</f>
        <v>Q4</v>
      </c>
    </row>
    <row r="1280" spans="1:30" x14ac:dyDescent="0.35">
      <c r="A1280" t="s">
        <v>2092</v>
      </c>
      <c r="B1280" s="3">
        <v>47038</v>
      </c>
      <c r="C1280" t="s">
        <v>462</v>
      </c>
      <c r="D1280" t="s">
        <v>563</v>
      </c>
      <c r="E1280" t="str">
        <f>TRIM(excelsalesdata[[#This Row],[Customer_Name]])</f>
        <v>Sneha Verma</v>
      </c>
      <c r="F1280" t="s">
        <v>44</v>
      </c>
      <c r="G1280">
        <v>43</v>
      </c>
      <c r="H1280" t="s">
        <v>155</v>
      </c>
      <c r="I1280" t="str">
        <f>TRIM(excelsalesdata[[#This Row],[City]])</f>
        <v>Chennai</v>
      </c>
      <c r="J1280" t="s">
        <v>156</v>
      </c>
      <c r="K1280" t="s">
        <v>47</v>
      </c>
      <c r="L1280" t="s">
        <v>54</v>
      </c>
      <c r="M1280" t="s">
        <v>66</v>
      </c>
      <c r="N1280" t="s">
        <v>66</v>
      </c>
      <c r="O1280">
        <v>1</v>
      </c>
      <c r="P1280">
        <v>2520</v>
      </c>
      <c r="Q1280">
        <v>0.15</v>
      </c>
      <c r="R1280">
        <v>1460</v>
      </c>
      <c r="S1280" t="s">
        <v>29</v>
      </c>
      <c r="T1280" t="s">
        <v>30</v>
      </c>
      <c r="U1280">
        <v>1</v>
      </c>
      <c r="V1280" t="s">
        <v>31</v>
      </c>
      <c r="W1280">
        <f>excelsalesdata[[#This Row],[Quantity]]*excelsalesdata[[#This Row],[Unit_Price]]</f>
        <v>2520</v>
      </c>
      <c r="X1280">
        <f>excelsalesdata[[#This Row],[Gross_sales]]*excelsalesdata[[#This Row],[Discount_%]]</f>
        <v>378</v>
      </c>
      <c r="Y1280">
        <f>excelsalesdata[[#This Row],[Gross_sales]]-excelsalesdata[[#This Row],[Discount_amt]]</f>
        <v>2142</v>
      </c>
      <c r="Z1280" s="4">
        <f>excelsalesdata[[#This Row],[Net_sales]]-excelsalesdata[[#This Row],[Cost]]</f>
        <v>682</v>
      </c>
      <c r="AA1280" s="5">
        <f>excelsalesdata[[#This Row],[Profit]]/excelsalesdata[[#This Row],[Net_sales]]</f>
        <v>0.3183940242763772</v>
      </c>
      <c r="AB1280" s="4">
        <f>YEAR(excelsalesdata[[#This Row],[Order_Date]])</f>
        <v>2028</v>
      </c>
      <c r="AC1280" s="4" t="str">
        <f>TEXT(excelsalesdata[[#This Row],[Order_Date]],"mmm")</f>
        <v>Oct</v>
      </c>
      <c r="AD1280" s="4" t="str">
        <f>"Q"&amp;ROUNDUP(MONTH(excelsalesdata[[#This Row],[Order_Date]])/3,0)</f>
        <v>Q4</v>
      </c>
    </row>
    <row r="1281" spans="1:30" x14ac:dyDescent="0.35">
      <c r="A1281" t="s">
        <v>2093</v>
      </c>
      <c r="B1281" s="3">
        <v>47039</v>
      </c>
      <c r="C1281" t="s">
        <v>942</v>
      </c>
      <c r="D1281" t="s">
        <v>147</v>
      </c>
      <c r="E1281" t="str">
        <f>TRIM(excelsalesdata[[#This Row],[Customer_Name]])</f>
        <v>Rohan Sharma</v>
      </c>
      <c r="F1281" t="s">
        <v>44</v>
      </c>
      <c r="G1281">
        <v>18</v>
      </c>
      <c r="H1281" t="s">
        <v>155</v>
      </c>
      <c r="I1281" t="str">
        <f>TRIM(excelsalesdata[[#This Row],[City]])</f>
        <v>Chennai</v>
      </c>
      <c r="J1281" t="s">
        <v>156</v>
      </c>
      <c r="K1281" t="s">
        <v>47</v>
      </c>
      <c r="L1281" t="s">
        <v>27</v>
      </c>
      <c r="M1281" t="s">
        <v>48</v>
      </c>
      <c r="N1281" t="s">
        <v>48</v>
      </c>
      <c r="O1281">
        <v>2</v>
      </c>
      <c r="P1281">
        <v>870</v>
      </c>
      <c r="Q1281">
        <v>0.05</v>
      </c>
      <c r="R1281">
        <v>450</v>
      </c>
      <c r="S1281" t="s">
        <v>67</v>
      </c>
      <c r="T1281" t="s">
        <v>30</v>
      </c>
      <c r="U1281">
        <v>1</v>
      </c>
      <c r="V1281" t="s">
        <v>40</v>
      </c>
      <c r="W1281">
        <f>excelsalesdata[[#This Row],[Quantity]]*excelsalesdata[[#This Row],[Unit_Price]]</f>
        <v>1740</v>
      </c>
      <c r="X1281">
        <f>excelsalesdata[[#This Row],[Gross_sales]]*excelsalesdata[[#This Row],[Discount_%]]</f>
        <v>87</v>
      </c>
      <c r="Y1281">
        <f>excelsalesdata[[#This Row],[Gross_sales]]-excelsalesdata[[#This Row],[Discount_amt]]</f>
        <v>1653</v>
      </c>
      <c r="Z1281" s="4">
        <f>excelsalesdata[[#This Row],[Net_sales]]-excelsalesdata[[#This Row],[Cost]]</f>
        <v>1203</v>
      </c>
      <c r="AA1281" s="5">
        <f>excelsalesdata[[#This Row],[Profit]]/excelsalesdata[[#This Row],[Net_sales]]</f>
        <v>0.72776769509981853</v>
      </c>
      <c r="AB1281" s="4">
        <f>YEAR(excelsalesdata[[#This Row],[Order_Date]])</f>
        <v>2028</v>
      </c>
      <c r="AC1281" s="4" t="str">
        <f>TEXT(excelsalesdata[[#This Row],[Order_Date]],"mmm")</f>
        <v>Oct</v>
      </c>
      <c r="AD1281" s="4" t="str">
        <f>"Q"&amp;ROUNDUP(MONTH(excelsalesdata[[#This Row],[Order_Date]])/3,0)</f>
        <v>Q4</v>
      </c>
    </row>
    <row r="1282" spans="1:30" x14ac:dyDescent="0.35">
      <c r="A1282" t="s">
        <v>2094</v>
      </c>
      <c r="B1282" s="3">
        <v>47040</v>
      </c>
      <c r="C1282" t="s">
        <v>1001</v>
      </c>
      <c r="D1282" t="s">
        <v>208</v>
      </c>
      <c r="E1282" t="str">
        <f>TRIM(excelsalesdata[[#This Row],[Customer_Name]])</f>
        <v>Aarav Singh</v>
      </c>
      <c r="F1282" t="s">
        <v>23</v>
      </c>
      <c r="G1282">
        <v>39</v>
      </c>
      <c r="H1282" t="s">
        <v>133</v>
      </c>
      <c r="I1282" t="str">
        <f>TRIM(excelsalesdata[[#This Row],[City]])</f>
        <v>Jaipur</v>
      </c>
      <c r="J1282" t="s">
        <v>134</v>
      </c>
      <c r="K1282" t="s">
        <v>61</v>
      </c>
      <c r="L1282" t="s">
        <v>38</v>
      </c>
      <c r="M1282" t="s">
        <v>255</v>
      </c>
      <c r="N1282" t="s">
        <v>255</v>
      </c>
      <c r="O1282">
        <v>2</v>
      </c>
      <c r="P1282">
        <v>4640</v>
      </c>
      <c r="Q1282">
        <v>0.25</v>
      </c>
      <c r="R1282">
        <v>2930</v>
      </c>
      <c r="S1282" t="s">
        <v>105</v>
      </c>
      <c r="T1282" t="s">
        <v>74</v>
      </c>
      <c r="U1282">
        <v>4</v>
      </c>
      <c r="V1282" t="s">
        <v>31</v>
      </c>
      <c r="W1282">
        <f>excelsalesdata[[#This Row],[Quantity]]*excelsalesdata[[#This Row],[Unit_Price]]</f>
        <v>9280</v>
      </c>
      <c r="X1282">
        <f>excelsalesdata[[#This Row],[Gross_sales]]*excelsalesdata[[#This Row],[Discount_%]]</f>
        <v>2320</v>
      </c>
      <c r="Y1282">
        <f>excelsalesdata[[#This Row],[Gross_sales]]-excelsalesdata[[#This Row],[Discount_amt]]</f>
        <v>6960</v>
      </c>
      <c r="Z1282" s="4">
        <f>excelsalesdata[[#This Row],[Net_sales]]-excelsalesdata[[#This Row],[Cost]]</f>
        <v>4030</v>
      </c>
      <c r="AA1282" s="5">
        <f>excelsalesdata[[#This Row],[Profit]]/excelsalesdata[[#This Row],[Net_sales]]</f>
        <v>0.57902298850574707</v>
      </c>
      <c r="AB1282" s="4">
        <f>YEAR(excelsalesdata[[#This Row],[Order_Date]])</f>
        <v>2028</v>
      </c>
      <c r="AC1282" s="4" t="str">
        <f>TEXT(excelsalesdata[[#This Row],[Order_Date]],"mmm")</f>
        <v>Oct</v>
      </c>
      <c r="AD1282" s="4" t="str">
        <f>"Q"&amp;ROUNDUP(MONTH(excelsalesdata[[#This Row],[Order_Date]])/3,0)</f>
        <v>Q4</v>
      </c>
    </row>
    <row r="1283" spans="1:30" x14ac:dyDescent="0.35">
      <c r="A1283" t="s">
        <v>2095</v>
      </c>
      <c r="B1283" s="3">
        <v>47041</v>
      </c>
      <c r="C1283" t="s">
        <v>1249</v>
      </c>
      <c r="D1283" t="s">
        <v>1496</v>
      </c>
      <c r="E1283" t="str">
        <f>TRIM(excelsalesdata[[#This Row],[Customer_Name]])</f>
        <v>Diya Singh</v>
      </c>
      <c r="F1283" t="s">
        <v>44</v>
      </c>
      <c r="G1283">
        <v>55</v>
      </c>
      <c r="H1283" t="s">
        <v>71</v>
      </c>
      <c r="I1283" t="str">
        <f>TRIM(excelsalesdata[[#This Row],[City]])</f>
        <v>Bhubaneswar</v>
      </c>
      <c r="J1283" t="s">
        <v>72</v>
      </c>
      <c r="K1283" t="s">
        <v>37</v>
      </c>
      <c r="L1283" t="s">
        <v>27</v>
      </c>
      <c r="M1283" t="s">
        <v>295</v>
      </c>
      <c r="N1283" t="s">
        <v>295</v>
      </c>
      <c r="O1283">
        <v>5</v>
      </c>
      <c r="P1283">
        <v>4270</v>
      </c>
      <c r="Q1283">
        <v>0.15</v>
      </c>
      <c r="R1283">
        <v>2560</v>
      </c>
      <c r="S1283" t="s">
        <v>67</v>
      </c>
      <c r="T1283" t="s">
        <v>30</v>
      </c>
      <c r="U1283">
        <v>4</v>
      </c>
      <c r="V1283" t="s">
        <v>31</v>
      </c>
      <c r="W1283">
        <f>excelsalesdata[[#This Row],[Quantity]]*excelsalesdata[[#This Row],[Unit_Price]]</f>
        <v>21350</v>
      </c>
      <c r="X1283">
        <f>excelsalesdata[[#This Row],[Gross_sales]]*excelsalesdata[[#This Row],[Discount_%]]</f>
        <v>3202.5</v>
      </c>
      <c r="Y1283">
        <f>excelsalesdata[[#This Row],[Gross_sales]]-excelsalesdata[[#This Row],[Discount_amt]]</f>
        <v>18147.5</v>
      </c>
      <c r="Z1283" s="4">
        <f>excelsalesdata[[#This Row],[Net_sales]]-excelsalesdata[[#This Row],[Cost]]</f>
        <v>15587.5</v>
      </c>
      <c r="AA1283" s="5">
        <f>excelsalesdata[[#This Row],[Profit]]/excelsalesdata[[#This Row],[Net_sales]]</f>
        <v>0.85893373742939794</v>
      </c>
      <c r="AB1283" s="4">
        <f>YEAR(excelsalesdata[[#This Row],[Order_Date]])</f>
        <v>2028</v>
      </c>
      <c r="AC1283" s="4" t="str">
        <f>TEXT(excelsalesdata[[#This Row],[Order_Date]],"mmm")</f>
        <v>Oct</v>
      </c>
      <c r="AD1283" s="4" t="str">
        <f>"Q"&amp;ROUNDUP(MONTH(excelsalesdata[[#This Row],[Order_Date]])/3,0)</f>
        <v>Q4</v>
      </c>
    </row>
    <row r="1284" spans="1:30" x14ac:dyDescent="0.35">
      <c r="A1284" t="s">
        <v>2096</v>
      </c>
      <c r="B1284" s="3">
        <v>47042</v>
      </c>
      <c r="C1284" t="s">
        <v>2053</v>
      </c>
      <c r="D1284" t="s">
        <v>605</v>
      </c>
      <c r="E1284" t="str">
        <f>TRIM(excelsalesdata[[#This Row],[Customer_Name]])</f>
        <v>Rahul Gupta</v>
      </c>
      <c r="F1284" t="s">
        <v>23</v>
      </c>
      <c r="G1284">
        <v>36</v>
      </c>
      <c r="H1284" t="s">
        <v>109</v>
      </c>
      <c r="I1284" t="str">
        <f>TRIM(excelsalesdata[[#This Row],[City]])</f>
        <v>Mysuru</v>
      </c>
      <c r="J1284" t="s">
        <v>53</v>
      </c>
      <c r="K1284" t="s">
        <v>47</v>
      </c>
      <c r="L1284" t="s">
        <v>85</v>
      </c>
      <c r="M1284" t="s">
        <v>251</v>
      </c>
      <c r="N1284" t="s">
        <v>251</v>
      </c>
      <c r="O1284">
        <v>1</v>
      </c>
      <c r="P1284">
        <v>3030</v>
      </c>
      <c r="Q1284">
        <v>0.1</v>
      </c>
      <c r="R1284">
        <v>1870</v>
      </c>
      <c r="S1284" t="s">
        <v>151</v>
      </c>
      <c r="T1284" t="s">
        <v>30</v>
      </c>
      <c r="U1284">
        <v>3</v>
      </c>
      <c r="V1284" t="s">
        <v>40</v>
      </c>
      <c r="W1284">
        <f>excelsalesdata[[#This Row],[Quantity]]*excelsalesdata[[#This Row],[Unit_Price]]</f>
        <v>3030</v>
      </c>
      <c r="X1284">
        <f>excelsalesdata[[#This Row],[Gross_sales]]*excelsalesdata[[#This Row],[Discount_%]]</f>
        <v>303</v>
      </c>
      <c r="Y1284">
        <f>excelsalesdata[[#This Row],[Gross_sales]]-excelsalesdata[[#This Row],[Discount_amt]]</f>
        <v>2727</v>
      </c>
      <c r="Z1284" s="4">
        <f>excelsalesdata[[#This Row],[Net_sales]]-excelsalesdata[[#This Row],[Cost]]</f>
        <v>857</v>
      </c>
      <c r="AA1284" s="5">
        <f>excelsalesdata[[#This Row],[Profit]]/excelsalesdata[[#This Row],[Net_sales]]</f>
        <v>0.31426475980931429</v>
      </c>
      <c r="AB1284" s="4">
        <f>YEAR(excelsalesdata[[#This Row],[Order_Date]])</f>
        <v>2028</v>
      </c>
      <c r="AC1284" s="4" t="str">
        <f>TEXT(excelsalesdata[[#This Row],[Order_Date]],"mmm")</f>
        <v>Oct</v>
      </c>
      <c r="AD1284" s="4" t="str">
        <f>"Q"&amp;ROUNDUP(MONTH(excelsalesdata[[#This Row],[Order_Date]])/3,0)</f>
        <v>Q4</v>
      </c>
    </row>
    <row r="1285" spans="1:30" x14ac:dyDescent="0.35">
      <c r="A1285" t="s">
        <v>2097</v>
      </c>
      <c r="B1285" s="3">
        <v>47043</v>
      </c>
      <c r="C1285" t="s">
        <v>1103</v>
      </c>
      <c r="D1285" t="s">
        <v>325</v>
      </c>
      <c r="E1285" t="str">
        <f>TRIM(excelsalesdata[[#This Row],[Customer_Name]])</f>
        <v>Ishita Iyer</v>
      </c>
      <c r="F1285" t="s">
        <v>44</v>
      </c>
      <c r="G1285">
        <v>30</v>
      </c>
      <c r="H1285" t="s">
        <v>109</v>
      </c>
      <c r="I1285" t="str">
        <f>TRIM(excelsalesdata[[#This Row],[City]])</f>
        <v>Mysuru</v>
      </c>
      <c r="J1285" t="s">
        <v>53</v>
      </c>
      <c r="K1285" t="s">
        <v>47</v>
      </c>
      <c r="L1285" t="s">
        <v>38</v>
      </c>
      <c r="M1285" t="s">
        <v>255</v>
      </c>
      <c r="N1285" t="s">
        <v>255</v>
      </c>
      <c r="O1285">
        <v>2</v>
      </c>
      <c r="P1285">
        <v>4410</v>
      </c>
      <c r="Q1285">
        <v>0.1</v>
      </c>
      <c r="R1285">
        <v>2810</v>
      </c>
      <c r="S1285" t="s">
        <v>105</v>
      </c>
      <c r="T1285" t="s">
        <v>30</v>
      </c>
      <c r="U1285">
        <v>1</v>
      </c>
      <c r="V1285" t="s">
        <v>31</v>
      </c>
      <c r="W1285">
        <f>excelsalesdata[[#This Row],[Quantity]]*excelsalesdata[[#This Row],[Unit_Price]]</f>
        <v>8820</v>
      </c>
      <c r="X1285">
        <f>excelsalesdata[[#This Row],[Gross_sales]]*excelsalesdata[[#This Row],[Discount_%]]</f>
        <v>882</v>
      </c>
      <c r="Y1285">
        <f>excelsalesdata[[#This Row],[Gross_sales]]-excelsalesdata[[#This Row],[Discount_amt]]</f>
        <v>7938</v>
      </c>
      <c r="Z1285" s="4">
        <f>excelsalesdata[[#This Row],[Net_sales]]-excelsalesdata[[#This Row],[Cost]]</f>
        <v>5128</v>
      </c>
      <c r="AA1285" s="5">
        <f>excelsalesdata[[#This Row],[Profit]]/excelsalesdata[[#This Row],[Net_sales]]</f>
        <v>0.64600655076845548</v>
      </c>
      <c r="AB1285" s="4">
        <f>YEAR(excelsalesdata[[#This Row],[Order_Date]])</f>
        <v>2028</v>
      </c>
      <c r="AC1285" s="4" t="str">
        <f>TEXT(excelsalesdata[[#This Row],[Order_Date]],"mmm")</f>
        <v>Oct</v>
      </c>
      <c r="AD1285" s="4" t="str">
        <f>"Q"&amp;ROUNDUP(MONTH(excelsalesdata[[#This Row],[Order_Date]])/3,0)</f>
        <v>Q4</v>
      </c>
    </row>
    <row r="1286" spans="1:30" x14ac:dyDescent="0.35">
      <c r="A1286" t="s">
        <v>2098</v>
      </c>
      <c r="B1286" s="3">
        <v>47044</v>
      </c>
      <c r="C1286" t="s">
        <v>573</v>
      </c>
      <c r="D1286" t="s">
        <v>328</v>
      </c>
      <c r="E1286" t="str">
        <f>TRIM(excelsalesdata[[#This Row],[Customer_Name]])</f>
        <v>Aarav Verma</v>
      </c>
      <c r="F1286" t="s">
        <v>44</v>
      </c>
      <c r="G1286">
        <v>41</v>
      </c>
      <c r="H1286" t="s">
        <v>45</v>
      </c>
      <c r="I1286" t="str">
        <f>TRIM(excelsalesdata[[#This Row],[City]])</f>
        <v>Kochi</v>
      </c>
      <c r="J1286" t="s">
        <v>46</v>
      </c>
      <c r="K1286" t="s">
        <v>47</v>
      </c>
      <c r="L1286" t="s">
        <v>54</v>
      </c>
      <c r="M1286" t="s">
        <v>55</v>
      </c>
      <c r="N1286" t="s">
        <v>55</v>
      </c>
      <c r="O1286">
        <v>2</v>
      </c>
      <c r="P1286">
        <v>6610</v>
      </c>
      <c r="Q1286">
        <v>0.1</v>
      </c>
      <c r="R1286">
        <v>4320</v>
      </c>
      <c r="S1286" t="s">
        <v>80</v>
      </c>
      <c r="T1286" t="s">
        <v>30</v>
      </c>
      <c r="U1286">
        <v>5</v>
      </c>
      <c r="V1286" t="s">
        <v>40</v>
      </c>
      <c r="W1286">
        <f>excelsalesdata[[#This Row],[Quantity]]*excelsalesdata[[#This Row],[Unit_Price]]</f>
        <v>13220</v>
      </c>
      <c r="X1286">
        <f>excelsalesdata[[#This Row],[Gross_sales]]*excelsalesdata[[#This Row],[Discount_%]]</f>
        <v>1322</v>
      </c>
      <c r="Y1286">
        <f>excelsalesdata[[#This Row],[Gross_sales]]-excelsalesdata[[#This Row],[Discount_amt]]</f>
        <v>11898</v>
      </c>
      <c r="Z1286" s="4">
        <f>excelsalesdata[[#This Row],[Net_sales]]-excelsalesdata[[#This Row],[Cost]]</f>
        <v>7578</v>
      </c>
      <c r="AA1286" s="5">
        <f>excelsalesdata[[#This Row],[Profit]]/excelsalesdata[[#This Row],[Net_sales]]</f>
        <v>0.63691376701966718</v>
      </c>
      <c r="AB1286" s="4">
        <f>YEAR(excelsalesdata[[#This Row],[Order_Date]])</f>
        <v>2028</v>
      </c>
      <c r="AC1286" s="4" t="str">
        <f>TEXT(excelsalesdata[[#This Row],[Order_Date]],"mmm")</f>
        <v>Oct</v>
      </c>
      <c r="AD1286" s="4" t="str">
        <f>"Q"&amp;ROUNDUP(MONTH(excelsalesdata[[#This Row],[Order_Date]])/3,0)</f>
        <v>Q4</v>
      </c>
    </row>
    <row r="1287" spans="1:30" x14ac:dyDescent="0.35">
      <c r="A1287" t="s">
        <v>2099</v>
      </c>
      <c r="B1287" s="3">
        <v>47045</v>
      </c>
      <c r="C1287" t="s">
        <v>1019</v>
      </c>
      <c r="D1287" t="s">
        <v>132</v>
      </c>
      <c r="E1287" t="str">
        <f>TRIM(excelsalesdata[[#This Row],[Customer_Name]])</f>
        <v>Vivaan Das</v>
      </c>
      <c r="F1287" t="s">
        <v>44</v>
      </c>
      <c r="G1287">
        <v>52</v>
      </c>
      <c r="H1287" t="s">
        <v>98</v>
      </c>
      <c r="I1287" t="str">
        <f>TRIM(excelsalesdata[[#This Row],[City]])</f>
        <v>Mumbai</v>
      </c>
      <c r="J1287" t="s">
        <v>25</v>
      </c>
      <c r="K1287" t="s">
        <v>26</v>
      </c>
      <c r="L1287" t="s">
        <v>27</v>
      </c>
      <c r="M1287" t="s">
        <v>123</v>
      </c>
      <c r="N1287" t="s">
        <v>123</v>
      </c>
      <c r="O1287">
        <v>2</v>
      </c>
      <c r="P1287">
        <v>2910</v>
      </c>
      <c r="Q1287">
        <v>0.2</v>
      </c>
      <c r="R1287">
        <v>1640</v>
      </c>
      <c r="S1287" t="s">
        <v>29</v>
      </c>
      <c r="T1287" t="s">
        <v>30</v>
      </c>
      <c r="U1287">
        <v>2</v>
      </c>
      <c r="V1287" t="s">
        <v>40</v>
      </c>
      <c r="W1287">
        <f>excelsalesdata[[#This Row],[Quantity]]*excelsalesdata[[#This Row],[Unit_Price]]</f>
        <v>5820</v>
      </c>
      <c r="X1287">
        <f>excelsalesdata[[#This Row],[Gross_sales]]*excelsalesdata[[#This Row],[Discount_%]]</f>
        <v>1164</v>
      </c>
      <c r="Y1287">
        <f>excelsalesdata[[#This Row],[Gross_sales]]-excelsalesdata[[#This Row],[Discount_amt]]</f>
        <v>4656</v>
      </c>
      <c r="Z1287" s="4">
        <f>excelsalesdata[[#This Row],[Net_sales]]-excelsalesdata[[#This Row],[Cost]]</f>
        <v>3016</v>
      </c>
      <c r="AA1287" s="5">
        <f>excelsalesdata[[#This Row],[Profit]]/excelsalesdata[[#This Row],[Net_sales]]</f>
        <v>0.64776632302405501</v>
      </c>
      <c r="AB1287" s="4">
        <f>YEAR(excelsalesdata[[#This Row],[Order_Date]])</f>
        <v>2028</v>
      </c>
      <c r="AC1287" s="4" t="str">
        <f>TEXT(excelsalesdata[[#This Row],[Order_Date]],"mmm")</f>
        <v>Oct</v>
      </c>
      <c r="AD1287" s="4" t="str">
        <f>"Q"&amp;ROUNDUP(MONTH(excelsalesdata[[#This Row],[Order_Date]])/3,0)</f>
        <v>Q4</v>
      </c>
    </row>
    <row r="1288" spans="1:30" x14ac:dyDescent="0.35">
      <c r="A1288" t="s">
        <v>2100</v>
      </c>
      <c r="B1288" s="3">
        <v>47046</v>
      </c>
      <c r="C1288" t="s">
        <v>1003</v>
      </c>
      <c r="D1288" t="s">
        <v>1404</v>
      </c>
      <c r="E1288" t="str">
        <f>TRIM(excelsalesdata[[#This Row],[Customer_Name]])</f>
        <v>Rohan Joshi</v>
      </c>
      <c r="F1288" t="s">
        <v>23</v>
      </c>
      <c r="G1288">
        <v>43</v>
      </c>
      <c r="H1288" t="s">
        <v>114</v>
      </c>
      <c r="I1288" t="str">
        <f>TRIM(excelsalesdata[[#This Row],[City]])</f>
        <v>Hyderabad</v>
      </c>
      <c r="J1288" t="s">
        <v>115</v>
      </c>
      <c r="K1288" t="s">
        <v>47</v>
      </c>
      <c r="L1288" t="s">
        <v>38</v>
      </c>
      <c r="M1288" t="s">
        <v>161</v>
      </c>
      <c r="N1288" t="s">
        <v>161</v>
      </c>
      <c r="O1288">
        <v>1</v>
      </c>
      <c r="P1288">
        <v>26630</v>
      </c>
      <c r="Q1288">
        <v>0.2</v>
      </c>
      <c r="R1288">
        <v>19820</v>
      </c>
      <c r="S1288" t="s">
        <v>105</v>
      </c>
      <c r="T1288" t="s">
        <v>30</v>
      </c>
      <c r="U1288">
        <v>7</v>
      </c>
      <c r="V1288" t="s">
        <v>40</v>
      </c>
      <c r="W1288">
        <f>excelsalesdata[[#This Row],[Quantity]]*excelsalesdata[[#This Row],[Unit_Price]]</f>
        <v>26630</v>
      </c>
      <c r="X1288">
        <f>excelsalesdata[[#This Row],[Gross_sales]]*excelsalesdata[[#This Row],[Discount_%]]</f>
        <v>5326</v>
      </c>
      <c r="Y1288">
        <f>excelsalesdata[[#This Row],[Gross_sales]]-excelsalesdata[[#This Row],[Discount_amt]]</f>
        <v>21304</v>
      </c>
      <c r="Z1288" s="4">
        <f>excelsalesdata[[#This Row],[Net_sales]]-excelsalesdata[[#This Row],[Cost]]</f>
        <v>1484</v>
      </c>
      <c r="AA1288" s="5">
        <f>excelsalesdata[[#This Row],[Profit]]/excelsalesdata[[#This Row],[Net_sales]]</f>
        <v>6.9658280135185879E-2</v>
      </c>
      <c r="AB1288" s="4">
        <f>YEAR(excelsalesdata[[#This Row],[Order_Date]])</f>
        <v>2028</v>
      </c>
      <c r="AC1288" s="4" t="str">
        <f>TEXT(excelsalesdata[[#This Row],[Order_Date]],"mmm")</f>
        <v>Oct</v>
      </c>
      <c r="AD1288" s="4" t="str">
        <f>"Q"&amp;ROUNDUP(MONTH(excelsalesdata[[#This Row],[Order_Date]])/3,0)</f>
        <v>Q4</v>
      </c>
    </row>
    <row r="1289" spans="1:30" x14ac:dyDescent="0.35">
      <c r="A1289" t="s">
        <v>2101</v>
      </c>
      <c r="B1289" s="3">
        <v>47047</v>
      </c>
      <c r="C1289" t="s">
        <v>579</v>
      </c>
      <c r="D1289" t="s">
        <v>1157</v>
      </c>
      <c r="E1289" t="str">
        <f>TRIM(excelsalesdata[[#This Row],[Customer_Name]])</f>
        <v>Kavya Shah</v>
      </c>
      <c r="F1289" t="s">
        <v>23</v>
      </c>
      <c r="G1289">
        <v>30</v>
      </c>
      <c r="H1289" t="s">
        <v>185</v>
      </c>
      <c r="I1289" t="str">
        <f>TRIM(excelsalesdata[[#This Row],[City]])</f>
        <v>Lucknow</v>
      </c>
      <c r="J1289" t="s">
        <v>186</v>
      </c>
      <c r="K1289" t="s">
        <v>61</v>
      </c>
      <c r="L1289" t="s">
        <v>93</v>
      </c>
      <c r="M1289" t="s">
        <v>206</v>
      </c>
      <c r="N1289" t="s">
        <v>206</v>
      </c>
      <c r="O1289">
        <v>3</v>
      </c>
      <c r="P1289">
        <v>670</v>
      </c>
      <c r="Q1289">
        <v>0.05</v>
      </c>
      <c r="R1289">
        <v>300</v>
      </c>
      <c r="S1289" t="s">
        <v>151</v>
      </c>
      <c r="T1289" t="s">
        <v>81</v>
      </c>
      <c r="U1289">
        <v>0</v>
      </c>
      <c r="V1289" t="s">
        <v>40</v>
      </c>
      <c r="W1289">
        <f>excelsalesdata[[#This Row],[Quantity]]*excelsalesdata[[#This Row],[Unit_Price]]</f>
        <v>2010</v>
      </c>
      <c r="X1289">
        <f>excelsalesdata[[#This Row],[Gross_sales]]*excelsalesdata[[#This Row],[Discount_%]]</f>
        <v>100.5</v>
      </c>
      <c r="Y1289">
        <f>excelsalesdata[[#This Row],[Gross_sales]]-excelsalesdata[[#This Row],[Discount_amt]]</f>
        <v>1909.5</v>
      </c>
      <c r="Z1289" s="4">
        <f>excelsalesdata[[#This Row],[Net_sales]]-excelsalesdata[[#This Row],[Cost]]</f>
        <v>1609.5</v>
      </c>
      <c r="AA1289" s="5">
        <f>excelsalesdata[[#This Row],[Profit]]/excelsalesdata[[#This Row],[Net_sales]]</f>
        <v>0.84289080911233305</v>
      </c>
      <c r="AB1289" s="4">
        <f>YEAR(excelsalesdata[[#This Row],[Order_Date]])</f>
        <v>2028</v>
      </c>
      <c r="AC1289" s="4" t="str">
        <f>TEXT(excelsalesdata[[#This Row],[Order_Date]],"mmm")</f>
        <v>Oct</v>
      </c>
      <c r="AD1289" s="4" t="str">
        <f>"Q"&amp;ROUNDUP(MONTH(excelsalesdata[[#This Row],[Order_Date]])/3,0)</f>
        <v>Q4</v>
      </c>
    </row>
    <row r="1290" spans="1:30" x14ac:dyDescent="0.35">
      <c r="A1290" t="s">
        <v>2102</v>
      </c>
      <c r="B1290" s="3">
        <v>47048</v>
      </c>
      <c r="C1290" t="s">
        <v>852</v>
      </c>
      <c r="D1290" t="s">
        <v>550</v>
      </c>
      <c r="E1290" t="str">
        <f>TRIM(excelsalesdata[[#This Row],[Customer_Name]])</f>
        <v>Rohan Reddy</v>
      </c>
      <c r="F1290" t="s">
        <v>44</v>
      </c>
      <c r="G1290">
        <v>52</v>
      </c>
      <c r="H1290" t="s">
        <v>109</v>
      </c>
      <c r="I1290" t="str">
        <f>TRIM(excelsalesdata[[#This Row],[City]])</f>
        <v>Mysuru</v>
      </c>
      <c r="J1290" t="s">
        <v>53</v>
      </c>
      <c r="K1290" t="s">
        <v>47</v>
      </c>
      <c r="L1290" t="s">
        <v>54</v>
      </c>
      <c r="M1290" t="s">
        <v>62</v>
      </c>
      <c r="N1290" t="s">
        <v>62</v>
      </c>
      <c r="O1290">
        <v>2</v>
      </c>
      <c r="P1290">
        <v>23360</v>
      </c>
      <c r="Q1290">
        <v>0.05</v>
      </c>
      <c r="R1290">
        <v>15420</v>
      </c>
      <c r="S1290" t="s">
        <v>29</v>
      </c>
      <c r="T1290" t="s">
        <v>30</v>
      </c>
      <c r="U1290">
        <v>3</v>
      </c>
      <c r="V1290" t="s">
        <v>31</v>
      </c>
      <c r="W1290">
        <f>excelsalesdata[[#This Row],[Quantity]]*excelsalesdata[[#This Row],[Unit_Price]]</f>
        <v>46720</v>
      </c>
      <c r="X1290">
        <f>excelsalesdata[[#This Row],[Gross_sales]]*excelsalesdata[[#This Row],[Discount_%]]</f>
        <v>2336</v>
      </c>
      <c r="Y1290">
        <f>excelsalesdata[[#This Row],[Gross_sales]]-excelsalesdata[[#This Row],[Discount_amt]]</f>
        <v>44384</v>
      </c>
      <c r="Z1290" s="4">
        <f>excelsalesdata[[#This Row],[Net_sales]]-excelsalesdata[[#This Row],[Cost]]</f>
        <v>28964</v>
      </c>
      <c r="AA1290" s="5">
        <f>excelsalesdata[[#This Row],[Profit]]/excelsalesdata[[#This Row],[Net_sales]]</f>
        <v>0.65257750540735404</v>
      </c>
      <c r="AB1290" s="4">
        <f>YEAR(excelsalesdata[[#This Row],[Order_Date]])</f>
        <v>2028</v>
      </c>
      <c r="AC1290" s="4" t="str">
        <f>TEXT(excelsalesdata[[#This Row],[Order_Date]],"mmm")</f>
        <v>Oct</v>
      </c>
      <c r="AD1290" s="4" t="str">
        <f>"Q"&amp;ROUNDUP(MONTH(excelsalesdata[[#This Row],[Order_Date]])/3,0)</f>
        <v>Q4</v>
      </c>
    </row>
    <row r="1291" spans="1:30" x14ac:dyDescent="0.35">
      <c r="A1291" t="s">
        <v>2103</v>
      </c>
      <c r="B1291" s="3">
        <v>47049</v>
      </c>
      <c r="C1291" t="s">
        <v>1818</v>
      </c>
      <c r="D1291" t="s">
        <v>325</v>
      </c>
      <c r="E1291" t="str">
        <f>TRIM(excelsalesdata[[#This Row],[Customer_Name]])</f>
        <v>Ishita Iyer</v>
      </c>
      <c r="F1291" t="s">
        <v>44</v>
      </c>
      <c r="G1291">
        <v>43</v>
      </c>
      <c r="H1291" t="s">
        <v>185</v>
      </c>
      <c r="I1291" t="str">
        <f>TRIM(excelsalesdata[[#This Row],[City]])</f>
        <v>Lucknow</v>
      </c>
      <c r="J1291" t="s">
        <v>186</v>
      </c>
      <c r="K1291" t="s">
        <v>61</v>
      </c>
      <c r="L1291" t="s">
        <v>93</v>
      </c>
      <c r="M1291" t="s">
        <v>206</v>
      </c>
      <c r="N1291" t="s">
        <v>206</v>
      </c>
      <c r="O1291">
        <v>3</v>
      </c>
      <c r="P1291">
        <v>650</v>
      </c>
      <c r="Q1291">
        <v>0.15</v>
      </c>
      <c r="R1291">
        <v>300</v>
      </c>
      <c r="S1291" t="s">
        <v>151</v>
      </c>
      <c r="T1291" t="s">
        <v>30</v>
      </c>
      <c r="U1291">
        <v>1</v>
      </c>
      <c r="V1291" t="s">
        <v>40</v>
      </c>
      <c r="W1291">
        <f>excelsalesdata[[#This Row],[Quantity]]*excelsalesdata[[#This Row],[Unit_Price]]</f>
        <v>1950</v>
      </c>
      <c r="X1291">
        <f>excelsalesdata[[#This Row],[Gross_sales]]*excelsalesdata[[#This Row],[Discount_%]]</f>
        <v>292.5</v>
      </c>
      <c r="Y1291">
        <f>excelsalesdata[[#This Row],[Gross_sales]]-excelsalesdata[[#This Row],[Discount_amt]]</f>
        <v>1657.5</v>
      </c>
      <c r="Z1291" s="4">
        <f>excelsalesdata[[#This Row],[Net_sales]]-excelsalesdata[[#This Row],[Cost]]</f>
        <v>1357.5</v>
      </c>
      <c r="AA1291" s="5">
        <f>excelsalesdata[[#This Row],[Profit]]/excelsalesdata[[#This Row],[Net_sales]]</f>
        <v>0.8190045248868778</v>
      </c>
      <c r="AB1291" s="4">
        <f>YEAR(excelsalesdata[[#This Row],[Order_Date]])</f>
        <v>2028</v>
      </c>
      <c r="AC1291" s="4" t="str">
        <f>TEXT(excelsalesdata[[#This Row],[Order_Date]],"mmm")</f>
        <v>Oct</v>
      </c>
      <c r="AD1291" s="4" t="str">
        <f>"Q"&amp;ROUNDUP(MONTH(excelsalesdata[[#This Row],[Order_Date]])/3,0)</f>
        <v>Q4</v>
      </c>
    </row>
    <row r="1292" spans="1:30" x14ac:dyDescent="0.35">
      <c r="A1292" t="s">
        <v>2104</v>
      </c>
      <c r="B1292" s="3">
        <v>47050</v>
      </c>
      <c r="C1292" t="s">
        <v>361</v>
      </c>
      <c r="D1292" t="s">
        <v>359</v>
      </c>
      <c r="E1292" t="str">
        <f>TRIM(excelsalesdata[[#This Row],[Customer_Name]])</f>
        <v>Vikram Nair</v>
      </c>
      <c r="F1292" t="s">
        <v>44</v>
      </c>
      <c r="G1292">
        <v>57</v>
      </c>
      <c r="H1292" t="s">
        <v>114</v>
      </c>
      <c r="I1292" t="str">
        <f>TRIM(excelsalesdata[[#This Row],[City]])</f>
        <v>Hyderabad</v>
      </c>
      <c r="J1292" t="s">
        <v>115</v>
      </c>
      <c r="K1292" t="s">
        <v>47</v>
      </c>
      <c r="L1292" t="s">
        <v>103</v>
      </c>
      <c r="M1292" t="s">
        <v>238</v>
      </c>
      <c r="N1292" t="s">
        <v>238</v>
      </c>
      <c r="O1292">
        <v>1</v>
      </c>
      <c r="P1292">
        <v>4030</v>
      </c>
      <c r="Q1292">
        <v>0.1</v>
      </c>
      <c r="R1292">
        <v>2700</v>
      </c>
      <c r="S1292" t="s">
        <v>151</v>
      </c>
      <c r="T1292" t="s">
        <v>30</v>
      </c>
      <c r="U1292">
        <v>2</v>
      </c>
      <c r="V1292" t="s">
        <v>40</v>
      </c>
      <c r="W1292">
        <f>excelsalesdata[[#This Row],[Quantity]]*excelsalesdata[[#This Row],[Unit_Price]]</f>
        <v>4030</v>
      </c>
      <c r="X1292">
        <f>excelsalesdata[[#This Row],[Gross_sales]]*excelsalesdata[[#This Row],[Discount_%]]</f>
        <v>403</v>
      </c>
      <c r="Y1292">
        <f>excelsalesdata[[#This Row],[Gross_sales]]-excelsalesdata[[#This Row],[Discount_amt]]</f>
        <v>3627</v>
      </c>
      <c r="Z1292" s="4">
        <f>excelsalesdata[[#This Row],[Net_sales]]-excelsalesdata[[#This Row],[Cost]]</f>
        <v>927</v>
      </c>
      <c r="AA1292" s="5">
        <f>excelsalesdata[[#This Row],[Profit]]/excelsalesdata[[#This Row],[Net_sales]]</f>
        <v>0.25558312655086851</v>
      </c>
      <c r="AB1292" s="4">
        <f>YEAR(excelsalesdata[[#This Row],[Order_Date]])</f>
        <v>2028</v>
      </c>
      <c r="AC1292" s="4" t="str">
        <f>TEXT(excelsalesdata[[#This Row],[Order_Date]],"mmm")</f>
        <v>Oct</v>
      </c>
      <c r="AD1292" s="4" t="str">
        <f>"Q"&amp;ROUNDUP(MONTH(excelsalesdata[[#This Row],[Order_Date]])/3,0)</f>
        <v>Q4</v>
      </c>
    </row>
    <row r="1293" spans="1:30" x14ac:dyDescent="0.35">
      <c r="A1293" t="s">
        <v>2105</v>
      </c>
      <c r="B1293" s="3">
        <v>47051</v>
      </c>
      <c r="C1293" t="s">
        <v>434</v>
      </c>
      <c r="D1293" t="s">
        <v>655</v>
      </c>
      <c r="E1293" t="str">
        <f>TRIM(excelsalesdata[[#This Row],[Customer_Name]])</f>
        <v>Arjun Naidu</v>
      </c>
      <c r="F1293" t="s">
        <v>44</v>
      </c>
      <c r="G1293">
        <v>37</v>
      </c>
      <c r="H1293" t="s">
        <v>71</v>
      </c>
      <c r="I1293" t="str">
        <f>TRIM(excelsalesdata[[#This Row],[City]])</f>
        <v>Bhubaneswar</v>
      </c>
      <c r="J1293" t="s">
        <v>72</v>
      </c>
      <c r="K1293" t="s">
        <v>37</v>
      </c>
      <c r="L1293" t="s">
        <v>27</v>
      </c>
      <c r="M1293" t="s">
        <v>28</v>
      </c>
      <c r="N1293" t="s">
        <v>28</v>
      </c>
      <c r="O1293">
        <v>2</v>
      </c>
      <c r="P1293">
        <v>3500</v>
      </c>
      <c r="Q1293">
        <v>0.3</v>
      </c>
      <c r="R1293">
        <v>2060</v>
      </c>
      <c r="S1293" t="s">
        <v>105</v>
      </c>
      <c r="T1293" t="s">
        <v>30</v>
      </c>
      <c r="U1293">
        <v>3</v>
      </c>
      <c r="V1293" t="s">
        <v>40</v>
      </c>
      <c r="W1293">
        <f>excelsalesdata[[#This Row],[Quantity]]*excelsalesdata[[#This Row],[Unit_Price]]</f>
        <v>7000</v>
      </c>
      <c r="X1293">
        <f>excelsalesdata[[#This Row],[Gross_sales]]*excelsalesdata[[#This Row],[Discount_%]]</f>
        <v>2100</v>
      </c>
      <c r="Y1293">
        <f>excelsalesdata[[#This Row],[Gross_sales]]-excelsalesdata[[#This Row],[Discount_amt]]</f>
        <v>4900</v>
      </c>
      <c r="Z1293" s="4">
        <f>excelsalesdata[[#This Row],[Net_sales]]-excelsalesdata[[#This Row],[Cost]]</f>
        <v>2840</v>
      </c>
      <c r="AA1293" s="5">
        <f>excelsalesdata[[#This Row],[Profit]]/excelsalesdata[[#This Row],[Net_sales]]</f>
        <v>0.57959183673469383</v>
      </c>
      <c r="AB1293" s="4">
        <f>YEAR(excelsalesdata[[#This Row],[Order_Date]])</f>
        <v>2028</v>
      </c>
      <c r="AC1293" s="4" t="str">
        <f>TEXT(excelsalesdata[[#This Row],[Order_Date]],"mmm")</f>
        <v>Oct</v>
      </c>
      <c r="AD1293" s="4" t="str">
        <f>"Q"&amp;ROUNDUP(MONTH(excelsalesdata[[#This Row],[Order_Date]])/3,0)</f>
        <v>Q4</v>
      </c>
    </row>
    <row r="1294" spans="1:30" x14ac:dyDescent="0.35">
      <c r="A1294" t="s">
        <v>2106</v>
      </c>
      <c r="B1294" s="3">
        <v>47052</v>
      </c>
      <c r="C1294" t="s">
        <v>644</v>
      </c>
      <c r="D1294" t="s">
        <v>502</v>
      </c>
      <c r="E1294" t="str">
        <f>TRIM(excelsalesdata[[#This Row],[Customer_Name]])</f>
        <v>Diya Joshi</v>
      </c>
      <c r="F1294" t="s">
        <v>44</v>
      </c>
      <c r="G1294">
        <v>40</v>
      </c>
      <c r="H1294" t="s">
        <v>168</v>
      </c>
      <c r="I1294" t="str">
        <f>TRIM(excelsalesdata[[#This Row],[City]])</f>
        <v>Delhi</v>
      </c>
      <c r="J1294" t="s">
        <v>168</v>
      </c>
      <c r="K1294" t="s">
        <v>61</v>
      </c>
      <c r="L1294" t="s">
        <v>27</v>
      </c>
      <c r="M1294" t="s">
        <v>123</v>
      </c>
      <c r="N1294" t="s">
        <v>123</v>
      </c>
      <c r="O1294">
        <v>1</v>
      </c>
      <c r="P1294">
        <v>2790</v>
      </c>
      <c r="Q1294">
        <v>0.1</v>
      </c>
      <c r="R1294">
        <v>1640</v>
      </c>
      <c r="S1294" t="s">
        <v>105</v>
      </c>
      <c r="T1294" t="s">
        <v>30</v>
      </c>
      <c r="U1294">
        <v>1</v>
      </c>
      <c r="V1294" t="s">
        <v>31</v>
      </c>
      <c r="W1294">
        <f>excelsalesdata[[#This Row],[Quantity]]*excelsalesdata[[#This Row],[Unit_Price]]</f>
        <v>2790</v>
      </c>
      <c r="X1294">
        <f>excelsalesdata[[#This Row],[Gross_sales]]*excelsalesdata[[#This Row],[Discount_%]]</f>
        <v>279</v>
      </c>
      <c r="Y1294">
        <f>excelsalesdata[[#This Row],[Gross_sales]]-excelsalesdata[[#This Row],[Discount_amt]]</f>
        <v>2511</v>
      </c>
      <c r="Z1294" s="4">
        <f>excelsalesdata[[#This Row],[Net_sales]]-excelsalesdata[[#This Row],[Cost]]</f>
        <v>871</v>
      </c>
      <c r="AA1294" s="5">
        <f>excelsalesdata[[#This Row],[Profit]]/excelsalesdata[[#This Row],[Net_sales]]</f>
        <v>0.34687375547590599</v>
      </c>
      <c r="AB1294" s="4">
        <f>YEAR(excelsalesdata[[#This Row],[Order_Date]])</f>
        <v>2028</v>
      </c>
      <c r="AC1294" s="4" t="str">
        <f>TEXT(excelsalesdata[[#This Row],[Order_Date]],"mmm")</f>
        <v>Oct</v>
      </c>
      <c r="AD1294" s="4" t="str">
        <f>"Q"&amp;ROUNDUP(MONTH(excelsalesdata[[#This Row],[Order_Date]])/3,0)</f>
        <v>Q4</v>
      </c>
    </row>
    <row r="1295" spans="1:30" x14ac:dyDescent="0.35">
      <c r="A1295" t="s">
        <v>2107</v>
      </c>
      <c r="B1295" s="3">
        <v>47053</v>
      </c>
      <c r="C1295" t="s">
        <v>895</v>
      </c>
      <c r="D1295" t="s">
        <v>2036</v>
      </c>
      <c r="E1295" t="str">
        <f>TRIM(excelsalesdata[[#This Row],[Customer_Name]])</f>
        <v>Sneha Joshi</v>
      </c>
      <c r="F1295" t="s">
        <v>23</v>
      </c>
      <c r="G1295">
        <v>23</v>
      </c>
      <c r="H1295" t="s">
        <v>45</v>
      </c>
      <c r="I1295" t="str">
        <f>TRIM(excelsalesdata[[#This Row],[City]])</f>
        <v>Kochi</v>
      </c>
      <c r="J1295" t="s">
        <v>46</v>
      </c>
      <c r="K1295" t="s">
        <v>47</v>
      </c>
      <c r="L1295" t="s">
        <v>27</v>
      </c>
      <c r="M1295" t="s">
        <v>295</v>
      </c>
      <c r="N1295" t="s">
        <v>295</v>
      </c>
      <c r="O1295">
        <v>2</v>
      </c>
      <c r="P1295">
        <v>4140</v>
      </c>
      <c r="Q1295">
        <v>0.1</v>
      </c>
      <c r="R1295">
        <v>2610</v>
      </c>
      <c r="S1295" t="s">
        <v>105</v>
      </c>
      <c r="T1295" t="s">
        <v>30</v>
      </c>
      <c r="U1295">
        <v>4</v>
      </c>
      <c r="V1295" t="s">
        <v>40</v>
      </c>
      <c r="W1295">
        <f>excelsalesdata[[#This Row],[Quantity]]*excelsalesdata[[#This Row],[Unit_Price]]</f>
        <v>8280</v>
      </c>
      <c r="X1295">
        <f>excelsalesdata[[#This Row],[Gross_sales]]*excelsalesdata[[#This Row],[Discount_%]]</f>
        <v>828</v>
      </c>
      <c r="Y1295">
        <f>excelsalesdata[[#This Row],[Gross_sales]]-excelsalesdata[[#This Row],[Discount_amt]]</f>
        <v>7452</v>
      </c>
      <c r="Z1295" s="4">
        <f>excelsalesdata[[#This Row],[Net_sales]]-excelsalesdata[[#This Row],[Cost]]</f>
        <v>4842</v>
      </c>
      <c r="AA1295" s="5">
        <f>excelsalesdata[[#This Row],[Profit]]/excelsalesdata[[#This Row],[Net_sales]]</f>
        <v>0.64975845410628019</v>
      </c>
      <c r="AB1295" s="4">
        <f>YEAR(excelsalesdata[[#This Row],[Order_Date]])</f>
        <v>2028</v>
      </c>
      <c r="AC1295" s="4" t="str">
        <f>TEXT(excelsalesdata[[#This Row],[Order_Date]],"mmm")</f>
        <v>Oct</v>
      </c>
      <c r="AD1295" s="4" t="str">
        <f>"Q"&amp;ROUNDUP(MONTH(excelsalesdata[[#This Row],[Order_Date]])/3,0)</f>
        <v>Q4</v>
      </c>
    </row>
    <row r="1296" spans="1:30" x14ac:dyDescent="0.35">
      <c r="A1296" t="s">
        <v>2108</v>
      </c>
      <c r="B1296" s="3">
        <v>47054</v>
      </c>
      <c r="C1296" t="s">
        <v>607</v>
      </c>
      <c r="D1296" t="s">
        <v>1092</v>
      </c>
      <c r="E1296" t="str">
        <f>TRIM(excelsalesdata[[#This Row],[Customer_Name]])</f>
        <v>Rahul Shah</v>
      </c>
      <c r="F1296" t="s">
        <v>23</v>
      </c>
      <c r="G1296">
        <v>22</v>
      </c>
      <c r="H1296" t="s">
        <v>78</v>
      </c>
      <c r="I1296" t="str">
        <f>TRIM(excelsalesdata[[#This Row],[City]])</f>
        <v>Guwahati</v>
      </c>
      <c r="J1296" t="s">
        <v>79</v>
      </c>
      <c r="K1296" t="s">
        <v>37</v>
      </c>
      <c r="L1296" t="s">
        <v>103</v>
      </c>
      <c r="M1296" t="s">
        <v>238</v>
      </c>
      <c r="N1296" t="s">
        <v>238</v>
      </c>
      <c r="O1296">
        <v>1</v>
      </c>
      <c r="P1296">
        <v>4390</v>
      </c>
      <c r="Q1296">
        <v>0.05</v>
      </c>
      <c r="R1296">
        <v>2760</v>
      </c>
      <c r="S1296" t="s">
        <v>105</v>
      </c>
      <c r="T1296" t="s">
        <v>30</v>
      </c>
      <c r="U1296">
        <v>6</v>
      </c>
      <c r="V1296" t="s">
        <v>40</v>
      </c>
      <c r="W1296">
        <f>excelsalesdata[[#This Row],[Quantity]]*excelsalesdata[[#This Row],[Unit_Price]]</f>
        <v>4390</v>
      </c>
      <c r="X1296">
        <f>excelsalesdata[[#This Row],[Gross_sales]]*excelsalesdata[[#This Row],[Discount_%]]</f>
        <v>219.5</v>
      </c>
      <c r="Y1296">
        <f>excelsalesdata[[#This Row],[Gross_sales]]-excelsalesdata[[#This Row],[Discount_amt]]</f>
        <v>4170.5</v>
      </c>
      <c r="Z1296" s="4">
        <f>excelsalesdata[[#This Row],[Net_sales]]-excelsalesdata[[#This Row],[Cost]]</f>
        <v>1410.5</v>
      </c>
      <c r="AA1296" s="5">
        <f>excelsalesdata[[#This Row],[Profit]]/excelsalesdata[[#This Row],[Net_sales]]</f>
        <v>0.33820884785996885</v>
      </c>
      <c r="AB1296" s="4">
        <f>YEAR(excelsalesdata[[#This Row],[Order_Date]])</f>
        <v>2028</v>
      </c>
      <c r="AC1296" s="4" t="str">
        <f>TEXT(excelsalesdata[[#This Row],[Order_Date]],"mmm")</f>
        <v>Oct</v>
      </c>
      <c r="AD1296" s="4" t="str">
        <f>"Q"&amp;ROUNDUP(MONTH(excelsalesdata[[#This Row],[Order_Date]])/3,0)</f>
        <v>Q4</v>
      </c>
    </row>
    <row r="1297" spans="1:30" x14ac:dyDescent="0.35">
      <c r="A1297" t="s">
        <v>2109</v>
      </c>
      <c r="B1297" s="3">
        <v>47055</v>
      </c>
      <c r="C1297" t="s">
        <v>58</v>
      </c>
      <c r="D1297" t="s">
        <v>1171</v>
      </c>
      <c r="E1297" t="str">
        <f>TRIM(excelsalesdata[[#This Row],[Customer_Name]])</f>
        <v>Rahul Naidu</v>
      </c>
      <c r="F1297" t="s">
        <v>44</v>
      </c>
      <c r="G1297">
        <v>18</v>
      </c>
      <c r="H1297" t="s">
        <v>114</v>
      </c>
      <c r="I1297" t="str">
        <f>TRIM(excelsalesdata[[#This Row],[City]])</f>
        <v>Hyderabad</v>
      </c>
      <c r="J1297" t="s">
        <v>115</v>
      </c>
      <c r="K1297" t="s">
        <v>47</v>
      </c>
      <c r="L1297" t="s">
        <v>54</v>
      </c>
      <c r="M1297" t="s">
        <v>129</v>
      </c>
      <c r="N1297" t="s">
        <v>129</v>
      </c>
      <c r="O1297">
        <v>2</v>
      </c>
      <c r="P1297">
        <v>18560</v>
      </c>
      <c r="Q1297">
        <v>0.05</v>
      </c>
      <c r="R1297">
        <v>12730</v>
      </c>
      <c r="S1297" t="s">
        <v>105</v>
      </c>
      <c r="T1297" t="s">
        <v>30</v>
      </c>
      <c r="U1297">
        <v>3</v>
      </c>
      <c r="V1297" t="s">
        <v>31</v>
      </c>
      <c r="W1297">
        <f>excelsalesdata[[#This Row],[Quantity]]*excelsalesdata[[#This Row],[Unit_Price]]</f>
        <v>37120</v>
      </c>
      <c r="X1297">
        <f>excelsalesdata[[#This Row],[Gross_sales]]*excelsalesdata[[#This Row],[Discount_%]]</f>
        <v>1856</v>
      </c>
      <c r="Y1297">
        <f>excelsalesdata[[#This Row],[Gross_sales]]-excelsalesdata[[#This Row],[Discount_amt]]</f>
        <v>35264</v>
      </c>
      <c r="Z1297" s="4">
        <f>excelsalesdata[[#This Row],[Net_sales]]-excelsalesdata[[#This Row],[Cost]]</f>
        <v>22534</v>
      </c>
      <c r="AA1297" s="5">
        <f>excelsalesdata[[#This Row],[Profit]]/excelsalesdata[[#This Row],[Net_sales]]</f>
        <v>0.63900862068965514</v>
      </c>
      <c r="AB1297" s="4">
        <f>YEAR(excelsalesdata[[#This Row],[Order_Date]])</f>
        <v>2028</v>
      </c>
      <c r="AC1297" s="4" t="str">
        <f>TEXT(excelsalesdata[[#This Row],[Order_Date]],"mmm")</f>
        <v>Oct</v>
      </c>
      <c r="AD1297" s="4" t="str">
        <f>"Q"&amp;ROUNDUP(MONTH(excelsalesdata[[#This Row],[Order_Date]])/3,0)</f>
        <v>Q4</v>
      </c>
    </row>
    <row r="1298" spans="1:30" x14ac:dyDescent="0.35">
      <c r="A1298" t="s">
        <v>2110</v>
      </c>
      <c r="B1298" s="3">
        <v>47056</v>
      </c>
      <c r="C1298" t="s">
        <v>2111</v>
      </c>
      <c r="D1298" t="s">
        <v>147</v>
      </c>
      <c r="E1298" t="str">
        <f>TRIM(excelsalesdata[[#This Row],[Customer_Name]])</f>
        <v>Rohan Sharma</v>
      </c>
      <c r="F1298" t="s">
        <v>23</v>
      </c>
      <c r="G1298">
        <v>56</v>
      </c>
      <c r="H1298" t="s">
        <v>155</v>
      </c>
      <c r="I1298" t="str">
        <f>TRIM(excelsalesdata[[#This Row],[City]])</f>
        <v>Chennai</v>
      </c>
      <c r="J1298" t="s">
        <v>156</v>
      </c>
      <c r="K1298" t="s">
        <v>47</v>
      </c>
      <c r="L1298" t="s">
        <v>27</v>
      </c>
      <c r="M1298" t="s">
        <v>295</v>
      </c>
      <c r="N1298" t="s">
        <v>295</v>
      </c>
      <c r="O1298">
        <v>1</v>
      </c>
      <c r="P1298">
        <v>4040</v>
      </c>
      <c r="Q1298">
        <v>0.1</v>
      </c>
      <c r="R1298">
        <v>2540</v>
      </c>
      <c r="S1298" t="s">
        <v>29</v>
      </c>
      <c r="T1298" t="s">
        <v>30</v>
      </c>
      <c r="U1298">
        <v>4</v>
      </c>
      <c r="V1298" t="s">
        <v>40</v>
      </c>
      <c r="W1298">
        <f>excelsalesdata[[#This Row],[Quantity]]*excelsalesdata[[#This Row],[Unit_Price]]</f>
        <v>4040</v>
      </c>
      <c r="X1298">
        <f>excelsalesdata[[#This Row],[Gross_sales]]*excelsalesdata[[#This Row],[Discount_%]]</f>
        <v>404</v>
      </c>
      <c r="Y1298">
        <f>excelsalesdata[[#This Row],[Gross_sales]]-excelsalesdata[[#This Row],[Discount_amt]]</f>
        <v>3636</v>
      </c>
      <c r="Z1298" s="4">
        <f>excelsalesdata[[#This Row],[Net_sales]]-excelsalesdata[[#This Row],[Cost]]</f>
        <v>1096</v>
      </c>
      <c r="AA1298" s="5">
        <f>excelsalesdata[[#This Row],[Profit]]/excelsalesdata[[#This Row],[Net_sales]]</f>
        <v>0.30143014301430143</v>
      </c>
      <c r="AB1298" s="4">
        <f>YEAR(excelsalesdata[[#This Row],[Order_Date]])</f>
        <v>2028</v>
      </c>
      <c r="AC1298" s="4" t="str">
        <f>TEXT(excelsalesdata[[#This Row],[Order_Date]],"mmm")</f>
        <v>Oct</v>
      </c>
      <c r="AD1298" s="4" t="str">
        <f>"Q"&amp;ROUNDUP(MONTH(excelsalesdata[[#This Row],[Order_Date]])/3,0)</f>
        <v>Q4</v>
      </c>
    </row>
    <row r="1299" spans="1:30" x14ac:dyDescent="0.35">
      <c r="A1299" t="s">
        <v>2112</v>
      </c>
      <c r="B1299" s="3">
        <v>47057</v>
      </c>
      <c r="C1299" t="s">
        <v>1544</v>
      </c>
      <c r="D1299" t="s">
        <v>1157</v>
      </c>
      <c r="E1299" t="str">
        <f>TRIM(excelsalesdata[[#This Row],[Customer_Name]])</f>
        <v>Kavya Shah</v>
      </c>
      <c r="F1299" t="s">
        <v>23</v>
      </c>
      <c r="G1299">
        <v>59</v>
      </c>
      <c r="H1299" t="s">
        <v>52</v>
      </c>
      <c r="I1299" t="str">
        <f>TRIM(excelsalesdata[[#This Row],[City]])</f>
        <v>Bengaluru</v>
      </c>
      <c r="J1299" t="s">
        <v>53</v>
      </c>
      <c r="K1299" t="s">
        <v>47</v>
      </c>
      <c r="L1299" t="s">
        <v>103</v>
      </c>
      <c r="M1299" t="s">
        <v>104</v>
      </c>
      <c r="N1299" t="s">
        <v>104</v>
      </c>
      <c r="O1299">
        <v>1</v>
      </c>
      <c r="P1299">
        <v>8040</v>
      </c>
      <c r="Q1299">
        <v>0</v>
      </c>
      <c r="R1299">
        <v>5730</v>
      </c>
      <c r="S1299" t="s">
        <v>29</v>
      </c>
      <c r="T1299" t="s">
        <v>30</v>
      </c>
      <c r="U1299">
        <v>5</v>
      </c>
      <c r="V1299" t="s">
        <v>31</v>
      </c>
      <c r="W1299">
        <f>excelsalesdata[[#This Row],[Quantity]]*excelsalesdata[[#This Row],[Unit_Price]]</f>
        <v>8040</v>
      </c>
      <c r="X1299">
        <f>excelsalesdata[[#This Row],[Gross_sales]]*excelsalesdata[[#This Row],[Discount_%]]</f>
        <v>0</v>
      </c>
      <c r="Y1299">
        <f>excelsalesdata[[#This Row],[Gross_sales]]-excelsalesdata[[#This Row],[Discount_amt]]</f>
        <v>8040</v>
      </c>
      <c r="Z1299" s="4">
        <f>excelsalesdata[[#This Row],[Net_sales]]-excelsalesdata[[#This Row],[Cost]]</f>
        <v>2310</v>
      </c>
      <c r="AA1299" s="5">
        <f>excelsalesdata[[#This Row],[Profit]]/excelsalesdata[[#This Row],[Net_sales]]</f>
        <v>0.28731343283582089</v>
      </c>
      <c r="AB1299" s="4">
        <f>YEAR(excelsalesdata[[#This Row],[Order_Date]])</f>
        <v>2028</v>
      </c>
      <c r="AC1299" s="4" t="str">
        <f>TEXT(excelsalesdata[[#This Row],[Order_Date]],"mmm")</f>
        <v>Oct</v>
      </c>
      <c r="AD1299" s="4" t="str">
        <f>"Q"&amp;ROUNDUP(MONTH(excelsalesdata[[#This Row],[Order_Date]])/3,0)</f>
        <v>Q4</v>
      </c>
    </row>
    <row r="1300" spans="1:30" x14ac:dyDescent="0.35">
      <c r="A1300" t="s">
        <v>2113</v>
      </c>
      <c r="B1300" s="3">
        <v>47058</v>
      </c>
      <c r="C1300" t="s">
        <v>1634</v>
      </c>
      <c r="D1300" t="s">
        <v>666</v>
      </c>
      <c r="E1300" t="str">
        <f>TRIM(excelsalesdata[[#This Row],[Customer_Name]])</f>
        <v>Arjun Mehta</v>
      </c>
      <c r="F1300" t="s">
        <v>23</v>
      </c>
      <c r="G1300">
        <v>18</v>
      </c>
      <c r="H1300" t="s">
        <v>45</v>
      </c>
      <c r="I1300" t="str">
        <f>TRIM(excelsalesdata[[#This Row],[City]])</f>
        <v>Kochi</v>
      </c>
      <c r="J1300" t="s">
        <v>46</v>
      </c>
      <c r="K1300" t="s">
        <v>47</v>
      </c>
      <c r="L1300" t="s">
        <v>54</v>
      </c>
      <c r="M1300" t="s">
        <v>62</v>
      </c>
      <c r="N1300" t="s">
        <v>62</v>
      </c>
      <c r="O1300">
        <v>4</v>
      </c>
      <c r="P1300">
        <v>21090</v>
      </c>
      <c r="Q1300">
        <v>0.15</v>
      </c>
      <c r="R1300">
        <v>15900</v>
      </c>
      <c r="S1300" t="s">
        <v>29</v>
      </c>
      <c r="T1300" t="s">
        <v>30</v>
      </c>
      <c r="U1300">
        <v>3</v>
      </c>
      <c r="V1300" t="s">
        <v>40</v>
      </c>
      <c r="W1300">
        <f>excelsalesdata[[#This Row],[Quantity]]*excelsalesdata[[#This Row],[Unit_Price]]</f>
        <v>84360</v>
      </c>
      <c r="X1300">
        <f>excelsalesdata[[#This Row],[Gross_sales]]*excelsalesdata[[#This Row],[Discount_%]]</f>
        <v>12654</v>
      </c>
      <c r="Y1300">
        <f>excelsalesdata[[#This Row],[Gross_sales]]-excelsalesdata[[#This Row],[Discount_amt]]</f>
        <v>71706</v>
      </c>
      <c r="Z1300" s="4">
        <f>excelsalesdata[[#This Row],[Net_sales]]-excelsalesdata[[#This Row],[Cost]]</f>
        <v>55806</v>
      </c>
      <c r="AA1300" s="5">
        <f>excelsalesdata[[#This Row],[Profit]]/excelsalesdata[[#This Row],[Net_sales]]</f>
        <v>0.77826123336959252</v>
      </c>
      <c r="AB1300" s="4">
        <f>YEAR(excelsalesdata[[#This Row],[Order_Date]])</f>
        <v>2028</v>
      </c>
      <c r="AC1300" s="4" t="str">
        <f>TEXT(excelsalesdata[[#This Row],[Order_Date]],"mmm")</f>
        <v>Nov</v>
      </c>
      <c r="AD1300" s="4" t="str">
        <f>"Q"&amp;ROUNDUP(MONTH(excelsalesdata[[#This Row],[Order_Date]])/3,0)</f>
        <v>Q4</v>
      </c>
    </row>
    <row r="1301" spans="1:30" x14ac:dyDescent="0.35">
      <c r="A1301" t="s">
        <v>2114</v>
      </c>
      <c r="B1301" s="3">
        <v>47059</v>
      </c>
      <c r="C1301" t="s">
        <v>573</v>
      </c>
      <c r="D1301" t="s">
        <v>474</v>
      </c>
      <c r="E1301" t="str">
        <f>TRIM(excelsalesdata[[#This Row],[Customer_Name]])</f>
        <v>Arjun Gupta</v>
      </c>
      <c r="F1301" t="s">
        <v>44</v>
      </c>
      <c r="G1301">
        <v>49</v>
      </c>
      <c r="H1301" t="s">
        <v>52</v>
      </c>
      <c r="I1301" t="str">
        <f>TRIM(excelsalesdata[[#This Row],[City]])</f>
        <v>Bengaluru</v>
      </c>
      <c r="J1301" t="s">
        <v>53</v>
      </c>
      <c r="K1301" t="s">
        <v>47</v>
      </c>
      <c r="L1301" t="s">
        <v>54</v>
      </c>
      <c r="M1301" t="s">
        <v>129</v>
      </c>
      <c r="N1301" t="s">
        <v>129</v>
      </c>
      <c r="O1301">
        <v>2</v>
      </c>
      <c r="P1301">
        <v>16670</v>
      </c>
      <c r="Q1301">
        <v>0.1</v>
      </c>
      <c r="R1301">
        <v>12060</v>
      </c>
      <c r="S1301" t="s">
        <v>80</v>
      </c>
      <c r="T1301" t="s">
        <v>30</v>
      </c>
      <c r="U1301">
        <v>3</v>
      </c>
      <c r="V1301" t="s">
        <v>40</v>
      </c>
      <c r="W1301">
        <f>excelsalesdata[[#This Row],[Quantity]]*excelsalesdata[[#This Row],[Unit_Price]]</f>
        <v>33340</v>
      </c>
      <c r="X1301">
        <f>excelsalesdata[[#This Row],[Gross_sales]]*excelsalesdata[[#This Row],[Discount_%]]</f>
        <v>3334</v>
      </c>
      <c r="Y1301">
        <f>excelsalesdata[[#This Row],[Gross_sales]]-excelsalesdata[[#This Row],[Discount_amt]]</f>
        <v>30006</v>
      </c>
      <c r="Z1301" s="4">
        <f>excelsalesdata[[#This Row],[Net_sales]]-excelsalesdata[[#This Row],[Cost]]</f>
        <v>17946</v>
      </c>
      <c r="AA1301" s="5">
        <f>excelsalesdata[[#This Row],[Profit]]/excelsalesdata[[#This Row],[Net_sales]]</f>
        <v>0.59808038392321539</v>
      </c>
      <c r="AB1301" s="4">
        <f>YEAR(excelsalesdata[[#This Row],[Order_Date]])</f>
        <v>2028</v>
      </c>
      <c r="AC1301" s="4" t="str">
        <f>TEXT(excelsalesdata[[#This Row],[Order_Date]],"mmm")</f>
        <v>Nov</v>
      </c>
      <c r="AD1301" s="4" t="str">
        <f>"Q"&amp;ROUNDUP(MONTH(excelsalesdata[[#This Row],[Order_Date]])/3,0)</f>
        <v>Q4</v>
      </c>
    </row>
    <row r="1302" spans="1:30" x14ac:dyDescent="0.35">
      <c r="A1302" t="s">
        <v>2115</v>
      </c>
      <c r="B1302" s="3">
        <v>47060</v>
      </c>
      <c r="C1302" t="s">
        <v>1431</v>
      </c>
      <c r="D1302" t="s">
        <v>591</v>
      </c>
      <c r="E1302" t="str">
        <f>TRIM(excelsalesdata[[#This Row],[Customer_Name]])</f>
        <v>Ishita Rao</v>
      </c>
      <c r="F1302" t="s">
        <v>23</v>
      </c>
      <c r="G1302">
        <v>40</v>
      </c>
      <c r="H1302" t="s">
        <v>109</v>
      </c>
      <c r="I1302" t="str">
        <f>TRIM(excelsalesdata[[#This Row],[City]])</f>
        <v>Mysuru</v>
      </c>
      <c r="J1302" t="s">
        <v>53</v>
      </c>
      <c r="K1302" t="s">
        <v>47</v>
      </c>
      <c r="L1302" t="s">
        <v>54</v>
      </c>
      <c r="M1302" t="s">
        <v>66</v>
      </c>
      <c r="N1302" t="s">
        <v>66</v>
      </c>
      <c r="O1302">
        <v>3</v>
      </c>
      <c r="P1302">
        <v>2570</v>
      </c>
      <c r="Q1302">
        <v>0.05</v>
      </c>
      <c r="R1302">
        <v>1500</v>
      </c>
      <c r="S1302" t="s">
        <v>29</v>
      </c>
      <c r="T1302" t="s">
        <v>30</v>
      </c>
      <c r="U1302">
        <v>2</v>
      </c>
      <c r="V1302" t="s">
        <v>40</v>
      </c>
      <c r="W1302">
        <f>excelsalesdata[[#This Row],[Quantity]]*excelsalesdata[[#This Row],[Unit_Price]]</f>
        <v>7710</v>
      </c>
      <c r="X1302">
        <f>excelsalesdata[[#This Row],[Gross_sales]]*excelsalesdata[[#This Row],[Discount_%]]</f>
        <v>385.5</v>
      </c>
      <c r="Y1302">
        <f>excelsalesdata[[#This Row],[Gross_sales]]-excelsalesdata[[#This Row],[Discount_amt]]</f>
        <v>7324.5</v>
      </c>
      <c r="Z1302" s="4">
        <f>excelsalesdata[[#This Row],[Net_sales]]-excelsalesdata[[#This Row],[Cost]]</f>
        <v>5824.5</v>
      </c>
      <c r="AA1302" s="5">
        <f>excelsalesdata[[#This Row],[Profit]]/excelsalesdata[[#This Row],[Net_sales]]</f>
        <v>0.79520786401802168</v>
      </c>
      <c r="AB1302" s="4">
        <f>YEAR(excelsalesdata[[#This Row],[Order_Date]])</f>
        <v>2028</v>
      </c>
      <c r="AC1302" s="4" t="str">
        <f>TEXT(excelsalesdata[[#This Row],[Order_Date]],"mmm")</f>
        <v>Nov</v>
      </c>
      <c r="AD1302" s="4" t="str">
        <f>"Q"&amp;ROUNDUP(MONTH(excelsalesdata[[#This Row],[Order_Date]])/3,0)</f>
        <v>Q4</v>
      </c>
    </row>
    <row r="1303" spans="1:30" x14ac:dyDescent="0.35">
      <c r="A1303" t="s">
        <v>2116</v>
      </c>
      <c r="B1303" s="3">
        <v>47061</v>
      </c>
      <c r="C1303" t="s">
        <v>1163</v>
      </c>
      <c r="D1303" t="s">
        <v>308</v>
      </c>
      <c r="E1303" t="str">
        <f>TRIM(excelsalesdata[[#This Row],[Customer_Name]])</f>
        <v>Vivaan Nair</v>
      </c>
      <c r="F1303" t="s">
        <v>44</v>
      </c>
      <c r="G1303">
        <v>55</v>
      </c>
      <c r="H1303" t="s">
        <v>114</v>
      </c>
      <c r="I1303" t="str">
        <f>TRIM(excelsalesdata[[#This Row],[City]])</f>
        <v>Hyderabad</v>
      </c>
      <c r="J1303" t="s">
        <v>115</v>
      </c>
      <c r="K1303" t="s">
        <v>47</v>
      </c>
      <c r="L1303" t="s">
        <v>27</v>
      </c>
      <c r="M1303" t="s">
        <v>123</v>
      </c>
      <c r="N1303" t="s">
        <v>123</v>
      </c>
      <c r="O1303">
        <v>1</v>
      </c>
      <c r="P1303">
        <v>2860</v>
      </c>
      <c r="Q1303">
        <v>0</v>
      </c>
      <c r="R1303">
        <v>1530</v>
      </c>
      <c r="S1303" t="s">
        <v>67</v>
      </c>
      <c r="T1303" t="s">
        <v>30</v>
      </c>
      <c r="U1303">
        <v>3</v>
      </c>
      <c r="V1303" t="s">
        <v>31</v>
      </c>
      <c r="W1303">
        <f>excelsalesdata[[#This Row],[Quantity]]*excelsalesdata[[#This Row],[Unit_Price]]</f>
        <v>2860</v>
      </c>
      <c r="X1303">
        <f>excelsalesdata[[#This Row],[Gross_sales]]*excelsalesdata[[#This Row],[Discount_%]]</f>
        <v>0</v>
      </c>
      <c r="Y1303">
        <f>excelsalesdata[[#This Row],[Gross_sales]]-excelsalesdata[[#This Row],[Discount_amt]]</f>
        <v>2860</v>
      </c>
      <c r="Z1303" s="4">
        <f>excelsalesdata[[#This Row],[Net_sales]]-excelsalesdata[[#This Row],[Cost]]</f>
        <v>1330</v>
      </c>
      <c r="AA1303" s="5">
        <f>excelsalesdata[[#This Row],[Profit]]/excelsalesdata[[#This Row],[Net_sales]]</f>
        <v>0.46503496503496505</v>
      </c>
      <c r="AB1303" s="4">
        <f>YEAR(excelsalesdata[[#This Row],[Order_Date]])</f>
        <v>2028</v>
      </c>
      <c r="AC1303" s="4" t="str">
        <f>TEXT(excelsalesdata[[#This Row],[Order_Date]],"mmm")</f>
        <v>Nov</v>
      </c>
      <c r="AD1303" s="4" t="str">
        <f>"Q"&amp;ROUNDUP(MONTH(excelsalesdata[[#This Row],[Order_Date]])/3,0)</f>
        <v>Q4</v>
      </c>
    </row>
    <row r="1304" spans="1:30" x14ac:dyDescent="0.35">
      <c r="A1304" t="s">
        <v>2117</v>
      </c>
      <c r="B1304" s="3">
        <v>47062</v>
      </c>
      <c r="C1304" t="s">
        <v>1314</v>
      </c>
      <c r="D1304" t="s">
        <v>507</v>
      </c>
      <c r="E1304" t="str">
        <f>TRIM(excelsalesdata[[#This Row],[Customer_Name]])</f>
        <v>Vikram Iyer</v>
      </c>
      <c r="F1304" t="s">
        <v>23</v>
      </c>
      <c r="G1304">
        <v>22</v>
      </c>
      <c r="H1304" t="s">
        <v>109</v>
      </c>
      <c r="I1304" t="str">
        <f>TRIM(excelsalesdata[[#This Row],[City]])</f>
        <v>Mysuru</v>
      </c>
      <c r="J1304" t="s">
        <v>53</v>
      </c>
      <c r="K1304" t="s">
        <v>47</v>
      </c>
      <c r="L1304" t="s">
        <v>93</v>
      </c>
      <c r="M1304" t="s">
        <v>718</v>
      </c>
      <c r="N1304" t="s">
        <v>718</v>
      </c>
      <c r="O1304">
        <v>1</v>
      </c>
      <c r="P1304">
        <v>1900</v>
      </c>
      <c r="Q1304">
        <v>0.3</v>
      </c>
      <c r="R1304">
        <v>880</v>
      </c>
      <c r="S1304" t="s">
        <v>151</v>
      </c>
      <c r="T1304" t="s">
        <v>30</v>
      </c>
      <c r="U1304">
        <v>5</v>
      </c>
      <c r="V1304" t="s">
        <v>40</v>
      </c>
      <c r="W1304">
        <f>excelsalesdata[[#This Row],[Quantity]]*excelsalesdata[[#This Row],[Unit_Price]]</f>
        <v>1900</v>
      </c>
      <c r="X1304">
        <f>excelsalesdata[[#This Row],[Gross_sales]]*excelsalesdata[[#This Row],[Discount_%]]</f>
        <v>570</v>
      </c>
      <c r="Y1304">
        <f>excelsalesdata[[#This Row],[Gross_sales]]-excelsalesdata[[#This Row],[Discount_amt]]</f>
        <v>1330</v>
      </c>
      <c r="Z1304" s="4">
        <f>excelsalesdata[[#This Row],[Net_sales]]-excelsalesdata[[#This Row],[Cost]]</f>
        <v>450</v>
      </c>
      <c r="AA1304" s="5">
        <f>excelsalesdata[[#This Row],[Profit]]/excelsalesdata[[#This Row],[Net_sales]]</f>
        <v>0.33834586466165412</v>
      </c>
      <c r="AB1304" s="4">
        <f>YEAR(excelsalesdata[[#This Row],[Order_Date]])</f>
        <v>2028</v>
      </c>
      <c r="AC1304" s="4" t="str">
        <f>TEXT(excelsalesdata[[#This Row],[Order_Date]],"mmm")</f>
        <v>Nov</v>
      </c>
      <c r="AD1304" s="4" t="str">
        <f>"Q"&amp;ROUNDUP(MONTH(excelsalesdata[[#This Row],[Order_Date]])/3,0)</f>
        <v>Q4</v>
      </c>
    </row>
    <row r="1305" spans="1:30" x14ac:dyDescent="0.35">
      <c r="A1305" t="s">
        <v>2118</v>
      </c>
      <c r="B1305" s="3">
        <v>47063</v>
      </c>
      <c r="C1305" t="s">
        <v>1864</v>
      </c>
      <c r="D1305" t="s">
        <v>988</v>
      </c>
      <c r="E1305" t="str">
        <f>TRIM(excelsalesdata[[#This Row],[Customer_Name]])</f>
        <v>Vikram Das</v>
      </c>
      <c r="F1305" t="s">
        <v>23</v>
      </c>
      <c r="G1305">
        <v>35</v>
      </c>
      <c r="H1305" t="s">
        <v>60</v>
      </c>
      <c r="I1305" t="str">
        <f>TRIM(excelsalesdata[[#This Row],[City]])</f>
        <v>Chandigarh</v>
      </c>
      <c r="J1305" t="s">
        <v>60</v>
      </c>
      <c r="K1305" t="s">
        <v>61</v>
      </c>
      <c r="L1305" t="s">
        <v>54</v>
      </c>
      <c r="M1305" t="s">
        <v>157</v>
      </c>
      <c r="N1305" t="s">
        <v>157</v>
      </c>
      <c r="O1305">
        <v>3</v>
      </c>
      <c r="P1305">
        <v>56640</v>
      </c>
      <c r="Q1305">
        <v>0.1</v>
      </c>
      <c r="R1305">
        <v>41660</v>
      </c>
      <c r="S1305" t="s">
        <v>29</v>
      </c>
      <c r="T1305" t="s">
        <v>30</v>
      </c>
      <c r="U1305">
        <v>4</v>
      </c>
      <c r="V1305" t="s">
        <v>40</v>
      </c>
      <c r="W1305">
        <f>excelsalesdata[[#This Row],[Quantity]]*excelsalesdata[[#This Row],[Unit_Price]]</f>
        <v>169920</v>
      </c>
      <c r="X1305">
        <f>excelsalesdata[[#This Row],[Gross_sales]]*excelsalesdata[[#This Row],[Discount_%]]</f>
        <v>16992</v>
      </c>
      <c r="Y1305">
        <f>excelsalesdata[[#This Row],[Gross_sales]]-excelsalesdata[[#This Row],[Discount_amt]]</f>
        <v>152928</v>
      </c>
      <c r="Z1305" s="4">
        <f>excelsalesdata[[#This Row],[Net_sales]]-excelsalesdata[[#This Row],[Cost]]</f>
        <v>111268</v>
      </c>
      <c r="AA1305" s="5">
        <f>excelsalesdata[[#This Row],[Profit]]/excelsalesdata[[#This Row],[Net_sales]]</f>
        <v>0.72758422264071987</v>
      </c>
      <c r="AB1305" s="4">
        <f>YEAR(excelsalesdata[[#This Row],[Order_Date]])</f>
        <v>2028</v>
      </c>
      <c r="AC1305" s="4" t="str">
        <f>TEXT(excelsalesdata[[#This Row],[Order_Date]],"mmm")</f>
        <v>Nov</v>
      </c>
      <c r="AD1305" s="4" t="str">
        <f>"Q"&amp;ROUNDUP(MONTH(excelsalesdata[[#This Row],[Order_Date]])/3,0)</f>
        <v>Q4</v>
      </c>
    </row>
    <row r="1306" spans="1:30" x14ac:dyDescent="0.35">
      <c r="A1306" t="s">
        <v>2119</v>
      </c>
      <c r="B1306" s="3">
        <v>47064</v>
      </c>
      <c r="C1306" t="s">
        <v>531</v>
      </c>
      <c r="D1306" t="s">
        <v>891</v>
      </c>
      <c r="E1306" t="str">
        <f>TRIM(excelsalesdata[[#This Row],[Customer_Name]])</f>
        <v>Rahul Verma</v>
      </c>
      <c r="F1306" t="s">
        <v>23</v>
      </c>
      <c r="G1306">
        <v>42</v>
      </c>
      <c r="H1306" t="s">
        <v>45</v>
      </c>
      <c r="I1306" t="str">
        <f>TRIM(excelsalesdata[[#This Row],[City]])</f>
        <v>Kochi</v>
      </c>
      <c r="J1306" t="s">
        <v>46</v>
      </c>
      <c r="K1306" t="s">
        <v>47</v>
      </c>
      <c r="L1306" t="s">
        <v>54</v>
      </c>
      <c r="M1306" t="s">
        <v>157</v>
      </c>
      <c r="N1306" t="s">
        <v>157</v>
      </c>
      <c r="O1306">
        <v>1</v>
      </c>
      <c r="P1306">
        <v>52620</v>
      </c>
      <c r="Q1306">
        <v>0.15</v>
      </c>
      <c r="R1306">
        <v>40180</v>
      </c>
      <c r="S1306" t="s">
        <v>80</v>
      </c>
      <c r="T1306" t="s">
        <v>30</v>
      </c>
      <c r="U1306">
        <v>3</v>
      </c>
      <c r="V1306" t="s">
        <v>31</v>
      </c>
      <c r="W1306">
        <f>excelsalesdata[[#This Row],[Quantity]]*excelsalesdata[[#This Row],[Unit_Price]]</f>
        <v>52620</v>
      </c>
      <c r="X1306">
        <f>excelsalesdata[[#This Row],[Gross_sales]]*excelsalesdata[[#This Row],[Discount_%]]</f>
        <v>7893</v>
      </c>
      <c r="Y1306">
        <f>excelsalesdata[[#This Row],[Gross_sales]]-excelsalesdata[[#This Row],[Discount_amt]]</f>
        <v>44727</v>
      </c>
      <c r="Z1306" s="4">
        <f>excelsalesdata[[#This Row],[Net_sales]]-excelsalesdata[[#This Row],[Cost]]</f>
        <v>4547</v>
      </c>
      <c r="AA1306" s="5">
        <f>excelsalesdata[[#This Row],[Profit]]/excelsalesdata[[#This Row],[Net_sales]]</f>
        <v>0.10166118899098978</v>
      </c>
      <c r="AB1306" s="4">
        <f>YEAR(excelsalesdata[[#This Row],[Order_Date]])</f>
        <v>2028</v>
      </c>
      <c r="AC1306" s="4" t="str">
        <f>TEXT(excelsalesdata[[#This Row],[Order_Date]],"mmm")</f>
        <v>Nov</v>
      </c>
      <c r="AD1306" s="4" t="str">
        <f>"Q"&amp;ROUNDUP(MONTH(excelsalesdata[[#This Row],[Order_Date]])/3,0)</f>
        <v>Q4</v>
      </c>
    </row>
    <row r="1307" spans="1:30" x14ac:dyDescent="0.35">
      <c r="A1307" t="s">
        <v>2120</v>
      </c>
      <c r="B1307" s="3">
        <v>47065</v>
      </c>
      <c r="C1307" t="s">
        <v>506</v>
      </c>
      <c r="D1307" t="s">
        <v>279</v>
      </c>
      <c r="E1307" t="str">
        <f>TRIM(excelsalesdata[[#This Row],[Customer_Name]])</f>
        <v>Vivaan Patel</v>
      </c>
      <c r="F1307" t="s">
        <v>44</v>
      </c>
      <c r="G1307">
        <v>33</v>
      </c>
      <c r="H1307" t="s">
        <v>35</v>
      </c>
      <c r="I1307" t="str">
        <f>TRIM(excelsalesdata[[#This Row],[City]])</f>
        <v>Kolkata</v>
      </c>
      <c r="J1307" t="s">
        <v>36</v>
      </c>
      <c r="K1307" t="s">
        <v>37</v>
      </c>
      <c r="L1307" t="s">
        <v>27</v>
      </c>
      <c r="M1307" t="s">
        <v>28</v>
      </c>
      <c r="N1307" t="s">
        <v>28</v>
      </c>
      <c r="O1307">
        <v>1</v>
      </c>
      <c r="P1307">
        <v>3420</v>
      </c>
      <c r="Q1307">
        <v>0.2</v>
      </c>
      <c r="R1307">
        <v>2140</v>
      </c>
      <c r="S1307" t="s">
        <v>29</v>
      </c>
      <c r="T1307" t="s">
        <v>30</v>
      </c>
      <c r="U1307">
        <v>6</v>
      </c>
      <c r="V1307" t="s">
        <v>40</v>
      </c>
      <c r="W1307">
        <f>excelsalesdata[[#This Row],[Quantity]]*excelsalesdata[[#This Row],[Unit_Price]]</f>
        <v>3420</v>
      </c>
      <c r="X1307">
        <f>excelsalesdata[[#This Row],[Gross_sales]]*excelsalesdata[[#This Row],[Discount_%]]</f>
        <v>684</v>
      </c>
      <c r="Y1307">
        <f>excelsalesdata[[#This Row],[Gross_sales]]-excelsalesdata[[#This Row],[Discount_amt]]</f>
        <v>2736</v>
      </c>
      <c r="Z1307" s="4">
        <f>excelsalesdata[[#This Row],[Net_sales]]-excelsalesdata[[#This Row],[Cost]]</f>
        <v>596</v>
      </c>
      <c r="AA1307" s="5">
        <f>excelsalesdata[[#This Row],[Profit]]/excelsalesdata[[#This Row],[Net_sales]]</f>
        <v>0.21783625730994152</v>
      </c>
      <c r="AB1307" s="4">
        <f>YEAR(excelsalesdata[[#This Row],[Order_Date]])</f>
        <v>2028</v>
      </c>
      <c r="AC1307" s="4" t="str">
        <f>TEXT(excelsalesdata[[#This Row],[Order_Date]],"mmm")</f>
        <v>Nov</v>
      </c>
      <c r="AD1307" s="4" t="str">
        <f>"Q"&amp;ROUNDUP(MONTH(excelsalesdata[[#This Row],[Order_Date]])/3,0)</f>
        <v>Q4</v>
      </c>
    </row>
    <row r="1308" spans="1:30" x14ac:dyDescent="0.35">
      <c r="A1308" t="s">
        <v>2121</v>
      </c>
      <c r="B1308" s="3">
        <v>47066</v>
      </c>
      <c r="C1308" t="s">
        <v>1189</v>
      </c>
      <c r="D1308" t="s">
        <v>786</v>
      </c>
      <c r="E1308" t="str">
        <f>TRIM(excelsalesdata[[#This Row],[Customer_Name]])</f>
        <v>Aarav Patel</v>
      </c>
      <c r="F1308" t="s">
        <v>23</v>
      </c>
      <c r="G1308">
        <v>20</v>
      </c>
      <c r="H1308" t="s">
        <v>109</v>
      </c>
      <c r="I1308" t="str">
        <f>TRIM(excelsalesdata[[#This Row],[City]])</f>
        <v>Mysuru</v>
      </c>
      <c r="J1308" t="s">
        <v>53</v>
      </c>
      <c r="K1308" t="s">
        <v>47</v>
      </c>
      <c r="L1308" t="s">
        <v>27</v>
      </c>
      <c r="M1308" t="s">
        <v>195</v>
      </c>
      <c r="N1308" t="s">
        <v>195</v>
      </c>
      <c r="O1308">
        <v>3</v>
      </c>
      <c r="P1308">
        <v>2350</v>
      </c>
      <c r="Q1308">
        <v>0.25</v>
      </c>
      <c r="R1308">
        <v>1140</v>
      </c>
      <c r="S1308" t="s">
        <v>67</v>
      </c>
      <c r="T1308" t="s">
        <v>30</v>
      </c>
      <c r="U1308">
        <v>3</v>
      </c>
      <c r="V1308" t="s">
        <v>40</v>
      </c>
      <c r="W1308">
        <f>excelsalesdata[[#This Row],[Quantity]]*excelsalesdata[[#This Row],[Unit_Price]]</f>
        <v>7050</v>
      </c>
      <c r="X1308">
        <f>excelsalesdata[[#This Row],[Gross_sales]]*excelsalesdata[[#This Row],[Discount_%]]</f>
        <v>1762.5</v>
      </c>
      <c r="Y1308">
        <f>excelsalesdata[[#This Row],[Gross_sales]]-excelsalesdata[[#This Row],[Discount_amt]]</f>
        <v>5287.5</v>
      </c>
      <c r="Z1308" s="4">
        <f>excelsalesdata[[#This Row],[Net_sales]]-excelsalesdata[[#This Row],[Cost]]</f>
        <v>4147.5</v>
      </c>
      <c r="AA1308" s="5">
        <f>excelsalesdata[[#This Row],[Profit]]/excelsalesdata[[#This Row],[Net_sales]]</f>
        <v>0.7843971631205674</v>
      </c>
      <c r="AB1308" s="4">
        <f>YEAR(excelsalesdata[[#This Row],[Order_Date]])</f>
        <v>2028</v>
      </c>
      <c r="AC1308" s="4" t="str">
        <f>TEXT(excelsalesdata[[#This Row],[Order_Date]],"mmm")</f>
        <v>Nov</v>
      </c>
      <c r="AD1308" s="4" t="str">
        <f>"Q"&amp;ROUNDUP(MONTH(excelsalesdata[[#This Row],[Order_Date]])/3,0)</f>
        <v>Q4</v>
      </c>
    </row>
    <row r="1309" spans="1:30" x14ac:dyDescent="0.35">
      <c r="A1309" t="s">
        <v>2122</v>
      </c>
      <c r="B1309" s="3">
        <v>47067</v>
      </c>
      <c r="C1309" t="s">
        <v>76</v>
      </c>
      <c r="D1309" t="s">
        <v>181</v>
      </c>
      <c r="E1309" t="str">
        <f>TRIM(excelsalesdata[[#This Row],[Customer_Name]])</f>
        <v>Ananya Patel</v>
      </c>
      <c r="F1309" t="s">
        <v>23</v>
      </c>
      <c r="G1309">
        <v>20</v>
      </c>
      <c r="H1309" t="s">
        <v>71</v>
      </c>
      <c r="I1309" t="str">
        <f>TRIM(excelsalesdata[[#This Row],[City]])</f>
        <v>Bhubaneswar</v>
      </c>
      <c r="J1309" t="s">
        <v>72</v>
      </c>
      <c r="K1309" t="s">
        <v>37</v>
      </c>
      <c r="L1309" t="s">
        <v>103</v>
      </c>
      <c r="M1309" t="s">
        <v>238</v>
      </c>
      <c r="N1309" t="s">
        <v>238</v>
      </c>
      <c r="O1309">
        <v>1</v>
      </c>
      <c r="P1309">
        <v>4480</v>
      </c>
      <c r="Q1309">
        <v>0</v>
      </c>
      <c r="R1309">
        <v>2730</v>
      </c>
      <c r="S1309" t="s">
        <v>105</v>
      </c>
      <c r="T1309" t="s">
        <v>30</v>
      </c>
      <c r="U1309">
        <v>4</v>
      </c>
      <c r="V1309" t="s">
        <v>40</v>
      </c>
      <c r="W1309">
        <f>excelsalesdata[[#This Row],[Quantity]]*excelsalesdata[[#This Row],[Unit_Price]]</f>
        <v>4480</v>
      </c>
      <c r="X1309">
        <f>excelsalesdata[[#This Row],[Gross_sales]]*excelsalesdata[[#This Row],[Discount_%]]</f>
        <v>0</v>
      </c>
      <c r="Y1309">
        <f>excelsalesdata[[#This Row],[Gross_sales]]-excelsalesdata[[#This Row],[Discount_amt]]</f>
        <v>4480</v>
      </c>
      <c r="Z1309" s="4">
        <f>excelsalesdata[[#This Row],[Net_sales]]-excelsalesdata[[#This Row],[Cost]]</f>
        <v>1750</v>
      </c>
      <c r="AA1309" s="5">
        <f>excelsalesdata[[#This Row],[Profit]]/excelsalesdata[[#This Row],[Net_sales]]</f>
        <v>0.390625</v>
      </c>
      <c r="AB1309" s="4">
        <f>YEAR(excelsalesdata[[#This Row],[Order_Date]])</f>
        <v>2028</v>
      </c>
      <c r="AC1309" s="4" t="str">
        <f>TEXT(excelsalesdata[[#This Row],[Order_Date]],"mmm")</f>
        <v>Nov</v>
      </c>
      <c r="AD1309" s="4" t="str">
        <f>"Q"&amp;ROUNDUP(MONTH(excelsalesdata[[#This Row],[Order_Date]])/3,0)</f>
        <v>Q4</v>
      </c>
    </row>
    <row r="1310" spans="1:30" x14ac:dyDescent="0.35">
      <c r="A1310" t="s">
        <v>2123</v>
      </c>
      <c r="B1310" s="3">
        <v>47068</v>
      </c>
      <c r="C1310" t="s">
        <v>384</v>
      </c>
      <c r="D1310" t="s">
        <v>1011</v>
      </c>
      <c r="E1310" t="str">
        <f>TRIM(excelsalesdata[[#This Row],[Customer_Name]])</f>
        <v>Vivaan Rao</v>
      </c>
      <c r="F1310" t="s">
        <v>44</v>
      </c>
      <c r="G1310">
        <v>46</v>
      </c>
      <c r="H1310" t="s">
        <v>45</v>
      </c>
      <c r="I1310" t="str">
        <f>TRIM(excelsalesdata[[#This Row],[City]])</f>
        <v>Kochi</v>
      </c>
      <c r="J1310" t="s">
        <v>46</v>
      </c>
      <c r="K1310" t="s">
        <v>47</v>
      </c>
      <c r="L1310" t="s">
        <v>27</v>
      </c>
      <c r="M1310" t="s">
        <v>123</v>
      </c>
      <c r="N1310" t="s">
        <v>123</v>
      </c>
      <c r="O1310">
        <v>4</v>
      </c>
      <c r="P1310">
        <v>2910</v>
      </c>
      <c r="Q1310">
        <v>0.1</v>
      </c>
      <c r="R1310">
        <v>1670</v>
      </c>
      <c r="S1310" t="s">
        <v>80</v>
      </c>
      <c r="T1310" t="s">
        <v>30</v>
      </c>
      <c r="U1310">
        <v>4</v>
      </c>
      <c r="V1310" t="s">
        <v>40</v>
      </c>
      <c r="W1310">
        <f>excelsalesdata[[#This Row],[Quantity]]*excelsalesdata[[#This Row],[Unit_Price]]</f>
        <v>11640</v>
      </c>
      <c r="X1310">
        <f>excelsalesdata[[#This Row],[Gross_sales]]*excelsalesdata[[#This Row],[Discount_%]]</f>
        <v>1164</v>
      </c>
      <c r="Y1310">
        <f>excelsalesdata[[#This Row],[Gross_sales]]-excelsalesdata[[#This Row],[Discount_amt]]</f>
        <v>10476</v>
      </c>
      <c r="Z1310" s="4">
        <f>excelsalesdata[[#This Row],[Net_sales]]-excelsalesdata[[#This Row],[Cost]]</f>
        <v>8806</v>
      </c>
      <c r="AA1310" s="5">
        <f>excelsalesdata[[#This Row],[Profit]]/excelsalesdata[[#This Row],[Net_sales]]</f>
        <v>0.84058801069110345</v>
      </c>
      <c r="AB1310" s="4">
        <f>YEAR(excelsalesdata[[#This Row],[Order_Date]])</f>
        <v>2028</v>
      </c>
      <c r="AC1310" s="4" t="str">
        <f>TEXT(excelsalesdata[[#This Row],[Order_Date]],"mmm")</f>
        <v>Nov</v>
      </c>
      <c r="AD1310" s="4" t="str">
        <f>"Q"&amp;ROUNDUP(MONTH(excelsalesdata[[#This Row],[Order_Date]])/3,0)</f>
        <v>Q4</v>
      </c>
    </row>
    <row r="1311" spans="1:30" x14ac:dyDescent="0.35">
      <c r="A1311" t="s">
        <v>2124</v>
      </c>
      <c r="B1311" s="3">
        <v>47069</v>
      </c>
      <c r="C1311" t="s">
        <v>999</v>
      </c>
      <c r="D1311" t="s">
        <v>122</v>
      </c>
      <c r="E1311" t="str">
        <f>TRIM(excelsalesdata[[#This Row],[Customer_Name]])</f>
        <v>Vikram Rao</v>
      </c>
      <c r="F1311" t="s">
        <v>44</v>
      </c>
      <c r="G1311">
        <v>27</v>
      </c>
      <c r="H1311" t="s">
        <v>78</v>
      </c>
      <c r="I1311" t="str">
        <f>TRIM(excelsalesdata[[#This Row],[City]])</f>
        <v>Guwahati</v>
      </c>
      <c r="J1311" t="s">
        <v>79</v>
      </c>
      <c r="K1311" t="s">
        <v>37</v>
      </c>
      <c r="L1311" t="s">
        <v>93</v>
      </c>
      <c r="M1311" t="s">
        <v>718</v>
      </c>
      <c r="N1311" t="s">
        <v>718</v>
      </c>
      <c r="O1311">
        <v>4</v>
      </c>
      <c r="P1311">
        <v>1920</v>
      </c>
      <c r="Q1311">
        <v>0.15</v>
      </c>
      <c r="R1311">
        <v>920</v>
      </c>
      <c r="S1311" t="s">
        <v>29</v>
      </c>
      <c r="T1311" t="s">
        <v>30</v>
      </c>
      <c r="U1311">
        <v>4</v>
      </c>
      <c r="V1311" t="s">
        <v>40</v>
      </c>
      <c r="W1311">
        <f>excelsalesdata[[#This Row],[Quantity]]*excelsalesdata[[#This Row],[Unit_Price]]</f>
        <v>7680</v>
      </c>
      <c r="X1311">
        <f>excelsalesdata[[#This Row],[Gross_sales]]*excelsalesdata[[#This Row],[Discount_%]]</f>
        <v>1152</v>
      </c>
      <c r="Y1311">
        <f>excelsalesdata[[#This Row],[Gross_sales]]-excelsalesdata[[#This Row],[Discount_amt]]</f>
        <v>6528</v>
      </c>
      <c r="Z1311" s="4">
        <f>excelsalesdata[[#This Row],[Net_sales]]-excelsalesdata[[#This Row],[Cost]]</f>
        <v>5608</v>
      </c>
      <c r="AA1311" s="5">
        <f>excelsalesdata[[#This Row],[Profit]]/excelsalesdata[[#This Row],[Net_sales]]</f>
        <v>0.85906862745098034</v>
      </c>
      <c r="AB1311" s="4">
        <f>YEAR(excelsalesdata[[#This Row],[Order_Date]])</f>
        <v>2028</v>
      </c>
      <c r="AC1311" s="4" t="str">
        <f>TEXT(excelsalesdata[[#This Row],[Order_Date]],"mmm")</f>
        <v>Nov</v>
      </c>
      <c r="AD1311" s="4" t="str">
        <f>"Q"&amp;ROUNDUP(MONTH(excelsalesdata[[#This Row],[Order_Date]])/3,0)</f>
        <v>Q4</v>
      </c>
    </row>
    <row r="1312" spans="1:30" x14ac:dyDescent="0.35">
      <c r="A1312" t="s">
        <v>2125</v>
      </c>
      <c r="B1312" s="3">
        <v>47070</v>
      </c>
      <c r="C1312" t="s">
        <v>1148</v>
      </c>
      <c r="D1312" t="s">
        <v>299</v>
      </c>
      <c r="E1312" t="str">
        <f>TRIM(excelsalesdata[[#This Row],[Customer_Name]])</f>
        <v>Aarav Joshi</v>
      </c>
      <c r="F1312" t="s">
        <v>23</v>
      </c>
      <c r="G1312">
        <v>36</v>
      </c>
      <c r="H1312" t="s">
        <v>133</v>
      </c>
      <c r="I1312" t="str">
        <f>TRIM(excelsalesdata[[#This Row],[City]])</f>
        <v>Jaipur</v>
      </c>
      <c r="J1312" t="s">
        <v>134</v>
      </c>
      <c r="K1312" t="s">
        <v>61</v>
      </c>
      <c r="L1312" t="s">
        <v>38</v>
      </c>
      <c r="M1312" t="s">
        <v>255</v>
      </c>
      <c r="N1312" t="s">
        <v>255</v>
      </c>
      <c r="O1312">
        <v>2</v>
      </c>
      <c r="P1312">
        <v>4700</v>
      </c>
      <c r="Q1312">
        <v>0.1</v>
      </c>
      <c r="R1312">
        <v>3040</v>
      </c>
      <c r="S1312" t="s">
        <v>80</v>
      </c>
      <c r="T1312" t="s">
        <v>30</v>
      </c>
      <c r="U1312">
        <v>5</v>
      </c>
      <c r="V1312" t="s">
        <v>40</v>
      </c>
      <c r="W1312">
        <f>excelsalesdata[[#This Row],[Quantity]]*excelsalesdata[[#This Row],[Unit_Price]]</f>
        <v>9400</v>
      </c>
      <c r="X1312">
        <f>excelsalesdata[[#This Row],[Gross_sales]]*excelsalesdata[[#This Row],[Discount_%]]</f>
        <v>940</v>
      </c>
      <c r="Y1312">
        <f>excelsalesdata[[#This Row],[Gross_sales]]-excelsalesdata[[#This Row],[Discount_amt]]</f>
        <v>8460</v>
      </c>
      <c r="Z1312" s="4">
        <f>excelsalesdata[[#This Row],[Net_sales]]-excelsalesdata[[#This Row],[Cost]]</f>
        <v>5420</v>
      </c>
      <c r="AA1312" s="5">
        <f>excelsalesdata[[#This Row],[Profit]]/excelsalesdata[[#This Row],[Net_sales]]</f>
        <v>0.640661938534279</v>
      </c>
      <c r="AB1312" s="4">
        <f>YEAR(excelsalesdata[[#This Row],[Order_Date]])</f>
        <v>2028</v>
      </c>
      <c r="AC1312" s="4" t="str">
        <f>TEXT(excelsalesdata[[#This Row],[Order_Date]],"mmm")</f>
        <v>Nov</v>
      </c>
      <c r="AD1312" s="4" t="str">
        <f>"Q"&amp;ROUNDUP(MONTH(excelsalesdata[[#This Row],[Order_Date]])/3,0)</f>
        <v>Q4</v>
      </c>
    </row>
    <row r="1313" spans="1:30" x14ac:dyDescent="0.35">
      <c r="A1313" t="s">
        <v>2126</v>
      </c>
      <c r="B1313" s="3">
        <v>47071</v>
      </c>
      <c r="C1313" t="s">
        <v>1365</v>
      </c>
      <c r="D1313" t="s">
        <v>270</v>
      </c>
      <c r="E1313" t="str">
        <f>TRIM(excelsalesdata[[#This Row],[Customer_Name]])</f>
        <v>Ananya Das</v>
      </c>
      <c r="F1313" t="s">
        <v>23</v>
      </c>
      <c r="G1313">
        <v>24</v>
      </c>
      <c r="H1313" t="s">
        <v>109</v>
      </c>
      <c r="I1313" t="str">
        <f>TRIM(excelsalesdata[[#This Row],[City]])</f>
        <v>Mysuru</v>
      </c>
      <c r="J1313" t="s">
        <v>53</v>
      </c>
      <c r="K1313" t="s">
        <v>47</v>
      </c>
      <c r="L1313" t="s">
        <v>27</v>
      </c>
      <c r="M1313" t="s">
        <v>48</v>
      </c>
      <c r="N1313" t="s">
        <v>48</v>
      </c>
      <c r="O1313">
        <v>3</v>
      </c>
      <c r="P1313">
        <v>960</v>
      </c>
      <c r="Q1313">
        <v>0.05</v>
      </c>
      <c r="R1313">
        <v>440</v>
      </c>
      <c r="S1313" t="s">
        <v>29</v>
      </c>
      <c r="T1313" t="s">
        <v>30</v>
      </c>
      <c r="U1313">
        <v>8</v>
      </c>
      <c r="V1313" t="s">
        <v>31</v>
      </c>
      <c r="W1313">
        <f>excelsalesdata[[#This Row],[Quantity]]*excelsalesdata[[#This Row],[Unit_Price]]</f>
        <v>2880</v>
      </c>
      <c r="X1313">
        <f>excelsalesdata[[#This Row],[Gross_sales]]*excelsalesdata[[#This Row],[Discount_%]]</f>
        <v>144</v>
      </c>
      <c r="Y1313">
        <f>excelsalesdata[[#This Row],[Gross_sales]]-excelsalesdata[[#This Row],[Discount_amt]]</f>
        <v>2736</v>
      </c>
      <c r="Z1313" s="4">
        <f>excelsalesdata[[#This Row],[Net_sales]]-excelsalesdata[[#This Row],[Cost]]</f>
        <v>2296</v>
      </c>
      <c r="AA1313" s="5">
        <f>excelsalesdata[[#This Row],[Profit]]/excelsalesdata[[#This Row],[Net_sales]]</f>
        <v>0.83918128654970758</v>
      </c>
      <c r="AB1313" s="4">
        <f>YEAR(excelsalesdata[[#This Row],[Order_Date]])</f>
        <v>2028</v>
      </c>
      <c r="AC1313" s="4" t="str">
        <f>TEXT(excelsalesdata[[#This Row],[Order_Date]],"mmm")</f>
        <v>Nov</v>
      </c>
      <c r="AD1313" s="4" t="str">
        <f>"Q"&amp;ROUNDUP(MONTH(excelsalesdata[[#This Row],[Order_Date]])/3,0)</f>
        <v>Q4</v>
      </c>
    </row>
    <row r="1314" spans="1:30" x14ac:dyDescent="0.35">
      <c r="A1314" t="s">
        <v>2127</v>
      </c>
      <c r="B1314" s="3">
        <v>47072</v>
      </c>
      <c r="C1314" t="s">
        <v>657</v>
      </c>
      <c r="D1314" t="s">
        <v>70</v>
      </c>
      <c r="E1314" t="str">
        <f>TRIM(excelsalesdata[[#This Row],[Customer_Name]])</f>
        <v>Priya Patel</v>
      </c>
      <c r="F1314" t="s">
        <v>23</v>
      </c>
      <c r="G1314">
        <v>41</v>
      </c>
      <c r="H1314" t="s">
        <v>114</v>
      </c>
      <c r="I1314" t="str">
        <f>TRIM(excelsalesdata[[#This Row],[City]])</f>
        <v>Hyderabad</v>
      </c>
      <c r="J1314" t="s">
        <v>115</v>
      </c>
      <c r="K1314" t="s">
        <v>47</v>
      </c>
      <c r="L1314" t="s">
        <v>93</v>
      </c>
      <c r="M1314" t="s">
        <v>375</v>
      </c>
      <c r="N1314" t="s">
        <v>375</v>
      </c>
      <c r="O1314">
        <v>4</v>
      </c>
      <c r="P1314">
        <v>2300</v>
      </c>
      <c r="Q1314">
        <v>0.15</v>
      </c>
      <c r="R1314">
        <v>1250</v>
      </c>
      <c r="S1314" t="s">
        <v>56</v>
      </c>
      <c r="T1314" t="s">
        <v>30</v>
      </c>
      <c r="U1314">
        <v>2</v>
      </c>
      <c r="V1314" t="s">
        <v>31</v>
      </c>
      <c r="W1314">
        <f>excelsalesdata[[#This Row],[Quantity]]*excelsalesdata[[#This Row],[Unit_Price]]</f>
        <v>9200</v>
      </c>
      <c r="X1314">
        <f>excelsalesdata[[#This Row],[Gross_sales]]*excelsalesdata[[#This Row],[Discount_%]]</f>
        <v>1380</v>
      </c>
      <c r="Y1314">
        <f>excelsalesdata[[#This Row],[Gross_sales]]-excelsalesdata[[#This Row],[Discount_amt]]</f>
        <v>7820</v>
      </c>
      <c r="Z1314" s="4">
        <f>excelsalesdata[[#This Row],[Net_sales]]-excelsalesdata[[#This Row],[Cost]]</f>
        <v>6570</v>
      </c>
      <c r="AA1314" s="5">
        <f>excelsalesdata[[#This Row],[Profit]]/excelsalesdata[[#This Row],[Net_sales]]</f>
        <v>0.84015345268542196</v>
      </c>
      <c r="AB1314" s="4">
        <f>YEAR(excelsalesdata[[#This Row],[Order_Date]])</f>
        <v>2028</v>
      </c>
      <c r="AC1314" s="4" t="str">
        <f>TEXT(excelsalesdata[[#This Row],[Order_Date]],"mmm")</f>
        <v>Nov</v>
      </c>
      <c r="AD1314" s="4" t="str">
        <f>"Q"&amp;ROUNDUP(MONTH(excelsalesdata[[#This Row],[Order_Date]])/3,0)</f>
        <v>Q4</v>
      </c>
    </row>
    <row r="1315" spans="1:30" x14ac:dyDescent="0.35">
      <c r="A1315" t="s">
        <v>2128</v>
      </c>
      <c r="B1315" s="3">
        <v>47073</v>
      </c>
      <c r="C1315" t="s">
        <v>1789</v>
      </c>
      <c r="D1315" t="s">
        <v>798</v>
      </c>
      <c r="E1315" t="str">
        <f>TRIM(excelsalesdata[[#This Row],[Customer_Name]])</f>
        <v>Rahul Bhat</v>
      </c>
      <c r="F1315" t="s">
        <v>44</v>
      </c>
      <c r="G1315">
        <v>27</v>
      </c>
      <c r="H1315" t="s">
        <v>109</v>
      </c>
      <c r="I1315" t="str">
        <f>TRIM(excelsalesdata[[#This Row],[City]])</f>
        <v>Mysuru</v>
      </c>
      <c r="J1315" t="s">
        <v>53</v>
      </c>
      <c r="K1315" t="s">
        <v>47</v>
      </c>
      <c r="L1315" t="s">
        <v>54</v>
      </c>
      <c r="M1315" t="s">
        <v>157</v>
      </c>
      <c r="N1315" t="s">
        <v>157</v>
      </c>
      <c r="O1315">
        <v>1</v>
      </c>
      <c r="P1315">
        <v>51530</v>
      </c>
      <c r="Q1315">
        <v>0.15</v>
      </c>
      <c r="R1315">
        <v>41250</v>
      </c>
      <c r="S1315" t="s">
        <v>29</v>
      </c>
      <c r="T1315" t="s">
        <v>30</v>
      </c>
      <c r="U1315">
        <v>4</v>
      </c>
      <c r="V1315" t="s">
        <v>40</v>
      </c>
      <c r="W1315">
        <f>excelsalesdata[[#This Row],[Quantity]]*excelsalesdata[[#This Row],[Unit_Price]]</f>
        <v>51530</v>
      </c>
      <c r="X1315">
        <f>excelsalesdata[[#This Row],[Gross_sales]]*excelsalesdata[[#This Row],[Discount_%]]</f>
        <v>7729.5</v>
      </c>
      <c r="Y1315">
        <f>excelsalesdata[[#This Row],[Gross_sales]]-excelsalesdata[[#This Row],[Discount_amt]]</f>
        <v>43800.5</v>
      </c>
      <c r="Z1315" s="4">
        <f>excelsalesdata[[#This Row],[Net_sales]]-excelsalesdata[[#This Row],[Cost]]</f>
        <v>2550.5</v>
      </c>
      <c r="AA1315" s="5">
        <f>excelsalesdata[[#This Row],[Profit]]/excelsalesdata[[#This Row],[Net_sales]]</f>
        <v>5.8229928882090387E-2</v>
      </c>
      <c r="AB1315" s="4">
        <f>YEAR(excelsalesdata[[#This Row],[Order_Date]])</f>
        <v>2028</v>
      </c>
      <c r="AC1315" s="4" t="str">
        <f>TEXT(excelsalesdata[[#This Row],[Order_Date]],"mmm")</f>
        <v>Nov</v>
      </c>
      <c r="AD1315" s="4" t="str">
        <f>"Q"&amp;ROUNDUP(MONTH(excelsalesdata[[#This Row],[Order_Date]])/3,0)</f>
        <v>Q4</v>
      </c>
    </row>
    <row r="1316" spans="1:30" x14ac:dyDescent="0.35">
      <c r="A1316" t="s">
        <v>2129</v>
      </c>
      <c r="B1316" s="3">
        <v>47074</v>
      </c>
      <c r="C1316" t="s">
        <v>88</v>
      </c>
      <c r="D1316" t="s">
        <v>328</v>
      </c>
      <c r="E1316" t="str">
        <f>TRIM(excelsalesdata[[#This Row],[Customer_Name]])</f>
        <v>Aarav Verma</v>
      </c>
      <c r="F1316" t="s">
        <v>44</v>
      </c>
      <c r="G1316">
        <v>58</v>
      </c>
      <c r="H1316" t="s">
        <v>60</v>
      </c>
      <c r="I1316" t="str">
        <f>TRIM(excelsalesdata[[#This Row],[City]])</f>
        <v>Chandigarh</v>
      </c>
      <c r="J1316" t="s">
        <v>60</v>
      </c>
      <c r="K1316" t="s">
        <v>61</v>
      </c>
      <c r="L1316" t="s">
        <v>54</v>
      </c>
      <c r="M1316" t="s">
        <v>129</v>
      </c>
      <c r="N1316" t="s">
        <v>129</v>
      </c>
      <c r="O1316">
        <v>2</v>
      </c>
      <c r="P1316">
        <v>18980</v>
      </c>
      <c r="Q1316">
        <v>0</v>
      </c>
      <c r="R1316">
        <v>12330</v>
      </c>
      <c r="S1316" t="s">
        <v>151</v>
      </c>
      <c r="T1316" t="s">
        <v>30</v>
      </c>
      <c r="U1316">
        <v>6</v>
      </c>
      <c r="V1316" t="s">
        <v>31</v>
      </c>
      <c r="W1316">
        <f>excelsalesdata[[#This Row],[Quantity]]*excelsalesdata[[#This Row],[Unit_Price]]</f>
        <v>37960</v>
      </c>
      <c r="X1316">
        <f>excelsalesdata[[#This Row],[Gross_sales]]*excelsalesdata[[#This Row],[Discount_%]]</f>
        <v>0</v>
      </c>
      <c r="Y1316">
        <f>excelsalesdata[[#This Row],[Gross_sales]]-excelsalesdata[[#This Row],[Discount_amt]]</f>
        <v>37960</v>
      </c>
      <c r="Z1316" s="4">
        <f>excelsalesdata[[#This Row],[Net_sales]]-excelsalesdata[[#This Row],[Cost]]</f>
        <v>25630</v>
      </c>
      <c r="AA1316" s="5">
        <f>excelsalesdata[[#This Row],[Profit]]/excelsalesdata[[#This Row],[Net_sales]]</f>
        <v>0.67518440463645946</v>
      </c>
      <c r="AB1316" s="4">
        <f>YEAR(excelsalesdata[[#This Row],[Order_Date]])</f>
        <v>2028</v>
      </c>
      <c r="AC1316" s="4" t="str">
        <f>TEXT(excelsalesdata[[#This Row],[Order_Date]],"mmm")</f>
        <v>Nov</v>
      </c>
      <c r="AD1316" s="4" t="str">
        <f>"Q"&amp;ROUNDUP(MONTH(excelsalesdata[[#This Row],[Order_Date]])/3,0)</f>
        <v>Q4</v>
      </c>
    </row>
    <row r="1317" spans="1:30" x14ac:dyDescent="0.35">
      <c r="A1317" t="s">
        <v>2130</v>
      </c>
      <c r="B1317" s="3">
        <v>47075</v>
      </c>
      <c r="C1317" t="s">
        <v>2131</v>
      </c>
      <c r="D1317" t="s">
        <v>879</v>
      </c>
      <c r="E1317" t="str">
        <f>TRIM(excelsalesdata[[#This Row],[Customer_Name]])</f>
        <v>Ishita Das</v>
      </c>
      <c r="F1317" t="s">
        <v>44</v>
      </c>
      <c r="G1317">
        <v>29</v>
      </c>
      <c r="H1317" t="s">
        <v>133</v>
      </c>
      <c r="I1317" t="str">
        <f>TRIM(excelsalesdata[[#This Row],[City]])</f>
        <v>Jaipur</v>
      </c>
      <c r="J1317" t="s">
        <v>134</v>
      </c>
      <c r="K1317" t="s">
        <v>61</v>
      </c>
      <c r="L1317" t="s">
        <v>54</v>
      </c>
      <c r="M1317" t="s">
        <v>55</v>
      </c>
      <c r="N1317" t="s">
        <v>55</v>
      </c>
      <c r="O1317">
        <v>2</v>
      </c>
      <c r="P1317">
        <v>7150</v>
      </c>
      <c r="Q1317">
        <v>0.1</v>
      </c>
      <c r="R1317">
        <v>4610</v>
      </c>
      <c r="S1317" t="s">
        <v>80</v>
      </c>
      <c r="T1317" t="s">
        <v>30</v>
      </c>
      <c r="U1317">
        <v>4</v>
      </c>
      <c r="V1317" t="s">
        <v>40</v>
      </c>
      <c r="W1317">
        <f>excelsalesdata[[#This Row],[Quantity]]*excelsalesdata[[#This Row],[Unit_Price]]</f>
        <v>14300</v>
      </c>
      <c r="X1317">
        <f>excelsalesdata[[#This Row],[Gross_sales]]*excelsalesdata[[#This Row],[Discount_%]]</f>
        <v>1430</v>
      </c>
      <c r="Y1317">
        <f>excelsalesdata[[#This Row],[Gross_sales]]-excelsalesdata[[#This Row],[Discount_amt]]</f>
        <v>12870</v>
      </c>
      <c r="Z1317" s="4">
        <f>excelsalesdata[[#This Row],[Net_sales]]-excelsalesdata[[#This Row],[Cost]]</f>
        <v>8260</v>
      </c>
      <c r="AA1317" s="5">
        <f>excelsalesdata[[#This Row],[Profit]]/excelsalesdata[[#This Row],[Net_sales]]</f>
        <v>0.64180264180264179</v>
      </c>
      <c r="AB1317" s="4">
        <f>YEAR(excelsalesdata[[#This Row],[Order_Date]])</f>
        <v>2028</v>
      </c>
      <c r="AC1317" s="4" t="str">
        <f>TEXT(excelsalesdata[[#This Row],[Order_Date]],"mmm")</f>
        <v>Nov</v>
      </c>
      <c r="AD1317" s="4" t="str">
        <f>"Q"&amp;ROUNDUP(MONTH(excelsalesdata[[#This Row],[Order_Date]])/3,0)</f>
        <v>Q4</v>
      </c>
    </row>
    <row r="1318" spans="1:30" x14ac:dyDescent="0.35">
      <c r="A1318" t="s">
        <v>2132</v>
      </c>
      <c r="B1318" s="3">
        <v>47076</v>
      </c>
      <c r="C1318" t="s">
        <v>639</v>
      </c>
      <c r="D1318" t="s">
        <v>342</v>
      </c>
      <c r="E1318" t="str">
        <f>TRIM(excelsalesdata[[#This Row],[Customer_Name]])</f>
        <v>Sneha Gupta</v>
      </c>
      <c r="F1318" t="s">
        <v>23</v>
      </c>
      <c r="G1318">
        <v>35</v>
      </c>
      <c r="H1318" t="s">
        <v>35</v>
      </c>
      <c r="I1318" t="str">
        <f>TRIM(excelsalesdata[[#This Row],[City]])</f>
        <v>Kolkata</v>
      </c>
      <c r="J1318" t="s">
        <v>36</v>
      </c>
      <c r="K1318" t="s">
        <v>37</v>
      </c>
      <c r="L1318" t="s">
        <v>27</v>
      </c>
      <c r="M1318" t="s">
        <v>48</v>
      </c>
      <c r="N1318" t="s">
        <v>48</v>
      </c>
      <c r="O1318">
        <v>4</v>
      </c>
      <c r="P1318">
        <v>860</v>
      </c>
      <c r="Q1318">
        <v>0.05</v>
      </c>
      <c r="R1318">
        <v>460</v>
      </c>
      <c r="S1318" t="s">
        <v>56</v>
      </c>
      <c r="T1318" t="s">
        <v>30</v>
      </c>
      <c r="U1318">
        <v>3</v>
      </c>
      <c r="V1318" t="s">
        <v>31</v>
      </c>
      <c r="W1318">
        <f>excelsalesdata[[#This Row],[Quantity]]*excelsalesdata[[#This Row],[Unit_Price]]</f>
        <v>3440</v>
      </c>
      <c r="X1318">
        <f>excelsalesdata[[#This Row],[Gross_sales]]*excelsalesdata[[#This Row],[Discount_%]]</f>
        <v>172</v>
      </c>
      <c r="Y1318">
        <f>excelsalesdata[[#This Row],[Gross_sales]]-excelsalesdata[[#This Row],[Discount_amt]]</f>
        <v>3268</v>
      </c>
      <c r="Z1318" s="4">
        <f>excelsalesdata[[#This Row],[Net_sales]]-excelsalesdata[[#This Row],[Cost]]</f>
        <v>2808</v>
      </c>
      <c r="AA1318" s="5">
        <f>excelsalesdata[[#This Row],[Profit]]/excelsalesdata[[#This Row],[Net_sales]]</f>
        <v>0.85924112607099146</v>
      </c>
      <c r="AB1318" s="4">
        <f>YEAR(excelsalesdata[[#This Row],[Order_Date]])</f>
        <v>2028</v>
      </c>
      <c r="AC1318" s="4" t="str">
        <f>TEXT(excelsalesdata[[#This Row],[Order_Date]],"mmm")</f>
        <v>Nov</v>
      </c>
      <c r="AD1318" s="4" t="str">
        <f>"Q"&amp;ROUNDUP(MONTH(excelsalesdata[[#This Row],[Order_Date]])/3,0)</f>
        <v>Q4</v>
      </c>
    </row>
    <row r="1319" spans="1:30" x14ac:dyDescent="0.35">
      <c r="A1319" t="s">
        <v>2133</v>
      </c>
      <c r="B1319" s="3">
        <v>47077</v>
      </c>
      <c r="C1319" t="s">
        <v>750</v>
      </c>
      <c r="D1319" t="s">
        <v>219</v>
      </c>
      <c r="E1319" t="str">
        <f>TRIM(excelsalesdata[[#This Row],[Customer_Name]])</f>
        <v>Rohan Patel</v>
      </c>
      <c r="F1319" t="s">
        <v>23</v>
      </c>
      <c r="G1319">
        <v>26</v>
      </c>
      <c r="H1319" t="s">
        <v>45</v>
      </c>
      <c r="I1319" t="str">
        <f>TRIM(excelsalesdata[[#This Row],[City]])</f>
        <v>Kochi</v>
      </c>
      <c r="J1319" t="s">
        <v>46</v>
      </c>
      <c r="K1319" t="s">
        <v>47</v>
      </c>
      <c r="L1319" t="s">
        <v>27</v>
      </c>
      <c r="M1319" t="s">
        <v>48</v>
      </c>
      <c r="N1319" t="s">
        <v>48</v>
      </c>
      <c r="O1319">
        <v>2</v>
      </c>
      <c r="P1319">
        <v>840</v>
      </c>
      <c r="Q1319">
        <v>0</v>
      </c>
      <c r="R1319">
        <v>470</v>
      </c>
      <c r="S1319" t="s">
        <v>29</v>
      </c>
      <c r="T1319" t="s">
        <v>30</v>
      </c>
      <c r="U1319">
        <v>2</v>
      </c>
      <c r="V1319" t="s">
        <v>31</v>
      </c>
      <c r="W1319">
        <f>excelsalesdata[[#This Row],[Quantity]]*excelsalesdata[[#This Row],[Unit_Price]]</f>
        <v>1680</v>
      </c>
      <c r="X1319">
        <f>excelsalesdata[[#This Row],[Gross_sales]]*excelsalesdata[[#This Row],[Discount_%]]</f>
        <v>0</v>
      </c>
      <c r="Y1319">
        <f>excelsalesdata[[#This Row],[Gross_sales]]-excelsalesdata[[#This Row],[Discount_amt]]</f>
        <v>1680</v>
      </c>
      <c r="Z1319" s="4">
        <f>excelsalesdata[[#This Row],[Net_sales]]-excelsalesdata[[#This Row],[Cost]]</f>
        <v>1210</v>
      </c>
      <c r="AA1319" s="5">
        <f>excelsalesdata[[#This Row],[Profit]]/excelsalesdata[[#This Row],[Net_sales]]</f>
        <v>0.72023809523809523</v>
      </c>
      <c r="AB1319" s="4">
        <f>YEAR(excelsalesdata[[#This Row],[Order_Date]])</f>
        <v>2028</v>
      </c>
      <c r="AC1319" s="4" t="str">
        <f>TEXT(excelsalesdata[[#This Row],[Order_Date]],"mmm")</f>
        <v>Nov</v>
      </c>
      <c r="AD1319" s="4" t="str">
        <f>"Q"&amp;ROUNDUP(MONTH(excelsalesdata[[#This Row],[Order_Date]])/3,0)</f>
        <v>Q4</v>
      </c>
    </row>
    <row r="1320" spans="1:30" x14ac:dyDescent="0.35">
      <c r="A1320" t="s">
        <v>2134</v>
      </c>
      <c r="B1320" s="3">
        <v>47078</v>
      </c>
      <c r="C1320" t="s">
        <v>64</v>
      </c>
      <c r="D1320" t="s">
        <v>605</v>
      </c>
      <c r="E1320" t="str">
        <f>TRIM(excelsalesdata[[#This Row],[Customer_Name]])</f>
        <v>Rahul Gupta</v>
      </c>
      <c r="F1320" t="s">
        <v>44</v>
      </c>
      <c r="G1320">
        <v>50</v>
      </c>
      <c r="H1320" t="s">
        <v>114</v>
      </c>
      <c r="I1320" t="str">
        <f>TRIM(excelsalesdata[[#This Row],[City]])</f>
        <v>Hyderabad</v>
      </c>
      <c r="J1320" t="s">
        <v>115</v>
      </c>
      <c r="K1320" t="s">
        <v>47</v>
      </c>
      <c r="L1320" t="s">
        <v>103</v>
      </c>
      <c r="M1320" t="s">
        <v>178</v>
      </c>
      <c r="N1320" t="s">
        <v>178</v>
      </c>
      <c r="O1320">
        <v>1</v>
      </c>
      <c r="P1320">
        <v>1940</v>
      </c>
      <c r="Q1320">
        <v>0.05</v>
      </c>
      <c r="R1320">
        <v>930</v>
      </c>
      <c r="S1320" t="s">
        <v>105</v>
      </c>
      <c r="T1320" t="s">
        <v>74</v>
      </c>
      <c r="U1320">
        <v>2</v>
      </c>
      <c r="V1320" t="s">
        <v>31</v>
      </c>
      <c r="W1320">
        <f>excelsalesdata[[#This Row],[Quantity]]*excelsalesdata[[#This Row],[Unit_Price]]</f>
        <v>1940</v>
      </c>
      <c r="X1320">
        <f>excelsalesdata[[#This Row],[Gross_sales]]*excelsalesdata[[#This Row],[Discount_%]]</f>
        <v>97</v>
      </c>
      <c r="Y1320">
        <f>excelsalesdata[[#This Row],[Gross_sales]]-excelsalesdata[[#This Row],[Discount_amt]]</f>
        <v>1843</v>
      </c>
      <c r="Z1320" s="4">
        <f>excelsalesdata[[#This Row],[Net_sales]]-excelsalesdata[[#This Row],[Cost]]</f>
        <v>913</v>
      </c>
      <c r="AA1320" s="5">
        <f>excelsalesdata[[#This Row],[Profit]]/excelsalesdata[[#This Row],[Net_sales]]</f>
        <v>0.49538795442213784</v>
      </c>
      <c r="AB1320" s="4">
        <f>YEAR(excelsalesdata[[#This Row],[Order_Date]])</f>
        <v>2028</v>
      </c>
      <c r="AC1320" s="4" t="str">
        <f>TEXT(excelsalesdata[[#This Row],[Order_Date]],"mmm")</f>
        <v>Nov</v>
      </c>
      <c r="AD1320" s="4" t="str">
        <f>"Q"&amp;ROUNDUP(MONTH(excelsalesdata[[#This Row],[Order_Date]])/3,0)</f>
        <v>Q4</v>
      </c>
    </row>
    <row r="1321" spans="1:30" x14ac:dyDescent="0.35">
      <c r="A1321" t="s">
        <v>2135</v>
      </c>
      <c r="B1321" s="3">
        <v>47079</v>
      </c>
      <c r="C1321" t="s">
        <v>552</v>
      </c>
      <c r="D1321" t="s">
        <v>258</v>
      </c>
      <c r="E1321" t="str">
        <f>TRIM(excelsalesdata[[#This Row],[Customer_Name]])</f>
        <v>Sneha Sharma</v>
      </c>
      <c r="F1321" t="s">
        <v>44</v>
      </c>
      <c r="G1321">
        <v>35</v>
      </c>
      <c r="H1321" t="s">
        <v>168</v>
      </c>
      <c r="I1321" t="str">
        <f>TRIM(excelsalesdata[[#This Row],[City]])</f>
        <v>Delhi</v>
      </c>
      <c r="J1321" t="s">
        <v>168</v>
      </c>
      <c r="K1321" t="s">
        <v>61</v>
      </c>
      <c r="L1321" t="s">
        <v>27</v>
      </c>
      <c r="M1321" t="s">
        <v>195</v>
      </c>
      <c r="N1321" t="s">
        <v>195</v>
      </c>
      <c r="O1321">
        <v>5</v>
      </c>
      <c r="P1321">
        <v>2250</v>
      </c>
      <c r="Q1321">
        <v>0</v>
      </c>
      <c r="R1321">
        <v>1200</v>
      </c>
      <c r="S1321" t="s">
        <v>80</v>
      </c>
      <c r="T1321" t="s">
        <v>30</v>
      </c>
      <c r="U1321">
        <v>4</v>
      </c>
      <c r="V1321" t="s">
        <v>31</v>
      </c>
      <c r="W1321">
        <f>excelsalesdata[[#This Row],[Quantity]]*excelsalesdata[[#This Row],[Unit_Price]]</f>
        <v>11250</v>
      </c>
      <c r="X1321">
        <f>excelsalesdata[[#This Row],[Gross_sales]]*excelsalesdata[[#This Row],[Discount_%]]</f>
        <v>0</v>
      </c>
      <c r="Y1321">
        <f>excelsalesdata[[#This Row],[Gross_sales]]-excelsalesdata[[#This Row],[Discount_amt]]</f>
        <v>11250</v>
      </c>
      <c r="Z1321" s="4">
        <f>excelsalesdata[[#This Row],[Net_sales]]-excelsalesdata[[#This Row],[Cost]]</f>
        <v>10050</v>
      </c>
      <c r="AA1321" s="5">
        <f>excelsalesdata[[#This Row],[Profit]]/excelsalesdata[[#This Row],[Net_sales]]</f>
        <v>0.89333333333333331</v>
      </c>
      <c r="AB1321" s="4">
        <f>YEAR(excelsalesdata[[#This Row],[Order_Date]])</f>
        <v>2028</v>
      </c>
      <c r="AC1321" s="4" t="str">
        <f>TEXT(excelsalesdata[[#This Row],[Order_Date]],"mmm")</f>
        <v>Nov</v>
      </c>
      <c r="AD1321" s="4" t="str">
        <f>"Q"&amp;ROUNDUP(MONTH(excelsalesdata[[#This Row],[Order_Date]])/3,0)</f>
        <v>Q4</v>
      </c>
    </row>
    <row r="1322" spans="1:30" x14ac:dyDescent="0.35">
      <c r="A1322" t="s">
        <v>2136</v>
      </c>
      <c r="B1322" s="3">
        <v>47080</v>
      </c>
      <c r="C1322" t="s">
        <v>180</v>
      </c>
      <c r="D1322" t="s">
        <v>1703</v>
      </c>
      <c r="E1322" t="str">
        <f>TRIM(excelsalesdata[[#This Row],[Customer_Name]])</f>
        <v>Meera Patel</v>
      </c>
      <c r="F1322" t="s">
        <v>23</v>
      </c>
      <c r="G1322">
        <v>18</v>
      </c>
      <c r="H1322" t="s">
        <v>155</v>
      </c>
      <c r="I1322" t="str">
        <f>TRIM(excelsalesdata[[#This Row],[City]])</f>
        <v>Chennai</v>
      </c>
      <c r="J1322" t="s">
        <v>156</v>
      </c>
      <c r="K1322" t="s">
        <v>47</v>
      </c>
      <c r="L1322" t="s">
        <v>27</v>
      </c>
      <c r="M1322" t="s">
        <v>295</v>
      </c>
      <c r="N1322" t="s">
        <v>295</v>
      </c>
      <c r="O1322">
        <v>2</v>
      </c>
      <c r="P1322">
        <v>4450</v>
      </c>
      <c r="Q1322">
        <v>0.05</v>
      </c>
      <c r="R1322">
        <v>2600</v>
      </c>
      <c r="S1322" t="s">
        <v>56</v>
      </c>
      <c r="T1322" t="s">
        <v>30</v>
      </c>
      <c r="U1322">
        <v>2</v>
      </c>
      <c r="V1322" t="s">
        <v>40</v>
      </c>
      <c r="W1322">
        <f>excelsalesdata[[#This Row],[Quantity]]*excelsalesdata[[#This Row],[Unit_Price]]</f>
        <v>8900</v>
      </c>
      <c r="X1322">
        <f>excelsalesdata[[#This Row],[Gross_sales]]*excelsalesdata[[#This Row],[Discount_%]]</f>
        <v>445</v>
      </c>
      <c r="Y1322">
        <f>excelsalesdata[[#This Row],[Gross_sales]]-excelsalesdata[[#This Row],[Discount_amt]]</f>
        <v>8455</v>
      </c>
      <c r="Z1322" s="4">
        <f>excelsalesdata[[#This Row],[Net_sales]]-excelsalesdata[[#This Row],[Cost]]</f>
        <v>5855</v>
      </c>
      <c r="AA1322" s="5">
        <f>excelsalesdata[[#This Row],[Profit]]/excelsalesdata[[#This Row],[Net_sales]]</f>
        <v>0.69248965109402716</v>
      </c>
      <c r="AB1322" s="4">
        <f>YEAR(excelsalesdata[[#This Row],[Order_Date]])</f>
        <v>2028</v>
      </c>
      <c r="AC1322" s="4" t="str">
        <f>TEXT(excelsalesdata[[#This Row],[Order_Date]],"mmm")</f>
        <v>Nov</v>
      </c>
      <c r="AD1322" s="4" t="str">
        <f>"Q"&amp;ROUNDUP(MONTH(excelsalesdata[[#This Row],[Order_Date]])/3,0)</f>
        <v>Q4</v>
      </c>
    </row>
    <row r="1323" spans="1:30" x14ac:dyDescent="0.35">
      <c r="A1323" t="s">
        <v>2137</v>
      </c>
      <c r="B1323" s="3">
        <v>47081</v>
      </c>
      <c r="C1323" t="s">
        <v>565</v>
      </c>
      <c r="D1323" t="s">
        <v>208</v>
      </c>
      <c r="E1323" t="str">
        <f>TRIM(excelsalesdata[[#This Row],[Customer_Name]])</f>
        <v>Aarav Singh</v>
      </c>
      <c r="F1323" t="s">
        <v>23</v>
      </c>
      <c r="G1323">
        <v>56</v>
      </c>
      <c r="H1323" t="s">
        <v>52</v>
      </c>
      <c r="I1323" t="str">
        <f>TRIM(excelsalesdata[[#This Row],[City]])</f>
        <v>Bengaluru</v>
      </c>
      <c r="J1323" t="s">
        <v>53</v>
      </c>
      <c r="K1323" t="s">
        <v>47</v>
      </c>
      <c r="L1323" t="s">
        <v>93</v>
      </c>
      <c r="M1323" t="s">
        <v>375</v>
      </c>
      <c r="N1323" t="s">
        <v>375</v>
      </c>
      <c r="O1323">
        <v>1</v>
      </c>
      <c r="P1323">
        <v>2050</v>
      </c>
      <c r="Q1323">
        <v>0</v>
      </c>
      <c r="R1323">
        <v>1250</v>
      </c>
      <c r="S1323" t="s">
        <v>151</v>
      </c>
      <c r="T1323" t="s">
        <v>30</v>
      </c>
      <c r="U1323">
        <v>10</v>
      </c>
      <c r="V1323" t="s">
        <v>31</v>
      </c>
      <c r="W1323">
        <f>excelsalesdata[[#This Row],[Quantity]]*excelsalesdata[[#This Row],[Unit_Price]]</f>
        <v>2050</v>
      </c>
      <c r="X1323">
        <f>excelsalesdata[[#This Row],[Gross_sales]]*excelsalesdata[[#This Row],[Discount_%]]</f>
        <v>0</v>
      </c>
      <c r="Y1323">
        <f>excelsalesdata[[#This Row],[Gross_sales]]-excelsalesdata[[#This Row],[Discount_amt]]</f>
        <v>2050</v>
      </c>
      <c r="Z1323" s="4">
        <f>excelsalesdata[[#This Row],[Net_sales]]-excelsalesdata[[#This Row],[Cost]]</f>
        <v>800</v>
      </c>
      <c r="AA1323" s="5">
        <f>excelsalesdata[[#This Row],[Profit]]/excelsalesdata[[#This Row],[Net_sales]]</f>
        <v>0.3902439024390244</v>
      </c>
      <c r="AB1323" s="4">
        <f>YEAR(excelsalesdata[[#This Row],[Order_Date]])</f>
        <v>2028</v>
      </c>
      <c r="AC1323" s="4" t="str">
        <f>TEXT(excelsalesdata[[#This Row],[Order_Date]],"mmm")</f>
        <v>Nov</v>
      </c>
      <c r="AD1323" s="4" t="str">
        <f>"Q"&amp;ROUNDUP(MONTH(excelsalesdata[[#This Row],[Order_Date]])/3,0)</f>
        <v>Q4</v>
      </c>
    </row>
    <row r="1324" spans="1:30" x14ac:dyDescent="0.35">
      <c r="A1324" t="s">
        <v>2138</v>
      </c>
      <c r="B1324" s="3">
        <v>47082</v>
      </c>
      <c r="C1324" t="s">
        <v>310</v>
      </c>
      <c r="D1324" t="s">
        <v>214</v>
      </c>
      <c r="E1324" t="str">
        <f>TRIM(excelsalesdata[[#This Row],[Customer_Name]])</f>
        <v>Meera Naidu</v>
      </c>
      <c r="F1324" t="s">
        <v>44</v>
      </c>
      <c r="G1324">
        <v>57</v>
      </c>
      <c r="H1324" t="s">
        <v>60</v>
      </c>
      <c r="I1324" t="str">
        <f>TRIM(excelsalesdata[[#This Row],[City]])</f>
        <v>Chandigarh</v>
      </c>
      <c r="J1324" t="s">
        <v>60</v>
      </c>
      <c r="K1324" t="s">
        <v>61</v>
      </c>
      <c r="L1324" t="s">
        <v>27</v>
      </c>
      <c r="M1324" t="s">
        <v>295</v>
      </c>
      <c r="N1324" t="s">
        <v>295</v>
      </c>
      <c r="O1324">
        <v>1</v>
      </c>
      <c r="P1324">
        <v>4380</v>
      </c>
      <c r="Q1324">
        <v>0.1</v>
      </c>
      <c r="R1324">
        <v>2720</v>
      </c>
      <c r="S1324" t="s">
        <v>151</v>
      </c>
      <c r="T1324" t="s">
        <v>30</v>
      </c>
      <c r="U1324">
        <v>6</v>
      </c>
      <c r="V1324" t="s">
        <v>31</v>
      </c>
      <c r="W1324">
        <f>excelsalesdata[[#This Row],[Quantity]]*excelsalesdata[[#This Row],[Unit_Price]]</f>
        <v>4380</v>
      </c>
      <c r="X1324">
        <f>excelsalesdata[[#This Row],[Gross_sales]]*excelsalesdata[[#This Row],[Discount_%]]</f>
        <v>438</v>
      </c>
      <c r="Y1324">
        <f>excelsalesdata[[#This Row],[Gross_sales]]-excelsalesdata[[#This Row],[Discount_amt]]</f>
        <v>3942</v>
      </c>
      <c r="Z1324" s="4">
        <f>excelsalesdata[[#This Row],[Net_sales]]-excelsalesdata[[#This Row],[Cost]]</f>
        <v>1222</v>
      </c>
      <c r="AA1324" s="5">
        <f>excelsalesdata[[#This Row],[Profit]]/excelsalesdata[[#This Row],[Net_sales]]</f>
        <v>0.30999492643328258</v>
      </c>
      <c r="AB1324" s="4">
        <f>YEAR(excelsalesdata[[#This Row],[Order_Date]])</f>
        <v>2028</v>
      </c>
      <c r="AC1324" s="4" t="str">
        <f>TEXT(excelsalesdata[[#This Row],[Order_Date]],"mmm")</f>
        <v>Nov</v>
      </c>
      <c r="AD1324" s="4" t="str">
        <f>"Q"&amp;ROUNDUP(MONTH(excelsalesdata[[#This Row],[Order_Date]])/3,0)</f>
        <v>Q4</v>
      </c>
    </row>
    <row r="1325" spans="1:30" x14ac:dyDescent="0.35">
      <c r="A1325" t="s">
        <v>2139</v>
      </c>
      <c r="B1325" s="3">
        <v>47083</v>
      </c>
      <c r="C1325" t="s">
        <v>1751</v>
      </c>
      <c r="D1325" t="s">
        <v>711</v>
      </c>
      <c r="E1325" t="str">
        <f>TRIM(excelsalesdata[[#This Row],[Customer_Name]])</f>
        <v>Rohan Naidu</v>
      </c>
      <c r="F1325" t="s">
        <v>23</v>
      </c>
      <c r="G1325">
        <v>47</v>
      </c>
      <c r="H1325" t="s">
        <v>168</v>
      </c>
      <c r="I1325" t="str">
        <f>TRIM(excelsalesdata[[#This Row],[City]])</f>
        <v>Delhi</v>
      </c>
      <c r="J1325" t="s">
        <v>168</v>
      </c>
      <c r="K1325" t="s">
        <v>61</v>
      </c>
      <c r="L1325" t="s">
        <v>38</v>
      </c>
      <c r="M1325" t="s">
        <v>161</v>
      </c>
      <c r="N1325" t="s">
        <v>161</v>
      </c>
      <c r="O1325">
        <v>1</v>
      </c>
      <c r="P1325">
        <v>29230</v>
      </c>
      <c r="Q1325">
        <v>0.2</v>
      </c>
      <c r="R1325">
        <v>20010</v>
      </c>
      <c r="S1325" t="s">
        <v>29</v>
      </c>
      <c r="T1325" t="s">
        <v>30</v>
      </c>
      <c r="U1325">
        <v>5</v>
      </c>
      <c r="V1325" t="s">
        <v>40</v>
      </c>
      <c r="W1325">
        <f>excelsalesdata[[#This Row],[Quantity]]*excelsalesdata[[#This Row],[Unit_Price]]</f>
        <v>29230</v>
      </c>
      <c r="X1325">
        <f>excelsalesdata[[#This Row],[Gross_sales]]*excelsalesdata[[#This Row],[Discount_%]]</f>
        <v>5846</v>
      </c>
      <c r="Y1325">
        <f>excelsalesdata[[#This Row],[Gross_sales]]-excelsalesdata[[#This Row],[Discount_amt]]</f>
        <v>23384</v>
      </c>
      <c r="Z1325" s="4">
        <f>excelsalesdata[[#This Row],[Net_sales]]-excelsalesdata[[#This Row],[Cost]]</f>
        <v>3374</v>
      </c>
      <c r="AA1325" s="5">
        <f>excelsalesdata[[#This Row],[Profit]]/excelsalesdata[[#This Row],[Net_sales]]</f>
        <v>0.14428669175504619</v>
      </c>
      <c r="AB1325" s="4">
        <f>YEAR(excelsalesdata[[#This Row],[Order_Date]])</f>
        <v>2028</v>
      </c>
      <c r="AC1325" s="4" t="str">
        <f>TEXT(excelsalesdata[[#This Row],[Order_Date]],"mmm")</f>
        <v>Nov</v>
      </c>
      <c r="AD1325" s="4" t="str">
        <f>"Q"&amp;ROUNDUP(MONTH(excelsalesdata[[#This Row],[Order_Date]])/3,0)</f>
        <v>Q4</v>
      </c>
    </row>
    <row r="1326" spans="1:30" x14ac:dyDescent="0.35">
      <c r="A1326" t="s">
        <v>2140</v>
      </c>
      <c r="B1326" s="3">
        <v>47084</v>
      </c>
      <c r="C1326" t="s">
        <v>504</v>
      </c>
      <c r="D1326" t="s">
        <v>871</v>
      </c>
      <c r="E1326" t="str">
        <f>TRIM(excelsalesdata[[#This Row],[Customer_Name]])</f>
        <v>Rahul Iyer</v>
      </c>
      <c r="F1326" t="s">
        <v>44</v>
      </c>
      <c r="G1326">
        <v>38</v>
      </c>
      <c r="H1326" t="s">
        <v>60</v>
      </c>
      <c r="I1326" t="str">
        <f>TRIM(excelsalesdata[[#This Row],[City]])</f>
        <v>Chandigarh</v>
      </c>
      <c r="J1326" t="s">
        <v>60</v>
      </c>
      <c r="K1326" t="s">
        <v>61</v>
      </c>
      <c r="L1326" t="s">
        <v>103</v>
      </c>
      <c r="M1326" t="s">
        <v>238</v>
      </c>
      <c r="N1326" t="s">
        <v>238</v>
      </c>
      <c r="O1326">
        <v>2</v>
      </c>
      <c r="P1326">
        <v>4280</v>
      </c>
      <c r="Q1326">
        <v>0.1</v>
      </c>
      <c r="R1326">
        <v>2730</v>
      </c>
      <c r="S1326" t="s">
        <v>29</v>
      </c>
      <c r="T1326" t="s">
        <v>30</v>
      </c>
      <c r="U1326">
        <v>4</v>
      </c>
      <c r="V1326" t="s">
        <v>40</v>
      </c>
      <c r="W1326">
        <f>excelsalesdata[[#This Row],[Quantity]]*excelsalesdata[[#This Row],[Unit_Price]]</f>
        <v>8560</v>
      </c>
      <c r="X1326">
        <f>excelsalesdata[[#This Row],[Gross_sales]]*excelsalesdata[[#This Row],[Discount_%]]</f>
        <v>856</v>
      </c>
      <c r="Y1326">
        <f>excelsalesdata[[#This Row],[Gross_sales]]-excelsalesdata[[#This Row],[Discount_amt]]</f>
        <v>7704</v>
      </c>
      <c r="Z1326" s="4">
        <f>excelsalesdata[[#This Row],[Net_sales]]-excelsalesdata[[#This Row],[Cost]]</f>
        <v>4974</v>
      </c>
      <c r="AA1326" s="5">
        <f>excelsalesdata[[#This Row],[Profit]]/excelsalesdata[[#This Row],[Net_sales]]</f>
        <v>0.64563862928348914</v>
      </c>
      <c r="AB1326" s="4">
        <f>YEAR(excelsalesdata[[#This Row],[Order_Date]])</f>
        <v>2028</v>
      </c>
      <c r="AC1326" s="4" t="str">
        <f>TEXT(excelsalesdata[[#This Row],[Order_Date]],"mmm")</f>
        <v>Nov</v>
      </c>
      <c r="AD1326" s="4" t="str">
        <f>"Q"&amp;ROUNDUP(MONTH(excelsalesdata[[#This Row],[Order_Date]])/3,0)</f>
        <v>Q4</v>
      </c>
    </row>
    <row r="1327" spans="1:30" x14ac:dyDescent="0.35">
      <c r="A1327" t="s">
        <v>2141</v>
      </c>
      <c r="B1327" s="3">
        <v>47085</v>
      </c>
      <c r="C1327" t="s">
        <v>2142</v>
      </c>
      <c r="D1327" t="s">
        <v>247</v>
      </c>
      <c r="E1327" t="str">
        <f>TRIM(excelsalesdata[[#This Row],[Customer_Name]])</f>
        <v>Priya Mehta</v>
      </c>
      <c r="F1327" t="s">
        <v>44</v>
      </c>
      <c r="G1327">
        <v>53</v>
      </c>
      <c r="H1327" t="s">
        <v>155</v>
      </c>
      <c r="I1327" t="str">
        <f>TRIM(excelsalesdata[[#This Row],[City]])</f>
        <v>Chennai</v>
      </c>
      <c r="J1327" t="s">
        <v>156</v>
      </c>
      <c r="K1327" t="s">
        <v>47</v>
      </c>
      <c r="L1327" t="s">
        <v>38</v>
      </c>
      <c r="M1327" t="s">
        <v>39</v>
      </c>
      <c r="N1327" t="s">
        <v>39</v>
      </c>
      <c r="O1327">
        <v>1</v>
      </c>
      <c r="P1327">
        <v>6680</v>
      </c>
      <c r="Q1327">
        <v>0.2</v>
      </c>
      <c r="R1327">
        <v>4140</v>
      </c>
      <c r="S1327" t="s">
        <v>29</v>
      </c>
      <c r="T1327" t="s">
        <v>99</v>
      </c>
      <c r="U1327">
        <v>3</v>
      </c>
      <c r="V1327" t="s">
        <v>40</v>
      </c>
      <c r="W1327">
        <f>excelsalesdata[[#This Row],[Quantity]]*excelsalesdata[[#This Row],[Unit_Price]]</f>
        <v>6680</v>
      </c>
      <c r="X1327">
        <f>excelsalesdata[[#This Row],[Gross_sales]]*excelsalesdata[[#This Row],[Discount_%]]</f>
        <v>1336</v>
      </c>
      <c r="Y1327">
        <f>excelsalesdata[[#This Row],[Gross_sales]]-excelsalesdata[[#This Row],[Discount_amt]]</f>
        <v>5344</v>
      </c>
      <c r="Z1327" s="4">
        <f>excelsalesdata[[#This Row],[Net_sales]]-excelsalesdata[[#This Row],[Cost]]</f>
        <v>1204</v>
      </c>
      <c r="AA1327" s="5">
        <f>excelsalesdata[[#This Row],[Profit]]/excelsalesdata[[#This Row],[Net_sales]]</f>
        <v>0.2252994011976048</v>
      </c>
      <c r="AB1327" s="4">
        <f>YEAR(excelsalesdata[[#This Row],[Order_Date]])</f>
        <v>2028</v>
      </c>
      <c r="AC1327" s="4" t="str">
        <f>TEXT(excelsalesdata[[#This Row],[Order_Date]],"mmm")</f>
        <v>Nov</v>
      </c>
      <c r="AD1327" s="4" t="str">
        <f>"Q"&amp;ROUNDUP(MONTH(excelsalesdata[[#This Row],[Order_Date]])/3,0)</f>
        <v>Q4</v>
      </c>
    </row>
    <row r="1328" spans="1:30" x14ac:dyDescent="0.35">
      <c r="A1328" t="s">
        <v>2143</v>
      </c>
      <c r="B1328" s="3">
        <v>47086</v>
      </c>
      <c r="C1328" t="s">
        <v>2144</v>
      </c>
      <c r="D1328" t="s">
        <v>731</v>
      </c>
      <c r="E1328" t="str">
        <f>TRIM(excelsalesdata[[#This Row],[Customer_Name]])</f>
        <v>Diya Bhat</v>
      </c>
      <c r="F1328" t="s">
        <v>23</v>
      </c>
      <c r="G1328">
        <v>22</v>
      </c>
      <c r="H1328" t="s">
        <v>45</v>
      </c>
      <c r="I1328" t="str">
        <f>TRIM(excelsalesdata[[#This Row],[City]])</f>
        <v>Kochi</v>
      </c>
      <c r="J1328" t="s">
        <v>46</v>
      </c>
      <c r="K1328" t="s">
        <v>47</v>
      </c>
      <c r="L1328" t="s">
        <v>38</v>
      </c>
      <c r="M1328" t="s">
        <v>255</v>
      </c>
      <c r="N1328" t="s">
        <v>255</v>
      </c>
      <c r="O1328">
        <v>1</v>
      </c>
      <c r="P1328">
        <v>4660</v>
      </c>
      <c r="Q1328">
        <v>0.15</v>
      </c>
      <c r="R1328">
        <v>2790</v>
      </c>
      <c r="S1328" t="s">
        <v>29</v>
      </c>
      <c r="T1328" t="s">
        <v>30</v>
      </c>
      <c r="U1328">
        <v>5</v>
      </c>
      <c r="V1328" t="s">
        <v>31</v>
      </c>
      <c r="W1328">
        <f>excelsalesdata[[#This Row],[Quantity]]*excelsalesdata[[#This Row],[Unit_Price]]</f>
        <v>4660</v>
      </c>
      <c r="X1328">
        <f>excelsalesdata[[#This Row],[Gross_sales]]*excelsalesdata[[#This Row],[Discount_%]]</f>
        <v>699</v>
      </c>
      <c r="Y1328">
        <f>excelsalesdata[[#This Row],[Gross_sales]]-excelsalesdata[[#This Row],[Discount_amt]]</f>
        <v>3961</v>
      </c>
      <c r="Z1328" s="4">
        <f>excelsalesdata[[#This Row],[Net_sales]]-excelsalesdata[[#This Row],[Cost]]</f>
        <v>1171</v>
      </c>
      <c r="AA1328" s="5">
        <f>excelsalesdata[[#This Row],[Profit]]/excelsalesdata[[#This Row],[Net_sales]]</f>
        <v>0.29563241605655138</v>
      </c>
      <c r="AB1328" s="4">
        <f>YEAR(excelsalesdata[[#This Row],[Order_Date]])</f>
        <v>2028</v>
      </c>
      <c r="AC1328" s="4" t="str">
        <f>TEXT(excelsalesdata[[#This Row],[Order_Date]],"mmm")</f>
        <v>Nov</v>
      </c>
      <c r="AD1328" s="4" t="str">
        <f>"Q"&amp;ROUNDUP(MONTH(excelsalesdata[[#This Row],[Order_Date]])/3,0)</f>
        <v>Q4</v>
      </c>
    </row>
    <row r="1329" spans="1:30" x14ac:dyDescent="0.35">
      <c r="A1329" t="s">
        <v>2145</v>
      </c>
      <c r="B1329" s="3">
        <v>47087</v>
      </c>
      <c r="C1329" t="s">
        <v>1452</v>
      </c>
      <c r="D1329" t="s">
        <v>1159</v>
      </c>
      <c r="E1329" t="str">
        <f>TRIM(excelsalesdata[[#This Row],[Customer_Name]])</f>
        <v>Aditya Patel</v>
      </c>
      <c r="F1329" t="s">
        <v>44</v>
      </c>
      <c r="G1329">
        <v>36</v>
      </c>
      <c r="H1329" t="s">
        <v>190</v>
      </c>
      <c r="I1329" t="str">
        <f>TRIM(excelsalesdata[[#This Row],[City]])</f>
        <v>Ahmedabad</v>
      </c>
      <c r="J1329" t="s">
        <v>191</v>
      </c>
      <c r="K1329" t="s">
        <v>26</v>
      </c>
      <c r="L1329" t="s">
        <v>54</v>
      </c>
      <c r="M1329" t="s">
        <v>66</v>
      </c>
      <c r="N1329" t="s">
        <v>66</v>
      </c>
      <c r="O1329">
        <v>1</v>
      </c>
      <c r="P1329">
        <v>2340</v>
      </c>
      <c r="Q1329">
        <v>0.1</v>
      </c>
      <c r="R1329">
        <v>1520</v>
      </c>
      <c r="S1329" t="s">
        <v>29</v>
      </c>
      <c r="T1329" t="s">
        <v>30</v>
      </c>
      <c r="U1329">
        <v>5</v>
      </c>
      <c r="V1329" t="s">
        <v>31</v>
      </c>
      <c r="W1329">
        <f>excelsalesdata[[#This Row],[Quantity]]*excelsalesdata[[#This Row],[Unit_Price]]</f>
        <v>2340</v>
      </c>
      <c r="X1329">
        <f>excelsalesdata[[#This Row],[Gross_sales]]*excelsalesdata[[#This Row],[Discount_%]]</f>
        <v>234</v>
      </c>
      <c r="Y1329">
        <f>excelsalesdata[[#This Row],[Gross_sales]]-excelsalesdata[[#This Row],[Discount_amt]]</f>
        <v>2106</v>
      </c>
      <c r="Z1329" s="4">
        <f>excelsalesdata[[#This Row],[Net_sales]]-excelsalesdata[[#This Row],[Cost]]</f>
        <v>586</v>
      </c>
      <c r="AA1329" s="5">
        <f>excelsalesdata[[#This Row],[Profit]]/excelsalesdata[[#This Row],[Net_sales]]</f>
        <v>0.27825261158594494</v>
      </c>
      <c r="AB1329" s="4">
        <f>YEAR(excelsalesdata[[#This Row],[Order_Date]])</f>
        <v>2028</v>
      </c>
      <c r="AC1329" s="4" t="str">
        <f>TEXT(excelsalesdata[[#This Row],[Order_Date]],"mmm")</f>
        <v>Nov</v>
      </c>
      <c r="AD1329" s="4" t="str">
        <f>"Q"&amp;ROUNDUP(MONTH(excelsalesdata[[#This Row],[Order_Date]])/3,0)</f>
        <v>Q4</v>
      </c>
    </row>
    <row r="1330" spans="1:30" x14ac:dyDescent="0.35">
      <c r="A1330" t="s">
        <v>2146</v>
      </c>
      <c r="B1330" s="3">
        <v>47088</v>
      </c>
      <c r="C1330" t="s">
        <v>320</v>
      </c>
      <c r="D1330" t="s">
        <v>755</v>
      </c>
      <c r="E1330" t="str">
        <f>TRIM(excelsalesdata[[#This Row],[Customer_Name]])</f>
        <v>Rahul Singh</v>
      </c>
      <c r="F1330" t="s">
        <v>44</v>
      </c>
      <c r="G1330">
        <v>42</v>
      </c>
      <c r="H1330" t="s">
        <v>185</v>
      </c>
      <c r="I1330" t="str">
        <f>TRIM(excelsalesdata[[#This Row],[City]])</f>
        <v>Lucknow</v>
      </c>
      <c r="J1330" t="s">
        <v>186</v>
      </c>
      <c r="K1330" t="s">
        <v>61</v>
      </c>
      <c r="L1330" t="s">
        <v>27</v>
      </c>
      <c r="M1330" t="s">
        <v>48</v>
      </c>
      <c r="N1330" t="s">
        <v>48</v>
      </c>
      <c r="O1330">
        <v>5</v>
      </c>
      <c r="P1330">
        <v>910</v>
      </c>
      <c r="Q1330">
        <v>0.2</v>
      </c>
      <c r="R1330">
        <v>460</v>
      </c>
      <c r="S1330" t="s">
        <v>67</v>
      </c>
      <c r="T1330" t="s">
        <v>30</v>
      </c>
      <c r="U1330">
        <v>2</v>
      </c>
      <c r="V1330" t="s">
        <v>31</v>
      </c>
      <c r="W1330">
        <f>excelsalesdata[[#This Row],[Quantity]]*excelsalesdata[[#This Row],[Unit_Price]]</f>
        <v>4550</v>
      </c>
      <c r="X1330">
        <f>excelsalesdata[[#This Row],[Gross_sales]]*excelsalesdata[[#This Row],[Discount_%]]</f>
        <v>910</v>
      </c>
      <c r="Y1330">
        <f>excelsalesdata[[#This Row],[Gross_sales]]-excelsalesdata[[#This Row],[Discount_amt]]</f>
        <v>3640</v>
      </c>
      <c r="Z1330" s="4">
        <f>excelsalesdata[[#This Row],[Net_sales]]-excelsalesdata[[#This Row],[Cost]]</f>
        <v>3180</v>
      </c>
      <c r="AA1330" s="5">
        <f>excelsalesdata[[#This Row],[Profit]]/excelsalesdata[[#This Row],[Net_sales]]</f>
        <v>0.87362637362637363</v>
      </c>
      <c r="AB1330" s="4">
        <f>YEAR(excelsalesdata[[#This Row],[Order_Date]])</f>
        <v>2028</v>
      </c>
      <c r="AC1330" s="4" t="str">
        <f>TEXT(excelsalesdata[[#This Row],[Order_Date]],"mmm")</f>
        <v>Dec</v>
      </c>
      <c r="AD1330" s="4" t="str">
        <f>"Q"&amp;ROUNDUP(MONTH(excelsalesdata[[#This Row],[Order_Date]])/3,0)</f>
        <v>Q4</v>
      </c>
    </row>
    <row r="1331" spans="1:30" x14ac:dyDescent="0.35">
      <c r="A1331" t="s">
        <v>2147</v>
      </c>
      <c r="B1331" s="3">
        <v>47089</v>
      </c>
      <c r="C1331" t="s">
        <v>893</v>
      </c>
      <c r="D1331" t="s">
        <v>1216</v>
      </c>
      <c r="E1331" t="str">
        <f>TRIM(excelsalesdata[[#This Row],[Customer_Name]])</f>
        <v>Diya Sharma</v>
      </c>
      <c r="F1331" t="s">
        <v>23</v>
      </c>
      <c r="G1331">
        <v>57</v>
      </c>
      <c r="H1331" t="s">
        <v>98</v>
      </c>
      <c r="I1331" t="str">
        <f>TRIM(excelsalesdata[[#This Row],[City]])</f>
        <v>Mumbai</v>
      </c>
      <c r="J1331" t="s">
        <v>25</v>
      </c>
      <c r="K1331" t="s">
        <v>26</v>
      </c>
      <c r="L1331" t="s">
        <v>54</v>
      </c>
      <c r="M1331" t="s">
        <v>66</v>
      </c>
      <c r="N1331" t="s">
        <v>66</v>
      </c>
      <c r="O1331">
        <v>2</v>
      </c>
      <c r="P1331">
        <v>2540</v>
      </c>
      <c r="Q1331">
        <v>0.05</v>
      </c>
      <c r="R1331">
        <v>1540</v>
      </c>
      <c r="S1331" t="s">
        <v>56</v>
      </c>
      <c r="T1331" t="s">
        <v>81</v>
      </c>
      <c r="U1331">
        <v>0</v>
      </c>
      <c r="V1331" t="s">
        <v>40</v>
      </c>
      <c r="W1331">
        <f>excelsalesdata[[#This Row],[Quantity]]*excelsalesdata[[#This Row],[Unit_Price]]</f>
        <v>5080</v>
      </c>
      <c r="X1331">
        <f>excelsalesdata[[#This Row],[Gross_sales]]*excelsalesdata[[#This Row],[Discount_%]]</f>
        <v>254</v>
      </c>
      <c r="Y1331">
        <f>excelsalesdata[[#This Row],[Gross_sales]]-excelsalesdata[[#This Row],[Discount_amt]]</f>
        <v>4826</v>
      </c>
      <c r="Z1331" s="4">
        <f>excelsalesdata[[#This Row],[Net_sales]]-excelsalesdata[[#This Row],[Cost]]</f>
        <v>3286</v>
      </c>
      <c r="AA1331" s="5">
        <f>excelsalesdata[[#This Row],[Profit]]/excelsalesdata[[#This Row],[Net_sales]]</f>
        <v>0.6808951512639867</v>
      </c>
      <c r="AB1331" s="4">
        <f>YEAR(excelsalesdata[[#This Row],[Order_Date]])</f>
        <v>2028</v>
      </c>
      <c r="AC1331" s="4" t="str">
        <f>TEXT(excelsalesdata[[#This Row],[Order_Date]],"mmm")</f>
        <v>Dec</v>
      </c>
      <c r="AD1331" s="4" t="str">
        <f>"Q"&amp;ROUNDUP(MONTH(excelsalesdata[[#This Row],[Order_Date]])/3,0)</f>
        <v>Q4</v>
      </c>
    </row>
    <row r="1332" spans="1:30" x14ac:dyDescent="0.35">
      <c r="A1332" t="s">
        <v>2148</v>
      </c>
      <c r="B1332" s="3">
        <v>47090</v>
      </c>
      <c r="C1332" t="s">
        <v>579</v>
      </c>
      <c r="D1332" t="s">
        <v>1354</v>
      </c>
      <c r="E1332" t="str">
        <f>TRIM(excelsalesdata[[#This Row],[Customer_Name]])</f>
        <v>Priya Shah</v>
      </c>
      <c r="F1332" t="s">
        <v>44</v>
      </c>
      <c r="G1332">
        <v>31</v>
      </c>
      <c r="H1332" t="s">
        <v>168</v>
      </c>
      <c r="I1332" t="str">
        <f>TRIM(excelsalesdata[[#This Row],[City]])</f>
        <v>Delhi</v>
      </c>
      <c r="J1332" t="s">
        <v>168</v>
      </c>
      <c r="K1332" t="s">
        <v>61</v>
      </c>
      <c r="L1332" t="s">
        <v>54</v>
      </c>
      <c r="M1332" t="s">
        <v>157</v>
      </c>
      <c r="N1332" t="s">
        <v>157</v>
      </c>
      <c r="O1332">
        <v>1</v>
      </c>
      <c r="P1332">
        <v>58340</v>
      </c>
      <c r="Q1332">
        <v>0.05</v>
      </c>
      <c r="R1332">
        <v>40170</v>
      </c>
      <c r="S1332" t="s">
        <v>29</v>
      </c>
      <c r="T1332" t="s">
        <v>30</v>
      </c>
      <c r="U1332">
        <v>2</v>
      </c>
      <c r="V1332" t="s">
        <v>40</v>
      </c>
      <c r="W1332">
        <f>excelsalesdata[[#This Row],[Quantity]]*excelsalesdata[[#This Row],[Unit_Price]]</f>
        <v>58340</v>
      </c>
      <c r="X1332">
        <f>excelsalesdata[[#This Row],[Gross_sales]]*excelsalesdata[[#This Row],[Discount_%]]</f>
        <v>2917</v>
      </c>
      <c r="Y1332">
        <f>excelsalesdata[[#This Row],[Gross_sales]]-excelsalesdata[[#This Row],[Discount_amt]]</f>
        <v>55423</v>
      </c>
      <c r="Z1332" s="4">
        <f>excelsalesdata[[#This Row],[Net_sales]]-excelsalesdata[[#This Row],[Cost]]</f>
        <v>15253</v>
      </c>
      <c r="AA1332" s="5">
        <f>excelsalesdata[[#This Row],[Profit]]/excelsalesdata[[#This Row],[Net_sales]]</f>
        <v>0.2752106526171445</v>
      </c>
      <c r="AB1332" s="4">
        <f>YEAR(excelsalesdata[[#This Row],[Order_Date]])</f>
        <v>2028</v>
      </c>
      <c r="AC1332" s="4" t="str">
        <f>TEXT(excelsalesdata[[#This Row],[Order_Date]],"mmm")</f>
        <v>Dec</v>
      </c>
      <c r="AD1332" s="4" t="str">
        <f>"Q"&amp;ROUNDUP(MONTH(excelsalesdata[[#This Row],[Order_Date]])/3,0)</f>
        <v>Q4</v>
      </c>
    </row>
    <row r="1333" spans="1:30" x14ac:dyDescent="0.35">
      <c r="A1333" t="s">
        <v>2149</v>
      </c>
      <c r="B1333" s="3">
        <v>47091</v>
      </c>
      <c r="C1333" t="s">
        <v>2150</v>
      </c>
      <c r="D1333" t="s">
        <v>92</v>
      </c>
      <c r="E1333" t="str">
        <f>TRIM(excelsalesdata[[#This Row],[Customer_Name]])</f>
        <v>Nisha Iyer</v>
      </c>
      <c r="F1333" t="s">
        <v>23</v>
      </c>
      <c r="G1333">
        <v>47</v>
      </c>
      <c r="H1333" t="s">
        <v>133</v>
      </c>
      <c r="I1333" t="str">
        <f>TRIM(excelsalesdata[[#This Row],[City]])</f>
        <v>Jaipur</v>
      </c>
      <c r="J1333" t="s">
        <v>134</v>
      </c>
      <c r="K1333" t="s">
        <v>61</v>
      </c>
      <c r="L1333" t="s">
        <v>103</v>
      </c>
      <c r="M1333" t="s">
        <v>347</v>
      </c>
      <c r="N1333" t="s">
        <v>347</v>
      </c>
      <c r="O1333">
        <v>2</v>
      </c>
      <c r="P1333">
        <v>12100</v>
      </c>
      <c r="Q1333">
        <v>0.05</v>
      </c>
      <c r="R1333">
        <v>8440</v>
      </c>
      <c r="S1333" t="s">
        <v>29</v>
      </c>
      <c r="T1333" t="s">
        <v>81</v>
      </c>
      <c r="U1333">
        <v>0</v>
      </c>
      <c r="V1333" t="s">
        <v>31</v>
      </c>
      <c r="W1333">
        <f>excelsalesdata[[#This Row],[Quantity]]*excelsalesdata[[#This Row],[Unit_Price]]</f>
        <v>24200</v>
      </c>
      <c r="X1333">
        <f>excelsalesdata[[#This Row],[Gross_sales]]*excelsalesdata[[#This Row],[Discount_%]]</f>
        <v>1210</v>
      </c>
      <c r="Y1333">
        <f>excelsalesdata[[#This Row],[Gross_sales]]-excelsalesdata[[#This Row],[Discount_amt]]</f>
        <v>22990</v>
      </c>
      <c r="Z1333" s="4">
        <f>excelsalesdata[[#This Row],[Net_sales]]-excelsalesdata[[#This Row],[Cost]]</f>
        <v>14550</v>
      </c>
      <c r="AA1333" s="5">
        <f>excelsalesdata[[#This Row],[Profit]]/excelsalesdata[[#This Row],[Net_sales]]</f>
        <v>0.63288386254893436</v>
      </c>
      <c r="AB1333" s="4">
        <f>YEAR(excelsalesdata[[#This Row],[Order_Date]])</f>
        <v>2028</v>
      </c>
      <c r="AC1333" s="4" t="str">
        <f>TEXT(excelsalesdata[[#This Row],[Order_Date]],"mmm")</f>
        <v>Dec</v>
      </c>
      <c r="AD1333" s="4" t="str">
        <f>"Q"&amp;ROUNDUP(MONTH(excelsalesdata[[#This Row],[Order_Date]])/3,0)</f>
        <v>Q4</v>
      </c>
    </row>
    <row r="1334" spans="1:30" x14ac:dyDescent="0.35">
      <c r="A1334" t="s">
        <v>2151</v>
      </c>
      <c r="B1334" s="3">
        <v>47092</v>
      </c>
      <c r="C1334" t="s">
        <v>1285</v>
      </c>
      <c r="D1334" t="s">
        <v>553</v>
      </c>
      <c r="E1334" t="str">
        <f>TRIM(excelsalesdata[[#This Row],[Customer_Name]])</f>
        <v>Vivaan Reddy</v>
      </c>
      <c r="F1334" t="s">
        <v>23</v>
      </c>
      <c r="G1334">
        <v>57</v>
      </c>
      <c r="H1334" t="s">
        <v>35</v>
      </c>
      <c r="I1334" t="str">
        <f>TRIM(excelsalesdata[[#This Row],[City]])</f>
        <v>Kolkata</v>
      </c>
      <c r="J1334" t="s">
        <v>36</v>
      </c>
      <c r="K1334" t="s">
        <v>37</v>
      </c>
      <c r="L1334" t="s">
        <v>27</v>
      </c>
      <c r="M1334" t="s">
        <v>28</v>
      </c>
      <c r="N1334" t="s">
        <v>28</v>
      </c>
      <c r="O1334">
        <v>1</v>
      </c>
      <c r="P1334">
        <v>3250</v>
      </c>
      <c r="Q1334">
        <v>0.1</v>
      </c>
      <c r="R1334">
        <v>2160</v>
      </c>
      <c r="S1334" t="s">
        <v>151</v>
      </c>
      <c r="T1334" t="s">
        <v>74</v>
      </c>
      <c r="U1334">
        <v>1</v>
      </c>
      <c r="V1334" t="s">
        <v>31</v>
      </c>
      <c r="W1334">
        <f>excelsalesdata[[#This Row],[Quantity]]*excelsalesdata[[#This Row],[Unit_Price]]</f>
        <v>3250</v>
      </c>
      <c r="X1334">
        <f>excelsalesdata[[#This Row],[Gross_sales]]*excelsalesdata[[#This Row],[Discount_%]]</f>
        <v>325</v>
      </c>
      <c r="Y1334">
        <f>excelsalesdata[[#This Row],[Gross_sales]]-excelsalesdata[[#This Row],[Discount_amt]]</f>
        <v>2925</v>
      </c>
      <c r="Z1334" s="4">
        <f>excelsalesdata[[#This Row],[Net_sales]]-excelsalesdata[[#This Row],[Cost]]</f>
        <v>765</v>
      </c>
      <c r="AA1334" s="5">
        <f>excelsalesdata[[#This Row],[Profit]]/excelsalesdata[[#This Row],[Net_sales]]</f>
        <v>0.26153846153846155</v>
      </c>
      <c r="AB1334" s="4">
        <f>YEAR(excelsalesdata[[#This Row],[Order_Date]])</f>
        <v>2028</v>
      </c>
      <c r="AC1334" s="4" t="str">
        <f>TEXT(excelsalesdata[[#This Row],[Order_Date]],"mmm")</f>
        <v>Dec</v>
      </c>
      <c r="AD1334" s="4" t="str">
        <f>"Q"&amp;ROUNDUP(MONTH(excelsalesdata[[#This Row],[Order_Date]])/3,0)</f>
        <v>Q4</v>
      </c>
    </row>
    <row r="1335" spans="1:30" x14ac:dyDescent="0.35">
      <c r="A1335" t="s">
        <v>2152</v>
      </c>
      <c r="B1335" s="3">
        <v>47093</v>
      </c>
      <c r="C1335" t="s">
        <v>633</v>
      </c>
      <c r="D1335" t="s">
        <v>629</v>
      </c>
      <c r="E1335" t="str">
        <f>TRIM(excelsalesdata[[#This Row],[Customer_Name]])</f>
        <v>Vikram Shah</v>
      </c>
      <c r="F1335" t="s">
        <v>23</v>
      </c>
      <c r="G1335">
        <v>25</v>
      </c>
      <c r="H1335" t="s">
        <v>185</v>
      </c>
      <c r="I1335" t="str">
        <f>TRIM(excelsalesdata[[#This Row],[City]])</f>
        <v>Lucknow</v>
      </c>
      <c r="J1335" t="s">
        <v>186</v>
      </c>
      <c r="K1335" t="s">
        <v>61</v>
      </c>
      <c r="L1335" t="s">
        <v>27</v>
      </c>
      <c r="M1335" t="s">
        <v>295</v>
      </c>
      <c r="N1335" t="s">
        <v>295</v>
      </c>
      <c r="O1335">
        <v>2</v>
      </c>
      <c r="P1335">
        <v>4450</v>
      </c>
      <c r="Q1335">
        <v>0.15</v>
      </c>
      <c r="R1335">
        <v>2530</v>
      </c>
      <c r="S1335" t="s">
        <v>80</v>
      </c>
      <c r="T1335" t="s">
        <v>30</v>
      </c>
      <c r="U1335">
        <v>7</v>
      </c>
      <c r="V1335" t="s">
        <v>31</v>
      </c>
      <c r="W1335">
        <f>excelsalesdata[[#This Row],[Quantity]]*excelsalesdata[[#This Row],[Unit_Price]]</f>
        <v>8900</v>
      </c>
      <c r="X1335">
        <f>excelsalesdata[[#This Row],[Gross_sales]]*excelsalesdata[[#This Row],[Discount_%]]</f>
        <v>1335</v>
      </c>
      <c r="Y1335">
        <f>excelsalesdata[[#This Row],[Gross_sales]]-excelsalesdata[[#This Row],[Discount_amt]]</f>
        <v>7565</v>
      </c>
      <c r="Z1335" s="4">
        <f>excelsalesdata[[#This Row],[Net_sales]]-excelsalesdata[[#This Row],[Cost]]</f>
        <v>5035</v>
      </c>
      <c r="AA1335" s="5">
        <f>excelsalesdata[[#This Row],[Profit]]/excelsalesdata[[#This Row],[Net_sales]]</f>
        <v>0.66556510244547262</v>
      </c>
      <c r="AB1335" s="4">
        <f>YEAR(excelsalesdata[[#This Row],[Order_Date]])</f>
        <v>2028</v>
      </c>
      <c r="AC1335" s="4" t="str">
        <f>TEXT(excelsalesdata[[#This Row],[Order_Date]],"mmm")</f>
        <v>Dec</v>
      </c>
      <c r="AD1335" s="4" t="str">
        <f>"Q"&amp;ROUNDUP(MONTH(excelsalesdata[[#This Row],[Order_Date]])/3,0)</f>
        <v>Q4</v>
      </c>
    </row>
    <row r="1336" spans="1:30" x14ac:dyDescent="0.35">
      <c r="A1336" t="s">
        <v>2153</v>
      </c>
      <c r="B1336" s="3">
        <v>47094</v>
      </c>
      <c r="C1336" t="s">
        <v>1780</v>
      </c>
      <c r="D1336" t="s">
        <v>1371</v>
      </c>
      <c r="E1336" t="str">
        <f>TRIM(excelsalesdata[[#This Row],[Customer_Name]])</f>
        <v>Aditya Das</v>
      </c>
      <c r="F1336" t="s">
        <v>44</v>
      </c>
      <c r="G1336">
        <v>42</v>
      </c>
      <c r="H1336" t="s">
        <v>71</v>
      </c>
      <c r="I1336" t="str">
        <f>TRIM(excelsalesdata[[#This Row],[City]])</f>
        <v>Bhubaneswar</v>
      </c>
      <c r="J1336" t="s">
        <v>72</v>
      </c>
      <c r="K1336" t="s">
        <v>37</v>
      </c>
      <c r="L1336" t="s">
        <v>54</v>
      </c>
      <c r="M1336" t="s">
        <v>157</v>
      </c>
      <c r="N1336" t="s">
        <v>157</v>
      </c>
      <c r="O1336">
        <v>4</v>
      </c>
      <c r="P1336">
        <v>52060</v>
      </c>
      <c r="Q1336">
        <v>0.05</v>
      </c>
      <c r="R1336">
        <v>40540</v>
      </c>
      <c r="S1336" t="s">
        <v>151</v>
      </c>
      <c r="T1336" t="s">
        <v>30</v>
      </c>
      <c r="U1336">
        <v>2</v>
      </c>
      <c r="V1336" t="s">
        <v>40</v>
      </c>
      <c r="W1336">
        <f>excelsalesdata[[#This Row],[Quantity]]*excelsalesdata[[#This Row],[Unit_Price]]</f>
        <v>208240</v>
      </c>
      <c r="X1336">
        <f>excelsalesdata[[#This Row],[Gross_sales]]*excelsalesdata[[#This Row],[Discount_%]]</f>
        <v>10412</v>
      </c>
      <c r="Y1336">
        <f>excelsalesdata[[#This Row],[Gross_sales]]-excelsalesdata[[#This Row],[Discount_amt]]</f>
        <v>197828</v>
      </c>
      <c r="Z1336" s="4">
        <f>excelsalesdata[[#This Row],[Net_sales]]-excelsalesdata[[#This Row],[Cost]]</f>
        <v>157288</v>
      </c>
      <c r="AA1336" s="5">
        <f>excelsalesdata[[#This Row],[Profit]]/excelsalesdata[[#This Row],[Net_sales]]</f>
        <v>0.79507450916958167</v>
      </c>
      <c r="AB1336" s="4">
        <f>YEAR(excelsalesdata[[#This Row],[Order_Date]])</f>
        <v>2028</v>
      </c>
      <c r="AC1336" s="4" t="str">
        <f>TEXT(excelsalesdata[[#This Row],[Order_Date]],"mmm")</f>
        <v>Dec</v>
      </c>
      <c r="AD1336" s="4" t="str">
        <f>"Q"&amp;ROUNDUP(MONTH(excelsalesdata[[#This Row],[Order_Date]])/3,0)</f>
        <v>Q4</v>
      </c>
    </row>
    <row r="1337" spans="1:30" x14ac:dyDescent="0.35">
      <c r="A1337" t="s">
        <v>2154</v>
      </c>
      <c r="B1337" s="3">
        <v>47095</v>
      </c>
      <c r="C1337" t="s">
        <v>402</v>
      </c>
      <c r="D1337" t="s">
        <v>844</v>
      </c>
      <c r="E1337" t="str">
        <f>TRIM(excelsalesdata[[#This Row],[Customer_Name]])</f>
        <v>Vikram Gupta</v>
      </c>
      <c r="F1337" t="s">
        <v>44</v>
      </c>
      <c r="G1337">
        <v>24</v>
      </c>
      <c r="H1337" t="s">
        <v>133</v>
      </c>
      <c r="I1337" t="str">
        <f>TRIM(excelsalesdata[[#This Row],[City]])</f>
        <v>Jaipur</v>
      </c>
      <c r="J1337" t="s">
        <v>134</v>
      </c>
      <c r="K1337" t="s">
        <v>61</v>
      </c>
      <c r="L1337" t="s">
        <v>27</v>
      </c>
      <c r="M1337" t="s">
        <v>48</v>
      </c>
      <c r="N1337" t="s">
        <v>48</v>
      </c>
      <c r="O1337">
        <v>1</v>
      </c>
      <c r="P1337">
        <v>930</v>
      </c>
      <c r="Q1337">
        <v>0.1</v>
      </c>
      <c r="R1337">
        <v>440</v>
      </c>
      <c r="S1337" t="s">
        <v>29</v>
      </c>
      <c r="T1337" t="s">
        <v>30</v>
      </c>
      <c r="U1337">
        <v>3</v>
      </c>
      <c r="V1337" t="s">
        <v>40</v>
      </c>
      <c r="W1337">
        <f>excelsalesdata[[#This Row],[Quantity]]*excelsalesdata[[#This Row],[Unit_Price]]</f>
        <v>930</v>
      </c>
      <c r="X1337">
        <f>excelsalesdata[[#This Row],[Gross_sales]]*excelsalesdata[[#This Row],[Discount_%]]</f>
        <v>93</v>
      </c>
      <c r="Y1337">
        <f>excelsalesdata[[#This Row],[Gross_sales]]-excelsalesdata[[#This Row],[Discount_amt]]</f>
        <v>837</v>
      </c>
      <c r="Z1337" s="4">
        <f>excelsalesdata[[#This Row],[Net_sales]]-excelsalesdata[[#This Row],[Cost]]</f>
        <v>397</v>
      </c>
      <c r="AA1337" s="5">
        <f>excelsalesdata[[#This Row],[Profit]]/excelsalesdata[[#This Row],[Net_sales]]</f>
        <v>0.47431302270011949</v>
      </c>
      <c r="AB1337" s="4">
        <f>YEAR(excelsalesdata[[#This Row],[Order_Date]])</f>
        <v>2028</v>
      </c>
      <c r="AC1337" s="4" t="str">
        <f>TEXT(excelsalesdata[[#This Row],[Order_Date]],"mmm")</f>
        <v>Dec</v>
      </c>
      <c r="AD1337" s="4" t="str">
        <f>"Q"&amp;ROUNDUP(MONTH(excelsalesdata[[#This Row],[Order_Date]])/3,0)</f>
        <v>Q4</v>
      </c>
    </row>
    <row r="1338" spans="1:30" x14ac:dyDescent="0.35">
      <c r="A1338" t="s">
        <v>2155</v>
      </c>
      <c r="B1338" s="3">
        <v>47096</v>
      </c>
      <c r="C1338" t="s">
        <v>992</v>
      </c>
      <c r="D1338" t="s">
        <v>933</v>
      </c>
      <c r="E1338" t="str">
        <f>TRIM(excelsalesdata[[#This Row],[Customer_Name]])</f>
        <v>Sneha Patel</v>
      </c>
      <c r="F1338" t="s">
        <v>44</v>
      </c>
      <c r="G1338">
        <v>60</v>
      </c>
      <c r="H1338" t="s">
        <v>168</v>
      </c>
      <c r="I1338" t="str">
        <f>TRIM(excelsalesdata[[#This Row],[City]])</f>
        <v>Delhi</v>
      </c>
      <c r="J1338" t="s">
        <v>168</v>
      </c>
      <c r="K1338" t="s">
        <v>61</v>
      </c>
      <c r="L1338" t="s">
        <v>27</v>
      </c>
      <c r="M1338" t="s">
        <v>295</v>
      </c>
      <c r="N1338" t="s">
        <v>295</v>
      </c>
      <c r="O1338">
        <v>3</v>
      </c>
      <c r="P1338">
        <v>4080</v>
      </c>
      <c r="Q1338">
        <v>0</v>
      </c>
      <c r="R1338">
        <v>2630</v>
      </c>
      <c r="S1338" t="s">
        <v>29</v>
      </c>
      <c r="T1338" t="s">
        <v>30</v>
      </c>
      <c r="U1338">
        <v>7</v>
      </c>
      <c r="V1338" t="s">
        <v>40</v>
      </c>
      <c r="W1338">
        <f>excelsalesdata[[#This Row],[Quantity]]*excelsalesdata[[#This Row],[Unit_Price]]</f>
        <v>12240</v>
      </c>
      <c r="X1338">
        <f>excelsalesdata[[#This Row],[Gross_sales]]*excelsalesdata[[#This Row],[Discount_%]]</f>
        <v>0</v>
      </c>
      <c r="Y1338">
        <f>excelsalesdata[[#This Row],[Gross_sales]]-excelsalesdata[[#This Row],[Discount_amt]]</f>
        <v>12240</v>
      </c>
      <c r="Z1338" s="4">
        <f>excelsalesdata[[#This Row],[Net_sales]]-excelsalesdata[[#This Row],[Cost]]</f>
        <v>9610</v>
      </c>
      <c r="AA1338" s="5">
        <f>excelsalesdata[[#This Row],[Profit]]/excelsalesdata[[#This Row],[Net_sales]]</f>
        <v>0.78513071895424835</v>
      </c>
      <c r="AB1338" s="4">
        <f>YEAR(excelsalesdata[[#This Row],[Order_Date]])</f>
        <v>2028</v>
      </c>
      <c r="AC1338" s="4" t="str">
        <f>TEXT(excelsalesdata[[#This Row],[Order_Date]],"mmm")</f>
        <v>Dec</v>
      </c>
      <c r="AD1338" s="4" t="str">
        <f>"Q"&amp;ROUNDUP(MONTH(excelsalesdata[[#This Row],[Order_Date]])/3,0)</f>
        <v>Q4</v>
      </c>
    </row>
    <row r="1339" spans="1:30" x14ac:dyDescent="0.35">
      <c r="A1339" t="s">
        <v>2156</v>
      </c>
      <c r="B1339" s="3">
        <v>47097</v>
      </c>
      <c r="C1339" t="s">
        <v>1476</v>
      </c>
      <c r="D1339" t="s">
        <v>250</v>
      </c>
      <c r="E1339" t="str">
        <f>TRIM(excelsalesdata[[#This Row],[Customer_Name]])</f>
        <v>Rohan Singh</v>
      </c>
      <c r="F1339" t="s">
        <v>23</v>
      </c>
      <c r="G1339">
        <v>27</v>
      </c>
      <c r="H1339" t="s">
        <v>114</v>
      </c>
      <c r="I1339" t="str">
        <f>TRIM(excelsalesdata[[#This Row],[City]])</f>
        <v>Hyderabad</v>
      </c>
      <c r="J1339" t="s">
        <v>115</v>
      </c>
      <c r="K1339" t="s">
        <v>47</v>
      </c>
      <c r="L1339" t="s">
        <v>54</v>
      </c>
      <c r="M1339" t="s">
        <v>55</v>
      </c>
      <c r="N1339" t="s">
        <v>55</v>
      </c>
      <c r="O1339">
        <v>2</v>
      </c>
      <c r="P1339">
        <v>7430</v>
      </c>
      <c r="Q1339">
        <v>0</v>
      </c>
      <c r="R1339">
        <v>4430</v>
      </c>
      <c r="S1339" t="s">
        <v>80</v>
      </c>
      <c r="T1339" t="s">
        <v>81</v>
      </c>
      <c r="U1339">
        <v>0</v>
      </c>
      <c r="V1339" t="s">
        <v>31</v>
      </c>
      <c r="W1339">
        <f>excelsalesdata[[#This Row],[Quantity]]*excelsalesdata[[#This Row],[Unit_Price]]</f>
        <v>14860</v>
      </c>
      <c r="X1339">
        <f>excelsalesdata[[#This Row],[Gross_sales]]*excelsalesdata[[#This Row],[Discount_%]]</f>
        <v>0</v>
      </c>
      <c r="Y1339">
        <f>excelsalesdata[[#This Row],[Gross_sales]]-excelsalesdata[[#This Row],[Discount_amt]]</f>
        <v>14860</v>
      </c>
      <c r="Z1339" s="4">
        <f>excelsalesdata[[#This Row],[Net_sales]]-excelsalesdata[[#This Row],[Cost]]</f>
        <v>10430</v>
      </c>
      <c r="AA1339" s="5">
        <f>excelsalesdata[[#This Row],[Profit]]/excelsalesdata[[#This Row],[Net_sales]]</f>
        <v>0.70188425302826385</v>
      </c>
      <c r="AB1339" s="4">
        <f>YEAR(excelsalesdata[[#This Row],[Order_Date]])</f>
        <v>2028</v>
      </c>
      <c r="AC1339" s="4" t="str">
        <f>TEXT(excelsalesdata[[#This Row],[Order_Date]],"mmm")</f>
        <v>Dec</v>
      </c>
      <c r="AD1339" s="4" t="str">
        <f>"Q"&amp;ROUNDUP(MONTH(excelsalesdata[[#This Row],[Order_Date]])/3,0)</f>
        <v>Q4</v>
      </c>
    </row>
    <row r="1340" spans="1:30" x14ac:dyDescent="0.35">
      <c r="A1340" t="s">
        <v>2157</v>
      </c>
      <c r="B1340" s="3">
        <v>47098</v>
      </c>
      <c r="C1340" t="s">
        <v>761</v>
      </c>
      <c r="D1340" t="s">
        <v>65</v>
      </c>
      <c r="E1340" t="str">
        <f>TRIM(excelsalesdata[[#This Row],[Customer_Name]])</f>
        <v>Aarav Nair</v>
      </c>
      <c r="F1340" t="s">
        <v>23</v>
      </c>
      <c r="G1340">
        <v>30</v>
      </c>
      <c r="H1340" t="s">
        <v>35</v>
      </c>
      <c r="I1340" t="str">
        <f>TRIM(excelsalesdata[[#This Row],[City]])</f>
        <v>Kolkata</v>
      </c>
      <c r="J1340" t="s">
        <v>36</v>
      </c>
      <c r="K1340" t="s">
        <v>37</v>
      </c>
      <c r="L1340" t="s">
        <v>54</v>
      </c>
      <c r="M1340" t="s">
        <v>62</v>
      </c>
      <c r="N1340" t="s">
        <v>62</v>
      </c>
      <c r="O1340">
        <v>1</v>
      </c>
      <c r="P1340">
        <v>20980</v>
      </c>
      <c r="Q1340">
        <v>0.1</v>
      </c>
      <c r="R1340">
        <v>15980</v>
      </c>
      <c r="S1340" t="s">
        <v>29</v>
      </c>
      <c r="T1340" t="s">
        <v>74</v>
      </c>
      <c r="U1340">
        <v>1</v>
      </c>
      <c r="V1340" t="s">
        <v>31</v>
      </c>
      <c r="W1340">
        <f>excelsalesdata[[#This Row],[Quantity]]*excelsalesdata[[#This Row],[Unit_Price]]</f>
        <v>20980</v>
      </c>
      <c r="X1340">
        <f>excelsalesdata[[#This Row],[Gross_sales]]*excelsalesdata[[#This Row],[Discount_%]]</f>
        <v>2098</v>
      </c>
      <c r="Y1340">
        <f>excelsalesdata[[#This Row],[Gross_sales]]-excelsalesdata[[#This Row],[Discount_amt]]</f>
        <v>18882</v>
      </c>
      <c r="Z1340" s="4">
        <f>excelsalesdata[[#This Row],[Net_sales]]-excelsalesdata[[#This Row],[Cost]]</f>
        <v>2902</v>
      </c>
      <c r="AA1340" s="5">
        <f>excelsalesdata[[#This Row],[Profit]]/excelsalesdata[[#This Row],[Net_sales]]</f>
        <v>0.15369134625569325</v>
      </c>
      <c r="AB1340" s="4">
        <f>YEAR(excelsalesdata[[#This Row],[Order_Date]])</f>
        <v>2028</v>
      </c>
      <c r="AC1340" s="4" t="str">
        <f>TEXT(excelsalesdata[[#This Row],[Order_Date]],"mmm")</f>
        <v>Dec</v>
      </c>
      <c r="AD1340" s="4" t="str">
        <f>"Q"&amp;ROUNDUP(MONTH(excelsalesdata[[#This Row],[Order_Date]])/3,0)</f>
        <v>Q4</v>
      </c>
    </row>
    <row r="1341" spans="1:30" x14ac:dyDescent="0.35">
      <c r="A1341" t="s">
        <v>2158</v>
      </c>
      <c r="B1341" s="3">
        <v>47099</v>
      </c>
      <c r="C1341" t="s">
        <v>125</v>
      </c>
      <c r="D1341" t="s">
        <v>43</v>
      </c>
      <c r="E1341" t="str">
        <f>TRIM(excelsalesdata[[#This Row],[Customer_Name]])</f>
        <v>Nisha Nair</v>
      </c>
      <c r="F1341" t="s">
        <v>23</v>
      </c>
      <c r="G1341">
        <v>36</v>
      </c>
      <c r="H1341" t="s">
        <v>133</v>
      </c>
      <c r="I1341" t="str">
        <f>TRIM(excelsalesdata[[#This Row],[City]])</f>
        <v>Jaipur</v>
      </c>
      <c r="J1341" t="s">
        <v>134</v>
      </c>
      <c r="K1341" t="s">
        <v>61</v>
      </c>
      <c r="L1341" t="s">
        <v>103</v>
      </c>
      <c r="M1341" t="s">
        <v>312</v>
      </c>
      <c r="N1341" t="s">
        <v>312</v>
      </c>
      <c r="O1341">
        <v>1</v>
      </c>
      <c r="P1341">
        <v>6390</v>
      </c>
      <c r="Q1341">
        <v>0.2</v>
      </c>
      <c r="R1341">
        <v>4310</v>
      </c>
      <c r="S1341" t="s">
        <v>80</v>
      </c>
      <c r="T1341" t="s">
        <v>30</v>
      </c>
      <c r="U1341">
        <v>2</v>
      </c>
      <c r="V1341" t="s">
        <v>40</v>
      </c>
      <c r="W1341">
        <f>excelsalesdata[[#This Row],[Quantity]]*excelsalesdata[[#This Row],[Unit_Price]]</f>
        <v>6390</v>
      </c>
      <c r="X1341">
        <f>excelsalesdata[[#This Row],[Gross_sales]]*excelsalesdata[[#This Row],[Discount_%]]</f>
        <v>1278</v>
      </c>
      <c r="Y1341">
        <f>excelsalesdata[[#This Row],[Gross_sales]]-excelsalesdata[[#This Row],[Discount_amt]]</f>
        <v>5112</v>
      </c>
      <c r="Z1341" s="4">
        <f>excelsalesdata[[#This Row],[Net_sales]]-excelsalesdata[[#This Row],[Cost]]</f>
        <v>802</v>
      </c>
      <c r="AA1341" s="5">
        <f>excelsalesdata[[#This Row],[Profit]]/excelsalesdata[[#This Row],[Net_sales]]</f>
        <v>0.15688575899843504</v>
      </c>
      <c r="AB1341" s="4">
        <f>YEAR(excelsalesdata[[#This Row],[Order_Date]])</f>
        <v>2028</v>
      </c>
      <c r="AC1341" s="4" t="str">
        <f>TEXT(excelsalesdata[[#This Row],[Order_Date]],"mmm")</f>
        <v>Dec</v>
      </c>
      <c r="AD1341" s="4" t="str">
        <f>"Q"&amp;ROUNDUP(MONTH(excelsalesdata[[#This Row],[Order_Date]])/3,0)</f>
        <v>Q4</v>
      </c>
    </row>
    <row r="1342" spans="1:30" x14ac:dyDescent="0.35">
      <c r="A1342" t="s">
        <v>2159</v>
      </c>
      <c r="B1342" s="3">
        <v>47100</v>
      </c>
      <c r="C1342" t="s">
        <v>471</v>
      </c>
      <c r="D1342" t="s">
        <v>786</v>
      </c>
      <c r="E1342" t="str">
        <f>TRIM(excelsalesdata[[#This Row],[Customer_Name]])</f>
        <v>Aarav Patel</v>
      </c>
      <c r="F1342" t="s">
        <v>23</v>
      </c>
      <c r="G1342">
        <v>37</v>
      </c>
      <c r="H1342" t="s">
        <v>190</v>
      </c>
      <c r="I1342" t="str">
        <f>TRIM(excelsalesdata[[#This Row],[City]])</f>
        <v>Ahmedabad</v>
      </c>
      <c r="J1342" t="s">
        <v>191</v>
      </c>
      <c r="K1342" t="s">
        <v>26</v>
      </c>
      <c r="L1342" t="s">
        <v>93</v>
      </c>
      <c r="M1342" t="s">
        <v>94</v>
      </c>
      <c r="N1342" t="s">
        <v>94</v>
      </c>
      <c r="O1342">
        <v>2</v>
      </c>
      <c r="P1342">
        <v>490</v>
      </c>
      <c r="Q1342">
        <v>0.15</v>
      </c>
      <c r="R1342">
        <v>230</v>
      </c>
      <c r="S1342" t="s">
        <v>80</v>
      </c>
      <c r="T1342" t="s">
        <v>30</v>
      </c>
      <c r="U1342">
        <v>3</v>
      </c>
      <c r="V1342" t="s">
        <v>40</v>
      </c>
      <c r="W1342">
        <f>excelsalesdata[[#This Row],[Quantity]]*excelsalesdata[[#This Row],[Unit_Price]]</f>
        <v>980</v>
      </c>
      <c r="X1342">
        <f>excelsalesdata[[#This Row],[Gross_sales]]*excelsalesdata[[#This Row],[Discount_%]]</f>
        <v>147</v>
      </c>
      <c r="Y1342">
        <f>excelsalesdata[[#This Row],[Gross_sales]]-excelsalesdata[[#This Row],[Discount_amt]]</f>
        <v>833</v>
      </c>
      <c r="Z1342" s="4">
        <f>excelsalesdata[[#This Row],[Net_sales]]-excelsalesdata[[#This Row],[Cost]]</f>
        <v>603</v>
      </c>
      <c r="AA1342" s="5">
        <f>excelsalesdata[[#This Row],[Profit]]/excelsalesdata[[#This Row],[Net_sales]]</f>
        <v>0.72388955582232895</v>
      </c>
      <c r="AB1342" s="4">
        <f>YEAR(excelsalesdata[[#This Row],[Order_Date]])</f>
        <v>2028</v>
      </c>
      <c r="AC1342" s="4" t="str">
        <f>TEXT(excelsalesdata[[#This Row],[Order_Date]],"mmm")</f>
        <v>Dec</v>
      </c>
      <c r="AD1342" s="4" t="str">
        <f>"Q"&amp;ROUNDUP(MONTH(excelsalesdata[[#This Row],[Order_Date]])/3,0)</f>
        <v>Q4</v>
      </c>
    </row>
    <row r="1343" spans="1:30" x14ac:dyDescent="0.35">
      <c r="A1343" t="s">
        <v>2160</v>
      </c>
      <c r="B1343" s="3">
        <v>47101</v>
      </c>
      <c r="C1343" t="s">
        <v>1053</v>
      </c>
      <c r="D1343" t="s">
        <v>922</v>
      </c>
      <c r="E1343" t="str">
        <f>TRIM(excelsalesdata[[#This Row],[Customer_Name]])</f>
        <v>Arjun Kumar</v>
      </c>
      <c r="F1343" t="s">
        <v>23</v>
      </c>
      <c r="G1343">
        <v>50</v>
      </c>
      <c r="H1343" t="s">
        <v>155</v>
      </c>
      <c r="I1343" t="str">
        <f>TRIM(excelsalesdata[[#This Row],[City]])</f>
        <v>Chennai</v>
      </c>
      <c r="J1343" t="s">
        <v>156</v>
      </c>
      <c r="K1343" t="s">
        <v>47</v>
      </c>
      <c r="L1343" t="s">
        <v>54</v>
      </c>
      <c r="M1343" t="s">
        <v>55</v>
      </c>
      <c r="N1343" t="s">
        <v>55</v>
      </c>
      <c r="O1343">
        <v>3</v>
      </c>
      <c r="P1343">
        <v>7290</v>
      </c>
      <c r="Q1343">
        <v>0.05</v>
      </c>
      <c r="R1343">
        <v>4700</v>
      </c>
      <c r="S1343" t="s">
        <v>29</v>
      </c>
      <c r="T1343" t="s">
        <v>99</v>
      </c>
      <c r="U1343">
        <v>2</v>
      </c>
      <c r="V1343" t="s">
        <v>40</v>
      </c>
      <c r="W1343">
        <f>excelsalesdata[[#This Row],[Quantity]]*excelsalesdata[[#This Row],[Unit_Price]]</f>
        <v>21870</v>
      </c>
      <c r="X1343">
        <f>excelsalesdata[[#This Row],[Gross_sales]]*excelsalesdata[[#This Row],[Discount_%]]</f>
        <v>1093.5</v>
      </c>
      <c r="Y1343">
        <f>excelsalesdata[[#This Row],[Gross_sales]]-excelsalesdata[[#This Row],[Discount_amt]]</f>
        <v>20776.5</v>
      </c>
      <c r="Z1343" s="4">
        <f>excelsalesdata[[#This Row],[Net_sales]]-excelsalesdata[[#This Row],[Cost]]</f>
        <v>16076.5</v>
      </c>
      <c r="AA1343" s="5">
        <f>excelsalesdata[[#This Row],[Profit]]/excelsalesdata[[#This Row],[Net_sales]]</f>
        <v>0.77378287969581017</v>
      </c>
      <c r="AB1343" s="4">
        <f>YEAR(excelsalesdata[[#This Row],[Order_Date]])</f>
        <v>2028</v>
      </c>
      <c r="AC1343" s="4" t="str">
        <f>TEXT(excelsalesdata[[#This Row],[Order_Date]],"mmm")</f>
        <v>Dec</v>
      </c>
      <c r="AD1343" s="4" t="str">
        <f>"Q"&amp;ROUNDUP(MONTH(excelsalesdata[[#This Row],[Order_Date]])/3,0)</f>
        <v>Q4</v>
      </c>
    </row>
    <row r="1344" spans="1:30" x14ac:dyDescent="0.35">
      <c r="A1344" t="s">
        <v>2161</v>
      </c>
      <c r="B1344" s="3">
        <v>47102</v>
      </c>
      <c r="C1344" t="s">
        <v>959</v>
      </c>
      <c r="D1344" t="s">
        <v>189</v>
      </c>
      <c r="E1344" t="str">
        <f>TRIM(excelsalesdata[[#This Row],[Customer_Name]])</f>
        <v>Aarav Reddy</v>
      </c>
      <c r="F1344" t="s">
        <v>23</v>
      </c>
      <c r="G1344">
        <v>42</v>
      </c>
      <c r="H1344" t="s">
        <v>133</v>
      </c>
      <c r="I1344" t="str">
        <f>TRIM(excelsalesdata[[#This Row],[City]])</f>
        <v>Jaipur</v>
      </c>
      <c r="J1344" t="s">
        <v>134</v>
      </c>
      <c r="K1344" t="s">
        <v>61</v>
      </c>
      <c r="L1344" t="s">
        <v>38</v>
      </c>
      <c r="M1344" t="s">
        <v>161</v>
      </c>
      <c r="N1344" t="s">
        <v>161</v>
      </c>
      <c r="O1344">
        <v>1</v>
      </c>
      <c r="P1344">
        <v>25970</v>
      </c>
      <c r="Q1344">
        <v>0.15</v>
      </c>
      <c r="R1344">
        <v>19610</v>
      </c>
      <c r="S1344" t="s">
        <v>151</v>
      </c>
      <c r="T1344" t="s">
        <v>30</v>
      </c>
      <c r="U1344">
        <v>2</v>
      </c>
      <c r="V1344" t="s">
        <v>31</v>
      </c>
      <c r="W1344">
        <f>excelsalesdata[[#This Row],[Quantity]]*excelsalesdata[[#This Row],[Unit_Price]]</f>
        <v>25970</v>
      </c>
      <c r="X1344">
        <f>excelsalesdata[[#This Row],[Gross_sales]]*excelsalesdata[[#This Row],[Discount_%]]</f>
        <v>3895.5</v>
      </c>
      <c r="Y1344">
        <f>excelsalesdata[[#This Row],[Gross_sales]]-excelsalesdata[[#This Row],[Discount_amt]]</f>
        <v>22074.5</v>
      </c>
      <c r="Z1344" s="4">
        <f>excelsalesdata[[#This Row],[Net_sales]]-excelsalesdata[[#This Row],[Cost]]</f>
        <v>2464.5</v>
      </c>
      <c r="AA1344" s="5">
        <f>excelsalesdata[[#This Row],[Profit]]/excelsalesdata[[#This Row],[Net_sales]]</f>
        <v>0.11164465786314526</v>
      </c>
      <c r="AB1344" s="4">
        <f>YEAR(excelsalesdata[[#This Row],[Order_Date]])</f>
        <v>2028</v>
      </c>
      <c r="AC1344" s="4" t="str">
        <f>TEXT(excelsalesdata[[#This Row],[Order_Date]],"mmm")</f>
        <v>Dec</v>
      </c>
      <c r="AD1344" s="4" t="str">
        <f>"Q"&amp;ROUNDUP(MONTH(excelsalesdata[[#This Row],[Order_Date]])/3,0)</f>
        <v>Q4</v>
      </c>
    </row>
    <row r="1345" spans="1:30" x14ac:dyDescent="0.35">
      <c r="A1345" t="s">
        <v>2162</v>
      </c>
      <c r="B1345" s="3">
        <v>47103</v>
      </c>
      <c r="C1345" t="s">
        <v>1310</v>
      </c>
      <c r="D1345" t="s">
        <v>1044</v>
      </c>
      <c r="E1345" t="str">
        <f>TRIM(excelsalesdata[[#This Row],[Customer_Name]])</f>
        <v>Ananya Bhat</v>
      </c>
      <c r="F1345" t="s">
        <v>44</v>
      </c>
      <c r="G1345">
        <v>41</v>
      </c>
      <c r="H1345" t="s">
        <v>190</v>
      </c>
      <c r="I1345" t="str">
        <f>TRIM(excelsalesdata[[#This Row],[City]])</f>
        <v>Ahmedabad</v>
      </c>
      <c r="J1345" t="s">
        <v>191</v>
      </c>
      <c r="K1345" t="s">
        <v>26</v>
      </c>
      <c r="L1345" t="s">
        <v>54</v>
      </c>
      <c r="M1345" t="s">
        <v>66</v>
      </c>
      <c r="N1345" t="s">
        <v>66</v>
      </c>
      <c r="O1345">
        <v>2</v>
      </c>
      <c r="P1345">
        <v>2370</v>
      </c>
      <c r="Q1345">
        <v>0.15</v>
      </c>
      <c r="R1345">
        <v>1500</v>
      </c>
      <c r="S1345" t="s">
        <v>80</v>
      </c>
      <c r="T1345" t="s">
        <v>74</v>
      </c>
      <c r="U1345">
        <v>4</v>
      </c>
      <c r="V1345" t="s">
        <v>40</v>
      </c>
      <c r="W1345">
        <f>excelsalesdata[[#This Row],[Quantity]]*excelsalesdata[[#This Row],[Unit_Price]]</f>
        <v>4740</v>
      </c>
      <c r="X1345">
        <f>excelsalesdata[[#This Row],[Gross_sales]]*excelsalesdata[[#This Row],[Discount_%]]</f>
        <v>711</v>
      </c>
      <c r="Y1345">
        <f>excelsalesdata[[#This Row],[Gross_sales]]-excelsalesdata[[#This Row],[Discount_amt]]</f>
        <v>4029</v>
      </c>
      <c r="Z1345" s="4">
        <f>excelsalesdata[[#This Row],[Net_sales]]-excelsalesdata[[#This Row],[Cost]]</f>
        <v>2529</v>
      </c>
      <c r="AA1345" s="5">
        <f>excelsalesdata[[#This Row],[Profit]]/excelsalesdata[[#This Row],[Net_sales]]</f>
        <v>0.6276991809381981</v>
      </c>
      <c r="AB1345" s="4">
        <f>YEAR(excelsalesdata[[#This Row],[Order_Date]])</f>
        <v>2028</v>
      </c>
      <c r="AC1345" s="4" t="str">
        <f>TEXT(excelsalesdata[[#This Row],[Order_Date]],"mmm")</f>
        <v>Dec</v>
      </c>
      <c r="AD1345" s="4" t="str">
        <f>"Q"&amp;ROUNDUP(MONTH(excelsalesdata[[#This Row],[Order_Date]])/3,0)</f>
        <v>Q4</v>
      </c>
    </row>
    <row r="1346" spans="1:30" x14ac:dyDescent="0.35">
      <c r="A1346" t="s">
        <v>2163</v>
      </c>
      <c r="B1346" s="3">
        <v>47104</v>
      </c>
      <c r="C1346" t="s">
        <v>257</v>
      </c>
      <c r="D1346" t="s">
        <v>532</v>
      </c>
      <c r="E1346" t="str">
        <f>TRIM(excelsalesdata[[#This Row],[Customer_Name]])</f>
        <v>Ananya Mehta</v>
      </c>
      <c r="F1346" t="s">
        <v>44</v>
      </c>
      <c r="G1346">
        <v>28</v>
      </c>
      <c r="H1346" t="s">
        <v>168</v>
      </c>
      <c r="I1346" t="str">
        <f>TRIM(excelsalesdata[[#This Row],[City]])</f>
        <v>Delhi</v>
      </c>
      <c r="J1346" t="s">
        <v>168</v>
      </c>
      <c r="K1346" t="s">
        <v>61</v>
      </c>
      <c r="L1346" t="s">
        <v>93</v>
      </c>
      <c r="M1346" t="s">
        <v>135</v>
      </c>
      <c r="N1346" t="s">
        <v>135</v>
      </c>
      <c r="O1346">
        <v>2</v>
      </c>
      <c r="P1346">
        <v>1880</v>
      </c>
      <c r="Q1346">
        <v>0.15</v>
      </c>
      <c r="R1346">
        <v>1020</v>
      </c>
      <c r="S1346" t="s">
        <v>151</v>
      </c>
      <c r="T1346" t="s">
        <v>30</v>
      </c>
      <c r="U1346">
        <v>3</v>
      </c>
      <c r="V1346" t="s">
        <v>40</v>
      </c>
      <c r="W1346">
        <f>excelsalesdata[[#This Row],[Quantity]]*excelsalesdata[[#This Row],[Unit_Price]]</f>
        <v>3760</v>
      </c>
      <c r="X1346">
        <f>excelsalesdata[[#This Row],[Gross_sales]]*excelsalesdata[[#This Row],[Discount_%]]</f>
        <v>564</v>
      </c>
      <c r="Y1346">
        <f>excelsalesdata[[#This Row],[Gross_sales]]-excelsalesdata[[#This Row],[Discount_amt]]</f>
        <v>3196</v>
      </c>
      <c r="Z1346" s="4">
        <f>excelsalesdata[[#This Row],[Net_sales]]-excelsalesdata[[#This Row],[Cost]]</f>
        <v>2176</v>
      </c>
      <c r="AA1346" s="5">
        <f>excelsalesdata[[#This Row],[Profit]]/excelsalesdata[[#This Row],[Net_sales]]</f>
        <v>0.68085106382978722</v>
      </c>
      <c r="AB1346" s="4">
        <f>YEAR(excelsalesdata[[#This Row],[Order_Date]])</f>
        <v>2028</v>
      </c>
      <c r="AC1346" s="4" t="str">
        <f>TEXT(excelsalesdata[[#This Row],[Order_Date]],"mmm")</f>
        <v>Dec</v>
      </c>
      <c r="AD1346" s="4" t="str">
        <f>"Q"&amp;ROUNDUP(MONTH(excelsalesdata[[#This Row],[Order_Date]])/3,0)</f>
        <v>Q4</v>
      </c>
    </row>
    <row r="1347" spans="1:30" x14ac:dyDescent="0.35">
      <c r="A1347" t="s">
        <v>2164</v>
      </c>
      <c r="B1347" s="3">
        <v>47105</v>
      </c>
      <c r="C1347" t="s">
        <v>462</v>
      </c>
      <c r="D1347" t="s">
        <v>315</v>
      </c>
      <c r="E1347" t="str">
        <f>TRIM(excelsalesdata[[#This Row],[Customer_Name]])</f>
        <v>Diya Rao</v>
      </c>
      <c r="F1347" t="s">
        <v>23</v>
      </c>
      <c r="G1347">
        <v>25</v>
      </c>
      <c r="H1347" t="s">
        <v>168</v>
      </c>
      <c r="I1347" t="str">
        <f>TRIM(excelsalesdata[[#This Row],[City]])</f>
        <v>Delhi</v>
      </c>
      <c r="J1347" t="s">
        <v>168</v>
      </c>
      <c r="K1347" t="s">
        <v>61</v>
      </c>
      <c r="L1347" t="s">
        <v>38</v>
      </c>
      <c r="M1347" t="s">
        <v>39</v>
      </c>
      <c r="N1347" t="s">
        <v>39</v>
      </c>
      <c r="O1347">
        <v>2</v>
      </c>
      <c r="P1347">
        <v>6170</v>
      </c>
      <c r="Q1347">
        <v>0.15</v>
      </c>
      <c r="R1347">
        <v>4410</v>
      </c>
      <c r="S1347" t="s">
        <v>151</v>
      </c>
      <c r="T1347" t="s">
        <v>30</v>
      </c>
      <c r="U1347">
        <v>2</v>
      </c>
      <c r="V1347" t="s">
        <v>31</v>
      </c>
      <c r="W1347">
        <f>excelsalesdata[[#This Row],[Quantity]]*excelsalesdata[[#This Row],[Unit_Price]]</f>
        <v>12340</v>
      </c>
      <c r="X1347">
        <f>excelsalesdata[[#This Row],[Gross_sales]]*excelsalesdata[[#This Row],[Discount_%]]</f>
        <v>1851</v>
      </c>
      <c r="Y1347">
        <f>excelsalesdata[[#This Row],[Gross_sales]]-excelsalesdata[[#This Row],[Discount_amt]]</f>
        <v>10489</v>
      </c>
      <c r="Z1347" s="4">
        <f>excelsalesdata[[#This Row],[Net_sales]]-excelsalesdata[[#This Row],[Cost]]</f>
        <v>6079</v>
      </c>
      <c r="AA1347" s="5">
        <f>excelsalesdata[[#This Row],[Profit]]/excelsalesdata[[#This Row],[Net_sales]]</f>
        <v>0.57955953856421016</v>
      </c>
      <c r="AB1347" s="4">
        <f>YEAR(excelsalesdata[[#This Row],[Order_Date]])</f>
        <v>2028</v>
      </c>
      <c r="AC1347" s="4" t="str">
        <f>TEXT(excelsalesdata[[#This Row],[Order_Date]],"mmm")</f>
        <v>Dec</v>
      </c>
      <c r="AD1347" s="4" t="str">
        <f>"Q"&amp;ROUNDUP(MONTH(excelsalesdata[[#This Row],[Order_Date]])/3,0)</f>
        <v>Q4</v>
      </c>
    </row>
    <row r="1348" spans="1:30" x14ac:dyDescent="0.35">
      <c r="A1348" t="s">
        <v>2165</v>
      </c>
      <c r="B1348" s="3">
        <v>47106</v>
      </c>
      <c r="C1348" t="s">
        <v>1916</v>
      </c>
      <c r="D1348" t="s">
        <v>540</v>
      </c>
      <c r="E1348" t="str">
        <f>TRIM(excelsalesdata[[#This Row],[Customer_Name]])</f>
        <v>Priya Kumar</v>
      </c>
      <c r="F1348" t="s">
        <v>23</v>
      </c>
      <c r="G1348">
        <v>28</v>
      </c>
      <c r="H1348" t="s">
        <v>60</v>
      </c>
      <c r="I1348" t="str">
        <f>TRIM(excelsalesdata[[#This Row],[City]])</f>
        <v>Chandigarh</v>
      </c>
      <c r="J1348" t="s">
        <v>60</v>
      </c>
      <c r="K1348" t="s">
        <v>61</v>
      </c>
      <c r="L1348" t="s">
        <v>38</v>
      </c>
      <c r="M1348" t="s">
        <v>119</v>
      </c>
      <c r="N1348" t="s">
        <v>119</v>
      </c>
      <c r="O1348">
        <v>1</v>
      </c>
      <c r="P1348">
        <v>8190</v>
      </c>
      <c r="Q1348">
        <v>0.25</v>
      </c>
      <c r="R1348">
        <v>5700</v>
      </c>
      <c r="S1348" t="s">
        <v>67</v>
      </c>
      <c r="T1348" t="s">
        <v>74</v>
      </c>
      <c r="U1348">
        <v>4</v>
      </c>
      <c r="V1348" t="s">
        <v>40</v>
      </c>
      <c r="W1348">
        <f>excelsalesdata[[#This Row],[Quantity]]*excelsalesdata[[#This Row],[Unit_Price]]</f>
        <v>8190</v>
      </c>
      <c r="X1348">
        <f>excelsalesdata[[#This Row],[Gross_sales]]*excelsalesdata[[#This Row],[Discount_%]]</f>
        <v>2047.5</v>
      </c>
      <c r="Y1348">
        <f>excelsalesdata[[#This Row],[Gross_sales]]-excelsalesdata[[#This Row],[Discount_amt]]</f>
        <v>6142.5</v>
      </c>
      <c r="Z1348" s="4">
        <f>excelsalesdata[[#This Row],[Net_sales]]-excelsalesdata[[#This Row],[Cost]]</f>
        <v>442.5</v>
      </c>
      <c r="AA1348" s="5">
        <f>excelsalesdata[[#This Row],[Profit]]/excelsalesdata[[#This Row],[Net_sales]]</f>
        <v>7.2039072039072033E-2</v>
      </c>
      <c r="AB1348" s="4">
        <f>YEAR(excelsalesdata[[#This Row],[Order_Date]])</f>
        <v>2028</v>
      </c>
      <c r="AC1348" s="4" t="str">
        <f>TEXT(excelsalesdata[[#This Row],[Order_Date]],"mmm")</f>
        <v>Dec</v>
      </c>
      <c r="AD1348" s="4" t="str">
        <f>"Q"&amp;ROUNDUP(MONTH(excelsalesdata[[#This Row],[Order_Date]])/3,0)</f>
        <v>Q4</v>
      </c>
    </row>
    <row r="1349" spans="1:30" x14ac:dyDescent="0.35">
      <c r="A1349" t="s">
        <v>2166</v>
      </c>
      <c r="B1349" s="3">
        <v>47107</v>
      </c>
      <c r="C1349" t="s">
        <v>722</v>
      </c>
      <c r="D1349" t="s">
        <v>488</v>
      </c>
      <c r="E1349" t="str">
        <f>TRIM(excelsalesdata[[#This Row],[Customer_Name]])</f>
        <v>Nisha Singh</v>
      </c>
      <c r="F1349" t="s">
        <v>23</v>
      </c>
      <c r="G1349">
        <v>58</v>
      </c>
      <c r="H1349" t="s">
        <v>109</v>
      </c>
      <c r="I1349" t="str">
        <f>TRIM(excelsalesdata[[#This Row],[City]])</f>
        <v>Mysuru</v>
      </c>
      <c r="J1349" t="s">
        <v>53</v>
      </c>
      <c r="K1349" t="s">
        <v>47</v>
      </c>
      <c r="L1349" t="s">
        <v>54</v>
      </c>
      <c r="M1349" t="s">
        <v>55</v>
      </c>
      <c r="N1349" t="s">
        <v>55</v>
      </c>
      <c r="O1349">
        <v>1</v>
      </c>
      <c r="P1349">
        <v>6980</v>
      </c>
      <c r="Q1349">
        <v>0.2</v>
      </c>
      <c r="R1349">
        <v>4500</v>
      </c>
      <c r="S1349" t="s">
        <v>105</v>
      </c>
      <c r="T1349" t="s">
        <v>30</v>
      </c>
      <c r="U1349">
        <v>5</v>
      </c>
      <c r="V1349" t="s">
        <v>40</v>
      </c>
      <c r="W1349">
        <f>excelsalesdata[[#This Row],[Quantity]]*excelsalesdata[[#This Row],[Unit_Price]]</f>
        <v>6980</v>
      </c>
      <c r="X1349">
        <f>excelsalesdata[[#This Row],[Gross_sales]]*excelsalesdata[[#This Row],[Discount_%]]</f>
        <v>1396</v>
      </c>
      <c r="Y1349">
        <f>excelsalesdata[[#This Row],[Gross_sales]]-excelsalesdata[[#This Row],[Discount_amt]]</f>
        <v>5584</v>
      </c>
      <c r="Z1349" s="4">
        <f>excelsalesdata[[#This Row],[Net_sales]]-excelsalesdata[[#This Row],[Cost]]</f>
        <v>1084</v>
      </c>
      <c r="AA1349" s="5">
        <f>excelsalesdata[[#This Row],[Profit]]/excelsalesdata[[#This Row],[Net_sales]]</f>
        <v>0.19412607449856734</v>
      </c>
      <c r="AB1349" s="4">
        <f>YEAR(excelsalesdata[[#This Row],[Order_Date]])</f>
        <v>2028</v>
      </c>
      <c r="AC1349" s="4" t="str">
        <f>TEXT(excelsalesdata[[#This Row],[Order_Date]],"mmm")</f>
        <v>Dec</v>
      </c>
      <c r="AD1349" s="4" t="str">
        <f>"Q"&amp;ROUNDUP(MONTH(excelsalesdata[[#This Row],[Order_Date]])/3,0)</f>
        <v>Q4</v>
      </c>
    </row>
    <row r="1350" spans="1:30" x14ac:dyDescent="0.35">
      <c r="A1350" t="s">
        <v>2167</v>
      </c>
      <c r="B1350" s="3">
        <v>47108</v>
      </c>
      <c r="C1350" t="s">
        <v>839</v>
      </c>
      <c r="D1350" t="s">
        <v>184</v>
      </c>
      <c r="E1350" t="str">
        <f>TRIM(excelsalesdata[[#This Row],[Customer_Name]])</f>
        <v>Aditya Verma</v>
      </c>
      <c r="F1350" t="s">
        <v>23</v>
      </c>
      <c r="G1350">
        <v>57</v>
      </c>
      <c r="H1350" t="s">
        <v>185</v>
      </c>
      <c r="I1350" t="str">
        <f>TRIM(excelsalesdata[[#This Row],[City]])</f>
        <v>Lucknow</v>
      </c>
      <c r="J1350" t="s">
        <v>186</v>
      </c>
      <c r="K1350" t="s">
        <v>61</v>
      </c>
      <c r="L1350" t="s">
        <v>103</v>
      </c>
      <c r="M1350" t="s">
        <v>104</v>
      </c>
      <c r="N1350" t="s">
        <v>104</v>
      </c>
      <c r="O1350">
        <v>1</v>
      </c>
      <c r="P1350">
        <v>9090</v>
      </c>
      <c r="Q1350">
        <v>0</v>
      </c>
      <c r="R1350">
        <v>5770</v>
      </c>
      <c r="S1350" t="s">
        <v>151</v>
      </c>
      <c r="T1350" t="s">
        <v>30</v>
      </c>
      <c r="U1350">
        <v>2</v>
      </c>
      <c r="V1350" t="s">
        <v>40</v>
      </c>
      <c r="W1350">
        <f>excelsalesdata[[#This Row],[Quantity]]*excelsalesdata[[#This Row],[Unit_Price]]</f>
        <v>9090</v>
      </c>
      <c r="X1350">
        <f>excelsalesdata[[#This Row],[Gross_sales]]*excelsalesdata[[#This Row],[Discount_%]]</f>
        <v>0</v>
      </c>
      <c r="Y1350">
        <f>excelsalesdata[[#This Row],[Gross_sales]]-excelsalesdata[[#This Row],[Discount_amt]]</f>
        <v>9090</v>
      </c>
      <c r="Z1350" s="4">
        <f>excelsalesdata[[#This Row],[Net_sales]]-excelsalesdata[[#This Row],[Cost]]</f>
        <v>3320</v>
      </c>
      <c r="AA1350" s="5">
        <f>excelsalesdata[[#This Row],[Profit]]/excelsalesdata[[#This Row],[Net_sales]]</f>
        <v>0.36523652365236525</v>
      </c>
      <c r="AB1350" s="4">
        <f>YEAR(excelsalesdata[[#This Row],[Order_Date]])</f>
        <v>2028</v>
      </c>
      <c r="AC1350" s="4" t="str">
        <f>TEXT(excelsalesdata[[#This Row],[Order_Date]],"mmm")</f>
        <v>Dec</v>
      </c>
      <c r="AD1350" s="4" t="str">
        <f>"Q"&amp;ROUNDUP(MONTH(excelsalesdata[[#This Row],[Order_Date]])/3,0)</f>
        <v>Q4</v>
      </c>
    </row>
    <row r="1351" spans="1:30" x14ac:dyDescent="0.35">
      <c r="A1351" t="s">
        <v>2168</v>
      </c>
      <c r="B1351" s="3">
        <v>47109</v>
      </c>
      <c r="C1351" t="s">
        <v>1436</v>
      </c>
      <c r="D1351" t="s">
        <v>328</v>
      </c>
      <c r="E1351" t="str">
        <f>TRIM(excelsalesdata[[#This Row],[Customer_Name]])</f>
        <v>Aarav Verma</v>
      </c>
      <c r="F1351" t="s">
        <v>23</v>
      </c>
      <c r="G1351">
        <v>27</v>
      </c>
      <c r="H1351" t="s">
        <v>45</v>
      </c>
      <c r="I1351" t="str">
        <f>TRIM(excelsalesdata[[#This Row],[City]])</f>
        <v>Kochi</v>
      </c>
      <c r="J1351" t="s">
        <v>46</v>
      </c>
      <c r="K1351" t="s">
        <v>47</v>
      </c>
      <c r="L1351" t="s">
        <v>54</v>
      </c>
      <c r="M1351" t="s">
        <v>129</v>
      </c>
      <c r="N1351" t="s">
        <v>129</v>
      </c>
      <c r="O1351">
        <v>1</v>
      </c>
      <c r="P1351">
        <v>17190</v>
      </c>
      <c r="Q1351">
        <v>0.25</v>
      </c>
      <c r="R1351">
        <v>12770</v>
      </c>
      <c r="S1351" t="s">
        <v>151</v>
      </c>
      <c r="T1351" t="s">
        <v>30</v>
      </c>
      <c r="U1351">
        <v>3</v>
      </c>
      <c r="V1351" t="s">
        <v>31</v>
      </c>
      <c r="W1351">
        <f>excelsalesdata[[#This Row],[Quantity]]*excelsalesdata[[#This Row],[Unit_Price]]</f>
        <v>17190</v>
      </c>
      <c r="X1351">
        <f>excelsalesdata[[#This Row],[Gross_sales]]*excelsalesdata[[#This Row],[Discount_%]]</f>
        <v>4297.5</v>
      </c>
      <c r="Y1351">
        <f>excelsalesdata[[#This Row],[Gross_sales]]-excelsalesdata[[#This Row],[Discount_amt]]</f>
        <v>12892.5</v>
      </c>
      <c r="Z1351" s="4">
        <f>excelsalesdata[[#This Row],[Net_sales]]-excelsalesdata[[#This Row],[Cost]]</f>
        <v>122.5</v>
      </c>
      <c r="AA1351" s="5">
        <f>excelsalesdata[[#This Row],[Profit]]/excelsalesdata[[#This Row],[Net_sales]]</f>
        <v>9.5016482451037425E-3</v>
      </c>
      <c r="AB1351" s="4">
        <f>YEAR(excelsalesdata[[#This Row],[Order_Date]])</f>
        <v>2028</v>
      </c>
      <c r="AC1351" s="4" t="str">
        <f>TEXT(excelsalesdata[[#This Row],[Order_Date]],"mmm")</f>
        <v>Dec</v>
      </c>
      <c r="AD1351" s="4" t="str">
        <f>"Q"&amp;ROUNDUP(MONTH(excelsalesdata[[#This Row],[Order_Date]])/3,0)</f>
        <v>Q4</v>
      </c>
    </row>
    <row r="1352" spans="1:30" x14ac:dyDescent="0.35">
      <c r="A1352" t="s">
        <v>2169</v>
      </c>
      <c r="B1352" s="3">
        <v>47110</v>
      </c>
      <c r="C1352" t="s">
        <v>96</v>
      </c>
      <c r="D1352" t="s">
        <v>294</v>
      </c>
      <c r="E1352" t="str">
        <f>TRIM(excelsalesdata[[#This Row],[Customer_Name]])</f>
        <v>Ananya Gupta</v>
      </c>
      <c r="F1352" t="s">
        <v>23</v>
      </c>
      <c r="G1352">
        <v>37</v>
      </c>
      <c r="H1352" t="s">
        <v>114</v>
      </c>
      <c r="I1352" t="str">
        <f>TRIM(excelsalesdata[[#This Row],[City]])</f>
        <v>Hyderabad</v>
      </c>
      <c r="J1352" t="s">
        <v>115</v>
      </c>
      <c r="K1352" t="s">
        <v>47</v>
      </c>
      <c r="L1352" t="s">
        <v>103</v>
      </c>
      <c r="M1352" t="s">
        <v>178</v>
      </c>
      <c r="N1352" t="s">
        <v>178</v>
      </c>
      <c r="O1352">
        <v>1</v>
      </c>
      <c r="P1352">
        <v>1730</v>
      </c>
      <c r="Q1352">
        <v>0.25</v>
      </c>
      <c r="R1352">
        <v>990</v>
      </c>
      <c r="S1352" t="s">
        <v>80</v>
      </c>
      <c r="T1352" t="s">
        <v>30</v>
      </c>
      <c r="U1352">
        <v>3</v>
      </c>
      <c r="V1352" t="s">
        <v>31</v>
      </c>
      <c r="W1352">
        <f>excelsalesdata[[#This Row],[Quantity]]*excelsalesdata[[#This Row],[Unit_Price]]</f>
        <v>1730</v>
      </c>
      <c r="X1352">
        <f>excelsalesdata[[#This Row],[Gross_sales]]*excelsalesdata[[#This Row],[Discount_%]]</f>
        <v>432.5</v>
      </c>
      <c r="Y1352">
        <f>excelsalesdata[[#This Row],[Gross_sales]]-excelsalesdata[[#This Row],[Discount_amt]]</f>
        <v>1297.5</v>
      </c>
      <c r="Z1352" s="4">
        <f>excelsalesdata[[#This Row],[Net_sales]]-excelsalesdata[[#This Row],[Cost]]</f>
        <v>307.5</v>
      </c>
      <c r="AA1352" s="5">
        <f>excelsalesdata[[#This Row],[Profit]]/excelsalesdata[[#This Row],[Net_sales]]</f>
        <v>0.23699421965317918</v>
      </c>
      <c r="AB1352" s="4">
        <f>YEAR(excelsalesdata[[#This Row],[Order_Date]])</f>
        <v>2028</v>
      </c>
      <c r="AC1352" s="4" t="str">
        <f>TEXT(excelsalesdata[[#This Row],[Order_Date]],"mmm")</f>
        <v>Dec</v>
      </c>
      <c r="AD1352" s="4" t="str">
        <f>"Q"&amp;ROUNDUP(MONTH(excelsalesdata[[#This Row],[Order_Date]])/3,0)</f>
        <v>Q4</v>
      </c>
    </row>
    <row r="1353" spans="1:30" x14ac:dyDescent="0.35">
      <c r="A1353" t="s">
        <v>2170</v>
      </c>
      <c r="B1353" s="3">
        <v>47111</v>
      </c>
      <c r="C1353" t="s">
        <v>1276</v>
      </c>
      <c r="D1353" t="s">
        <v>102</v>
      </c>
      <c r="E1353" t="str">
        <f>TRIM(excelsalesdata[[#This Row],[Customer_Name]])</f>
        <v>Nisha Sharma</v>
      </c>
      <c r="F1353" t="s">
        <v>44</v>
      </c>
      <c r="G1353">
        <v>48</v>
      </c>
      <c r="H1353" t="s">
        <v>114</v>
      </c>
      <c r="I1353" t="str">
        <f>TRIM(excelsalesdata[[#This Row],[City]])</f>
        <v>Hyderabad</v>
      </c>
      <c r="J1353" t="s">
        <v>115</v>
      </c>
      <c r="K1353" t="s">
        <v>47</v>
      </c>
      <c r="L1353" t="s">
        <v>85</v>
      </c>
      <c r="M1353" t="s">
        <v>251</v>
      </c>
      <c r="N1353" t="s">
        <v>251</v>
      </c>
      <c r="O1353">
        <v>1</v>
      </c>
      <c r="P1353">
        <v>3130</v>
      </c>
      <c r="Q1353">
        <v>0</v>
      </c>
      <c r="R1353">
        <v>1990</v>
      </c>
      <c r="S1353" t="s">
        <v>105</v>
      </c>
      <c r="T1353" t="s">
        <v>30</v>
      </c>
      <c r="U1353">
        <v>3</v>
      </c>
      <c r="V1353" t="s">
        <v>31</v>
      </c>
      <c r="W1353">
        <f>excelsalesdata[[#This Row],[Quantity]]*excelsalesdata[[#This Row],[Unit_Price]]</f>
        <v>3130</v>
      </c>
      <c r="X1353">
        <f>excelsalesdata[[#This Row],[Gross_sales]]*excelsalesdata[[#This Row],[Discount_%]]</f>
        <v>0</v>
      </c>
      <c r="Y1353">
        <f>excelsalesdata[[#This Row],[Gross_sales]]-excelsalesdata[[#This Row],[Discount_amt]]</f>
        <v>3130</v>
      </c>
      <c r="Z1353" s="4">
        <f>excelsalesdata[[#This Row],[Net_sales]]-excelsalesdata[[#This Row],[Cost]]</f>
        <v>1140</v>
      </c>
      <c r="AA1353" s="5">
        <f>excelsalesdata[[#This Row],[Profit]]/excelsalesdata[[#This Row],[Net_sales]]</f>
        <v>0.36421725239616615</v>
      </c>
      <c r="AB1353" s="4">
        <f>YEAR(excelsalesdata[[#This Row],[Order_Date]])</f>
        <v>2028</v>
      </c>
      <c r="AC1353" s="4" t="str">
        <f>TEXT(excelsalesdata[[#This Row],[Order_Date]],"mmm")</f>
        <v>Dec</v>
      </c>
      <c r="AD1353" s="4" t="str">
        <f>"Q"&amp;ROUNDUP(MONTH(excelsalesdata[[#This Row],[Order_Date]])/3,0)</f>
        <v>Q4</v>
      </c>
    </row>
    <row r="1354" spans="1:30" x14ac:dyDescent="0.35">
      <c r="A1354" t="s">
        <v>2171</v>
      </c>
      <c r="B1354" s="3">
        <v>47112</v>
      </c>
      <c r="C1354" t="s">
        <v>301</v>
      </c>
      <c r="D1354" t="s">
        <v>189</v>
      </c>
      <c r="E1354" t="str">
        <f>TRIM(excelsalesdata[[#This Row],[Customer_Name]])</f>
        <v>Aarav Reddy</v>
      </c>
      <c r="F1354" t="s">
        <v>44</v>
      </c>
      <c r="G1354">
        <v>54</v>
      </c>
      <c r="H1354" t="s">
        <v>190</v>
      </c>
      <c r="I1354" t="str">
        <f>TRIM(excelsalesdata[[#This Row],[City]])</f>
        <v>Ahmedabad</v>
      </c>
      <c r="J1354" t="s">
        <v>191</v>
      </c>
      <c r="K1354" t="s">
        <v>26</v>
      </c>
      <c r="L1354" t="s">
        <v>54</v>
      </c>
      <c r="M1354" t="s">
        <v>129</v>
      </c>
      <c r="N1354" t="s">
        <v>129</v>
      </c>
      <c r="O1354">
        <v>2</v>
      </c>
      <c r="P1354">
        <v>17140</v>
      </c>
      <c r="Q1354">
        <v>0.15</v>
      </c>
      <c r="R1354">
        <v>12550</v>
      </c>
      <c r="S1354" t="s">
        <v>67</v>
      </c>
      <c r="T1354" t="s">
        <v>30</v>
      </c>
      <c r="U1354">
        <v>3</v>
      </c>
      <c r="V1354" t="s">
        <v>40</v>
      </c>
      <c r="W1354">
        <f>excelsalesdata[[#This Row],[Quantity]]*excelsalesdata[[#This Row],[Unit_Price]]</f>
        <v>34280</v>
      </c>
      <c r="X1354">
        <f>excelsalesdata[[#This Row],[Gross_sales]]*excelsalesdata[[#This Row],[Discount_%]]</f>
        <v>5142</v>
      </c>
      <c r="Y1354">
        <f>excelsalesdata[[#This Row],[Gross_sales]]-excelsalesdata[[#This Row],[Discount_amt]]</f>
        <v>29138</v>
      </c>
      <c r="Z1354" s="4">
        <f>excelsalesdata[[#This Row],[Net_sales]]-excelsalesdata[[#This Row],[Cost]]</f>
        <v>16588</v>
      </c>
      <c r="AA1354" s="5">
        <f>excelsalesdata[[#This Row],[Profit]]/excelsalesdata[[#This Row],[Net_sales]]</f>
        <v>0.56929096025808223</v>
      </c>
      <c r="AB1354" s="4">
        <f>YEAR(excelsalesdata[[#This Row],[Order_Date]])</f>
        <v>2028</v>
      </c>
      <c r="AC1354" s="4" t="str">
        <f>TEXT(excelsalesdata[[#This Row],[Order_Date]],"mmm")</f>
        <v>Dec</v>
      </c>
      <c r="AD1354" s="4" t="str">
        <f>"Q"&amp;ROUNDUP(MONTH(excelsalesdata[[#This Row],[Order_Date]])/3,0)</f>
        <v>Q4</v>
      </c>
    </row>
    <row r="1355" spans="1:30" x14ac:dyDescent="0.35">
      <c r="A1355" t="s">
        <v>2172</v>
      </c>
      <c r="B1355" s="3">
        <v>47113</v>
      </c>
      <c r="C1355" t="s">
        <v>1261</v>
      </c>
      <c r="D1355" t="s">
        <v>755</v>
      </c>
      <c r="E1355" t="str">
        <f>TRIM(excelsalesdata[[#This Row],[Customer_Name]])</f>
        <v>Rahul Singh</v>
      </c>
      <c r="F1355" t="s">
        <v>44</v>
      </c>
      <c r="G1355">
        <v>46</v>
      </c>
      <c r="H1355" t="s">
        <v>185</v>
      </c>
      <c r="I1355" t="str">
        <f>TRIM(excelsalesdata[[#This Row],[City]])</f>
        <v>Lucknow</v>
      </c>
      <c r="J1355" t="s">
        <v>186</v>
      </c>
      <c r="K1355" t="s">
        <v>61</v>
      </c>
      <c r="L1355" t="s">
        <v>54</v>
      </c>
      <c r="M1355" t="s">
        <v>66</v>
      </c>
      <c r="N1355" t="s">
        <v>66</v>
      </c>
      <c r="O1355">
        <v>3</v>
      </c>
      <c r="P1355">
        <v>2670</v>
      </c>
      <c r="Q1355">
        <v>0.1</v>
      </c>
      <c r="R1355">
        <v>1550</v>
      </c>
      <c r="S1355" t="s">
        <v>80</v>
      </c>
      <c r="T1355" t="s">
        <v>74</v>
      </c>
      <c r="U1355">
        <v>5</v>
      </c>
      <c r="V1355" t="s">
        <v>40</v>
      </c>
      <c r="W1355">
        <f>excelsalesdata[[#This Row],[Quantity]]*excelsalesdata[[#This Row],[Unit_Price]]</f>
        <v>8010</v>
      </c>
      <c r="X1355">
        <f>excelsalesdata[[#This Row],[Gross_sales]]*excelsalesdata[[#This Row],[Discount_%]]</f>
        <v>801</v>
      </c>
      <c r="Y1355">
        <f>excelsalesdata[[#This Row],[Gross_sales]]-excelsalesdata[[#This Row],[Discount_amt]]</f>
        <v>7209</v>
      </c>
      <c r="Z1355" s="4">
        <f>excelsalesdata[[#This Row],[Net_sales]]-excelsalesdata[[#This Row],[Cost]]</f>
        <v>5659</v>
      </c>
      <c r="AA1355" s="5">
        <f>excelsalesdata[[#This Row],[Profit]]/excelsalesdata[[#This Row],[Net_sales]]</f>
        <v>0.78499098349285612</v>
      </c>
      <c r="AB1355" s="4">
        <f>YEAR(excelsalesdata[[#This Row],[Order_Date]])</f>
        <v>2028</v>
      </c>
      <c r="AC1355" s="4" t="str">
        <f>TEXT(excelsalesdata[[#This Row],[Order_Date]],"mmm")</f>
        <v>Dec</v>
      </c>
      <c r="AD1355" s="4" t="str">
        <f>"Q"&amp;ROUNDUP(MONTH(excelsalesdata[[#This Row],[Order_Date]])/3,0)</f>
        <v>Q4</v>
      </c>
    </row>
    <row r="1356" spans="1:30" x14ac:dyDescent="0.35">
      <c r="A1356" t="s">
        <v>2173</v>
      </c>
      <c r="B1356" s="3">
        <v>47114</v>
      </c>
      <c r="C1356" t="s">
        <v>951</v>
      </c>
      <c r="D1356" t="s">
        <v>713</v>
      </c>
      <c r="E1356" t="str">
        <f>TRIM(excelsalesdata[[#This Row],[Customer_Name]])</f>
        <v>Meera Singh</v>
      </c>
      <c r="F1356" t="s">
        <v>23</v>
      </c>
      <c r="G1356">
        <v>35</v>
      </c>
      <c r="H1356" t="s">
        <v>24</v>
      </c>
      <c r="I1356" t="str">
        <f>TRIM(excelsalesdata[[#This Row],[City]])</f>
        <v>Pune</v>
      </c>
      <c r="J1356" t="s">
        <v>25</v>
      </c>
      <c r="K1356" t="s">
        <v>26</v>
      </c>
      <c r="L1356" t="s">
        <v>38</v>
      </c>
      <c r="M1356" t="s">
        <v>161</v>
      </c>
      <c r="N1356" t="s">
        <v>161</v>
      </c>
      <c r="O1356">
        <v>2</v>
      </c>
      <c r="P1356">
        <v>26630</v>
      </c>
      <c r="Q1356">
        <v>0.15</v>
      </c>
      <c r="R1356">
        <v>21140</v>
      </c>
      <c r="S1356" t="s">
        <v>105</v>
      </c>
      <c r="T1356" t="s">
        <v>30</v>
      </c>
      <c r="U1356">
        <v>5</v>
      </c>
      <c r="V1356" t="s">
        <v>31</v>
      </c>
      <c r="W1356">
        <f>excelsalesdata[[#This Row],[Quantity]]*excelsalesdata[[#This Row],[Unit_Price]]</f>
        <v>53260</v>
      </c>
      <c r="X1356">
        <f>excelsalesdata[[#This Row],[Gross_sales]]*excelsalesdata[[#This Row],[Discount_%]]</f>
        <v>7989</v>
      </c>
      <c r="Y1356">
        <f>excelsalesdata[[#This Row],[Gross_sales]]-excelsalesdata[[#This Row],[Discount_amt]]</f>
        <v>45271</v>
      </c>
      <c r="Z1356" s="4">
        <f>excelsalesdata[[#This Row],[Net_sales]]-excelsalesdata[[#This Row],[Cost]]</f>
        <v>24131</v>
      </c>
      <c r="AA1356" s="5">
        <f>excelsalesdata[[#This Row],[Profit]]/excelsalesdata[[#This Row],[Net_sales]]</f>
        <v>0.53303439287844312</v>
      </c>
      <c r="AB1356" s="4">
        <f>YEAR(excelsalesdata[[#This Row],[Order_Date]])</f>
        <v>2028</v>
      </c>
      <c r="AC1356" s="4" t="str">
        <f>TEXT(excelsalesdata[[#This Row],[Order_Date]],"mmm")</f>
        <v>Dec</v>
      </c>
      <c r="AD1356" s="4" t="str">
        <f>"Q"&amp;ROUNDUP(MONTH(excelsalesdata[[#This Row],[Order_Date]])/3,0)</f>
        <v>Q4</v>
      </c>
    </row>
    <row r="1357" spans="1:30" x14ac:dyDescent="0.35">
      <c r="A1357" t="s">
        <v>2174</v>
      </c>
      <c r="B1357" s="3">
        <v>47115</v>
      </c>
      <c r="C1357" t="s">
        <v>137</v>
      </c>
      <c r="D1357" t="s">
        <v>677</v>
      </c>
      <c r="E1357" t="str">
        <f>TRIM(excelsalesdata[[#This Row],[Customer_Name]])</f>
        <v>Vivaan Shah</v>
      </c>
      <c r="F1357" t="s">
        <v>44</v>
      </c>
      <c r="G1357">
        <v>58</v>
      </c>
      <c r="H1357" t="s">
        <v>109</v>
      </c>
      <c r="I1357" t="str">
        <f>TRIM(excelsalesdata[[#This Row],[City]])</f>
        <v>Mysuru</v>
      </c>
      <c r="J1357" t="s">
        <v>53</v>
      </c>
      <c r="K1357" t="s">
        <v>47</v>
      </c>
      <c r="L1357" t="s">
        <v>54</v>
      </c>
      <c r="M1357" t="s">
        <v>66</v>
      </c>
      <c r="N1357" t="s">
        <v>66</v>
      </c>
      <c r="O1357">
        <v>1</v>
      </c>
      <c r="P1357">
        <v>2420</v>
      </c>
      <c r="Q1357">
        <v>0.15</v>
      </c>
      <c r="R1357">
        <v>1470</v>
      </c>
      <c r="S1357" t="s">
        <v>29</v>
      </c>
      <c r="T1357" t="s">
        <v>30</v>
      </c>
      <c r="U1357">
        <v>5</v>
      </c>
      <c r="V1357" t="s">
        <v>31</v>
      </c>
      <c r="W1357">
        <f>excelsalesdata[[#This Row],[Quantity]]*excelsalesdata[[#This Row],[Unit_Price]]</f>
        <v>2420</v>
      </c>
      <c r="X1357">
        <f>excelsalesdata[[#This Row],[Gross_sales]]*excelsalesdata[[#This Row],[Discount_%]]</f>
        <v>363</v>
      </c>
      <c r="Y1357">
        <f>excelsalesdata[[#This Row],[Gross_sales]]-excelsalesdata[[#This Row],[Discount_amt]]</f>
        <v>2057</v>
      </c>
      <c r="Z1357" s="4">
        <f>excelsalesdata[[#This Row],[Net_sales]]-excelsalesdata[[#This Row],[Cost]]</f>
        <v>587</v>
      </c>
      <c r="AA1357" s="5">
        <f>excelsalesdata[[#This Row],[Profit]]/excelsalesdata[[#This Row],[Net_sales]]</f>
        <v>0.28536703937773455</v>
      </c>
      <c r="AB1357" s="4">
        <f>YEAR(excelsalesdata[[#This Row],[Order_Date]])</f>
        <v>2028</v>
      </c>
      <c r="AC1357" s="4" t="str">
        <f>TEXT(excelsalesdata[[#This Row],[Order_Date]],"mmm")</f>
        <v>Dec</v>
      </c>
      <c r="AD1357" s="4" t="str">
        <f>"Q"&amp;ROUNDUP(MONTH(excelsalesdata[[#This Row],[Order_Date]])/3,0)</f>
        <v>Q4</v>
      </c>
    </row>
    <row r="1358" spans="1:30" x14ac:dyDescent="0.35">
      <c r="A1358" t="s">
        <v>2175</v>
      </c>
      <c r="B1358" s="3">
        <v>47116</v>
      </c>
      <c r="C1358" t="s">
        <v>1673</v>
      </c>
      <c r="D1358" t="s">
        <v>994</v>
      </c>
      <c r="E1358" t="str">
        <f>TRIM(excelsalesdata[[#This Row],[Customer_Name]])</f>
        <v>Rohan Shah</v>
      </c>
      <c r="F1358" t="s">
        <v>23</v>
      </c>
      <c r="G1358">
        <v>33</v>
      </c>
      <c r="H1358" t="s">
        <v>190</v>
      </c>
      <c r="I1358" t="str">
        <f>TRIM(excelsalesdata[[#This Row],[City]])</f>
        <v>Ahmedabad</v>
      </c>
      <c r="J1358" t="s">
        <v>191</v>
      </c>
      <c r="K1358" t="s">
        <v>26</v>
      </c>
      <c r="L1358" t="s">
        <v>103</v>
      </c>
      <c r="M1358" t="s">
        <v>347</v>
      </c>
      <c r="N1358" t="s">
        <v>347</v>
      </c>
      <c r="O1358">
        <v>2</v>
      </c>
      <c r="P1358">
        <v>12410</v>
      </c>
      <c r="Q1358">
        <v>0</v>
      </c>
      <c r="R1358">
        <v>8050</v>
      </c>
      <c r="S1358" t="s">
        <v>151</v>
      </c>
      <c r="T1358" t="s">
        <v>30</v>
      </c>
      <c r="U1358">
        <v>5</v>
      </c>
      <c r="V1358" t="s">
        <v>40</v>
      </c>
      <c r="W1358">
        <f>excelsalesdata[[#This Row],[Quantity]]*excelsalesdata[[#This Row],[Unit_Price]]</f>
        <v>24820</v>
      </c>
      <c r="X1358">
        <f>excelsalesdata[[#This Row],[Gross_sales]]*excelsalesdata[[#This Row],[Discount_%]]</f>
        <v>0</v>
      </c>
      <c r="Y1358">
        <f>excelsalesdata[[#This Row],[Gross_sales]]-excelsalesdata[[#This Row],[Discount_amt]]</f>
        <v>24820</v>
      </c>
      <c r="Z1358" s="4">
        <f>excelsalesdata[[#This Row],[Net_sales]]-excelsalesdata[[#This Row],[Cost]]</f>
        <v>16770</v>
      </c>
      <c r="AA1358" s="5">
        <f>excelsalesdata[[#This Row],[Profit]]/excelsalesdata[[#This Row],[Net_sales]]</f>
        <v>0.67566478646253025</v>
      </c>
      <c r="AB1358" s="4">
        <f>YEAR(excelsalesdata[[#This Row],[Order_Date]])</f>
        <v>2028</v>
      </c>
      <c r="AC1358" s="4" t="str">
        <f>TEXT(excelsalesdata[[#This Row],[Order_Date]],"mmm")</f>
        <v>Dec</v>
      </c>
      <c r="AD1358" s="4" t="str">
        <f>"Q"&amp;ROUNDUP(MONTH(excelsalesdata[[#This Row],[Order_Date]])/3,0)</f>
        <v>Q4</v>
      </c>
    </row>
    <row r="1359" spans="1:30" x14ac:dyDescent="0.35">
      <c r="A1359" t="s">
        <v>2176</v>
      </c>
      <c r="B1359" s="3">
        <v>47117</v>
      </c>
      <c r="C1359" t="s">
        <v>504</v>
      </c>
      <c r="D1359" t="s">
        <v>167</v>
      </c>
      <c r="E1359" t="str">
        <f>TRIM(excelsalesdata[[#This Row],[Customer_Name]])</f>
        <v>Arjun Nair</v>
      </c>
      <c r="F1359" t="s">
        <v>23</v>
      </c>
      <c r="G1359">
        <v>50</v>
      </c>
      <c r="H1359" t="s">
        <v>24</v>
      </c>
      <c r="I1359" t="str">
        <f>TRIM(excelsalesdata[[#This Row],[City]])</f>
        <v>Pune</v>
      </c>
      <c r="J1359" t="s">
        <v>25</v>
      </c>
      <c r="K1359" t="s">
        <v>26</v>
      </c>
      <c r="L1359" t="s">
        <v>85</v>
      </c>
      <c r="M1359" t="s">
        <v>172</v>
      </c>
      <c r="N1359" t="s">
        <v>172</v>
      </c>
      <c r="O1359">
        <v>1</v>
      </c>
      <c r="P1359">
        <v>4560</v>
      </c>
      <c r="Q1359">
        <v>0</v>
      </c>
      <c r="R1359">
        <v>2680</v>
      </c>
      <c r="S1359" t="s">
        <v>80</v>
      </c>
      <c r="T1359" t="s">
        <v>30</v>
      </c>
      <c r="U1359">
        <v>4</v>
      </c>
      <c r="V1359" t="s">
        <v>40</v>
      </c>
      <c r="W1359">
        <f>excelsalesdata[[#This Row],[Quantity]]*excelsalesdata[[#This Row],[Unit_Price]]</f>
        <v>4560</v>
      </c>
      <c r="X1359">
        <f>excelsalesdata[[#This Row],[Gross_sales]]*excelsalesdata[[#This Row],[Discount_%]]</f>
        <v>0</v>
      </c>
      <c r="Y1359">
        <f>excelsalesdata[[#This Row],[Gross_sales]]-excelsalesdata[[#This Row],[Discount_amt]]</f>
        <v>4560</v>
      </c>
      <c r="Z1359" s="4">
        <f>excelsalesdata[[#This Row],[Net_sales]]-excelsalesdata[[#This Row],[Cost]]</f>
        <v>1880</v>
      </c>
      <c r="AA1359" s="5">
        <f>excelsalesdata[[#This Row],[Profit]]/excelsalesdata[[#This Row],[Net_sales]]</f>
        <v>0.41228070175438597</v>
      </c>
      <c r="AB1359" s="4">
        <f>YEAR(excelsalesdata[[#This Row],[Order_Date]])</f>
        <v>2028</v>
      </c>
      <c r="AC1359" s="4" t="str">
        <f>TEXT(excelsalesdata[[#This Row],[Order_Date]],"mmm")</f>
        <v>Dec</v>
      </c>
      <c r="AD1359" s="4" t="str">
        <f>"Q"&amp;ROUNDUP(MONTH(excelsalesdata[[#This Row],[Order_Date]])/3,0)</f>
        <v>Q4</v>
      </c>
    </row>
    <row r="1360" spans="1:30" x14ac:dyDescent="0.35">
      <c r="A1360" t="s">
        <v>2177</v>
      </c>
      <c r="B1360" s="3">
        <v>47118</v>
      </c>
      <c r="C1360" t="s">
        <v>924</v>
      </c>
      <c r="D1360" t="s">
        <v>352</v>
      </c>
      <c r="E1360" t="str">
        <f>TRIM(excelsalesdata[[#This Row],[Customer_Name]])</f>
        <v>Meera Mehta</v>
      </c>
      <c r="F1360" t="s">
        <v>44</v>
      </c>
      <c r="G1360">
        <v>55</v>
      </c>
      <c r="H1360" t="s">
        <v>52</v>
      </c>
      <c r="I1360" t="str">
        <f>TRIM(excelsalesdata[[#This Row],[City]])</f>
        <v>Bengaluru</v>
      </c>
      <c r="J1360" t="s">
        <v>53</v>
      </c>
      <c r="K1360" t="s">
        <v>47</v>
      </c>
      <c r="L1360" t="s">
        <v>103</v>
      </c>
      <c r="M1360" t="s">
        <v>178</v>
      </c>
      <c r="N1360" t="s">
        <v>178</v>
      </c>
      <c r="O1360">
        <v>1</v>
      </c>
      <c r="P1360">
        <v>1720</v>
      </c>
      <c r="Q1360">
        <v>0.05</v>
      </c>
      <c r="R1360">
        <v>910</v>
      </c>
      <c r="S1360" t="s">
        <v>29</v>
      </c>
      <c r="T1360" t="s">
        <v>30</v>
      </c>
      <c r="U1360">
        <v>2</v>
      </c>
      <c r="V1360" t="s">
        <v>40</v>
      </c>
      <c r="W1360">
        <f>excelsalesdata[[#This Row],[Quantity]]*excelsalesdata[[#This Row],[Unit_Price]]</f>
        <v>1720</v>
      </c>
      <c r="X1360">
        <f>excelsalesdata[[#This Row],[Gross_sales]]*excelsalesdata[[#This Row],[Discount_%]]</f>
        <v>86</v>
      </c>
      <c r="Y1360">
        <f>excelsalesdata[[#This Row],[Gross_sales]]-excelsalesdata[[#This Row],[Discount_amt]]</f>
        <v>1634</v>
      </c>
      <c r="Z1360" s="4">
        <f>excelsalesdata[[#This Row],[Net_sales]]-excelsalesdata[[#This Row],[Cost]]</f>
        <v>724</v>
      </c>
      <c r="AA1360" s="5">
        <f>excelsalesdata[[#This Row],[Profit]]/excelsalesdata[[#This Row],[Net_sales]]</f>
        <v>0.44308445532435742</v>
      </c>
      <c r="AB1360" s="4">
        <f>YEAR(excelsalesdata[[#This Row],[Order_Date]])</f>
        <v>2028</v>
      </c>
      <c r="AC1360" s="4" t="str">
        <f>TEXT(excelsalesdata[[#This Row],[Order_Date]],"mmm")</f>
        <v>Dec</v>
      </c>
      <c r="AD1360" s="4" t="str">
        <f>"Q"&amp;ROUNDUP(MONTH(excelsalesdata[[#This Row],[Order_Date]])/3,0)</f>
        <v>Q4</v>
      </c>
    </row>
    <row r="1361" spans="1:30" x14ac:dyDescent="0.35">
      <c r="A1361" t="s">
        <v>2178</v>
      </c>
      <c r="B1361" s="3">
        <v>47119</v>
      </c>
      <c r="C1361" t="s">
        <v>2179</v>
      </c>
      <c r="D1361" t="s">
        <v>1404</v>
      </c>
      <c r="E1361" t="str">
        <f>TRIM(excelsalesdata[[#This Row],[Customer_Name]])</f>
        <v>Rohan Joshi</v>
      </c>
      <c r="F1361" t="s">
        <v>23</v>
      </c>
      <c r="G1361">
        <v>50</v>
      </c>
      <c r="H1361" t="s">
        <v>52</v>
      </c>
      <c r="I1361" t="str">
        <f>TRIM(excelsalesdata[[#This Row],[City]])</f>
        <v>Bengaluru</v>
      </c>
      <c r="J1361" t="s">
        <v>53</v>
      </c>
      <c r="K1361" t="s">
        <v>47</v>
      </c>
      <c r="L1361" t="s">
        <v>54</v>
      </c>
      <c r="M1361" t="s">
        <v>66</v>
      </c>
      <c r="N1361" t="s">
        <v>66</v>
      </c>
      <c r="O1361">
        <v>2</v>
      </c>
      <c r="P1361">
        <v>2610</v>
      </c>
      <c r="Q1361">
        <v>0.15</v>
      </c>
      <c r="R1361">
        <v>1530</v>
      </c>
      <c r="S1361" t="s">
        <v>80</v>
      </c>
      <c r="T1361" t="s">
        <v>74</v>
      </c>
      <c r="U1361">
        <v>4</v>
      </c>
      <c r="V1361" t="s">
        <v>31</v>
      </c>
      <c r="W1361">
        <f>excelsalesdata[[#This Row],[Quantity]]*excelsalesdata[[#This Row],[Unit_Price]]</f>
        <v>5220</v>
      </c>
      <c r="X1361">
        <f>excelsalesdata[[#This Row],[Gross_sales]]*excelsalesdata[[#This Row],[Discount_%]]</f>
        <v>783</v>
      </c>
      <c r="Y1361">
        <f>excelsalesdata[[#This Row],[Gross_sales]]-excelsalesdata[[#This Row],[Discount_amt]]</f>
        <v>4437</v>
      </c>
      <c r="Z1361" s="4">
        <f>excelsalesdata[[#This Row],[Net_sales]]-excelsalesdata[[#This Row],[Cost]]</f>
        <v>2907</v>
      </c>
      <c r="AA1361" s="5">
        <f>excelsalesdata[[#This Row],[Profit]]/excelsalesdata[[#This Row],[Net_sales]]</f>
        <v>0.65517241379310343</v>
      </c>
      <c r="AB1361" s="4">
        <f>YEAR(excelsalesdata[[#This Row],[Order_Date]])</f>
        <v>2029</v>
      </c>
      <c r="AC1361" s="4" t="str">
        <f>TEXT(excelsalesdata[[#This Row],[Order_Date]],"mmm")</f>
        <v>Jan</v>
      </c>
      <c r="AD1361" s="4" t="str">
        <f>"Q"&amp;ROUNDUP(MONTH(excelsalesdata[[#This Row],[Order_Date]])/3,0)</f>
        <v>Q1</v>
      </c>
    </row>
    <row r="1362" spans="1:30" x14ac:dyDescent="0.35">
      <c r="A1362" t="s">
        <v>2180</v>
      </c>
      <c r="B1362" s="3">
        <v>47120</v>
      </c>
      <c r="C1362" t="s">
        <v>979</v>
      </c>
      <c r="D1362" t="s">
        <v>294</v>
      </c>
      <c r="E1362" t="str">
        <f>TRIM(excelsalesdata[[#This Row],[Customer_Name]])</f>
        <v>Ananya Gupta</v>
      </c>
      <c r="F1362" t="s">
        <v>44</v>
      </c>
      <c r="G1362">
        <v>52</v>
      </c>
      <c r="H1362" t="s">
        <v>35</v>
      </c>
      <c r="I1362" t="str">
        <f>TRIM(excelsalesdata[[#This Row],[City]])</f>
        <v>Kolkata</v>
      </c>
      <c r="J1362" t="s">
        <v>36</v>
      </c>
      <c r="K1362" t="s">
        <v>37</v>
      </c>
      <c r="L1362" t="s">
        <v>27</v>
      </c>
      <c r="M1362" t="s">
        <v>295</v>
      </c>
      <c r="N1362" t="s">
        <v>295</v>
      </c>
      <c r="O1362">
        <v>1</v>
      </c>
      <c r="P1362">
        <v>4110</v>
      </c>
      <c r="Q1362">
        <v>0.05</v>
      </c>
      <c r="R1362">
        <v>2610</v>
      </c>
      <c r="S1362" t="s">
        <v>105</v>
      </c>
      <c r="T1362" t="s">
        <v>30</v>
      </c>
      <c r="U1362">
        <v>2</v>
      </c>
      <c r="V1362" t="s">
        <v>31</v>
      </c>
      <c r="W1362">
        <f>excelsalesdata[[#This Row],[Quantity]]*excelsalesdata[[#This Row],[Unit_Price]]</f>
        <v>4110</v>
      </c>
      <c r="X1362">
        <f>excelsalesdata[[#This Row],[Gross_sales]]*excelsalesdata[[#This Row],[Discount_%]]</f>
        <v>205.5</v>
      </c>
      <c r="Y1362">
        <f>excelsalesdata[[#This Row],[Gross_sales]]-excelsalesdata[[#This Row],[Discount_amt]]</f>
        <v>3904.5</v>
      </c>
      <c r="Z1362" s="4">
        <f>excelsalesdata[[#This Row],[Net_sales]]-excelsalesdata[[#This Row],[Cost]]</f>
        <v>1294.5</v>
      </c>
      <c r="AA1362" s="5">
        <f>excelsalesdata[[#This Row],[Profit]]/excelsalesdata[[#This Row],[Net_sales]]</f>
        <v>0.33154053015751056</v>
      </c>
      <c r="AB1362" s="4">
        <f>YEAR(excelsalesdata[[#This Row],[Order_Date]])</f>
        <v>2029</v>
      </c>
      <c r="AC1362" s="4" t="str">
        <f>TEXT(excelsalesdata[[#This Row],[Order_Date]],"mmm")</f>
        <v>Jan</v>
      </c>
      <c r="AD1362" s="4" t="str">
        <f>"Q"&amp;ROUNDUP(MONTH(excelsalesdata[[#This Row],[Order_Date]])/3,0)</f>
        <v>Q1</v>
      </c>
    </row>
    <row r="1363" spans="1:30" x14ac:dyDescent="0.35">
      <c r="A1363" t="s">
        <v>2181</v>
      </c>
      <c r="B1363" s="3">
        <v>47121</v>
      </c>
      <c r="C1363" t="s">
        <v>1550</v>
      </c>
      <c r="D1363" t="s">
        <v>1108</v>
      </c>
      <c r="E1363" t="str">
        <f>TRIM(excelsalesdata[[#This Row],[Customer_Name]])</f>
        <v>Rohan Verma</v>
      </c>
      <c r="F1363" t="s">
        <v>44</v>
      </c>
      <c r="G1363">
        <v>38</v>
      </c>
      <c r="H1363" t="s">
        <v>98</v>
      </c>
      <c r="I1363" t="str">
        <f>TRIM(excelsalesdata[[#This Row],[City]])</f>
        <v>Mumbai</v>
      </c>
      <c r="J1363" t="s">
        <v>25</v>
      </c>
      <c r="K1363" t="s">
        <v>26</v>
      </c>
      <c r="L1363" t="s">
        <v>54</v>
      </c>
      <c r="M1363" t="s">
        <v>66</v>
      </c>
      <c r="N1363" t="s">
        <v>66</v>
      </c>
      <c r="O1363">
        <v>2</v>
      </c>
      <c r="P1363">
        <v>2630</v>
      </c>
      <c r="Q1363">
        <v>0.2</v>
      </c>
      <c r="R1363">
        <v>1450</v>
      </c>
      <c r="S1363" t="s">
        <v>80</v>
      </c>
      <c r="T1363" t="s">
        <v>30</v>
      </c>
      <c r="U1363">
        <v>5</v>
      </c>
      <c r="V1363" t="s">
        <v>40</v>
      </c>
      <c r="W1363">
        <f>excelsalesdata[[#This Row],[Quantity]]*excelsalesdata[[#This Row],[Unit_Price]]</f>
        <v>5260</v>
      </c>
      <c r="X1363">
        <f>excelsalesdata[[#This Row],[Gross_sales]]*excelsalesdata[[#This Row],[Discount_%]]</f>
        <v>1052</v>
      </c>
      <c r="Y1363">
        <f>excelsalesdata[[#This Row],[Gross_sales]]-excelsalesdata[[#This Row],[Discount_amt]]</f>
        <v>4208</v>
      </c>
      <c r="Z1363" s="4">
        <f>excelsalesdata[[#This Row],[Net_sales]]-excelsalesdata[[#This Row],[Cost]]</f>
        <v>2758</v>
      </c>
      <c r="AA1363" s="5">
        <f>excelsalesdata[[#This Row],[Profit]]/excelsalesdata[[#This Row],[Net_sales]]</f>
        <v>0.65541825095057038</v>
      </c>
      <c r="AB1363" s="4">
        <f>YEAR(excelsalesdata[[#This Row],[Order_Date]])</f>
        <v>2029</v>
      </c>
      <c r="AC1363" s="4" t="str">
        <f>TEXT(excelsalesdata[[#This Row],[Order_Date]],"mmm")</f>
        <v>Jan</v>
      </c>
      <c r="AD1363" s="4" t="str">
        <f>"Q"&amp;ROUNDUP(MONTH(excelsalesdata[[#This Row],[Order_Date]])/3,0)</f>
        <v>Q1</v>
      </c>
    </row>
    <row r="1364" spans="1:30" x14ac:dyDescent="0.35">
      <c r="A1364" t="s">
        <v>2182</v>
      </c>
      <c r="B1364" s="3">
        <v>47122</v>
      </c>
      <c r="C1364" t="s">
        <v>159</v>
      </c>
      <c r="D1364" t="s">
        <v>342</v>
      </c>
      <c r="E1364" t="str">
        <f>TRIM(excelsalesdata[[#This Row],[Customer_Name]])</f>
        <v>Sneha Gupta</v>
      </c>
      <c r="F1364" t="s">
        <v>44</v>
      </c>
      <c r="G1364">
        <v>39</v>
      </c>
      <c r="H1364" t="s">
        <v>155</v>
      </c>
      <c r="I1364" t="str">
        <f>TRIM(excelsalesdata[[#This Row],[City]])</f>
        <v>Chennai</v>
      </c>
      <c r="J1364" t="s">
        <v>156</v>
      </c>
      <c r="K1364" t="s">
        <v>47</v>
      </c>
      <c r="L1364" t="s">
        <v>93</v>
      </c>
      <c r="M1364" t="s">
        <v>206</v>
      </c>
      <c r="N1364" t="s">
        <v>206</v>
      </c>
      <c r="O1364">
        <v>1</v>
      </c>
      <c r="P1364">
        <v>670</v>
      </c>
      <c r="Q1364">
        <v>0.05</v>
      </c>
      <c r="R1364">
        <v>290</v>
      </c>
      <c r="S1364" t="s">
        <v>29</v>
      </c>
      <c r="T1364" t="s">
        <v>30</v>
      </c>
      <c r="U1364">
        <v>4</v>
      </c>
      <c r="V1364" t="s">
        <v>31</v>
      </c>
      <c r="W1364">
        <f>excelsalesdata[[#This Row],[Quantity]]*excelsalesdata[[#This Row],[Unit_Price]]</f>
        <v>670</v>
      </c>
      <c r="X1364">
        <f>excelsalesdata[[#This Row],[Gross_sales]]*excelsalesdata[[#This Row],[Discount_%]]</f>
        <v>33.5</v>
      </c>
      <c r="Y1364">
        <f>excelsalesdata[[#This Row],[Gross_sales]]-excelsalesdata[[#This Row],[Discount_amt]]</f>
        <v>636.5</v>
      </c>
      <c r="Z1364" s="4">
        <f>excelsalesdata[[#This Row],[Net_sales]]-excelsalesdata[[#This Row],[Cost]]</f>
        <v>346.5</v>
      </c>
      <c r="AA1364" s="5">
        <f>excelsalesdata[[#This Row],[Profit]]/excelsalesdata[[#This Row],[Net_sales]]</f>
        <v>0.54438334642576591</v>
      </c>
      <c r="AB1364" s="4">
        <f>YEAR(excelsalesdata[[#This Row],[Order_Date]])</f>
        <v>2029</v>
      </c>
      <c r="AC1364" s="4" t="str">
        <f>TEXT(excelsalesdata[[#This Row],[Order_Date]],"mmm")</f>
        <v>Jan</v>
      </c>
      <c r="AD1364" s="4" t="str">
        <f>"Q"&amp;ROUNDUP(MONTH(excelsalesdata[[#This Row],[Order_Date]])/3,0)</f>
        <v>Q1</v>
      </c>
    </row>
    <row r="1365" spans="1:30" x14ac:dyDescent="0.35">
      <c r="A1365" t="s">
        <v>2183</v>
      </c>
      <c r="B1365" s="3">
        <v>47123</v>
      </c>
      <c r="C1365" t="s">
        <v>663</v>
      </c>
      <c r="D1365" t="s">
        <v>980</v>
      </c>
      <c r="E1365" t="str">
        <f>TRIM(excelsalesdata[[#This Row],[Customer_Name]])</f>
        <v>Sneha Das</v>
      </c>
      <c r="F1365" t="s">
        <v>23</v>
      </c>
      <c r="G1365">
        <v>24</v>
      </c>
      <c r="H1365" t="s">
        <v>109</v>
      </c>
      <c r="I1365" t="str">
        <f>TRIM(excelsalesdata[[#This Row],[City]])</f>
        <v>Mysuru</v>
      </c>
      <c r="J1365" t="s">
        <v>53</v>
      </c>
      <c r="K1365" t="s">
        <v>47</v>
      </c>
      <c r="L1365" t="s">
        <v>54</v>
      </c>
      <c r="M1365" t="s">
        <v>55</v>
      </c>
      <c r="N1365" t="s">
        <v>55</v>
      </c>
      <c r="O1365">
        <v>1</v>
      </c>
      <c r="P1365">
        <v>6680</v>
      </c>
      <c r="Q1365">
        <v>0.05</v>
      </c>
      <c r="R1365">
        <v>4310</v>
      </c>
      <c r="S1365" t="s">
        <v>105</v>
      </c>
      <c r="T1365" t="s">
        <v>30</v>
      </c>
      <c r="U1365">
        <v>5</v>
      </c>
      <c r="V1365" t="s">
        <v>40</v>
      </c>
      <c r="W1365">
        <f>excelsalesdata[[#This Row],[Quantity]]*excelsalesdata[[#This Row],[Unit_Price]]</f>
        <v>6680</v>
      </c>
      <c r="X1365">
        <f>excelsalesdata[[#This Row],[Gross_sales]]*excelsalesdata[[#This Row],[Discount_%]]</f>
        <v>334</v>
      </c>
      <c r="Y1365">
        <f>excelsalesdata[[#This Row],[Gross_sales]]-excelsalesdata[[#This Row],[Discount_amt]]</f>
        <v>6346</v>
      </c>
      <c r="Z1365" s="4">
        <f>excelsalesdata[[#This Row],[Net_sales]]-excelsalesdata[[#This Row],[Cost]]</f>
        <v>2036</v>
      </c>
      <c r="AA1365" s="5">
        <f>excelsalesdata[[#This Row],[Profit]]/excelsalesdata[[#This Row],[Net_sales]]</f>
        <v>0.32083202017018592</v>
      </c>
      <c r="AB1365" s="4">
        <f>YEAR(excelsalesdata[[#This Row],[Order_Date]])</f>
        <v>2029</v>
      </c>
      <c r="AC1365" s="4" t="str">
        <f>TEXT(excelsalesdata[[#This Row],[Order_Date]],"mmm")</f>
        <v>Jan</v>
      </c>
      <c r="AD1365" s="4" t="str">
        <f>"Q"&amp;ROUNDUP(MONTH(excelsalesdata[[#This Row],[Order_Date]])/3,0)</f>
        <v>Q1</v>
      </c>
    </row>
    <row r="1366" spans="1:30" x14ac:dyDescent="0.35">
      <c r="A1366" t="s">
        <v>2184</v>
      </c>
      <c r="B1366" s="3">
        <v>47124</v>
      </c>
      <c r="C1366" t="s">
        <v>616</v>
      </c>
      <c r="D1366" t="s">
        <v>691</v>
      </c>
      <c r="E1366" t="str">
        <f>TRIM(excelsalesdata[[#This Row],[Customer_Name]])</f>
        <v>Vivaan Singh</v>
      </c>
      <c r="F1366" t="s">
        <v>44</v>
      </c>
      <c r="G1366">
        <v>26</v>
      </c>
      <c r="H1366" t="s">
        <v>185</v>
      </c>
      <c r="I1366" t="str">
        <f>TRIM(excelsalesdata[[#This Row],[City]])</f>
        <v>Lucknow</v>
      </c>
      <c r="J1366" t="s">
        <v>186</v>
      </c>
      <c r="K1366" t="s">
        <v>61</v>
      </c>
      <c r="L1366" t="s">
        <v>38</v>
      </c>
      <c r="M1366" t="s">
        <v>255</v>
      </c>
      <c r="N1366" t="s">
        <v>255</v>
      </c>
      <c r="O1366">
        <v>1</v>
      </c>
      <c r="P1366">
        <v>4200</v>
      </c>
      <c r="Q1366">
        <v>0.25</v>
      </c>
      <c r="R1366">
        <v>2910</v>
      </c>
      <c r="S1366" t="s">
        <v>151</v>
      </c>
      <c r="T1366" t="s">
        <v>30</v>
      </c>
      <c r="U1366">
        <v>4</v>
      </c>
      <c r="V1366" t="s">
        <v>40</v>
      </c>
      <c r="W1366">
        <f>excelsalesdata[[#This Row],[Quantity]]*excelsalesdata[[#This Row],[Unit_Price]]</f>
        <v>4200</v>
      </c>
      <c r="X1366">
        <f>excelsalesdata[[#This Row],[Gross_sales]]*excelsalesdata[[#This Row],[Discount_%]]</f>
        <v>1050</v>
      </c>
      <c r="Y1366">
        <f>excelsalesdata[[#This Row],[Gross_sales]]-excelsalesdata[[#This Row],[Discount_amt]]</f>
        <v>3150</v>
      </c>
      <c r="Z1366" s="4">
        <f>excelsalesdata[[#This Row],[Net_sales]]-excelsalesdata[[#This Row],[Cost]]</f>
        <v>240</v>
      </c>
      <c r="AA1366" s="5">
        <f>excelsalesdata[[#This Row],[Profit]]/excelsalesdata[[#This Row],[Net_sales]]</f>
        <v>7.6190476190476197E-2</v>
      </c>
      <c r="AB1366" s="4">
        <f>YEAR(excelsalesdata[[#This Row],[Order_Date]])</f>
        <v>2029</v>
      </c>
      <c r="AC1366" s="4" t="str">
        <f>TEXT(excelsalesdata[[#This Row],[Order_Date]],"mmm")</f>
        <v>Jan</v>
      </c>
      <c r="AD1366" s="4" t="str">
        <f>"Q"&amp;ROUNDUP(MONTH(excelsalesdata[[#This Row],[Order_Date]])/3,0)</f>
        <v>Q1</v>
      </c>
    </row>
    <row r="1367" spans="1:30" x14ac:dyDescent="0.35">
      <c r="A1367" t="s">
        <v>2185</v>
      </c>
      <c r="B1367" s="3">
        <v>47125</v>
      </c>
      <c r="C1367" t="s">
        <v>585</v>
      </c>
      <c r="D1367" t="s">
        <v>994</v>
      </c>
      <c r="E1367" t="str">
        <f>TRIM(excelsalesdata[[#This Row],[Customer_Name]])</f>
        <v>Rohan Shah</v>
      </c>
      <c r="F1367" t="s">
        <v>44</v>
      </c>
      <c r="G1367">
        <v>23</v>
      </c>
      <c r="H1367" t="s">
        <v>45</v>
      </c>
      <c r="I1367" t="str">
        <f>TRIM(excelsalesdata[[#This Row],[City]])</f>
        <v>Kochi</v>
      </c>
      <c r="J1367" t="s">
        <v>46</v>
      </c>
      <c r="K1367" t="s">
        <v>47</v>
      </c>
      <c r="L1367" t="s">
        <v>103</v>
      </c>
      <c r="M1367" t="s">
        <v>178</v>
      </c>
      <c r="N1367" t="s">
        <v>178</v>
      </c>
      <c r="O1367">
        <v>2</v>
      </c>
      <c r="P1367">
        <v>1850</v>
      </c>
      <c r="Q1367">
        <v>0</v>
      </c>
      <c r="R1367">
        <v>940</v>
      </c>
      <c r="S1367" t="s">
        <v>29</v>
      </c>
      <c r="T1367" t="s">
        <v>30</v>
      </c>
      <c r="U1367">
        <v>7</v>
      </c>
      <c r="V1367" t="s">
        <v>31</v>
      </c>
      <c r="W1367">
        <f>excelsalesdata[[#This Row],[Quantity]]*excelsalesdata[[#This Row],[Unit_Price]]</f>
        <v>3700</v>
      </c>
      <c r="X1367">
        <f>excelsalesdata[[#This Row],[Gross_sales]]*excelsalesdata[[#This Row],[Discount_%]]</f>
        <v>0</v>
      </c>
      <c r="Y1367">
        <f>excelsalesdata[[#This Row],[Gross_sales]]-excelsalesdata[[#This Row],[Discount_amt]]</f>
        <v>3700</v>
      </c>
      <c r="Z1367" s="4">
        <f>excelsalesdata[[#This Row],[Net_sales]]-excelsalesdata[[#This Row],[Cost]]</f>
        <v>2760</v>
      </c>
      <c r="AA1367" s="5">
        <f>excelsalesdata[[#This Row],[Profit]]/excelsalesdata[[#This Row],[Net_sales]]</f>
        <v>0.74594594594594599</v>
      </c>
      <c r="AB1367" s="4">
        <f>YEAR(excelsalesdata[[#This Row],[Order_Date]])</f>
        <v>2029</v>
      </c>
      <c r="AC1367" s="4" t="str">
        <f>TEXT(excelsalesdata[[#This Row],[Order_Date]],"mmm")</f>
        <v>Jan</v>
      </c>
      <c r="AD1367" s="4" t="str">
        <f>"Q"&amp;ROUNDUP(MONTH(excelsalesdata[[#This Row],[Order_Date]])/3,0)</f>
        <v>Q1</v>
      </c>
    </row>
    <row r="1368" spans="1:30" x14ac:dyDescent="0.35">
      <c r="A1368" t="s">
        <v>2186</v>
      </c>
      <c r="B1368" s="3">
        <v>47126</v>
      </c>
      <c r="C1368" t="s">
        <v>218</v>
      </c>
      <c r="D1368" t="s">
        <v>315</v>
      </c>
      <c r="E1368" t="str">
        <f>TRIM(excelsalesdata[[#This Row],[Customer_Name]])</f>
        <v>Diya Rao</v>
      </c>
      <c r="F1368" t="s">
        <v>44</v>
      </c>
      <c r="G1368">
        <v>55</v>
      </c>
      <c r="H1368" t="s">
        <v>52</v>
      </c>
      <c r="I1368" t="str">
        <f>TRIM(excelsalesdata[[#This Row],[City]])</f>
        <v>Bengaluru</v>
      </c>
      <c r="J1368" t="s">
        <v>53</v>
      </c>
      <c r="K1368" t="s">
        <v>47</v>
      </c>
      <c r="L1368" t="s">
        <v>27</v>
      </c>
      <c r="M1368" t="s">
        <v>123</v>
      </c>
      <c r="N1368" t="s">
        <v>123</v>
      </c>
      <c r="O1368">
        <v>3</v>
      </c>
      <c r="P1368">
        <v>2830</v>
      </c>
      <c r="Q1368">
        <v>0.05</v>
      </c>
      <c r="R1368">
        <v>1530</v>
      </c>
      <c r="S1368" t="s">
        <v>105</v>
      </c>
      <c r="T1368" t="s">
        <v>30</v>
      </c>
      <c r="U1368">
        <v>3</v>
      </c>
      <c r="V1368" t="s">
        <v>40</v>
      </c>
      <c r="W1368">
        <f>excelsalesdata[[#This Row],[Quantity]]*excelsalesdata[[#This Row],[Unit_Price]]</f>
        <v>8490</v>
      </c>
      <c r="X1368">
        <f>excelsalesdata[[#This Row],[Gross_sales]]*excelsalesdata[[#This Row],[Discount_%]]</f>
        <v>424.5</v>
      </c>
      <c r="Y1368">
        <f>excelsalesdata[[#This Row],[Gross_sales]]-excelsalesdata[[#This Row],[Discount_amt]]</f>
        <v>8065.5</v>
      </c>
      <c r="Z1368" s="4">
        <f>excelsalesdata[[#This Row],[Net_sales]]-excelsalesdata[[#This Row],[Cost]]</f>
        <v>6535.5</v>
      </c>
      <c r="AA1368" s="5">
        <f>excelsalesdata[[#This Row],[Profit]]/excelsalesdata[[#This Row],[Net_sales]]</f>
        <v>0.81030314301655193</v>
      </c>
      <c r="AB1368" s="4">
        <f>YEAR(excelsalesdata[[#This Row],[Order_Date]])</f>
        <v>2029</v>
      </c>
      <c r="AC1368" s="4" t="str">
        <f>TEXT(excelsalesdata[[#This Row],[Order_Date]],"mmm")</f>
        <v>Jan</v>
      </c>
      <c r="AD1368" s="4" t="str">
        <f>"Q"&amp;ROUNDUP(MONTH(excelsalesdata[[#This Row],[Order_Date]])/3,0)</f>
        <v>Q1</v>
      </c>
    </row>
    <row r="1369" spans="1:30" x14ac:dyDescent="0.35">
      <c r="A1369" t="s">
        <v>2187</v>
      </c>
      <c r="B1369" s="3">
        <v>47127</v>
      </c>
      <c r="C1369" t="s">
        <v>1837</v>
      </c>
      <c r="D1369" t="s">
        <v>806</v>
      </c>
      <c r="E1369" t="str">
        <f>TRIM(excelsalesdata[[#This Row],[Customer_Name]])</f>
        <v>Karan Patel</v>
      </c>
      <c r="F1369" t="s">
        <v>23</v>
      </c>
      <c r="G1369">
        <v>24</v>
      </c>
      <c r="H1369" t="s">
        <v>185</v>
      </c>
      <c r="I1369" t="str">
        <f>TRIM(excelsalesdata[[#This Row],[City]])</f>
        <v>Lucknow</v>
      </c>
      <c r="J1369" t="s">
        <v>186</v>
      </c>
      <c r="K1369" t="s">
        <v>61</v>
      </c>
      <c r="L1369" t="s">
        <v>27</v>
      </c>
      <c r="M1369" t="s">
        <v>195</v>
      </c>
      <c r="N1369" t="s">
        <v>195</v>
      </c>
      <c r="O1369">
        <v>2</v>
      </c>
      <c r="P1369">
        <v>2090</v>
      </c>
      <c r="Q1369">
        <v>0.05</v>
      </c>
      <c r="R1369">
        <v>1240</v>
      </c>
      <c r="S1369" t="s">
        <v>80</v>
      </c>
      <c r="T1369" t="s">
        <v>30</v>
      </c>
      <c r="U1369">
        <v>3</v>
      </c>
      <c r="V1369" t="s">
        <v>40</v>
      </c>
      <c r="W1369">
        <f>excelsalesdata[[#This Row],[Quantity]]*excelsalesdata[[#This Row],[Unit_Price]]</f>
        <v>4180</v>
      </c>
      <c r="X1369">
        <f>excelsalesdata[[#This Row],[Gross_sales]]*excelsalesdata[[#This Row],[Discount_%]]</f>
        <v>209</v>
      </c>
      <c r="Y1369">
        <f>excelsalesdata[[#This Row],[Gross_sales]]-excelsalesdata[[#This Row],[Discount_amt]]</f>
        <v>3971</v>
      </c>
      <c r="Z1369" s="4">
        <f>excelsalesdata[[#This Row],[Net_sales]]-excelsalesdata[[#This Row],[Cost]]</f>
        <v>2731</v>
      </c>
      <c r="AA1369" s="5">
        <f>excelsalesdata[[#This Row],[Profit]]/excelsalesdata[[#This Row],[Net_sales]]</f>
        <v>0.68773608662805341</v>
      </c>
      <c r="AB1369" s="4">
        <f>YEAR(excelsalesdata[[#This Row],[Order_Date]])</f>
        <v>2029</v>
      </c>
      <c r="AC1369" s="4" t="str">
        <f>TEXT(excelsalesdata[[#This Row],[Order_Date]],"mmm")</f>
        <v>Jan</v>
      </c>
      <c r="AD1369" s="4" t="str">
        <f>"Q"&amp;ROUNDUP(MONTH(excelsalesdata[[#This Row],[Order_Date]])/3,0)</f>
        <v>Q1</v>
      </c>
    </row>
    <row r="1370" spans="1:30" x14ac:dyDescent="0.35">
      <c r="A1370" t="s">
        <v>2188</v>
      </c>
      <c r="B1370" s="3">
        <v>47128</v>
      </c>
      <c r="C1370" t="s">
        <v>1023</v>
      </c>
      <c r="D1370" t="s">
        <v>211</v>
      </c>
      <c r="E1370" t="str">
        <f>TRIM(excelsalesdata[[#This Row],[Customer_Name]])</f>
        <v>Aarav Iyer</v>
      </c>
      <c r="F1370" t="s">
        <v>44</v>
      </c>
      <c r="G1370">
        <v>34</v>
      </c>
      <c r="H1370" t="s">
        <v>185</v>
      </c>
      <c r="I1370" t="str">
        <f>TRIM(excelsalesdata[[#This Row],[City]])</f>
        <v>Lucknow</v>
      </c>
      <c r="J1370" t="s">
        <v>186</v>
      </c>
      <c r="K1370" t="s">
        <v>61</v>
      </c>
      <c r="L1370" t="s">
        <v>27</v>
      </c>
      <c r="M1370" t="s">
        <v>295</v>
      </c>
      <c r="N1370" t="s">
        <v>295</v>
      </c>
      <c r="O1370">
        <v>4</v>
      </c>
      <c r="P1370">
        <v>4400</v>
      </c>
      <c r="Q1370">
        <v>0</v>
      </c>
      <c r="R1370">
        <v>2730</v>
      </c>
      <c r="S1370" t="s">
        <v>105</v>
      </c>
      <c r="T1370" t="s">
        <v>30</v>
      </c>
      <c r="U1370">
        <v>2</v>
      </c>
      <c r="V1370" t="s">
        <v>40</v>
      </c>
      <c r="W1370">
        <f>excelsalesdata[[#This Row],[Quantity]]*excelsalesdata[[#This Row],[Unit_Price]]</f>
        <v>17600</v>
      </c>
      <c r="X1370">
        <f>excelsalesdata[[#This Row],[Gross_sales]]*excelsalesdata[[#This Row],[Discount_%]]</f>
        <v>0</v>
      </c>
      <c r="Y1370">
        <f>excelsalesdata[[#This Row],[Gross_sales]]-excelsalesdata[[#This Row],[Discount_amt]]</f>
        <v>17600</v>
      </c>
      <c r="Z1370" s="4">
        <f>excelsalesdata[[#This Row],[Net_sales]]-excelsalesdata[[#This Row],[Cost]]</f>
        <v>14870</v>
      </c>
      <c r="AA1370" s="5">
        <f>excelsalesdata[[#This Row],[Profit]]/excelsalesdata[[#This Row],[Net_sales]]</f>
        <v>0.8448863636363636</v>
      </c>
      <c r="AB1370" s="4">
        <f>YEAR(excelsalesdata[[#This Row],[Order_Date]])</f>
        <v>2029</v>
      </c>
      <c r="AC1370" s="4" t="str">
        <f>TEXT(excelsalesdata[[#This Row],[Order_Date]],"mmm")</f>
        <v>Jan</v>
      </c>
      <c r="AD1370" s="4" t="str">
        <f>"Q"&amp;ROUNDUP(MONTH(excelsalesdata[[#This Row],[Order_Date]])/3,0)</f>
        <v>Q1</v>
      </c>
    </row>
    <row r="1371" spans="1:30" x14ac:dyDescent="0.35">
      <c r="A1371" t="s">
        <v>2189</v>
      </c>
      <c r="B1371" s="3">
        <v>47129</v>
      </c>
      <c r="C1371" t="s">
        <v>2190</v>
      </c>
      <c r="D1371" t="s">
        <v>553</v>
      </c>
      <c r="E1371" t="str">
        <f>TRIM(excelsalesdata[[#This Row],[Customer_Name]])</f>
        <v>Vivaan Reddy</v>
      </c>
      <c r="F1371" t="s">
        <v>44</v>
      </c>
      <c r="G1371">
        <v>23</v>
      </c>
      <c r="H1371" t="s">
        <v>60</v>
      </c>
      <c r="I1371" t="str">
        <f>TRIM(excelsalesdata[[#This Row],[City]])</f>
        <v>Chandigarh</v>
      </c>
      <c r="J1371" t="s">
        <v>60</v>
      </c>
      <c r="K1371" t="s">
        <v>61</v>
      </c>
      <c r="L1371" t="s">
        <v>54</v>
      </c>
      <c r="M1371" t="s">
        <v>55</v>
      </c>
      <c r="N1371" t="s">
        <v>55</v>
      </c>
      <c r="O1371">
        <v>2</v>
      </c>
      <c r="P1371">
        <v>7310</v>
      </c>
      <c r="Q1371">
        <v>0.1</v>
      </c>
      <c r="R1371">
        <v>4440</v>
      </c>
      <c r="S1371" t="s">
        <v>80</v>
      </c>
      <c r="T1371" t="s">
        <v>30</v>
      </c>
      <c r="U1371">
        <v>7</v>
      </c>
      <c r="V1371" t="s">
        <v>40</v>
      </c>
      <c r="W1371">
        <f>excelsalesdata[[#This Row],[Quantity]]*excelsalesdata[[#This Row],[Unit_Price]]</f>
        <v>14620</v>
      </c>
      <c r="X1371">
        <f>excelsalesdata[[#This Row],[Gross_sales]]*excelsalesdata[[#This Row],[Discount_%]]</f>
        <v>1462</v>
      </c>
      <c r="Y1371">
        <f>excelsalesdata[[#This Row],[Gross_sales]]-excelsalesdata[[#This Row],[Discount_amt]]</f>
        <v>13158</v>
      </c>
      <c r="Z1371" s="4">
        <f>excelsalesdata[[#This Row],[Net_sales]]-excelsalesdata[[#This Row],[Cost]]</f>
        <v>8718</v>
      </c>
      <c r="AA1371" s="5">
        <f>excelsalesdata[[#This Row],[Profit]]/excelsalesdata[[#This Row],[Net_sales]]</f>
        <v>0.66256269949840396</v>
      </c>
      <c r="AB1371" s="4">
        <f>YEAR(excelsalesdata[[#This Row],[Order_Date]])</f>
        <v>2029</v>
      </c>
      <c r="AC1371" s="4" t="str">
        <f>TEXT(excelsalesdata[[#This Row],[Order_Date]],"mmm")</f>
        <v>Jan</v>
      </c>
      <c r="AD1371" s="4" t="str">
        <f>"Q"&amp;ROUNDUP(MONTH(excelsalesdata[[#This Row],[Order_Date]])/3,0)</f>
        <v>Q1</v>
      </c>
    </row>
    <row r="1372" spans="1:30" x14ac:dyDescent="0.35">
      <c r="A1372" t="s">
        <v>2191</v>
      </c>
      <c r="B1372" s="3">
        <v>47130</v>
      </c>
      <c r="C1372" t="s">
        <v>410</v>
      </c>
      <c r="D1372" t="s">
        <v>184</v>
      </c>
      <c r="E1372" t="str">
        <f>TRIM(excelsalesdata[[#This Row],[Customer_Name]])</f>
        <v>Aditya Verma</v>
      </c>
      <c r="F1372" t="s">
        <v>44</v>
      </c>
      <c r="G1372">
        <v>46</v>
      </c>
      <c r="H1372" t="s">
        <v>35</v>
      </c>
      <c r="I1372" t="str">
        <f>TRIM(excelsalesdata[[#This Row],[City]])</f>
        <v>Kolkata</v>
      </c>
      <c r="J1372" t="s">
        <v>36</v>
      </c>
      <c r="K1372" t="s">
        <v>37</v>
      </c>
      <c r="L1372" t="s">
        <v>93</v>
      </c>
      <c r="M1372" t="s">
        <v>206</v>
      </c>
      <c r="N1372" t="s">
        <v>206</v>
      </c>
      <c r="O1372">
        <v>3</v>
      </c>
      <c r="P1372">
        <v>650</v>
      </c>
      <c r="Q1372">
        <v>0.2</v>
      </c>
      <c r="R1372">
        <v>310</v>
      </c>
      <c r="S1372" t="s">
        <v>151</v>
      </c>
      <c r="T1372" t="s">
        <v>81</v>
      </c>
      <c r="U1372">
        <v>0</v>
      </c>
      <c r="V1372" t="s">
        <v>40</v>
      </c>
      <c r="W1372">
        <f>excelsalesdata[[#This Row],[Quantity]]*excelsalesdata[[#This Row],[Unit_Price]]</f>
        <v>1950</v>
      </c>
      <c r="X1372">
        <f>excelsalesdata[[#This Row],[Gross_sales]]*excelsalesdata[[#This Row],[Discount_%]]</f>
        <v>390</v>
      </c>
      <c r="Y1372">
        <f>excelsalesdata[[#This Row],[Gross_sales]]-excelsalesdata[[#This Row],[Discount_amt]]</f>
        <v>1560</v>
      </c>
      <c r="Z1372" s="4">
        <f>excelsalesdata[[#This Row],[Net_sales]]-excelsalesdata[[#This Row],[Cost]]</f>
        <v>1250</v>
      </c>
      <c r="AA1372" s="5">
        <f>excelsalesdata[[#This Row],[Profit]]/excelsalesdata[[#This Row],[Net_sales]]</f>
        <v>0.80128205128205132</v>
      </c>
      <c r="AB1372" s="4">
        <f>YEAR(excelsalesdata[[#This Row],[Order_Date]])</f>
        <v>2029</v>
      </c>
      <c r="AC1372" s="4" t="str">
        <f>TEXT(excelsalesdata[[#This Row],[Order_Date]],"mmm")</f>
        <v>Jan</v>
      </c>
      <c r="AD1372" s="4" t="str">
        <f>"Q"&amp;ROUNDUP(MONTH(excelsalesdata[[#This Row],[Order_Date]])/3,0)</f>
        <v>Q1</v>
      </c>
    </row>
    <row r="1373" spans="1:30" x14ac:dyDescent="0.35">
      <c r="A1373" t="s">
        <v>2192</v>
      </c>
      <c r="B1373" s="3">
        <v>47131</v>
      </c>
      <c r="C1373" t="s">
        <v>724</v>
      </c>
      <c r="D1373" t="s">
        <v>1213</v>
      </c>
      <c r="E1373" t="str">
        <f>TRIM(excelsalesdata[[#This Row],[Customer_Name]])</f>
        <v>Ananya Naidu</v>
      </c>
      <c r="F1373" t="s">
        <v>44</v>
      </c>
      <c r="G1373">
        <v>43</v>
      </c>
      <c r="H1373" t="s">
        <v>98</v>
      </c>
      <c r="I1373" t="str">
        <f>TRIM(excelsalesdata[[#This Row],[City]])</f>
        <v>Mumbai</v>
      </c>
      <c r="J1373" t="s">
        <v>25</v>
      </c>
      <c r="K1373" t="s">
        <v>26</v>
      </c>
      <c r="L1373" t="s">
        <v>93</v>
      </c>
      <c r="M1373" t="s">
        <v>375</v>
      </c>
      <c r="N1373" t="s">
        <v>375</v>
      </c>
      <c r="O1373">
        <v>1</v>
      </c>
      <c r="P1373">
        <v>2200</v>
      </c>
      <c r="Q1373">
        <v>0</v>
      </c>
      <c r="R1373">
        <v>1160</v>
      </c>
      <c r="S1373" t="s">
        <v>29</v>
      </c>
      <c r="T1373" t="s">
        <v>30</v>
      </c>
      <c r="U1373">
        <v>3</v>
      </c>
      <c r="V1373" t="s">
        <v>40</v>
      </c>
      <c r="W1373">
        <f>excelsalesdata[[#This Row],[Quantity]]*excelsalesdata[[#This Row],[Unit_Price]]</f>
        <v>2200</v>
      </c>
      <c r="X1373">
        <f>excelsalesdata[[#This Row],[Gross_sales]]*excelsalesdata[[#This Row],[Discount_%]]</f>
        <v>0</v>
      </c>
      <c r="Y1373">
        <f>excelsalesdata[[#This Row],[Gross_sales]]-excelsalesdata[[#This Row],[Discount_amt]]</f>
        <v>2200</v>
      </c>
      <c r="Z1373" s="4">
        <f>excelsalesdata[[#This Row],[Net_sales]]-excelsalesdata[[#This Row],[Cost]]</f>
        <v>1040</v>
      </c>
      <c r="AA1373" s="5">
        <f>excelsalesdata[[#This Row],[Profit]]/excelsalesdata[[#This Row],[Net_sales]]</f>
        <v>0.47272727272727272</v>
      </c>
      <c r="AB1373" s="4">
        <f>YEAR(excelsalesdata[[#This Row],[Order_Date]])</f>
        <v>2029</v>
      </c>
      <c r="AC1373" s="4" t="str">
        <f>TEXT(excelsalesdata[[#This Row],[Order_Date]],"mmm")</f>
        <v>Jan</v>
      </c>
      <c r="AD1373" s="4" t="str">
        <f>"Q"&amp;ROUNDUP(MONTH(excelsalesdata[[#This Row],[Order_Date]])/3,0)</f>
        <v>Q1</v>
      </c>
    </row>
    <row r="1374" spans="1:30" x14ac:dyDescent="0.35">
      <c r="A1374" t="s">
        <v>2193</v>
      </c>
      <c r="B1374" s="3">
        <v>47132</v>
      </c>
      <c r="C1374" t="s">
        <v>898</v>
      </c>
      <c r="D1374" t="s">
        <v>294</v>
      </c>
      <c r="E1374" t="str">
        <f>TRIM(excelsalesdata[[#This Row],[Customer_Name]])</f>
        <v>Ananya Gupta</v>
      </c>
      <c r="F1374" t="s">
        <v>44</v>
      </c>
      <c r="G1374">
        <v>24</v>
      </c>
      <c r="H1374" t="s">
        <v>190</v>
      </c>
      <c r="I1374" t="str">
        <f>TRIM(excelsalesdata[[#This Row],[City]])</f>
        <v>Ahmedabad</v>
      </c>
      <c r="J1374" t="s">
        <v>191</v>
      </c>
      <c r="K1374" t="s">
        <v>26</v>
      </c>
      <c r="L1374" t="s">
        <v>27</v>
      </c>
      <c r="M1374" t="s">
        <v>48</v>
      </c>
      <c r="N1374" t="s">
        <v>48</v>
      </c>
      <c r="O1374">
        <v>2</v>
      </c>
      <c r="P1374">
        <v>960</v>
      </c>
      <c r="Q1374">
        <v>0.05</v>
      </c>
      <c r="R1374">
        <v>470</v>
      </c>
      <c r="S1374" t="s">
        <v>67</v>
      </c>
      <c r="T1374" t="s">
        <v>30</v>
      </c>
      <c r="U1374">
        <v>4</v>
      </c>
      <c r="V1374" t="s">
        <v>31</v>
      </c>
      <c r="W1374">
        <f>excelsalesdata[[#This Row],[Quantity]]*excelsalesdata[[#This Row],[Unit_Price]]</f>
        <v>1920</v>
      </c>
      <c r="X1374">
        <f>excelsalesdata[[#This Row],[Gross_sales]]*excelsalesdata[[#This Row],[Discount_%]]</f>
        <v>96</v>
      </c>
      <c r="Y1374">
        <f>excelsalesdata[[#This Row],[Gross_sales]]-excelsalesdata[[#This Row],[Discount_amt]]</f>
        <v>1824</v>
      </c>
      <c r="Z1374" s="4">
        <f>excelsalesdata[[#This Row],[Net_sales]]-excelsalesdata[[#This Row],[Cost]]</f>
        <v>1354</v>
      </c>
      <c r="AA1374" s="5">
        <f>excelsalesdata[[#This Row],[Profit]]/excelsalesdata[[#This Row],[Net_sales]]</f>
        <v>0.74232456140350878</v>
      </c>
      <c r="AB1374" s="4">
        <f>YEAR(excelsalesdata[[#This Row],[Order_Date]])</f>
        <v>2029</v>
      </c>
      <c r="AC1374" s="4" t="str">
        <f>TEXT(excelsalesdata[[#This Row],[Order_Date]],"mmm")</f>
        <v>Jan</v>
      </c>
      <c r="AD1374" s="4" t="str">
        <f>"Q"&amp;ROUNDUP(MONTH(excelsalesdata[[#This Row],[Order_Date]])/3,0)</f>
        <v>Q1</v>
      </c>
    </row>
    <row r="1375" spans="1:30" x14ac:dyDescent="0.35">
      <c r="A1375" t="s">
        <v>2194</v>
      </c>
      <c r="B1375" s="3">
        <v>47133</v>
      </c>
      <c r="C1375" t="s">
        <v>42</v>
      </c>
      <c r="D1375" t="s">
        <v>285</v>
      </c>
      <c r="E1375" t="str">
        <f>TRIM(excelsalesdata[[#This Row],[Customer_Name]])</f>
        <v>Aditya Bhat</v>
      </c>
      <c r="F1375" t="s">
        <v>23</v>
      </c>
      <c r="G1375">
        <v>59</v>
      </c>
      <c r="H1375" t="s">
        <v>168</v>
      </c>
      <c r="I1375" t="str">
        <f>TRIM(excelsalesdata[[#This Row],[City]])</f>
        <v>Delhi</v>
      </c>
      <c r="J1375" t="s">
        <v>168</v>
      </c>
      <c r="K1375" t="s">
        <v>61</v>
      </c>
      <c r="L1375" t="s">
        <v>38</v>
      </c>
      <c r="M1375" t="s">
        <v>161</v>
      </c>
      <c r="N1375" t="s">
        <v>161</v>
      </c>
      <c r="O1375">
        <v>1</v>
      </c>
      <c r="P1375">
        <v>29060</v>
      </c>
      <c r="Q1375">
        <v>0.15</v>
      </c>
      <c r="R1375">
        <v>19810</v>
      </c>
      <c r="S1375" t="s">
        <v>56</v>
      </c>
      <c r="T1375" t="s">
        <v>30</v>
      </c>
      <c r="U1375">
        <v>3</v>
      </c>
      <c r="V1375" t="s">
        <v>40</v>
      </c>
      <c r="W1375">
        <f>excelsalesdata[[#This Row],[Quantity]]*excelsalesdata[[#This Row],[Unit_Price]]</f>
        <v>29060</v>
      </c>
      <c r="X1375">
        <f>excelsalesdata[[#This Row],[Gross_sales]]*excelsalesdata[[#This Row],[Discount_%]]</f>
        <v>4359</v>
      </c>
      <c r="Y1375">
        <f>excelsalesdata[[#This Row],[Gross_sales]]-excelsalesdata[[#This Row],[Discount_amt]]</f>
        <v>24701</v>
      </c>
      <c r="Z1375" s="4">
        <f>excelsalesdata[[#This Row],[Net_sales]]-excelsalesdata[[#This Row],[Cost]]</f>
        <v>4891</v>
      </c>
      <c r="AA1375" s="5">
        <f>excelsalesdata[[#This Row],[Profit]]/excelsalesdata[[#This Row],[Net_sales]]</f>
        <v>0.19800817780656654</v>
      </c>
      <c r="AB1375" s="4">
        <f>YEAR(excelsalesdata[[#This Row],[Order_Date]])</f>
        <v>2029</v>
      </c>
      <c r="AC1375" s="4" t="str">
        <f>TEXT(excelsalesdata[[#This Row],[Order_Date]],"mmm")</f>
        <v>Jan</v>
      </c>
      <c r="AD1375" s="4" t="str">
        <f>"Q"&amp;ROUNDUP(MONTH(excelsalesdata[[#This Row],[Order_Date]])/3,0)</f>
        <v>Q1</v>
      </c>
    </row>
    <row r="1376" spans="1:30" x14ac:dyDescent="0.35">
      <c r="A1376" t="s">
        <v>2195</v>
      </c>
      <c r="B1376" s="3">
        <v>47134</v>
      </c>
      <c r="C1376" t="s">
        <v>1476</v>
      </c>
      <c r="D1376" t="s">
        <v>59</v>
      </c>
      <c r="E1376" t="str">
        <f>TRIM(excelsalesdata[[#This Row],[Customer_Name]])</f>
        <v>Nisha Naidu</v>
      </c>
      <c r="F1376" t="s">
        <v>44</v>
      </c>
      <c r="G1376">
        <v>59</v>
      </c>
      <c r="H1376" t="s">
        <v>109</v>
      </c>
      <c r="I1376" t="str">
        <f>TRIM(excelsalesdata[[#This Row],[City]])</f>
        <v>Mysuru</v>
      </c>
      <c r="J1376" t="s">
        <v>53</v>
      </c>
      <c r="K1376" t="s">
        <v>47</v>
      </c>
      <c r="L1376" t="s">
        <v>54</v>
      </c>
      <c r="M1376" t="s">
        <v>55</v>
      </c>
      <c r="N1376" t="s">
        <v>55</v>
      </c>
      <c r="O1376">
        <v>2</v>
      </c>
      <c r="P1376">
        <v>7540</v>
      </c>
      <c r="Q1376">
        <v>0.1</v>
      </c>
      <c r="R1376">
        <v>4300</v>
      </c>
      <c r="S1376" t="s">
        <v>29</v>
      </c>
      <c r="T1376" t="s">
        <v>74</v>
      </c>
      <c r="U1376">
        <v>6</v>
      </c>
      <c r="V1376" t="s">
        <v>31</v>
      </c>
      <c r="W1376">
        <f>excelsalesdata[[#This Row],[Quantity]]*excelsalesdata[[#This Row],[Unit_Price]]</f>
        <v>15080</v>
      </c>
      <c r="X1376">
        <f>excelsalesdata[[#This Row],[Gross_sales]]*excelsalesdata[[#This Row],[Discount_%]]</f>
        <v>1508</v>
      </c>
      <c r="Y1376">
        <f>excelsalesdata[[#This Row],[Gross_sales]]-excelsalesdata[[#This Row],[Discount_amt]]</f>
        <v>13572</v>
      </c>
      <c r="Z1376" s="4">
        <f>excelsalesdata[[#This Row],[Net_sales]]-excelsalesdata[[#This Row],[Cost]]</f>
        <v>9272</v>
      </c>
      <c r="AA1376" s="5">
        <f>excelsalesdata[[#This Row],[Profit]]/excelsalesdata[[#This Row],[Net_sales]]</f>
        <v>0.68317123489537279</v>
      </c>
      <c r="AB1376" s="4">
        <f>YEAR(excelsalesdata[[#This Row],[Order_Date]])</f>
        <v>2029</v>
      </c>
      <c r="AC1376" s="4" t="str">
        <f>TEXT(excelsalesdata[[#This Row],[Order_Date]],"mmm")</f>
        <v>Jan</v>
      </c>
      <c r="AD1376" s="4" t="str">
        <f>"Q"&amp;ROUNDUP(MONTH(excelsalesdata[[#This Row],[Order_Date]])/3,0)</f>
        <v>Q1</v>
      </c>
    </row>
    <row r="1377" spans="1:30" x14ac:dyDescent="0.35">
      <c r="A1377" t="s">
        <v>2196</v>
      </c>
      <c r="B1377" s="3">
        <v>47135</v>
      </c>
      <c r="C1377" t="s">
        <v>878</v>
      </c>
      <c r="D1377" t="s">
        <v>138</v>
      </c>
      <c r="E1377" t="str">
        <f>TRIM(excelsalesdata[[#This Row],[Customer_Name]])</f>
        <v>Vikram Bhat</v>
      </c>
      <c r="F1377" t="s">
        <v>44</v>
      </c>
      <c r="G1377">
        <v>21</v>
      </c>
      <c r="H1377" t="s">
        <v>185</v>
      </c>
      <c r="I1377" t="str">
        <f>TRIM(excelsalesdata[[#This Row],[City]])</f>
        <v>Lucknow</v>
      </c>
      <c r="J1377" t="s">
        <v>186</v>
      </c>
      <c r="K1377" t="s">
        <v>61</v>
      </c>
      <c r="L1377" t="s">
        <v>85</v>
      </c>
      <c r="M1377" t="s">
        <v>172</v>
      </c>
      <c r="N1377" t="s">
        <v>172</v>
      </c>
      <c r="O1377">
        <v>2</v>
      </c>
      <c r="P1377">
        <v>4690</v>
      </c>
      <c r="Q1377">
        <v>0</v>
      </c>
      <c r="R1377">
        <v>2670</v>
      </c>
      <c r="S1377" t="s">
        <v>29</v>
      </c>
      <c r="T1377" t="s">
        <v>30</v>
      </c>
      <c r="U1377">
        <v>5</v>
      </c>
      <c r="V1377" t="s">
        <v>40</v>
      </c>
      <c r="W1377">
        <f>excelsalesdata[[#This Row],[Quantity]]*excelsalesdata[[#This Row],[Unit_Price]]</f>
        <v>9380</v>
      </c>
      <c r="X1377">
        <f>excelsalesdata[[#This Row],[Gross_sales]]*excelsalesdata[[#This Row],[Discount_%]]</f>
        <v>0</v>
      </c>
      <c r="Y1377">
        <f>excelsalesdata[[#This Row],[Gross_sales]]-excelsalesdata[[#This Row],[Discount_amt]]</f>
        <v>9380</v>
      </c>
      <c r="Z1377" s="4">
        <f>excelsalesdata[[#This Row],[Net_sales]]-excelsalesdata[[#This Row],[Cost]]</f>
        <v>6710</v>
      </c>
      <c r="AA1377" s="5">
        <f>excelsalesdata[[#This Row],[Profit]]/excelsalesdata[[#This Row],[Net_sales]]</f>
        <v>0.71535181236673773</v>
      </c>
      <c r="AB1377" s="4">
        <f>YEAR(excelsalesdata[[#This Row],[Order_Date]])</f>
        <v>2029</v>
      </c>
      <c r="AC1377" s="4" t="str">
        <f>TEXT(excelsalesdata[[#This Row],[Order_Date]],"mmm")</f>
        <v>Jan</v>
      </c>
      <c r="AD1377" s="4" t="str">
        <f>"Q"&amp;ROUNDUP(MONTH(excelsalesdata[[#This Row],[Order_Date]])/3,0)</f>
        <v>Q1</v>
      </c>
    </row>
    <row r="1378" spans="1:30" x14ac:dyDescent="0.35">
      <c r="A1378" t="s">
        <v>2197</v>
      </c>
      <c r="B1378" s="3">
        <v>47136</v>
      </c>
      <c r="C1378" t="s">
        <v>974</v>
      </c>
      <c r="D1378" t="s">
        <v>59</v>
      </c>
      <c r="E1378" t="str">
        <f>TRIM(excelsalesdata[[#This Row],[Customer_Name]])</f>
        <v>Nisha Naidu</v>
      </c>
      <c r="F1378" t="s">
        <v>23</v>
      </c>
      <c r="G1378">
        <v>48</v>
      </c>
      <c r="H1378" t="s">
        <v>114</v>
      </c>
      <c r="I1378" t="str">
        <f>TRIM(excelsalesdata[[#This Row],[City]])</f>
        <v>Hyderabad</v>
      </c>
      <c r="J1378" t="s">
        <v>115</v>
      </c>
      <c r="K1378" t="s">
        <v>47</v>
      </c>
      <c r="L1378" t="s">
        <v>27</v>
      </c>
      <c r="M1378" t="s">
        <v>48</v>
      </c>
      <c r="N1378" t="s">
        <v>48</v>
      </c>
      <c r="O1378">
        <v>1</v>
      </c>
      <c r="P1378">
        <v>930</v>
      </c>
      <c r="Q1378">
        <v>0.05</v>
      </c>
      <c r="R1378">
        <v>460</v>
      </c>
      <c r="S1378" t="s">
        <v>29</v>
      </c>
      <c r="T1378" t="s">
        <v>30</v>
      </c>
      <c r="U1378">
        <v>3</v>
      </c>
      <c r="V1378" t="s">
        <v>31</v>
      </c>
      <c r="W1378">
        <f>excelsalesdata[[#This Row],[Quantity]]*excelsalesdata[[#This Row],[Unit_Price]]</f>
        <v>930</v>
      </c>
      <c r="X1378">
        <f>excelsalesdata[[#This Row],[Gross_sales]]*excelsalesdata[[#This Row],[Discount_%]]</f>
        <v>46.5</v>
      </c>
      <c r="Y1378">
        <f>excelsalesdata[[#This Row],[Gross_sales]]-excelsalesdata[[#This Row],[Discount_amt]]</f>
        <v>883.5</v>
      </c>
      <c r="Z1378" s="4">
        <f>excelsalesdata[[#This Row],[Net_sales]]-excelsalesdata[[#This Row],[Cost]]</f>
        <v>423.5</v>
      </c>
      <c r="AA1378" s="5">
        <f>excelsalesdata[[#This Row],[Profit]]/excelsalesdata[[#This Row],[Net_sales]]</f>
        <v>0.47934352009054898</v>
      </c>
      <c r="AB1378" s="4">
        <f>YEAR(excelsalesdata[[#This Row],[Order_Date]])</f>
        <v>2029</v>
      </c>
      <c r="AC1378" s="4" t="str">
        <f>TEXT(excelsalesdata[[#This Row],[Order_Date]],"mmm")</f>
        <v>Jan</v>
      </c>
      <c r="AD1378" s="4" t="str">
        <f>"Q"&amp;ROUNDUP(MONTH(excelsalesdata[[#This Row],[Order_Date]])/3,0)</f>
        <v>Q1</v>
      </c>
    </row>
    <row r="1379" spans="1:30" x14ac:dyDescent="0.35">
      <c r="A1379" t="s">
        <v>2198</v>
      </c>
      <c r="B1379" s="3">
        <v>47137</v>
      </c>
      <c r="C1379" t="s">
        <v>1634</v>
      </c>
      <c r="D1379" t="s">
        <v>605</v>
      </c>
      <c r="E1379" t="str">
        <f>TRIM(excelsalesdata[[#This Row],[Customer_Name]])</f>
        <v>Rahul Gupta</v>
      </c>
      <c r="F1379" t="s">
        <v>44</v>
      </c>
      <c r="G1379">
        <v>18</v>
      </c>
      <c r="H1379" t="s">
        <v>60</v>
      </c>
      <c r="I1379" t="str">
        <f>TRIM(excelsalesdata[[#This Row],[City]])</f>
        <v>Chandigarh</v>
      </c>
      <c r="J1379" t="s">
        <v>60</v>
      </c>
      <c r="K1379" t="s">
        <v>61</v>
      </c>
      <c r="L1379" t="s">
        <v>103</v>
      </c>
      <c r="M1379" t="s">
        <v>238</v>
      </c>
      <c r="N1379" t="s">
        <v>238</v>
      </c>
      <c r="O1379">
        <v>5</v>
      </c>
      <c r="P1379">
        <v>4030</v>
      </c>
      <c r="Q1379">
        <v>0.15</v>
      </c>
      <c r="R1379">
        <v>2600</v>
      </c>
      <c r="S1379" t="s">
        <v>80</v>
      </c>
      <c r="T1379" t="s">
        <v>30</v>
      </c>
      <c r="U1379">
        <v>2</v>
      </c>
      <c r="V1379" t="s">
        <v>40</v>
      </c>
      <c r="W1379">
        <f>excelsalesdata[[#This Row],[Quantity]]*excelsalesdata[[#This Row],[Unit_Price]]</f>
        <v>20150</v>
      </c>
      <c r="X1379">
        <f>excelsalesdata[[#This Row],[Gross_sales]]*excelsalesdata[[#This Row],[Discount_%]]</f>
        <v>3022.5</v>
      </c>
      <c r="Y1379">
        <f>excelsalesdata[[#This Row],[Gross_sales]]-excelsalesdata[[#This Row],[Discount_amt]]</f>
        <v>17127.5</v>
      </c>
      <c r="Z1379" s="4">
        <f>excelsalesdata[[#This Row],[Net_sales]]-excelsalesdata[[#This Row],[Cost]]</f>
        <v>14527.5</v>
      </c>
      <c r="AA1379" s="5">
        <f>excelsalesdata[[#This Row],[Profit]]/excelsalesdata[[#This Row],[Net_sales]]</f>
        <v>0.84819734345351039</v>
      </c>
      <c r="AB1379" s="4">
        <f>YEAR(excelsalesdata[[#This Row],[Order_Date]])</f>
        <v>2029</v>
      </c>
      <c r="AC1379" s="4" t="str">
        <f>TEXT(excelsalesdata[[#This Row],[Order_Date]],"mmm")</f>
        <v>Jan</v>
      </c>
      <c r="AD1379" s="4" t="str">
        <f>"Q"&amp;ROUNDUP(MONTH(excelsalesdata[[#This Row],[Order_Date]])/3,0)</f>
        <v>Q1</v>
      </c>
    </row>
    <row r="1380" spans="1:30" x14ac:dyDescent="0.35">
      <c r="A1380" t="s">
        <v>2199</v>
      </c>
      <c r="B1380" s="3">
        <v>47138</v>
      </c>
      <c r="C1380" t="s">
        <v>317</v>
      </c>
      <c r="D1380" t="s">
        <v>1226</v>
      </c>
      <c r="E1380" t="str">
        <f>TRIM(excelsalesdata[[#This Row],[Customer_Name]])</f>
        <v>Vikram Reddy</v>
      </c>
      <c r="F1380" t="s">
        <v>23</v>
      </c>
      <c r="G1380">
        <v>22</v>
      </c>
      <c r="H1380" t="s">
        <v>24</v>
      </c>
      <c r="I1380" t="str">
        <f>TRIM(excelsalesdata[[#This Row],[City]])</f>
        <v>Pune</v>
      </c>
      <c r="J1380" t="s">
        <v>25</v>
      </c>
      <c r="K1380" t="s">
        <v>26</v>
      </c>
      <c r="L1380" t="s">
        <v>54</v>
      </c>
      <c r="M1380" t="s">
        <v>62</v>
      </c>
      <c r="N1380" t="s">
        <v>62</v>
      </c>
      <c r="O1380">
        <v>1</v>
      </c>
      <c r="P1380">
        <v>21030</v>
      </c>
      <c r="Q1380">
        <v>0.15</v>
      </c>
      <c r="R1380">
        <v>15450</v>
      </c>
      <c r="S1380" t="s">
        <v>80</v>
      </c>
      <c r="T1380" t="s">
        <v>30</v>
      </c>
      <c r="U1380">
        <v>5</v>
      </c>
      <c r="V1380" t="s">
        <v>40</v>
      </c>
      <c r="W1380">
        <f>excelsalesdata[[#This Row],[Quantity]]*excelsalesdata[[#This Row],[Unit_Price]]</f>
        <v>21030</v>
      </c>
      <c r="X1380">
        <f>excelsalesdata[[#This Row],[Gross_sales]]*excelsalesdata[[#This Row],[Discount_%]]</f>
        <v>3154.5</v>
      </c>
      <c r="Y1380">
        <f>excelsalesdata[[#This Row],[Gross_sales]]-excelsalesdata[[#This Row],[Discount_amt]]</f>
        <v>17875.5</v>
      </c>
      <c r="Z1380" s="4">
        <f>excelsalesdata[[#This Row],[Net_sales]]-excelsalesdata[[#This Row],[Cost]]</f>
        <v>2425.5</v>
      </c>
      <c r="AA1380" s="5">
        <f>excelsalesdata[[#This Row],[Profit]]/excelsalesdata[[#This Row],[Net_sales]]</f>
        <v>0.13568851220944869</v>
      </c>
      <c r="AB1380" s="4">
        <f>YEAR(excelsalesdata[[#This Row],[Order_Date]])</f>
        <v>2029</v>
      </c>
      <c r="AC1380" s="4" t="str">
        <f>TEXT(excelsalesdata[[#This Row],[Order_Date]],"mmm")</f>
        <v>Jan</v>
      </c>
      <c r="AD1380" s="4" t="str">
        <f>"Q"&amp;ROUNDUP(MONTH(excelsalesdata[[#This Row],[Order_Date]])/3,0)</f>
        <v>Q1</v>
      </c>
    </row>
    <row r="1381" spans="1:30" x14ac:dyDescent="0.35">
      <c r="A1381" t="s">
        <v>2200</v>
      </c>
      <c r="B1381" s="3">
        <v>47139</v>
      </c>
      <c r="C1381" t="s">
        <v>575</v>
      </c>
      <c r="D1381" t="s">
        <v>466</v>
      </c>
      <c r="E1381" t="str">
        <f>TRIM(excelsalesdata[[#This Row],[Customer_Name]])</f>
        <v>Ishita Bhat</v>
      </c>
      <c r="F1381" t="s">
        <v>44</v>
      </c>
      <c r="G1381">
        <v>38</v>
      </c>
      <c r="H1381" t="s">
        <v>109</v>
      </c>
      <c r="I1381" t="str">
        <f>TRIM(excelsalesdata[[#This Row],[City]])</f>
        <v>Mysuru</v>
      </c>
      <c r="J1381" t="s">
        <v>53</v>
      </c>
      <c r="K1381" t="s">
        <v>47</v>
      </c>
      <c r="L1381" t="s">
        <v>85</v>
      </c>
      <c r="M1381" t="s">
        <v>251</v>
      </c>
      <c r="N1381" t="s">
        <v>251</v>
      </c>
      <c r="O1381">
        <v>1</v>
      </c>
      <c r="P1381">
        <v>3070</v>
      </c>
      <c r="Q1381">
        <v>0.1</v>
      </c>
      <c r="R1381">
        <v>1970</v>
      </c>
      <c r="S1381" t="s">
        <v>80</v>
      </c>
      <c r="T1381" t="s">
        <v>30</v>
      </c>
      <c r="U1381">
        <v>6</v>
      </c>
      <c r="V1381" t="s">
        <v>31</v>
      </c>
      <c r="W1381">
        <f>excelsalesdata[[#This Row],[Quantity]]*excelsalesdata[[#This Row],[Unit_Price]]</f>
        <v>3070</v>
      </c>
      <c r="X1381">
        <f>excelsalesdata[[#This Row],[Gross_sales]]*excelsalesdata[[#This Row],[Discount_%]]</f>
        <v>307</v>
      </c>
      <c r="Y1381">
        <f>excelsalesdata[[#This Row],[Gross_sales]]-excelsalesdata[[#This Row],[Discount_amt]]</f>
        <v>2763</v>
      </c>
      <c r="Z1381" s="4">
        <f>excelsalesdata[[#This Row],[Net_sales]]-excelsalesdata[[#This Row],[Cost]]</f>
        <v>793</v>
      </c>
      <c r="AA1381" s="5">
        <f>excelsalesdata[[#This Row],[Profit]]/excelsalesdata[[#This Row],[Net_sales]]</f>
        <v>0.28700687658342383</v>
      </c>
      <c r="AB1381" s="4">
        <f>YEAR(excelsalesdata[[#This Row],[Order_Date]])</f>
        <v>2029</v>
      </c>
      <c r="AC1381" s="4" t="str">
        <f>TEXT(excelsalesdata[[#This Row],[Order_Date]],"mmm")</f>
        <v>Jan</v>
      </c>
      <c r="AD1381" s="4" t="str">
        <f>"Q"&amp;ROUNDUP(MONTH(excelsalesdata[[#This Row],[Order_Date]])/3,0)</f>
        <v>Q1</v>
      </c>
    </row>
    <row r="1382" spans="1:30" x14ac:dyDescent="0.35">
      <c r="A1382" t="s">
        <v>2201</v>
      </c>
      <c r="B1382" s="3">
        <v>47140</v>
      </c>
      <c r="C1382" t="s">
        <v>428</v>
      </c>
      <c r="D1382" t="s">
        <v>34</v>
      </c>
      <c r="E1382" t="str">
        <f>TRIM(excelsalesdata[[#This Row],[Customer_Name]])</f>
        <v>Priya Singh</v>
      </c>
      <c r="F1382" t="s">
        <v>23</v>
      </c>
      <c r="G1382">
        <v>34</v>
      </c>
      <c r="H1382" t="s">
        <v>155</v>
      </c>
      <c r="I1382" t="str">
        <f>TRIM(excelsalesdata[[#This Row],[City]])</f>
        <v>Chennai</v>
      </c>
      <c r="J1382" t="s">
        <v>156</v>
      </c>
      <c r="K1382" t="s">
        <v>47</v>
      </c>
      <c r="L1382" t="s">
        <v>38</v>
      </c>
      <c r="M1382" t="s">
        <v>73</v>
      </c>
      <c r="N1382" t="s">
        <v>73</v>
      </c>
      <c r="O1382">
        <v>5</v>
      </c>
      <c r="P1382">
        <v>5130</v>
      </c>
      <c r="Q1382">
        <v>0.2</v>
      </c>
      <c r="R1382">
        <v>3050</v>
      </c>
      <c r="S1382" t="s">
        <v>151</v>
      </c>
      <c r="T1382" t="s">
        <v>30</v>
      </c>
      <c r="U1382">
        <v>2</v>
      </c>
      <c r="V1382" t="s">
        <v>40</v>
      </c>
      <c r="W1382">
        <f>excelsalesdata[[#This Row],[Quantity]]*excelsalesdata[[#This Row],[Unit_Price]]</f>
        <v>25650</v>
      </c>
      <c r="X1382">
        <f>excelsalesdata[[#This Row],[Gross_sales]]*excelsalesdata[[#This Row],[Discount_%]]</f>
        <v>5130</v>
      </c>
      <c r="Y1382">
        <f>excelsalesdata[[#This Row],[Gross_sales]]-excelsalesdata[[#This Row],[Discount_amt]]</f>
        <v>20520</v>
      </c>
      <c r="Z1382" s="4">
        <f>excelsalesdata[[#This Row],[Net_sales]]-excelsalesdata[[#This Row],[Cost]]</f>
        <v>17470</v>
      </c>
      <c r="AA1382" s="5">
        <f>excelsalesdata[[#This Row],[Profit]]/excelsalesdata[[#This Row],[Net_sales]]</f>
        <v>0.85136452241715399</v>
      </c>
      <c r="AB1382" s="4">
        <f>YEAR(excelsalesdata[[#This Row],[Order_Date]])</f>
        <v>2029</v>
      </c>
      <c r="AC1382" s="4" t="str">
        <f>TEXT(excelsalesdata[[#This Row],[Order_Date]],"mmm")</f>
        <v>Jan</v>
      </c>
      <c r="AD1382" s="4" t="str">
        <f>"Q"&amp;ROUNDUP(MONTH(excelsalesdata[[#This Row],[Order_Date]])/3,0)</f>
        <v>Q1</v>
      </c>
    </row>
    <row r="1383" spans="1:30" x14ac:dyDescent="0.35">
      <c r="A1383" t="s">
        <v>2202</v>
      </c>
      <c r="B1383" s="3">
        <v>47141</v>
      </c>
      <c r="C1383" t="s">
        <v>223</v>
      </c>
      <c r="D1383" t="s">
        <v>479</v>
      </c>
      <c r="E1383" t="str">
        <f>TRIM(excelsalesdata[[#This Row],[Customer_Name]])</f>
        <v>Karan Kumar</v>
      </c>
      <c r="F1383" t="s">
        <v>23</v>
      </c>
      <c r="G1383">
        <v>35</v>
      </c>
      <c r="H1383" t="s">
        <v>35</v>
      </c>
      <c r="I1383" t="str">
        <f>TRIM(excelsalesdata[[#This Row],[City]])</f>
        <v>Kolkata</v>
      </c>
      <c r="J1383" t="s">
        <v>36</v>
      </c>
      <c r="K1383" t="s">
        <v>37</v>
      </c>
      <c r="L1383" t="s">
        <v>54</v>
      </c>
      <c r="M1383" t="s">
        <v>157</v>
      </c>
      <c r="N1383" t="s">
        <v>157</v>
      </c>
      <c r="O1383">
        <v>3</v>
      </c>
      <c r="P1383">
        <v>59310</v>
      </c>
      <c r="Q1383">
        <v>0</v>
      </c>
      <c r="R1383">
        <v>40450</v>
      </c>
      <c r="S1383" t="s">
        <v>29</v>
      </c>
      <c r="T1383" t="s">
        <v>30</v>
      </c>
      <c r="U1383">
        <v>3</v>
      </c>
      <c r="V1383" t="s">
        <v>40</v>
      </c>
      <c r="W1383">
        <f>excelsalesdata[[#This Row],[Quantity]]*excelsalesdata[[#This Row],[Unit_Price]]</f>
        <v>177930</v>
      </c>
      <c r="X1383">
        <f>excelsalesdata[[#This Row],[Gross_sales]]*excelsalesdata[[#This Row],[Discount_%]]</f>
        <v>0</v>
      </c>
      <c r="Y1383">
        <f>excelsalesdata[[#This Row],[Gross_sales]]-excelsalesdata[[#This Row],[Discount_amt]]</f>
        <v>177930</v>
      </c>
      <c r="Z1383" s="4">
        <f>excelsalesdata[[#This Row],[Net_sales]]-excelsalesdata[[#This Row],[Cost]]</f>
        <v>137480</v>
      </c>
      <c r="AA1383" s="5">
        <f>excelsalesdata[[#This Row],[Profit]]/excelsalesdata[[#This Row],[Net_sales]]</f>
        <v>0.77266340695779234</v>
      </c>
      <c r="AB1383" s="4">
        <f>YEAR(excelsalesdata[[#This Row],[Order_Date]])</f>
        <v>2029</v>
      </c>
      <c r="AC1383" s="4" t="str">
        <f>TEXT(excelsalesdata[[#This Row],[Order_Date]],"mmm")</f>
        <v>Jan</v>
      </c>
      <c r="AD1383" s="4" t="str">
        <f>"Q"&amp;ROUNDUP(MONTH(excelsalesdata[[#This Row],[Order_Date]])/3,0)</f>
        <v>Q1</v>
      </c>
    </row>
    <row r="1384" spans="1:30" x14ac:dyDescent="0.35">
      <c r="A1384" t="s">
        <v>2203</v>
      </c>
      <c r="B1384" s="3">
        <v>47142</v>
      </c>
      <c r="C1384" t="s">
        <v>1193</v>
      </c>
      <c r="D1384" t="s">
        <v>927</v>
      </c>
      <c r="E1384" t="str">
        <f>TRIM(excelsalesdata[[#This Row],[Customer_Name]])</f>
        <v>Priya Verma</v>
      </c>
      <c r="F1384" t="s">
        <v>23</v>
      </c>
      <c r="G1384">
        <v>34</v>
      </c>
      <c r="H1384" t="s">
        <v>52</v>
      </c>
      <c r="I1384" t="str">
        <f>TRIM(excelsalesdata[[#This Row],[City]])</f>
        <v>Bengaluru</v>
      </c>
      <c r="J1384" t="s">
        <v>53</v>
      </c>
      <c r="K1384" t="s">
        <v>47</v>
      </c>
      <c r="L1384" t="s">
        <v>27</v>
      </c>
      <c r="M1384" t="s">
        <v>123</v>
      </c>
      <c r="N1384" t="s">
        <v>123</v>
      </c>
      <c r="O1384">
        <v>2</v>
      </c>
      <c r="P1384">
        <v>2680</v>
      </c>
      <c r="Q1384">
        <v>0.1</v>
      </c>
      <c r="R1384">
        <v>1650</v>
      </c>
      <c r="S1384" t="s">
        <v>80</v>
      </c>
      <c r="T1384" t="s">
        <v>30</v>
      </c>
      <c r="U1384">
        <v>3</v>
      </c>
      <c r="V1384" t="s">
        <v>40</v>
      </c>
      <c r="W1384">
        <f>excelsalesdata[[#This Row],[Quantity]]*excelsalesdata[[#This Row],[Unit_Price]]</f>
        <v>5360</v>
      </c>
      <c r="X1384">
        <f>excelsalesdata[[#This Row],[Gross_sales]]*excelsalesdata[[#This Row],[Discount_%]]</f>
        <v>536</v>
      </c>
      <c r="Y1384">
        <f>excelsalesdata[[#This Row],[Gross_sales]]-excelsalesdata[[#This Row],[Discount_amt]]</f>
        <v>4824</v>
      </c>
      <c r="Z1384" s="4">
        <f>excelsalesdata[[#This Row],[Net_sales]]-excelsalesdata[[#This Row],[Cost]]</f>
        <v>3174</v>
      </c>
      <c r="AA1384" s="5">
        <f>excelsalesdata[[#This Row],[Profit]]/excelsalesdata[[#This Row],[Net_sales]]</f>
        <v>0.65796019900497515</v>
      </c>
      <c r="AB1384" s="4">
        <f>YEAR(excelsalesdata[[#This Row],[Order_Date]])</f>
        <v>2029</v>
      </c>
      <c r="AC1384" s="4" t="str">
        <f>TEXT(excelsalesdata[[#This Row],[Order_Date]],"mmm")</f>
        <v>Jan</v>
      </c>
      <c r="AD1384" s="4" t="str">
        <f>"Q"&amp;ROUNDUP(MONTH(excelsalesdata[[#This Row],[Order_Date]])/3,0)</f>
        <v>Q1</v>
      </c>
    </row>
    <row r="1385" spans="1:30" x14ac:dyDescent="0.35">
      <c r="A1385" t="s">
        <v>2204</v>
      </c>
      <c r="B1385" s="3">
        <v>47143</v>
      </c>
      <c r="C1385" t="s">
        <v>1144</v>
      </c>
      <c r="D1385" t="s">
        <v>362</v>
      </c>
      <c r="E1385" t="str">
        <f>TRIM(excelsalesdata[[#This Row],[Customer_Name]])</f>
        <v>Diya Gupta</v>
      </c>
      <c r="F1385" t="s">
        <v>44</v>
      </c>
      <c r="G1385">
        <v>50</v>
      </c>
      <c r="H1385" t="s">
        <v>52</v>
      </c>
      <c r="I1385" t="str">
        <f>TRIM(excelsalesdata[[#This Row],[City]])</f>
        <v>Bengaluru</v>
      </c>
      <c r="J1385" t="s">
        <v>53</v>
      </c>
      <c r="K1385" t="s">
        <v>47</v>
      </c>
      <c r="L1385" t="s">
        <v>38</v>
      </c>
      <c r="M1385" t="s">
        <v>161</v>
      </c>
      <c r="N1385" t="s">
        <v>161</v>
      </c>
      <c r="O1385">
        <v>2</v>
      </c>
      <c r="P1385">
        <v>29550</v>
      </c>
      <c r="Q1385">
        <v>0.2</v>
      </c>
      <c r="R1385">
        <v>20820</v>
      </c>
      <c r="S1385" t="s">
        <v>151</v>
      </c>
      <c r="T1385" t="s">
        <v>30</v>
      </c>
      <c r="U1385">
        <v>1</v>
      </c>
      <c r="V1385" t="s">
        <v>31</v>
      </c>
      <c r="W1385">
        <f>excelsalesdata[[#This Row],[Quantity]]*excelsalesdata[[#This Row],[Unit_Price]]</f>
        <v>59100</v>
      </c>
      <c r="X1385">
        <f>excelsalesdata[[#This Row],[Gross_sales]]*excelsalesdata[[#This Row],[Discount_%]]</f>
        <v>11820</v>
      </c>
      <c r="Y1385">
        <f>excelsalesdata[[#This Row],[Gross_sales]]-excelsalesdata[[#This Row],[Discount_amt]]</f>
        <v>47280</v>
      </c>
      <c r="Z1385" s="4">
        <f>excelsalesdata[[#This Row],[Net_sales]]-excelsalesdata[[#This Row],[Cost]]</f>
        <v>26460</v>
      </c>
      <c r="AA1385" s="5">
        <f>excelsalesdata[[#This Row],[Profit]]/excelsalesdata[[#This Row],[Net_sales]]</f>
        <v>0.55964467005076146</v>
      </c>
      <c r="AB1385" s="4">
        <f>YEAR(excelsalesdata[[#This Row],[Order_Date]])</f>
        <v>2029</v>
      </c>
      <c r="AC1385" s="4" t="str">
        <f>TEXT(excelsalesdata[[#This Row],[Order_Date]],"mmm")</f>
        <v>Jan</v>
      </c>
      <c r="AD1385" s="4" t="str">
        <f>"Q"&amp;ROUNDUP(MONTH(excelsalesdata[[#This Row],[Order_Date]])/3,0)</f>
        <v>Q1</v>
      </c>
    </row>
    <row r="1386" spans="1:30" x14ac:dyDescent="0.35">
      <c r="A1386" t="s">
        <v>2205</v>
      </c>
      <c r="B1386" s="3">
        <v>47144</v>
      </c>
      <c r="C1386" t="s">
        <v>514</v>
      </c>
      <c r="D1386" t="s">
        <v>154</v>
      </c>
      <c r="E1386" t="str">
        <f>TRIM(excelsalesdata[[#This Row],[Customer_Name]])</f>
        <v>Rohan Rao</v>
      </c>
      <c r="F1386" t="s">
        <v>44</v>
      </c>
      <c r="G1386">
        <v>52</v>
      </c>
      <c r="H1386" t="s">
        <v>45</v>
      </c>
      <c r="I1386" t="str">
        <f>TRIM(excelsalesdata[[#This Row],[City]])</f>
        <v>Kochi</v>
      </c>
      <c r="J1386" t="s">
        <v>46</v>
      </c>
      <c r="K1386" t="s">
        <v>47</v>
      </c>
      <c r="L1386" t="s">
        <v>93</v>
      </c>
      <c r="M1386" t="s">
        <v>375</v>
      </c>
      <c r="N1386" t="s">
        <v>375</v>
      </c>
      <c r="O1386">
        <v>3</v>
      </c>
      <c r="P1386">
        <v>2370</v>
      </c>
      <c r="Q1386">
        <v>0.05</v>
      </c>
      <c r="R1386">
        <v>1180</v>
      </c>
      <c r="S1386" t="s">
        <v>67</v>
      </c>
      <c r="T1386" t="s">
        <v>30</v>
      </c>
      <c r="U1386">
        <v>4</v>
      </c>
      <c r="V1386" t="s">
        <v>31</v>
      </c>
      <c r="W1386">
        <f>excelsalesdata[[#This Row],[Quantity]]*excelsalesdata[[#This Row],[Unit_Price]]</f>
        <v>7110</v>
      </c>
      <c r="X1386">
        <f>excelsalesdata[[#This Row],[Gross_sales]]*excelsalesdata[[#This Row],[Discount_%]]</f>
        <v>355.5</v>
      </c>
      <c r="Y1386">
        <f>excelsalesdata[[#This Row],[Gross_sales]]-excelsalesdata[[#This Row],[Discount_amt]]</f>
        <v>6754.5</v>
      </c>
      <c r="Z1386" s="4">
        <f>excelsalesdata[[#This Row],[Net_sales]]-excelsalesdata[[#This Row],[Cost]]</f>
        <v>5574.5</v>
      </c>
      <c r="AA1386" s="5">
        <f>excelsalesdata[[#This Row],[Profit]]/excelsalesdata[[#This Row],[Net_sales]]</f>
        <v>0.82530165075135098</v>
      </c>
      <c r="AB1386" s="4">
        <f>YEAR(excelsalesdata[[#This Row],[Order_Date]])</f>
        <v>2029</v>
      </c>
      <c r="AC1386" s="4" t="str">
        <f>TEXT(excelsalesdata[[#This Row],[Order_Date]],"mmm")</f>
        <v>Jan</v>
      </c>
      <c r="AD1386" s="4" t="str">
        <f>"Q"&amp;ROUNDUP(MONTH(excelsalesdata[[#This Row],[Order_Date]])/3,0)</f>
        <v>Q1</v>
      </c>
    </row>
    <row r="1387" spans="1:30" x14ac:dyDescent="0.35">
      <c r="A1387" t="s">
        <v>2206</v>
      </c>
      <c r="B1387" s="3">
        <v>47145</v>
      </c>
      <c r="C1387" t="s">
        <v>484</v>
      </c>
      <c r="D1387" t="s">
        <v>392</v>
      </c>
      <c r="E1387" t="str">
        <f>TRIM(excelsalesdata[[#This Row],[Customer_Name]])</f>
        <v>Meera Joshi</v>
      </c>
      <c r="F1387" t="s">
        <v>23</v>
      </c>
      <c r="G1387">
        <v>39</v>
      </c>
      <c r="H1387" t="s">
        <v>190</v>
      </c>
      <c r="I1387" t="str">
        <f>TRIM(excelsalesdata[[#This Row],[City]])</f>
        <v>Ahmedabad</v>
      </c>
      <c r="J1387" t="s">
        <v>191</v>
      </c>
      <c r="K1387" t="s">
        <v>26</v>
      </c>
      <c r="L1387" t="s">
        <v>54</v>
      </c>
      <c r="M1387" t="s">
        <v>157</v>
      </c>
      <c r="N1387" t="s">
        <v>157</v>
      </c>
      <c r="O1387">
        <v>3</v>
      </c>
      <c r="P1387">
        <v>58100</v>
      </c>
      <c r="Q1387">
        <v>0.1</v>
      </c>
      <c r="R1387">
        <v>41960</v>
      </c>
      <c r="S1387" t="s">
        <v>80</v>
      </c>
      <c r="T1387" t="s">
        <v>99</v>
      </c>
      <c r="U1387">
        <v>2</v>
      </c>
      <c r="V1387" t="s">
        <v>40</v>
      </c>
      <c r="W1387">
        <f>excelsalesdata[[#This Row],[Quantity]]*excelsalesdata[[#This Row],[Unit_Price]]</f>
        <v>174300</v>
      </c>
      <c r="X1387">
        <f>excelsalesdata[[#This Row],[Gross_sales]]*excelsalesdata[[#This Row],[Discount_%]]</f>
        <v>17430</v>
      </c>
      <c r="Y1387">
        <f>excelsalesdata[[#This Row],[Gross_sales]]-excelsalesdata[[#This Row],[Discount_amt]]</f>
        <v>156870</v>
      </c>
      <c r="Z1387" s="4">
        <f>excelsalesdata[[#This Row],[Net_sales]]-excelsalesdata[[#This Row],[Cost]]</f>
        <v>114910</v>
      </c>
      <c r="AA1387" s="5">
        <f>excelsalesdata[[#This Row],[Profit]]/excelsalesdata[[#This Row],[Net_sales]]</f>
        <v>0.73251737107158799</v>
      </c>
      <c r="AB1387" s="4">
        <f>YEAR(excelsalesdata[[#This Row],[Order_Date]])</f>
        <v>2029</v>
      </c>
      <c r="AC1387" s="4" t="str">
        <f>TEXT(excelsalesdata[[#This Row],[Order_Date]],"mmm")</f>
        <v>Jan</v>
      </c>
      <c r="AD1387" s="4" t="str">
        <f>"Q"&amp;ROUNDUP(MONTH(excelsalesdata[[#This Row],[Order_Date]])/3,0)</f>
        <v>Q1</v>
      </c>
    </row>
    <row r="1388" spans="1:30" x14ac:dyDescent="0.35">
      <c r="A1388" t="s">
        <v>2207</v>
      </c>
      <c r="B1388" s="3">
        <v>47146</v>
      </c>
      <c r="C1388" t="s">
        <v>700</v>
      </c>
      <c r="D1388" t="s">
        <v>752</v>
      </c>
      <c r="E1388" t="str">
        <f>TRIM(excelsalesdata[[#This Row],[Customer_Name]])</f>
        <v>Kavya Mehta</v>
      </c>
      <c r="F1388" t="s">
        <v>23</v>
      </c>
      <c r="G1388">
        <v>30</v>
      </c>
      <c r="H1388" t="s">
        <v>114</v>
      </c>
      <c r="I1388" t="str">
        <f>TRIM(excelsalesdata[[#This Row],[City]])</f>
        <v>Hyderabad</v>
      </c>
      <c r="J1388" t="s">
        <v>115</v>
      </c>
      <c r="K1388" t="s">
        <v>47</v>
      </c>
      <c r="L1388" t="s">
        <v>54</v>
      </c>
      <c r="M1388" t="s">
        <v>62</v>
      </c>
      <c r="N1388" t="s">
        <v>62</v>
      </c>
      <c r="O1388">
        <v>2</v>
      </c>
      <c r="P1388">
        <v>23110</v>
      </c>
      <c r="Q1388">
        <v>0.2</v>
      </c>
      <c r="R1388">
        <v>15280</v>
      </c>
      <c r="S1388" t="s">
        <v>80</v>
      </c>
      <c r="T1388" t="s">
        <v>74</v>
      </c>
      <c r="U1388">
        <v>4</v>
      </c>
      <c r="V1388" t="s">
        <v>40</v>
      </c>
      <c r="W1388">
        <f>excelsalesdata[[#This Row],[Quantity]]*excelsalesdata[[#This Row],[Unit_Price]]</f>
        <v>46220</v>
      </c>
      <c r="X1388">
        <f>excelsalesdata[[#This Row],[Gross_sales]]*excelsalesdata[[#This Row],[Discount_%]]</f>
        <v>9244</v>
      </c>
      <c r="Y1388">
        <f>excelsalesdata[[#This Row],[Gross_sales]]-excelsalesdata[[#This Row],[Discount_amt]]</f>
        <v>36976</v>
      </c>
      <c r="Z1388" s="4">
        <f>excelsalesdata[[#This Row],[Net_sales]]-excelsalesdata[[#This Row],[Cost]]</f>
        <v>21696</v>
      </c>
      <c r="AA1388" s="5">
        <f>excelsalesdata[[#This Row],[Profit]]/excelsalesdata[[#This Row],[Net_sales]]</f>
        <v>0.58675897879705752</v>
      </c>
      <c r="AB1388" s="4">
        <f>YEAR(excelsalesdata[[#This Row],[Order_Date]])</f>
        <v>2029</v>
      </c>
      <c r="AC1388" s="4" t="str">
        <f>TEXT(excelsalesdata[[#This Row],[Order_Date]],"mmm")</f>
        <v>Jan</v>
      </c>
      <c r="AD1388" s="4" t="str">
        <f>"Q"&amp;ROUNDUP(MONTH(excelsalesdata[[#This Row],[Order_Date]])/3,0)</f>
        <v>Q1</v>
      </c>
    </row>
    <row r="1389" spans="1:30" x14ac:dyDescent="0.35">
      <c r="A1389" t="s">
        <v>2208</v>
      </c>
      <c r="B1389" s="3">
        <v>47147</v>
      </c>
      <c r="C1389" t="s">
        <v>843</v>
      </c>
      <c r="D1389" t="s">
        <v>1070</v>
      </c>
      <c r="E1389" t="str">
        <f>TRIM(excelsalesdata[[#This Row],[Customer_Name]])</f>
        <v>Ishita Patel</v>
      </c>
      <c r="F1389" t="s">
        <v>23</v>
      </c>
      <c r="G1389">
        <v>39</v>
      </c>
      <c r="H1389" t="s">
        <v>60</v>
      </c>
      <c r="I1389" t="str">
        <f>TRIM(excelsalesdata[[#This Row],[City]])</f>
        <v>Chandigarh</v>
      </c>
      <c r="J1389" t="s">
        <v>60</v>
      </c>
      <c r="K1389" t="s">
        <v>61</v>
      </c>
      <c r="L1389" t="s">
        <v>93</v>
      </c>
      <c r="M1389" t="s">
        <v>206</v>
      </c>
      <c r="N1389" t="s">
        <v>206</v>
      </c>
      <c r="O1389">
        <v>2</v>
      </c>
      <c r="P1389">
        <v>660</v>
      </c>
      <c r="Q1389">
        <v>0.15</v>
      </c>
      <c r="R1389">
        <v>300</v>
      </c>
      <c r="S1389" t="s">
        <v>67</v>
      </c>
      <c r="T1389" t="s">
        <v>30</v>
      </c>
      <c r="U1389">
        <v>4</v>
      </c>
      <c r="V1389" t="s">
        <v>40</v>
      </c>
      <c r="W1389">
        <f>excelsalesdata[[#This Row],[Quantity]]*excelsalesdata[[#This Row],[Unit_Price]]</f>
        <v>1320</v>
      </c>
      <c r="X1389">
        <f>excelsalesdata[[#This Row],[Gross_sales]]*excelsalesdata[[#This Row],[Discount_%]]</f>
        <v>198</v>
      </c>
      <c r="Y1389">
        <f>excelsalesdata[[#This Row],[Gross_sales]]-excelsalesdata[[#This Row],[Discount_amt]]</f>
        <v>1122</v>
      </c>
      <c r="Z1389" s="4">
        <f>excelsalesdata[[#This Row],[Net_sales]]-excelsalesdata[[#This Row],[Cost]]</f>
        <v>822</v>
      </c>
      <c r="AA1389" s="5">
        <f>excelsalesdata[[#This Row],[Profit]]/excelsalesdata[[#This Row],[Net_sales]]</f>
        <v>0.73262032085561501</v>
      </c>
      <c r="AB1389" s="4">
        <f>YEAR(excelsalesdata[[#This Row],[Order_Date]])</f>
        <v>2029</v>
      </c>
      <c r="AC1389" s="4" t="str">
        <f>TEXT(excelsalesdata[[#This Row],[Order_Date]],"mmm")</f>
        <v>Jan</v>
      </c>
      <c r="AD1389" s="4" t="str">
        <f>"Q"&amp;ROUNDUP(MONTH(excelsalesdata[[#This Row],[Order_Date]])/3,0)</f>
        <v>Q1</v>
      </c>
    </row>
    <row r="1390" spans="1:30" x14ac:dyDescent="0.35">
      <c r="A1390" t="s">
        <v>2209</v>
      </c>
      <c r="B1390" s="3">
        <v>47148</v>
      </c>
      <c r="C1390" t="s">
        <v>633</v>
      </c>
      <c r="D1390" t="s">
        <v>70</v>
      </c>
      <c r="E1390" t="str">
        <f>TRIM(excelsalesdata[[#This Row],[Customer_Name]])</f>
        <v>Priya Patel</v>
      </c>
      <c r="F1390" t="s">
        <v>44</v>
      </c>
      <c r="G1390">
        <v>57</v>
      </c>
      <c r="H1390" t="s">
        <v>114</v>
      </c>
      <c r="I1390" t="str">
        <f>TRIM(excelsalesdata[[#This Row],[City]])</f>
        <v>Hyderabad</v>
      </c>
      <c r="J1390" t="s">
        <v>115</v>
      </c>
      <c r="K1390" t="s">
        <v>47</v>
      </c>
      <c r="L1390" t="s">
        <v>38</v>
      </c>
      <c r="M1390" t="s">
        <v>73</v>
      </c>
      <c r="N1390" t="s">
        <v>73</v>
      </c>
      <c r="O1390">
        <v>1</v>
      </c>
      <c r="P1390">
        <v>4730</v>
      </c>
      <c r="Q1390">
        <v>0.05</v>
      </c>
      <c r="R1390">
        <v>3160</v>
      </c>
      <c r="S1390" t="s">
        <v>151</v>
      </c>
      <c r="T1390" t="s">
        <v>30</v>
      </c>
      <c r="U1390">
        <v>7</v>
      </c>
      <c r="V1390" t="s">
        <v>31</v>
      </c>
      <c r="W1390">
        <f>excelsalesdata[[#This Row],[Quantity]]*excelsalesdata[[#This Row],[Unit_Price]]</f>
        <v>4730</v>
      </c>
      <c r="X1390">
        <f>excelsalesdata[[#This Row],[Gross_sales]]*excelsalesdata[[#This Row],[Discount_%]]</f>
        <v>236.5</v>
      </c>
      <c r="Y1390">
        <f>excelsalesdata[[#This Row],[Gross_sales]]-excelsalesdata[[#This Row],[Discount_amt]]</f>
        <v>4493.5</v>
      </c>
      <c r="Z1390" s="4">
        <f>excelsalesdata[[#This Row],[Net_sales]]-excelsalesdata[[#This Row],[Cost]]</f>
        <v>1333.5</v>
      </c>
      <c r="AA1390" s="5">
        <f>excelsalesdata[[#This Row],[Profit]]/excelsalesdata[[#This Row],[Net_sales]]</f>
        <v>0.2967619895404473</v>
      </c>
      <c r="AB1390" s="4">
        <f>YEAR(excelsalesdata[[#This Row],[Order_Date]])</f>
        <v>2029</v>
      </c>
      <c r="AC1390" s="4" t="str">
        <f>TEXT(excelsalesdata[[#This Row],[Order_Date]],"mmm")</f>
        <v>Jan</v>
      </c>
      <c r="AD1390" s="4" t="str">
        <f>"Q"&amp;ROUNDUP(MONTH(excelsalesdata[[#This Row],[Order_Date]])/3,0)</f>
        <v>Q1</v>
      </c>
    </row>
    <row r="1391" spans="1:30" x14ac:dyDescent="0.35">
      <c r="A1391" t="s">
        <v>2210</v>
      </c>
      <c r="B1391" s="3">
        <v>47149</v>
      </c>
      <c r="C1391" t="s">
        <v>2211</v>
      </c>
      <c r="D1391" t="s">
        <v>214</v>
      </c>
      <c r="E1391" t="str">
        <f>TRIM(excelsalesdata[[#This Row],[Customer_Name]])</f>
        <v>Meera Naidu</v>
      </c>
      <c r="F1391" t="s">
        <v>23</v>
      </c>
      <c r="G1391">
        <v>38</v>
      </c>
      <c r="H1391" t="s">
        <v>168</v>
      </c>
      <c r="I1391" t="str">
        <f>TRIM(excelsalesdata[[#This Row],[City]])</f>
        <v>Delhi</v>
      </c>
      <c r="J1391" t="s">
        <v>168</v>
      </c>
      <c r="K1391" t="s">
        <v>61</v>
      </c>
      <c r="L1391" t="s">
        <v>27</v>
      </c>
      <c r="M1391" t="s">
        <v>295</v>
      </c>
      <c r="N1391" t="s">
        <v>295</v>
      </c>
      <c r="O1391">
        <v>1</v>
      </c>
      <c r="P1391">
        <v>4200</v>
      </c>
      <c r="Q1391">
        <v>0.1</v>
      </c>
      <c r="R1391">
        <v>2470</v>
      </c>
      <c r="S1391" t="s">
        <v>80</v>
      </c>
      <c r="T1391" t="s">
        <v>30</v>
      </c>
      <c r="U1391">
        <v>4</v>
      </c>
      <c r="V1391" t="s">
        <v>40</v>
      </c>
      <c r="W1391">
        <f>excelsalesdata[[#This Row],[Quantity]]*excelsalesdata[[#This Row],[Unit_Price]]</f>
        <v>4200</v>
      </c>
      <c r="X1391">
        <f>excelsalesdata[[#This Row],[Gross_sales]]*excelsalesdata[[#This Row],[Discount_%]]</f>
        <v>420</v>
      </c>
      <c r="Y1391">
        <f>excelsalesdata[[#This Row],[Gross_sales]]-excelsalesdata[[#This Row],[Discount_amt]]</f>
        <v>3780</v>
      </c>
      <c r="Z1391" s="4">
        <f>excelsalesdata[[#This Row],[Net_sales]]-excelsalesdata[[#This Row],[Cost]]</f>
        <v>1310</v>
      </c>
      <c r="AA1391" s="5">
        <f>excelsalesdata[[#This Row],[Profit]]/excelsalesdata[[#This Row],[Net_sales]]</f>
        <v>0.34656084656084657</v>
      </c>
      <c r="AB1391" s="4">
        <f>YEAR(excelsalesdata[[#This Row],[Order_Date]])</f>
        <v>2029</v>
      </c>
      <c r="AC1391" s="4" t="str">
        <f>TEXT(excelsalesdata[[#This Row],[Order_Date]],"mmm")</f>
        <v>Jan</v>
      </c>
      <c r="AD1391" s="4" t="str">
        <f>"Q"&amp;ROUNDUP(MONTH(excelsalesdata[[#This Row],[Order_Date]])/3,0)</f>
        <v>Q1</v>
      </c>
    </row>
    <row r="1392" spans="1:30" x14ac:dyDescent="0.35">
      <c r="A1392" t="s">
        <v>2212</v>
      </c>
      <c r="B1392" s="3">
        <v>47150</v>
      </c>
      <c r="C1392" t="s">
        <v>1538</v>
      </c>
      <c r="D1392" t="s">
        <v>65</v>
      </c>
      <c r="E1392" t="str">
        <f>TRIM(excelsalesdata[[#This Row],[Customer_Name]])</f>
        <v>Aarav Nair</v>
      </c>
      <c r="F1392" t="s">
        <v>44</v>
      </c>
      <c r="G1392">
        <v>46</v>
      </c>
      <c r="H1392" t="s">
        <v>71</v>
      </c>
      <c r="I1392" t="str">
        <f>TRIM(excelsalesdata[[#This Row],[City]])</f>
        <v>Bhubaneswar</v>
      </c>
      <c r="J1392" t="s">
        <v>72</v>
      </c>
      <c r="K1392" t="s">
        <v>37</v>
      </c>
      <c r="L1392" t="s">
        <v>27</v>
      </c>
      <c r="M1392" t="s">
        <v>295</v>
      </c>
      <c r="N1392" t="s">
        <v>295</v>
      </c>
      <c r="O1392">
        <v>4</v>
      </c>
      <c r="P1392">
        <v>4120</v>
      </c>
      <c r="Q1392">
        <v>0.05</v>
      </c>
      <c r="R1392">
        <v>2630</v>
      </c>
      <c r="S1392" t="s">
        <v>105</v>
      </c>
      <c r="T1392" t="s">
        <v>30</v>
      </c>
      <c r="U1392">
        <v>3</v>
      </c>
      <c r="V1392" t="s">
        <v>40</v>
      </c>
      <c r="W1392">
        <f>excelsalesdata[[#This Row],[Quantity]]*excelsalesdata[[#This Row],[Unit_Price]]</f>
        <v>16480</v>
      </c>
      <c r="X1392">
        <f>excelsalesdata[[#This Row],[Gross_sales]]*excelsalesdata[[#This Row],[Discount_%]]</f>
        <v>824</v>
      </c>
      <c r="Y1392">
        <f>excelsalesdata[[#This Row],[Gross_sales]]-excelsalesdata[[#This Row],[Discount_amt]]</f>
        <v>15656</v>
      </c>
      <c r="Z1392" s="4">
        <f>excelsalesdata[[#This Row],[Net_sales]]-excelsalesdata[[#This Row],[Cost]]</f>
        <v>13026</v>
      </c>
      <c r="AA1392" s="5">
        <f>excelsalesdata[[#This Row],[Profit]]/excelsalesdata[[#This Row],[Net_sales]]</f>
        <v>0.83201328564128774</v>
      </c>
      <c r="AB1392" s="4">
        <f>YEAR(excelsalesdata[[#This Row],[Order_Date]])</f>
        <v>2029</v>
      </c>
      <c r="AC1392" s="4" t="str">
        <f>TEXT(excelsalesdata[[#This Row],[Order_Date]],"mmm")</f>
        <v>Feb</v>
      </c>
      <c r="AD1392" s="4" t="str">
        <f>"Q"&amp;ROUNDUP(MONTH(excelsalesdata[[#This Row],[Order_Date]])/3,0)</f>
        <v>Q1</v>
      </c>
    </row>
    <row r="1393" spans="1:30" x14ac:dyDescent="0.35">
      <c r="A1393" t="s">
        <v>2213</v>
      </c>
      <c r="B1393" s="3">
        <v>47151</v>
      </c>
      <c r="C1393" t="s">
        <v>1446</v>
      </c>
      <c r="D1393" t="s">
        <v>436</v>
      </c>
      <c r="E1393" t="str">
        <f>TRIM(excelsalesdata[[#This Row],[Customer_Name]])</f>
        <v>Meera Shah</v>
      </c>
      <c r="F1393" t="s">
        <v>23</v>
      </c>
      <c r="G1393">
        <v>40</v>
      </c>
      <c r="H1393" t="s">
        <v>98</v>
      </c>
      <c r="I1393" t="str">
        <f>TRIM(excelsalesdata[[#This Row],[City]])</f>
        <v>Mumbai</v>
      </c>
      <c r="J1393" t="s">
        <v>25</v>
      </c>
      <c r="K1393" t="s">
        <v>26</v>
      </c>
      <c r="L1393" t="s">
        <v>38</v>
      </c>
      <c r="M1393" t="s">
        <v>119</v>
      </c>
      <c r="N1393" t="s">
        <v>119</v>
      </c>
      <c r="O1393">
        <v>4</v>
      </c>
      <c r="P1393">
        <v>8230</v>
      </c>
      <c r="Q1393">
        <v>0.15</v>
      </c>
      <c r="R1393">
        <v>5720</v>
      </c>
      <c r="S1393" t="s">
        <v>29</v>
      </c>
      <c r="T1393" t="s">
        <v>30</v>
      </c>
      <c r="U1393">
        <v>4</v>
      </c>
      <c r="V1393" t="s">
        <v>40</v>
      </c>
      <c r="W1393">
        <f>excelsalesdata[[#This Row],[Quantity]]*excelsalesdata[[#This Row],[Unit_Price]]</f>
        <v>32920</v>
      </c>
      <c r="X1393">
        <f>excelsalesdata[[#This Row],[Gross_sales]]*excelsalesdata[[#This Row],[Discount_%]]</f>
        <v>4938</v>
      </c>
      <c r="Y1393">
        <f>excelsalesdata[[#This Row],[Gross_sales]]-excelsalesdata[[#This Row],[Discount_amt]]</f>
        <v>27982</v>
      </c>
      <c r="Z1393" s="4">
        <f>excelsalesdata[[#This Row],[Net_sales]]-excelsalesdata[[#This Row],[Cost]]</f>
        <v>22262</v>
      </c>
      <c r="AA1393" s="5">
        <f>excelsalesdata[[#This Row],[Profit]]/excelsalesdata[[#This Row],[Net_sales]]</f>
        <v>0.79558287470516764</v>
      </c>
      <c r="AB1393" s="4">
        <f>YEAR(excelsalesdata[[#This Row],[Order_Date]])</f>
        <v>2029</v>
      </c>
      <c r="AC1393" s="4" t="str">
        <f>TEXT(excelsalesdata[[#This Row],[Order_Date]],"mmm")</f>
        <v>Feb</v>
      </c>
      <c r="AD1393" s="4" t="str">
        <f>"Q"&amp;ROUNDUP(MONTH(excelsalesdata[[#This Row],[Order_Date]])/3,0)</f>
        <v>Q1</v>
      </c>
    </row>
    <row r="1394" spans="1:30" x14ac:dyDescent="0.35">
      <c r="A1394" t="s">
        <v>2214</v>
      </c>
      <c r="B1394" s="3">
        <v>47152</v>
      </c>
      <c r="C1394" t="s">
        <v>639</v>
      </c>
      <c r="D1394" t="s">
        <v>563</v>
      </c>
      <c r="E1394" t="str">
        <f>TRIM(excelsalesdata[[#This Row],[Customer_Name]])</f>
        <v>Sneha Verma</v>
      </c>
      <c r="F1394" t="s">
        <v>44</v>
      </c>
      <c r="G1394">
        <v>27</v>
      </c>
      <c r="H1394" t="s">
        <v>133</v>
      </c>
      <c r="I1394" t="str">
        <f>TRIM(excelsalesdata[[#This Row],[City]])</f>
        <v>Jaipur</v>
      </c>
      <c r="J1394" t="s">
        <v>134</v>
      </c>
      <c r="K1394" t="s">
        <v>61</v>
      </c>
      <c r="L1394" t="s">
        <v>54</v>
      </c>
      <c r="M1394" t="s">
        <v>66</v>
      </c>
      <c r="N1394" t="s">
        <v>66</v>
      </c>
      <c r="O1394">
        <v>1</v>
      </c>
      <c r="P1394">
        <v>2630</v>
      </c>
      <c r="Q1394">
        <v>0.1</v>
      </c>
      <c r="R1394">
        <v>1460</v>
      </c>
      <c r="S1394" t="s">
        <v>80</v>
      </c>
      <c r="T1394" t="s">
        <v>30</v>
      </c>
      <c r="U1394">
        <v>4</v>
      </c>
      <c r="V1394" t="s">
        <v>31</v>
      </c>
      <c r="W1394">
        <f>excelsalesdata[[#This Row],[Quantity]]*excelsalesdata[[#This Row],[Unit_Price]]</f>
        <v>2630</v>
      </c>
      <c r="X1394">
        <f>excelsalesdata[[#This Row],[Gross_sales]]*excelsalesdata[[#This Row],[Discount_%]]</f>
        <v>263</v>
      </c>
      <c r="Y1394">
        <f>excelsalesdata[[#This Row],[Gross_sales]]-excelsalesdata[[#This Row],[Discount_amt]]</f>
        <v>2367</v>
      </c>
      <c r="Z1394" s="4">
        <f>excelsalesdata[[#This Row],[Net_sales]]-excelsalesdata[[#This Row],[Cost]]</f>
        <v>907</v>
      </c>
      <c r="AA1394" s="5">
        <f>excelsalesdata[[#This Row],[Profit]]/excelsalesdata[[#This Row],[Net_sales]]</f>
        <v>0.38318546683565696</v>
      </c>
      <c r="AB1394" s="4">
        <f>YEAR(excelsalesdata[[#This Row],[Order_Date]])</f>
        <v>2029</v>
      </c>
      <c r="AC1394" s="4" t="str">
        <f>TEXT(excelsalesdata[[#This Row],[Order_Date]],"mmm")</f>
        <v>Feb</v>
      </c>
      <c r="AD1394" s="4" t="str">
        <f>"Q"&amp;ROUNDUP(MONTH(excelsalesdata[[#This Row],[Order_Date]])/3,0)</f>
        <v>Q1</v>
      </c>
    </row>
    <row r="1395" spans="1:30" x14ac:dyDescent="0.35">
      <c r="A1395" t="s">
        <v>2215</v>
      </c>
      <c r="B1395" s="3">
        <v>47153</v>
      </c>
      <c r="C1395" t="s">
        <v>763</v>
      </c>
      <c r="D1395" t="s">
        <v>276</v>
      </c>
      <c r="E1395" t="str">
        <f>TRIM(excelsalesdata[[#This Row],[Customer_Name]])</f>
        <v>Aarav Bhat</v>
      </c>
      <c r="F1395" t="s">
        <v>23</v>
      </c>
      <c r="G1395">
        <v>52</v>
      </c>
      <c r="H1395" t="s">
        <v>78</v>
      </c>
      <c r="I1395" t="str">
        <f>TRIM(excelsalesdata[[#This Row],[City]])</f>
        <v>Guwahati</v>
      </c>
      <c r="J1395" t="s">
        <v>79</v>
      </c>
      <c r="K1395" t="s">
        <v>37</v>
      </c>
      <c r="L1395" t="s">
        <v>38</v>
      </c>
      <c r="M1395" t="s">
        <v>73</v>
      </c>
      <c r="N1395" t="s">
        <v>73</v>
      </c>
      <c r="O1395">
        <v>3</v>
      </c>
      <c r="P1395">
        <v>5210</v>
      </c>
      <c r="Q1395">
        <v>0.1</v>
      </c>
      <c r="R1395">
        <v>3350</v>
      </c>
      <c r="S1395" t="s">
        <v>29</v>
      </c>
      <c r="T1395" t="s">
        <v>81</v>
      </c>
      <c r="U1395">
        <v>0</v>
      </c>
      <c r="V1395" t="s">
        <v>40</v>
      </c>
      <c r="W1395">
        <f>excelsalesdata[[#This Row],[Quantity]]*excelsalesdata[[#This Row],[Unit_Price]]</f>
        <v>15630</v>
      </c>
      <c r="X1395">
        <f>excelsalesdata[[#This Row],[Gross_sales]]*excelsalesdata[[#This Row],[Discount_%]]</f>
        <v>1563</v>
      </c>
      <c r="Y1395">
        <f>excelsalesdata[[#This Row],[Gross_sales]]-excelsalesdata[[#This Row],[Discount_amt]]</f>
        <v>14067</v>
      </c>
      <c r="Z1395" s="4">
        <f>excelsalesdata[[#This Row],[Net_sales]]-excelsalesdata[[#This Row],[Cost]]</f>
        <v>10717</v>
      </c>
      <c r="AA1395" s="5">
        <f>excelsalesdata[[#This Row],[Profit]]/excelsalesdata[[#This Row],[Net_sales]]</f>
        <v>0.76185398450273689</v>
      </c>
      <c r="AB1395" s="4">
        <f>YEAR(excelsalesdata[[#This Row],[Order_Date]])</f>
        <v>2029</v>
      </c>
      <c r="AC1395" s="4" t="str">
        <f>TEXT(excelsalesdata[[#This Row],[Order_Date]],"mmm")</f>
        <v>Feb</v>
      </c>
      <c r="AD1395" s="4" t="str">
        <f>"Q"&amp;ROUNDUP(MONTH(excelsalesdata[[#This Row],[Order_Date]])/3,0)</f>
        <v>Q1</v>
      </c>
    </row>
    <row r="1396" spans="1:30" x14ac:dyDescent="0.35">
      <c r="A1396" t="s">
        <v>2216</v>
      </c>
      <c r="B1396" s="3">
        <v>47154</v>
      </c>
      <c r="C1396" t="s">
        <v>1367</v>
      </c>
      <c r="D1396" t="s">
        <v>469</v>
      </c>
      <c r="E1396" t="str">
        <f>TRIM(excelsalesdata[[#This Row],[Customer_Name]])</f>
        <v>Rahul Joshi</v>
      </c>
      <c r="F1396" t="s">
        <v>44</v>
      </c>
      <c r="G1396">
        <v>27</v>
      </c>
      <c r="H1396" t="s">
        <v>52</v>
      </c>
      <c r="I1396" t="str">
        <f>TRIM(excelsalesdata[[#This Row],[City]])</f>
        <v>Bengaluru</v>
      </c>
      <c r="J1396" t="s">
        <v>53</v>
      </c>
      <c r="K1396" t="s">
        <v>47</v>
      </c>
      <c r="L1396" t="s">
        <v>54</v>
      </c>
      <c r="M1396" t="s">
        <v>157</v>
      </c>
      <c r="N1396" t="s">
        <v>157</v>
      </c>
      <c r="O1396">
        <v>4</v>
      </c>
      <c r="P1396">
        <v>53670</v>
      </c>
      <c r="Q1396">
        <v>0.3</v>
      </c>
      <c r="R1396">
        <v>41810</v>
      </c>
      <c r="S1396" t="s">
        <v>67</v>
      </c>
      <c r="T1396" t="s">
        <v>30</v>
      </c>
      <c r="U1396">
        <v>3</v>
      </c>
      <c r="V1396" t="s">
        <v>40</v>
      </c>
      <c r="W1396">
        <f>excelsalesdata[[#This Row],[Quantity]]*excelsalesdata[[#This Row],[Unit_Price]]</f>
        <v>214680</v>
      </c>
      <c r="X1396">
        <f>excelsalesdata[[#This Row],[Gross_sales]]*excelsalesdata[[#This Row],[Discount_%]]</f>
        <v>64404</v>
      </c>
      <c r="Y1396">
        <f>excelsalesdata[[#This Row],[Gross_sales]]-excelsalesdata[[#This Row],[Discount_amt]]</f>
        <v>150276</v>
      </c>
      <c r="Z1396" s="4">
        <f>excelsalesdata[[#This Row],[Net_sales]]-excelsalesdata[[#This Row],[Cost]]</f>
        <v>108466</v>
      </c>
      <c r="AA1396" s="5">
        <f>excelsalesdata[[#This Row],[Profit]]/excelsalesdata[[#This Row],[Net_sales]]</f>
        <v>0.721778594053608</v>
      </c>
      <c r="AB1396" s="4">
        <f>YEAR(excelsalesdata[[#This Row],[Order_Date]])</f>
        <v>2029</v>
      </c>
      <c r="AC1396" s="4" t="str">
        <f>TEXT(excelsalesdata[[#This Row],[Order_Date]],"mmm")</f>
        <v>Feb</v>
      </c>
      <c r="AD1396" s="4" t="str">
        <f>"Q"&amp;ROUNDUP(MONTH(excelsalesdata[[#This Row],[Order_Date]])/3,0)</f>
        <v>Q1</v>
      </c>
    </row>
    <row r="1397" spans="1:30" x14ac:dyDescent="0.35">
      <c r="A1397" t="s">
        <v>2217</v>
      </c>
      <c r="B1397" s="3">
        <v>47155</v>
      </c>
      <c r="C1397" t="s">
        <v>418</v>
      </c>
      <c r="D1397" t="s">
        <v>672</v>
      </c>
      <c r="E1397" t="str">
        <f>TRIM(excelsalesdata[[#This Row],[Customer_Name]])</f>
        <v>Aditya Kumar</v>
      </c>
      <c r="F1397" t="s">
        <v>23</v>
      </c>
      <c r="G1397">
        <v>38</v>
      </c>
      <c r="H1397" t="s">
        <v>52</v>
      </c>
      <c r="I1397" t="str">
        <f>TRIM(excelsalesdata[[#This Row],[City]])</f>
        <v>Bengaluru</v>
      </c>
      <c r="J1397" t="s">
        <v>53</v>
      </c>
      <c r="K1397" t="s">
        <v>47</v>
      </c>
      <c r="L1397" t="s">
        <v>93</v>
      </c>
      <c r="M1397" t="s">
        <v>94</v>
      </c>
      <c r="N1397" t="s">
        <v>94</v>
      </c>
      <c r="O1397">
        <v>1</v>
      </c>
      <c r="P1397">
        <v>540</v>
      </c>
      <c r="Q1397">
        <v>0.15</v>
      </c>
      <c r="R1397">
        <v>240</v>
      </c>
      <c r="S1397" t="s">
        <v>29</v>
      </c>
      <c r="T1397" t="s">
        <v>30</v>
      </c>
      <c r="U1397">
        <v>5</v>
      </c>
      <c r="V1397" t="s">
        <v>31</v>
      </c>
      <c r="W1397">
        <f>excelsalesdata[[#This Row],[Quantity]]*excelsalesdata[[#This Row],[Unit_Price]]</f>
        <v>540</v>
      </c>
      <c r="X1397">
        <f>excelsalesdata[[#This Row],[Gross_sales]]*excelsalesdata[[#This Row],[Discount_%]]</f>
        <v>81</v>
      </c>
      <c r="Y1397">
        <f>excelsalesdata[[#This Row],[Gross_sales]]-excelsalesdata[[#This Row],[Discount_amt]]</f>
        <v>459</v>
      </c>
      <c r="Z1397" s="4">
        <f>excelsalesdata[[#This Row],[Net_sales]]-excelsalesdata[[#This Row],[Cost]]</f>
        <v>219</v>
      </c>
      <c r="AA1397" s="5">
        <f>excelsalesdata[[#This Row],[Profit]]/excelsalesdata[[#This Row],[Net_sales]]</f>
        <v>0.47712418300653597</v>
      </c>
      <c r="AB1397" s="4">
        <f>YEAR(excelsalesdata[[#This Row],[Order_Date]])</f>
        <v>2029</v>
      </c>
      <c r="AC1397" s="4" t="str">
        <f>TEXT(excelsalesdata[[#This Row],[Order_Date]],"mmm")</f>
        <v>Feb</v>
      </c>
      <c r="AD1397" s="4" t="str">
        <f>"Q"&amp;ROUNDUP(MONTH(excelsalesdata[[#This Row],[Order_Date]])/3,0)</f>
        <v>Q1</v>
      </c>
    </row>
    <row r="1398" spans="1:30" x14ac:dyDescent="0.35">
      <c r="A1398" t="s">
        <v>2218</v>
      </c>
      <c r="B1398" s="3">
        <v>47156</v>
      </c>
      <c r="C1398" t="s">
        <v>127</v>
      </c>
      <c r="D1398" t="s">
        <v>368</v>
      </c>
      <c r="E1398" t="str">
        <f>TRIM(excelsalesdata[[#This Row],[Customer_Name]])</f>
        <v>Aditya Naidu</v>
      </c>
      <c r="F1398" t="s">
        <v>44</v>
      </c>
      <c r="G1398">
        <v>39</v>
      </c>
      <c r="H1398" t="s">
        <v>71</v>
      </c>
      <c r="I1398" t="str">
        <f>TRIM(excelsalesdata[[#This Row],[City]])</f>
        <v>Bhubaneswar</v>
      </c>
      <c r="J1398" t="s">
        <v>72</v>
      </c>
      <c r="K1398" t="s">
        <v>37</v>
      </c>
      <c r="L1398" t="s">
        <v>103</v>
      </c>
      <c r="M1398" t="s">
        <v>347</v>
      </c>
      <c r="N1398" t="s">
        <v>347</v>
      </c>
      <c r="O1398">
        <v>1</v>
      </c>
      <c r="P1398">
        <v>12110</v>
      </c>
      <c r="Q1398">
        <v>0.05</v>
      </c>
      <c r="R1398">
        <v>8400</v>
      </c>
      <c r="S1398" t="s">
        <v>80</v>
      </c>
      <c r="T1398" t="s">
        <v>30</v>
      </c>
      <c r="U1398">
        <v>6</v>
      </c>
      <c r="V1398" t="s">
        <v>40</v>
      </c>
      <c r="W1398">
        <f>excelsalesdata[[#This Row],[Quantity]]*excelsalesdata[[#This Row],[Unit_Price]]</f>
        <v>12110</v>
      </c>
      <c r="X1398">
        <f>excelsalesdata[[#This Row],[Gross_sales]]*excelsalesdata[[#This Row],[Discount_%]]</f>
        <v>605.5</v>
      </c>
      <c r="Y1398">
        <f>excelsalesdata[[#This Row],[Gross_sales]]-excelsalesdata[[#This Row],[Discount_amt]]</f>
        <v>11504.5</v>
      </c>
      <c r="Z1398" s="4">
        <f>excelsalesdata[[#This Row],[Net_sales]]-excelsalesdata[[#This Row],[Cost]]</f>
        <v>3104.5</v>
      </c>
      <c r="AA1398" s="5">
        <f>excelsalesdata[[#This Row],[Profit]]/excelsalesdata[[#This Row],[Net_sales]]</f>
        <v>0.26985092789777915</v>
      </c>
      <c r="AB1398" s="4">
        <f>YEAR(excelsalesdata[[#This Row],[Order_Date]])</f>
        <v>2029</v>
      </c>
      <c r="AC1398" s="4" t="str">
        <f>TEXT(excelsalesdata[[#This Row],[Order_Date]],"mmm")</f>
        <v>Feb</v>
      </c>
      <c r="AD1398" s="4" t="str">
        <f>"Q"&amp;ROUNDUP(MONTH(excelsalesdata[[#This Row],[Order_Date]])/3,0)</f>
        <v>Q1</v>
      </c>
    </row>
    <row r="1399" spans="1:30" x14ac:dyDescent="0.35">
      <c r="A1399" t="s">
        <v>2219</v>
      </c>
      <c r="B1399" s="3">
        <v>47157</v>
      </c>
      <c r="C1399" t="s">
        <v>240</v>
      </c>
      <c r="D1399" t="s">
        <v>154</v>
      </c>
      <c r="E1399" t="str">
        <f>TRIM(excelsalesdata[[#This Row],[Customer_Name]])</f>
        <v>Rohan Rao</v>
      </c>
      <c r="F1399" t="s">
        <v>23</v>
      </c>
      <c r="G1399">
        <v>45</v>
      </c>
      <c r="H1399" t="s">
        <v>133</v>
      </c>
      <c r="I1399" t="str">
        <f>TRIM(excelsalesdata[[#This Row],[City]])</f>
        <v>Jaipur</v>
      </c>
      <c r="J1399" t="s">
        <v>134</v>
      </c>
      <c r="K1399" t="s">
        <v>61</v>
      </c>
      <c r="L1399" t="s">
        <v>103</v>
      </c>
      <c r="M1399" t="s">
        <v>178</v>
      </c>
      <c r="N1399" t="s">
        <v>178</v>
      </c>
      <c r="O1399">
        <v>3</v>
      </c>
      <c r="P1399">
        <v>1860</v>
      </c>
      <c r="Q1399">
        <v>0.25</v>
      </c>
      <c r="R1399">
        <v>980</v>
      </c>
      <c r="S1399" t="s">
        <v>29</v>
      </c>
      <c r="T1399" t="s">
        <v>30</v>
      </c>
      <c r="U1399">
        <v>4</v>
      </c>
      <c r="V1399" t="s">
        <v>31</v>
      </c>
      <c r="W1399">
        <f>excelsalesdata[[#This Row],[Quantity]]*excelsalesdata[[#This Row],[Unit_Price]]</f>
        <v>5580</v>
      </c>
      <c r="X1399">
        <f>excelsalesdata[[#This Row],[Gross_sales]]*excelsalesdata[[#This Row],[Discount_%]]</f>
        <v>1395</v>
      </c>
      <c r="Y1399">
        <f>excelsalesdata[[#This Row],[Gross_sales]]-excelsalesdata[[#This Row],[Discount_amt]]</f>
        <v>4185</v>
      </c>
      <c r="Z1399" s="4">
        <f>excelsalesdata[[#This Row],[Net_sales]]-excelsalesdata[[#This Row],[Cost]]</f>
        <v>3205</v>
      </c>
      <c r="AA1399" s="5">
        <f>excelsalesdata[[#This Row],[Profit]]/excelsalesdata[[#This Row],[Net_sales]]</f>
        <v>0.76583034647550774</v>
      </c>
      <c r="AB1399" s="4">
        <f>YEAR(excelsalesdata[[#This Row],[Order_Date]])</f>
        <v>2029</v>
      </c>
      <c r="AC1399" s="4" t="str">
        <f>TEXT(excelsalesdata[[#This Row],[Order_Date]],"mmm")</f>
        <v>Feb</v>
      </c>
      <c r="AD1399" s="4" t="str">
        <f>"Q"&amp;ROUNDUP(MONTH(excelsalesdata[[#This Row],[Order_Date]])/3,0)</f>
        <v>Q1</v>
      </c>
    </row>
    <row r="1400" spans="1:30" x14ac:dyDescent="0.35">
      <c r="A1400" t="s">
        <v>2220</v>
      </c>
      <c r="B1400" s="3">
        <v>47158</v>
      </c>
      <c r="C1400" t="s">
        <v>1544</v>
      </c>
      <c r="D1400" t="s">
        <v>1070</v>
      </c>
      <c r="E1400" t="str">
        <f>TRIM(excelsalesdata[[#This Row],[Customer_Name]])</f>
        <v>Ishita Patel</v>
      </c>
      <c r="F1400" t="s">
        <v>23</v>
      </c>
      <c r="G1400">
        <v>57</v>
      </c>
      <c r="H1400" t="s">
        <v>71</v>
      </c>
      <c r="I1400" t="str">
        <f>TRIM(excelsalesdata[[#This Row],[City]])</f>
        <v>Bhubaneswar</v>
      </c>
      <c r="J1400" t="s">
        <v>72</v>
      </c>
      <c r="K1400" t="s">
        <v>37</v>
      </c>
      <c r="L1400" t="s">
        <v>103</v>
      </c>
      <c r="M1400" t="s">
        <v>347</v>
      </c>
      <c r="N1400" t="s">
        <v>347</v>
      </c>
      <c r="O1400">
        <v>3</v>
      </c>
      <c r="P1400">
        <v>11060</v>
      </c>
      <c r="Q1400">
        <v>0.05</v>
      </c>
      <c r="R1400">
        <v>7820</v>
      </c>
      <c r="S1400" t="s">
        <v>29</v>
      </c>
      <c r="T1400" t="s">
        <v>30</v>
      </c>
      <c r="U1400">
        <v>3</v>
      </c>
      <c r="V1400" t="s">
        <v>31</v>
      </c>
      <c r="W1400">
        <f>excelsalesdata[[#This Row],[Quantity]]*excelsalesdata[[#This Row],[Unit_Price]]</f>
        <v>33180</v>
      </c>
      <c r="X1400">
        <f>excelsalesdata[[#This Row],[Gross_sales]]*excelsalesdata[[#This Row],[Discount_%]]</f>
        <v>1659</v>
      </c>
      <c r="Y1400">
        <f>excelsalesdata[[#This Row],[Gross_sales]]-excelsalesdata[[#This Row],[Discount_amt]]</f>
        <v>31521</v>
      </c>
      <c r="Z1400" s="4">
        <f>excelsalesdata[[#This Row],[Net_sales]]-excelsalesdata[[#This Row],[Cost]]</f>
        <v>23701</v>
      </c>
      <c r="AA1400" s="5">
        <f>excelsalesdata[[#This Row],[Profit]]/excelsalesdata[[#This Row],[Net_sales]]</f>
        <v>0.75191142412994516</v>
      </c>
      <c r="AB1400" s="4">
        <f>YEAR(excelsalesdata[[#This Row],[Order_Date]])</f>
        <v>2029</v>
      </c>
      <c r="AC1400" s="4" t="str">
        <f>TEXT(excelsalesdata[[#This Row],[Order_Date]],"mmm")</f>
        <v>Feb</v>
      </c>
      <c r="AD1400" s="4" t="str">
        <f>"Q"&amp;ROUNDUP(MONTH(excelsalesdata[[#This Row],[Order_Date]])/3,0)</f>
        <v>Q1</v>
      </c>
    </row>
    <row r="1401" spans="1:30" x14ac:dyDescent="0.35">
      <c r="A1401" t="s">
        <v>2221</v>
      </c>
      <c r="B1401" s="3">
        <v>47159</v>
      </c>
      <c r="C1401" t="s">
        <v>379</v>
      </c>
      <c r="D1401" t="s">
        <v>1392</v>
      </c>
      <c r="E1401" t="str">
        <f>TRIM(excelsalesdata[[#This Row],[Customer_Name]])</f>
        <v>Rohan Das</v>
      </c>
      <c r="F1401" t="s">
        <v>44</v>
      </c>
      <c r="G1401">
        <v>53</v>
      </c>
      <c r="H1401" t="s">
        <v>60</v>
      </c>
      <c r="I1401" t="str">
        <f>TRIM(excelsalesdata[[#This Row],[City]])</f>
        <v>Chandigarh</v>
      </c>
      <c r="J1401" t="s">
        <v>60</v>
      </c>
      <c r="K1401" t="s">
        <v>61</v>
      </c>
      <c r="L1401" t="s">
        <v>85</v>
      </c>
      <c r="M1401" t="s">
        <v>86</v>
      </c>
      <c r="N1401" t="s">
        <v>86</v>
      </c>
      <c r="O1401">
        <v>1</v>
      </c>
      <c r="P1401">
        <v>2500</v>
      </c>
      <c r="Q1401">
        <v>0.05</v>
      </c>
      <c r="R1401">
        <v>1520</v>
      </c>
      <c r="S1401" t="s">
        <v>56</v>
      </c>
      <c r="T1401" t="s">
        <v>30</v>
      </c>
      <c r="U1401">
        <v>6</v>
      </c>
      <c r="V1401" t="s">
        <v>40</v>
      </c>
      <c r="W1401">
        <f>excelsalesdata[[#This Row],[Quantity]]*excelsalesdata[[#This Row],[Unit_Price]]</f>
        <v>2500</v>
      </c>
      <c r="X1401">
        <f>excelsalesdata[[#This Row],[Gross_sales]]*excelsalesdata[[#This Row],[Discount_%]]</f>
        <v>125</v>
      </c>
      <c r="Y1401">
        <f>excelsalesdata[[#This Row],[Gross_sales]]-excelsalesdata[[#This Row],[Discount_amt]]</f>
        <v>2375</v>
      </c>
      <c r="Z1401" s="4">
        <f>excelsalesdata[[#This Row],[Net_sales]]-excelsalesdata[[#This Row],[Cost]]</f>
        <v>855</v>
      </c>
      <c r="AA1401" s="5">
        <f>excelsalesdata[[#This Row],[Profit]]/excelsalesdata[[#This Row],[Net_sales]]</f>
        <v>0.36</v>
      </c>
      <c r="AB1401" s="4">
        <f>YEAR(excelsalesdata[[#This Row],[Order_Date]])</f>
        <v>2029</v>
      </c>
      <c r="AC1401" s="4" t="str">
        <f>TEXT(excelsalesdata[[#This Row],[Order_Date]],"mmm")</f>
        <v>Feb</v>
      </c>
      <c r="AD1401" s="4" t="str">
        <f>"Q"&amp;ROUNDUP(MONTH(excelsalesdata[[#This Row],[Order_Date]])/3,0)</f>
        <v>Q1</v>
      </c>
    </row>
    <row r="1402" spans="1:30" x14ac:dyDescent="0.35">
      <c r="A1402" t="s">
        <v>2222</v>
      </c>
      <c r="B1402" s="3">
        <v>47160</v>
      </c>
      <c r="C1402" t="s">
        <v>1905</v>
      </c>
      <c r="D1402" t="s">
        <v>637</v>
      </c>
      <c r="E1402" t="str">
        <f>TRIM(excelsalesdata[[#This Row],[Customer_Name]])</f>
        <v>Vikram Verma</v>
      </c>
      <c r="F1402" t="s">
        <v>44</v>
      </c>
      <c r="G1402">
        <v>59</v>
      </c>
      <c r="H1402" t="s">
        <v>190</v>
      </c>
      <c r="I1402" t="str">
        <f>TRIM(excelsalesdata[[#This Row],[City]])</f>
        <v>Ahmedabad</v>
      </c>
      <c r="J1402" t="s">
        <v>191</v>
      </c>
      <c r="K1402" t="s">
        <v>26</v>
      </c>
      <c r="L1402" t="s">
        <v>54</v>
      </c>
      <c r="M1402" t="s">
        <v>157</v>
      </c>
      <c r="N1402" t="s">
        <v>157</v>
      </c>
      <c r="O1402">
        <v>1</v>
      </c>
      <c r="P1402">
        <v>51780</v>
      </c>
      <c r="Q1402">
        <v>0.15</v>
      </c>
      <c r="R1402">
        <v>40810</v>
      </c>
      <c r="S1402" t="s">
        <v>29</v>
      </c>
      <c r="T1402" t="s">
        <v>30</v>
      </c>
      <c r="U1402">
        <v>4</v>
      </c>
      <c r="V1402" t="s">
        <v>31</v>
      </c>
      <c r="W1402">
        <f>excelsalesdata[[#This Row],[Quantity]]*excelsalesdata[[#This Row],[Unit_Price]]</f>
        <v>51780</v>
      </c>
      <c r="X1402">
        <f>excelsalesdata[[#This Row],[Gross_sales]]*excelsalesdata[[#This Row],[Discount_%]]</f>
        <v>7767</v>
      </c>
      <c r="Y1402">
        <f>excelsalesdata[[#This Row],[Gross_sales]]-excelsalesdata[[#This Row],[Discount_amt]]</f>
        <v>44013</v>
      </c>
      <c r="Z1402" s="4">
        <f>excelsalesdata[[#This Row],[Net_sales]]-excelsalesdata[[#This Row],[Cost]]</f>
        <v>3203</v>
      </c>
      <c r="AA1402" s="5">
        <f>excelsalesdata[[#This Row],[Profit]]/excelsalesdata[[#This Row],[Net_sales]]</f>
        <v>7.2773953150205614E-2</v>
      </c>
      <c r="AB1402" s="4">
        <f>YEAR(excelsalesdata[[#This Row],[Order_Date]])</f>
        <v>2029</v>
      </c>
      <c r="AC1402" s="4" t="str">
        <f>TEXT(excelsalesdata[[#This Row],[Order_Date]],"mmm")</f>
        <v>Feb</v>
      </c>
      <c r="AD1402" s="4" t="str">
        <f>"Q"&amp;ROUNDUP(MONTH(excelsalesdata[[#This Row],[Order_Date]])/3,0)</f>
        <v>Q1</v>
      </c>
    </row>
    <row r="1403" spans="1:30" x14ac:dyDescent="0.35">
      <c r="A1403" t="s">
        <v>2223</v>
      </c>
      <c r="B1403" s="3">
        <v>47161</v>
      </c>
      <c r="C1403" t="s">
        <v>33</v>
      </c>
      <c r="D1403" t="s">
        <v>426</v>
      </c>
      <c r="E1403" t="str">
        <f>TRIM(excelsalesdata[[#This Row],[Customer_Name]])</f>
        <v>Kavya Verma</v>
      </c>
      <c r="F1403" t="s">
        <v>44</v>
      </c>
      <c r="G1403">
        <v>50</v>
      </c>
      <c r="H1403" t="s">
        <v>109</v>
      </c>
      <c r="I1403" t="str">
        <f>TRIM(excelsalesdata[[#This Row],[City]])</f>
        <v>Mysuru</v>
      </c>
      <c r="J1403" t="s">
        <v>53</v>
      </c>
      <c r="K1403" t="s">
        <v>47</v>
      </c>
      <c r="L1403" t="s">
        <v>38</v>
      </c>
      <c r="M1403" t="s">
        <v>39</v>
      </c>
      <c r="N1403" t="s">
        <v>39</v>
      </c>
      <c r="O1403">
        <v>4</v>
      </c>
      <c r="P1403">
        <v>6170</v>
      </c>
      <c r="Q1403">
        <v>0.15</v>
      </c>
      <c r="R1403">
        <v>4010</v>
      </c>
      <c r="S1403" t="s">
        <v>29</v>
      </c>
      <c r="T1403" t="s">
        <v>30</v>
      </c>
      <c r="U1403">
        <v>5</v>
      </c>
      <c r="V1403" t="s">
        <v>40</v>
      </c>
      <c r="W1403">
        <f>excelsalesdata[[#This Row],[Quantity]]*excelsalesdata[[#This Row],[Unit_Price]]</f>
        <v>24680</v>
      </c>
      <c r="X1403">
        <f>excelsalesdata[[#This Row],[Gross_sales]]*excelsalesdata[[#This Row],[Discount_%]]</f>
        <v>3702</v>
      </c>
      <c r="Y1403">
        <f>excelsalesdata[[#This Row],[Gross_sales]]-excelsalesdata[[#This Row],[Discount_amt]]</f>
        <v>20978</v>
      </c>
      <c r="Z1403" s="4">
        <f>excelsalesdata[[#This Row],[Net_sales]]-excelsalesdata[[#This Row],[Cost]]</f>
        <v>16968</v>
      </c>
      <c r="AA1403" s="5">
        <f>excelsalesdata[[#This Row],[Profit]]/excelsalesdata[[#This Row],[Net_sales]]</f>
        <v>0.80884736390504341</v>
      </c>
      <c r="AB1403" s="4">
        <f>YEAR(excelsalesdata[[#This Row],[Order_Date]])</f>
        <v>2029</v>
      </c>
      <c r="AC1403" s="4" t="str">
        <f>TEXT(excelsalesdata[[#This Row],[Order_Date]],"mmm")</f>
        <v>Feb</v>
      </c>
      <c r="AD1403" s="4" t="str">
        <f>"Q"&amp;ROUNDUP(MONTH(excelsalesdata[[#This Row],[Order_Date]])/3,0)</f>
        <v>Q1</v>
      </c>
    </row>
    <row r="1404" spans="1:30" x14ac:dyDescent="0.35">
      <c r="A1404" t="s">
        <v>2224</v>
      </c>
      <c r="B1404" s="3">
        <v>47162</v>
      </c>
      <c r="C1404" t="s">
        <v>929</v>
      </c>
      <c r="D1404" t="s">
        <v>1013</v>
      </c>
      <c r="E1404" t="str">
        <f>TRIM(excelsalesdata[[#This Row],[Customer_Name]])</f>
        <v>Aarav Mehta</v>
      </c>
      <c r="F1404" t="s">
        <v>23</v>
      </c>
      <c r="G1404">
        <v>41</v>
      </c>
      <c r="H1404" t="s">
        <v>185</v>
      </c>
      <c r="I1404" t="str">
        <f>TRIM(excelsalesdata[[#This Row],[City]])</f>
        <v>Lucknow</v>
      </c>
      <c r="J1404" t="s">
        <v>186</v>
      </c>
      <c r="K1404" t="s">
        <v>61</v>
      </c>
      <c r="L1404" t="s">
        <v>103</v>
      </c>
      <c r="M1404" t="s">
        <v>104</v>
      </c>
      <c r="N1404" t="s">
        <v>104</v>
      </c>
      <c r="O1404">
        <v>3</v>
      </c>
      <c r="P1404">
        <v>8460</v>
      </c>
      <c r="Q1404">
        <v>0.05</v>
      </c>
      <c r="R1404">
        <v>5380</v>
      </c>
      <c r="S1404" t="s">
        <v>151</v>
      </c>
      <c r="T1404" t="s">
        <v>74</v>
      </c>
      <c r="U1404">
        <v>4</v>
      </c>
      <c r="V1404" t="s">
        <v>40</v>
      </c>
      <c r="W1404">
        <f>excelsalesdata[[#This Row],[Quantity]]*excelsalesdata[[#This Row],[Unit_Price]]</f>
        <v>25380</v>
      </c>
      <c r="X1404">
        <f>excelsalesdata[[#This Row],[Gross_sales]]*excelsalesdata[[#This Row],[Discount_%]]</f>
        <v>1269</v>
      </c>
      <c r="Y1404">
        <f>excelsalesdata[[#This Row],[Gross_sales]]-excelsalesdata[[#This Row],[Discount_amt]]</f>
        <v>24111</v>
      </c>
      <c r="Z1404" s="4">
        <f>excelsalesdata[[#This Row],[Net_sales]]-excelsalesdata[[#This Row],[Cost]]</f>
        <v>18731</v>
      </c>
      <c r="AA1404" s="5">
        <f>excelsalesdata[[#This Row],[Profit]]/excelsalesdata[[#This Row],[Net_sales]]</f>
        <v>0.77686533117664136</v>
      </c>
      <c r="AB1404" s="4">
        <f>YEAR(excelsalesdata[[#This Row],[Order_Date]])</f>
        <v>2029</v>
      </c>
      <c r="AC1404" s="4" t="str">
        <f>TEXT(excelsalesdata[[#This Row],[Order_Date]],"mmm")</f>
        <v>Feb</v>
      </c>
      <c r="AD1404" s="4" t="str">
        <f>"Q"&amp;ROUNDUP(MONTH(excelsalesdata[[#This Row],[Order_Date]])/3,0)</f>
        <v>Q1</v>
      </c>
    </row>
    <row r="1405" spans="1:30" x14ac:dyDescent="0.35">
      <c r="A1405" t="s">
        <v>2225</v>
      </c>
      <c r="B1405" s="3">
        <v>47163</v>
      </c>
      <c r="C1405" t="s">
        <v>990</v>
      </c>
      <c r="D1405" t="s">
        <v>403</v>
      </c>
      <c r="E1405" t="str">
        <f>TRIM(excelsalesdata[[#This Row],[Customer_Name]])</f>
        <v>Diya Iyer</v>
      </c>
      <c r="F1405" t="s">
        <v>23</v>
      </c>
      <c r="G1405">
        <v>33</v>
      </c>
      <c r="H1405" t="s">
        <v>155</v>
      </c>
      <c r="I1405" t="str">
        <f>TRIM(excelsalesdata[[#This Row],[City]])</f>
        <v>Chennai</v>
      </c>
      <c r="J1405" t="s">
        <v>156</v>
      </c>
      <c r="K1405" t="s">
        <v>47</v>
      </c>
      <c r="L1405" t="s">
        <v>27</v>
      </c>
      <c r="M1405" t="s">
        <v>28</v>
      </c>
      <c r="N1405" t="s">
        <v>28</v>
      </c>
      <c r="O1405">
        <v>1</v>
      </c>
      <c r="P1405">
        <v>3520</v>
      </c>
      <c r="Q1405">
        <v>0</v>
      </c>
      <c r="R1405">
        <v>2090</v>
      </c>
      <c r="S1405" t="s">
        <v>29</v>
      </c>
      <c r="T1405" t="s">
        <v>30</v>
      </c>
      <c r="U1405">
        <v>2</v>
      </c>
      <c r="V1405" t="s">
        <v>40</v>
      </c>
      <c r="W1405">
        <f>excelsalesdata[[#This Row],[Quantity]]*excelsalesdata[[#This Row],[Unit_Price]]</f>
        <v>3520</v>
      </c>
      <c r="X1405">
        <f>excelsalesdata[[#This Row],[Gross_sales]]*excelsalesdata[[#This Row],[Discount_%]]</f>
        <v>0</v>
      </c>
      <c r="Y1405">
        <f>excelsalesdata[[#This Row],[Gross_sales]]-excelsalesdata[[#This Row],[Discount_amt]]</f>
        <v>3520</v>
      </c>
      <c r="Z1405" s="4">
        <f>excelsalesdata[[#This Row],[Net_sales]]-excelsalesdata[[#This Row],[Cost]]</f>
        <v>1430</v>
      </c>
      <c r="AA1405" s="5">
        <f>excelsalesdata[[#This Row],[Profit]]/excelsalesdata[[#This Row],[Net_sales]]</f>
        <v>0.40625</v>
      </c>
      <c r="AB1405" s="4">
        <f>YEAR(excelsalesdata[[#This Row],[Order_Date]])</f>
        <v>2029</v>
      </c>
      <c r="AC1405" s="4" t="str">
        <f>TEXT(excelsalesdata[[#This Row],[Order_Date]],"mmm")</f>
        <v>Feb</v>
      </c>
      <c r="AD1405" s="4" t="str">
        <f>"Q"&amp;ROUNDUP(MONTH(excelsalesdata[[#This Row],[Order_Date]])/3,0)</f>
        <v>Q1</v>
      </c>
    </row>
    <row r="1406" spans="1:30" x14ac:dyDescent="0.35">
      <c r="A1406" t="s">
        <v>2226</v>
      </c>
      <c r="B1406" s="3">
        <v>47164</v>
      </c>
      <c r="C1406" t="s">
        <v>1048</v>
      </c>
      <c r="D1406" t="s">
        <v>318</v>
      </c>
      <c r="E1406" t="str">
        <f>TRIM(excelsalesdata[[#This Row],[Customer_Name]])</f>
        <v>Kavya Joshi</v>
      </c>
      <c r="F1406" t="s">
        <v>23</v>
      </c>
      <c r="G1406">
        <v>28</v>
      </c>
      <c r="H1406" t="s">
        <v>71</v>
      </c>
      <c r="I1406" t="str">
        <f>TRIM(excelsalesdata[[#This Row],[City]])</f>
        <v>Bhubaneswar</v>
      </c>
      <c r="J1406" t="s">
        <v>72</v>
      </c>
      <c r="K1406" t="s">
        <v>37</v>
      </c>
      <c r="L1406" t="s">
        <v>54</v>
      </c>
      <c r="M1406" t="s">
        <v>157</v>
      </c>
      <c r="N1406" t="s">
        <v>157</v>
      </c>
      <c r="O1406">
        <v>2</v>
      </c>
      <c r="P1406">
        <v>57030</v>
      </c>
      <c r="Q1406">
        <v>0.1</v>
      </c>
      <c r="R1406">
        <v>40800</v>
      </c>
      <c r="S1406" t="s">
        <v>29</v>
      </c>
      <c r="T1406" t="s">
        <v>30</v>
      </c>
      <c r="U1406">
        <v>4</v>
      </c>
      <c r="V1406" t="s">
        <v>31</v>
      </c>
      <c r="W1406">
        <f>excelsalesdata[[#This Row],[Quantity]]*excelsalesdata[[#This Row],[Unit_Price]]</f>
        <v>114060</v>
      </c>
      <c r="X1406">
        <f>excelsalesdata[[#This Row],[Gross_sales]]*excelsalesdata[[#This Row],[Discount_%]]</f>
        <v>11406</v>
      </c>
      <c r="Y1406">
        <f>excelsalesdata[[#This Row],[Gross_sales]]-excelsalesdata[[#This Row],[Discount_amt]]</f>
        <v>102654</v>
      </c>
      <c r="Z1406" s="4">
        <f>excelsalesdata[[#This Row],[Net_sales]]-excelsalesdata[[#This Row],[Cost]]</f>
        <v>61854</v>
      </c>
      <c r="AA1406" s="5">
        <f>excelsalesdata[[#This Row],[Profit]]/excelsalesdata[[#This Row],[Net_sales]]</f>
        <v>0.60254836635688813</v>
      </c>
      <c r="AB1406" s="4">
        <f>YEAR(excelsalesdata[[#This Row],[Order_Date]])</f>
        <v>2029</v>
      </c>
      <c r="AC1406" s="4" t="str">
        <f>TEXT(excelsalesdata[[#This Row],[Order_Date]],"mmm")</f>
        <v>Feb</v>
      </c>
      <c r="AD1406" s="4" t="str">
        <f>"Q"&amp;ROUNDUP(MONTH(excelsalesdata[[#This Row],[Order_Date]])/3,0)</f>
        <v>Q1</v>
      </c>
    </row>
    <row r="1407" spans="1:30" x14ac:dyDescent="0.35">
      <c r="A1407" t="s">
        <v>2227</v>
      </c>
      <c r="B1407" s="3">
        <v>47165</v>
      </c>
      <c r="C1407" t="s">
        <v>1023</v>
      </c>
      <c r="D1407" t="s">
        <v>1449</v>
      </c>
      <c r="E1407" t="str">
        <f>TRIM(excelsalesdata[[#This Row],[Customer_Name]])</f>
        <v>Ananya Nair</v>
      </c>
      <c r="F1407" t="s">
        <v>44</v>
      </c>
      <c r="G1407">
        <v>53</v>
      </c>
      <c r="H1407" t="s">
        <v>185</v>
      </c>
      <c r="I1407" t="str">
        <f>TRIM(excelsalesdata[[#This Row],[City]])</f>
        <v>Lucknow</v>
      </c>
      <c r="J1407" t="s">
        <v>186</v>
      </c>
      <c r="K1407" t="s">
        <v>61</v>
      </c>
      <c r="L1407" t="s">
        <v>54</v>
      </c>
      <c r="M1407" t="s">
        <v>62</v>
      </c>
      <c r="N1407" t="s">
        <v>62</v>
      </c>
      <c r="O1407">
        <v>1</v>
      </c>
      <c r="P1407">
        <v>20610</v>
      </c>
      <c r="Q1407">
        <v>0.25</v>
      </c>
      <c r="R1407">
        <v>15160</v>
      </c>
      <c r="S1407" t="s">
        <v>80</v>
      </c>
      <c r="T1407" t="s">
        <v>74</v>
      </c>
      <c r="U1407">
        <v>4</v>
      </c>
      <c r="V1407" t="s">
        <v>40</v>
      </c>
      <c r="W1407">
        <f>excelsalesdata[[#This Row],[Quantity]]*excelsalesdata[[#This Row],[Unit_Price]]</f>
        <v>20610</v>
      </c>
      <c r="X1407">
        <f>excelsalesdata[[#This Row],[Gross_sales]]*excelsalesdata[[#This Row],[Discount_%]]</f>
        <v>5152.5</v>
      </c>
      <c r="Y1407">
        <f>excelsalesdata[[#This Row],[Gross_sales]]-excelsalesdata[[#This Row],[Discount_amt]]</f>
        <v>15457.5</v>
      </c>
      <c r="Z1407" s="4">
        <f>excelsalesdata[[#This Row],[Net_sales]]-excelsalesdata[[#This Row],[Cost]]</f>
        <v>297.5</v>
      </c>
      <c r="AA1407" s="5">
        <f>excelsalesdata[[#This Row],[Profit]]/excelsalesdata[[#This Row],[Net_sales]]</f>
        <v>1.9246320556364223E-2</v>
      </c>
      <c r="AB1407" s="4">
        <f>YEAR(excelsalesdata[[#This Row],[Order_Date]])</f>
        <v>2029</v>
      </c>
      <c r="AC1407" s="4" t="str">
        <f>TEXT(excelsalesdata[[#This Row],[Order_Date]],"mmm")</f>
        <v>Feb</v>
      </c>
      <c r="AD1407" s="4" t="str">
        <f>"Q"&amp;ROUNDUP(MONTH(excelsalesdata[[#This Row],[Order_Date]])/3,0)</f>
        <v>Q1</v>
      </c>
    </row>
    <row r="1408" spans="1:30" x14ac:dyDescent="0.35">
      <c r="A1408" t="s">
        <v>2228</v>
      </c>
      <c r="B1408" s="3">
        <v>47166</v>
      </c>
      <c r="C1408" t="s">
        <v>552</v>
      </c>
      <c r="D1408" t="s">
        <v>580</v>
      </c>
      <c r="E1408" t="str">
        <f>TRIM(excelsalesdata[[#This Row],[Customer_Name]])</f>
        <v>Meera Iyer</v>
      </c>
      <c r="F1408" t="s">
        <v>23</v>
      </c>
      <c r="G1408">
        <v>59</v>
      </c>
      <c r="H1408" t="s">
        <v>52</v>
      </c>
      <c r="I1408" t="str">
        <f>TRIM(excelsalesdata[[#This Row],[City]])</f>
        <v>Bengaluru</v>
      </c>
      <c r="J1408" t="s">
        <v>53</v>
      </c>
      <c r="K1408" t="s">
        <v>47</v>
      </c>
      <c r="L1408" t="s">
        <v>27</v>
      </c>
      <c r="M1408" t="s">
        <v>295</v>
      </c>
      <c r="N1408" t="s">
        <v>295</v>
      </c>
      <c r="O1408">
        <v>2</v>
      </c>
      <c r="P1408">
        <v>4050</v>
      </c>
      <c r="Q1408">
        <v>0.2</v>
      </c>
      <c r="R1408">
        <v>2610</v>
      </c>
      <c r="S1408" t="s">
        <v>67</v>
      </c>
      <c r="T1408" t="s">
        <v>30</v>
      </c>
      <c r="U1408">
        <v>3</v>
      </c>
      <c r="V1408" t="s">
        <v>31</v>
      </c>
      <c r="W1408">
        <f>excelsalesdata[[#This Row],[Quantity]]*excelsalesdata[[#This Row],[Unit_Price]]</f>
        <v>8100</v>
      </c>
      <c r="X1408">
        <f>excelsalesdata[[#This Row],[Gross_sales]]*excelsalesdata[[#This Row],[Discount_%]]</f>
        <v>1620</v>
      </c>
      <c r="Y1408">
        <f>excelsalesdata[[#This Row],[Gross_sales]]-excelsalesdata[[#This Row],[Discount_amt]]</f>
        <v>6480</v>
      </c>
      <c r="Z1408" s="4">
        <f>excelsalesdata[[#This Row],[Net_sales]]-excelsalesdata[[#This Row],[Cost]]</f>
        <v>3870</v>
      </c>
      <c r="AA1408" s="5">
        <f>excelsalesdata[[#This Row],[Profit]]/excelsalesdata[[#This Row],[Net_sales]]</f>
        <v>0.59722222222222221</v>
      </c>
      <c r="AB1408" s="4">
        <f>YEAR(excelsalesdata[[#This Row],[Order_Date]])</f>
        <v>2029</v>
      </c>
      <c r="AC1408" s="4" t="str">
        <f>TEXT(excelsalesdata[[#This Row],[Order_Date]],"mmm")</f>
        <v>Feb</v>
      </c>
      <c r="AD1408" s="4" t="str">
        <f>"Q"&amp;ROUNDUP(MONTH(excelsalesdata[[#This Row],[Order_Date]])/3,0)</f>
        <v>Q1</v>
      </c>
    </row>
    <row r="1409" spans="1:30" x14ac:dyDescent="0.35">
      <c r="A1409" t="s">
        <v>2229</v>
      </c>
      <c r="B1409" s="3">
        <v>47167</v>
      </c>
      <c r="C1409" t="s">
        <v>1571</v>
      </c>
      <c r="D1409" t="s">
        <v>1401</v>
      </c>
      <c r="E1409" t="str">
        <f>TRIM(excelsalesdata[[#This Row],[Customer_Name]])</f>
        <v>Meera Kumar</v>
      </c>
      <c r="F1409" t="s">
        <v>23</v>
      </c>
      <c r="G1409">
        <v>40</v>
      </c>
      <c r="H1409" t="s">
        <v>35</v>
      </c>
      <c r="I1409" t="str">
        <f>TRIM(excelsalesdata[[#This Row],[City]])</f>
        <v>Kolkata</v>
      </c>
      <c r="J1409" t="s">
        <v>36</v>
      </c>
      <c r="K1409" t="s">
        <v>37</v>
      </c>
      <c r="L1409" t="s">
        <v>38</v>
      </c>
      <c r="M1409" t="s">
        <v>39</v>
      </c>
      <c r="N1409" t="s">
        <v>39</v>
      </c>
      <c r="O1409">
        <v>3</v>
      </c>
      <c r="P1409">
        <v>6790</v>
      </c>
      <c r="Q1409">
        <v>0.15</v>
      </c>
      <c r="R1409">
        <v>4400</v>
      </c>
      <c r="S1409" t="s">
        <v>105</v>
      </c>
      <c r="T1409" t="s">
        <v>99</v>
      </c>
      <c r="U1409">
        <v>1</v>
      </c>
      <c r="V1409" t="s">
        <v>40</v>
      </c>
      <c r="W1409">
        <f>excelsalesdata[[#This Row],[Quantity]]*excelsalesdata[[#This Row],[Unit_Price]]</f>
        <v>20370</v>
      </c>
      <c r="X1409">
        <f>excelsalesdata[[#This Row],[Gross_sales]]*excelsalesdata[[#This Row],[Discount_%]]</f>
        <v>3055.5</v>
      </c>
      <c r="Y1409">
        <f>excelsalesdata[[#This Row],[Gross_sales]]-excelsalesdata[[#This Row],[Discount_amt]]</f>
        <v>17314.5</v>
      </c>
      <c r="Z1409" s="4">
        <f>excelsalesdata[[#This Row],[Net_sales]]-excelsalesdata[[#This Row],[Cost]]</f>
        <v>12914.5</v>
      </c>
      <c r="AA1409" s="5">
        <f>excelsalesdata[[#This Row],[Profit]]/excelsalesdata[[#This Row],[Net_sales]]</f>
        <v>0.74587773253631351</v>
      </c>
      <c r="AB1409" s="4">
        <f>YEAR(excelsalesdata[[#This Row],[Order_Date]])</f>
        <v>2029</v>
      </c>
      <c r="AC1409" s="4" t="str">
        <f>TEXT(excelsalesdata[[#This Row],[Order_Date]],"mmm")</f>
        <v>Feb</v>
      </c>
      <c r="AD1409" s="4" t="str">
        <f>"Q"&amp;ROUNDUP(MONTH(excelsalesdata[[#This Row],[Order_Date]])/3,0)</f>
        <v>Q1</v>
      </c>
    </row>
    <row r="1410" spans="1:30" x14ac:dyDescent="0.35">
      <c r="A1410" t="s">
        <v>2230</v>
      </c>
      <c r="B1410" s="3">
        <v>47168</v>
      </c>
      <c r="C1410" t="s">
        <v>2231</v>
      </c>
      <c r="D1410" t="s">
        <v>622</v>
      </c>
      <c r="E1410" t="str">
        <f>TRIM(excelsalesdata[[#This Row],[Customer_Name]])</f>
        <v>Vivaan Naidu</v>
      </c>
      <c r="F1410" t="s">
        <v>44</v>
      </c>
      <c r="G1410">
        <v>28</v>
      </c>
      <c r="H1410" t="s">
        <v>71</v>
      </c>
      <c r="I1410" t="str">
        <f>TRIM(excelsalesdata[[#This Row],[City]])</f>
        <v>Bhubaneswar</v>
      </c>
      <c r="J1410" t="s">
        <v>72</v>
      </c>
      <c r="K1410" t="s">
        <v>37</v>
      </c>
      <c r="L1410" t="s">
        <v>54</v>
      </c>
      <c r="M1410" t="s">
        <v>66</v>
      </c>
      <c r="N1410" t="s">
        <v>66</v>
      </c>
      <c r="O1410">
        <v>1</v>
      </c>
      <c r="P1410">
        <v>2680</v>
      </c>
      <c r="Q1410">
        <v>0.1</v>
      </c>
      <c r="R1410">
        <v>1430</v>
      </c>
      <c r="S1410" t="s">
        <v>80</v>
      </c>
      <c r="T1410" t="s">
        <v>99</v>
      </c>
      <c r="U1410">
        <v>5</v>
      </c>
      <c r="V1410" t="s">
        <v>40</v>
      </c>
      <c r="W1410">
        <f>excelsalesdata[[#This Row],[Quantity]]*excelsalesdata[[#This Row],[Unit_Price]]</f>
        <v>2680</v>
      </c>
      <c r="X1410">
        <f>excelsalesdata[[#This Row],[Gross_sales]]*excelsalesdata[[#This Row],[Discount_%]]</f>
        <v>268</v>
      </c>
      <c r="Y1410">
        <f>excelsalesdata[[#This Row],[Gross_sales]]-excelsalesdata[[#This Row],[Discount_amt]]</f>
        <v>2412</v>
      </c>
      <c r="Z1410" s="4">
        <f>excelsalesdata[[#This Row],[Net_sales]]-excelsalesdata[[#This Row],[Cost]]</f>
        <v>982</v>
      </c>
      <c r="AA1410" s="5">
        <f>excelsalesdata[[#This Row],[Profit]]/excelsalesdata[[#This Row],[Net_sales]]</f>
        <v>0.40713101160862353</v>
      </c>
      <c r="AB1410" s="4">
        <f>YEAR(excelsalesdata[[#This Row],[Order_Date]])</f>
        <v>2029</v>
      </c>
      <c r="AC1410" s="4" t="str">
        <f>TEXT(excelsalesdata[[#This Row],[Order_Date]],"mmm")</f>
        <v>Feb</v>
      </c>
      <c r="AD1410" s="4" t="str">
        <f>"Q"&amp;ROUNDUP(MONTH(excelsalesdata[[#This Row],[Order_Date]])/3,0)</f>
        <v>Q1</v>
      </c>
    </row>
    <row r="1411" spans="1:30" x14ac:dyDescent="0.35">
      <c r="A1411" t="s">
        <v>2232</v>
      </c>
      <c r="B1411" s="3">
        <v>47169</v>
      </c>
      <c r="C1411" t="s">
        <v>1378</v>
      </c>
      <c r="D1411" t="s">
        <v>466</v>
      </c>
      <c r="E1411" t="str">
        <f>TRIM(excelsalesdata[[#This Row],[Customer_Name]])</f>
        <v>Ishita Bhat</v>
      </c>
      <c r="F1411" t="s">
        <v>23</v>
      </c>
      <c r="G1411">
        <v>60</v>
      </c>
      <c r="H1411" t="s">
        <v>52</v>
      </c>
      <c r="I1411" t="str">
        <f>TRIM(excelsalesdata[[#This Row],[City]])</f>
        <v>Bengaluru</v>
      </c>
      <c r="J1411" t="s">
        <v>53</v>
      </c>
      <c r="K1411" t="s">
        <v>47</v>
      </c>
      <c r="L1411" t="s">
        <v>54</v>
      </c>
      <c r="M1411" t="s">
        <v>157</v>
      </c>
      <c r="N1411" t="s">
        <v>157</v>
      </c>
      <c r="O1411">
        <v>1</v>
      </c>
      <c r="P1411">
        <v>57400</v>
      </c>
      <c r="Q1411">
        <v>0.1</v>
      </c>
      <c r="R1411">
        <v>41200</v>
      </c>
      <c r="S1411" t="s">
        <v>29</v>
      </c>
      <c r="T1411" t="s">
        <v>30</v>
      </c>
      <c r="U1411">
        <v>4</v>
      </c>
      <c r="V1411" t="s">
        <v>40</v>
      </c>
      <c r="W1411">
        <f>excelsalesdata[[#This Row],[Quantity]]*excelsalesdata[[#This Row],[Unit_Price]]</f>
        <v>57400</v>
      </c>
      <c r="X1411">
        <f>excelsalesdata[[#This Row],[Gross_sales]]*excelsalesdata[[#This Row],[Discount_%]]</f>
        <v>5740</v>
      </c>
      <c r="Y1411">
        <f>excelsalesdata[[#This Row],[Gross_sales]]-excelsalesdata[[#This Row],[Discount_amt]]</f>
        <v>51660</v>
      </c>
      <c r="Z1411" s="4">
        <f>excelsalesdata[[#This Row],[Net_sales]]-excelsalesdata[[#This Row],[Cost]]</f>
        <v>10460</v>
      </c>
      <c r="AA1411" s="5">
        <f>excelsalesdata[[#This Row],[Profit]]/excelsalesdata[[#This Row],[Net_sales]]</f>
        <v>0.20247773906310493</v>
      </c>
      <c r="AB1411" s="4">
        <f>YEAR(excelsalesdata[[#This Row],[Order_Date]])</f>
        <v>2029</v>
      </c>
      <c r="AC1411" s="4" t="str">
        <f>TEXT(excelsalesdata[[#This Row],[Order_Date]],"mmm")</f>
        <v>Feb</v>
      </c>
      <c r="AD1411" s="4" t="str">
        <f>"Q"&amp;ROUNDUP(MONTH(excelsalesdata[[#This Row],[Order_Date]])/3,0)</f>
        <v>Q1</v>
      </c>
    </row>
    <row r="1412" spans="1:30" x14ac:dyDescent="0.35">
      <c r="A1412" t="s">
        <v>2233</v>
      </c>
      <c r="B1412" s="3">
        <v>47170</v>
      </c>
      <c r="C1412" t="s">
        <v>1091</v>
      </c>
      <c r="D1412" t="s">
        <v>315</v>
      </c>
      <c r="E1412" t="str">
        <f>TRIM(excelsalesdata[[#This Row],[Customer_Name]])</f>
        <v>Diya Rao</v>
      </c>
      <c r="F1412" t="s">
        <v>23</v>
      </c>
      <c r="G1412">
        <v>40</v>
      </c>
      <c r="H1412" t="s">
        <v>71</v>
      </c>
      <c r="I1412" t="str">
        <f>TRIM(excelsalesdata[[#This Row],[City]])</f>
        <v>Bhubaneswar</v>
      </c>
      <c r="J1412" t="s">
        <v>72</v>
      </c>
      <c r="K1412" t="s">
        <v>37</v>
      </c>
      <c r="L1412" t="s">
        <v>38</v>
      </c>
      <c r="M1412" t="s">
        <v>119</v>
      </c>
      <c r="N1412" t="s">
        <v>119</v>
      </c>
      <c r="O1412">
        <v>3</v>
      </c>
      <c r="P1412">
        <v>8060</v>
      </c>
      <c r="Q1412">
        <v>0.05</v>
      </c>
      <c r="R1412">
        <v>5380</v>
      </c>
      <c r="S1412" t="s">
        <v>29</v>
      </c>
      <c r="T1412" t="s">
        <v>30</v>
      </c>
      <c r="U1412">
        <v>1</v>
      </c>
      <c r="V1412" t="s">
        <v>31</v>
      </c>
      <c r="W1412">
        <f>excelsalesdata[[#This Row],[Quantity]]*excelsalesdata[[#This Row],[Unit_Price]]</f>
        <v>24180</v>
      </c>
      <c r="X1412">
        <f>excelsalesdata[[#This Row],[Gross_sales]]*excelsalesdata[[#This Row],[Discount_%]]</f>
        <v>1209</v>
      </c>
      <c r="Y1412">
        <f>excelsalesdata[[#This Row],[Gross_sales]]-excelsalesdata[[#This Row],[Discount_amt]]</f>
        <v>22971</v>
      </c>
      <c r="Z1412" s="4">
        <f>excelsalesdata[[#This Row],[Net_sales]]-excelsalesdata[[#This Row],[Cost]]</f>
        <v>17591</v>
      </c>
      <c r="AA1412" s="5">
        <f>excelsalesdata[[#This Row],[Profit]]/excelsalesdata[[#This Row],[Net_sales]]</f>
        <v>0.76579165034173524</v>
      </c>
      <c r="AB1412" s="4">
        <f>YEAR(excelsalesdata[[#This Row],[Order_Date]])</f>
        <v>2029</v>
      </c>
      <c r="AC1412" s="4" t="str">
        <f>TEXT(excelsalesdata[[#This Row],[Order_Date]],"mmm")</f>
        <v>Feb</v>
      </c>
      <c r="AD1412" s="4" t="str">
        <f>"Q"&amp;ROUNDUP(MONTH(excelsalesdata[[#This Row],[Order_Date]])/3,0)</f>
        <v>Q1</v>
      </c>
    </row>
    <row r="1413" spans="1:30" x14ac:dyDescent="0.35">
      <c r="A1413" t="s">
        <v>2234</v>
      </c>
      <c r="B1413" s="3">
        <v>47171</v>
      </c>
      <c r="C1413" t="s">
        <v>398</v>
      </c>
      <c r="D1413" t="s">
        <v>1213</v>
      </c>
      <c r="E1413" t="str">
        <f>TRIM(excelsalesdata[[#This Row],[Customer_Name]])</f>
        <v>Ananya Naidu</v>
      </c>
      <c r="F1413" t="s">
        <v>23</v>
      </c>
      <c r="G1413">
        <v>31</v>
      </c>
      <c r="H1413" t="s">
        <v>155</v>
      </c>
      <c r="I1413" t="str">
        <f>TRIM(excelsalesdata[[#This Row],[City]])</f>
        <v>Chennai</v>
      </c>
      <c r="J1413" t="s">
        <v>156</v>
      </c>
      <c r="K1413" t="s">
        <v>47</v>
      </c>
      <c r="L1413" t="s">
        <v>93</v>
      </c>
      <c r="M1413" t="s">
        <v>718</v>
      </c>
      <c r="N1413" t="s">
        <v>718</v>
      </c>
      <c r="O1413">
        <v>2</v>
      </c>
      <c r="P1413">
        <v>1690</v>
      </c>
      <c r="Q1413">
        <v>0.1</v>
      </c>
      <c r="R1413">
        <v>890</v>
      </c>
      <c r="S1413" t="s">
        <v>80</v>
      </c>
      <c r="T1413" t="s">
        <v>81</v>
      </c>
      <c r="U1413">
        <v>0</v>
      </c>
      <c r="V1413" t="s">
        <v>31</v>
      </c>
      <c r="W1413">
        <f>excelsalesdata[[#This Row],[Quantity]]*excelsalesdata[[#This Row],[Unit_Price]]</f>
        <v>3380</v>
      </c>
      <c r="X1413">
        <f>excelsalesdata[[#This Row],[Gross_sales]]*excelsalesdata[[#This Row],[Discount_%]]</f>
        <v>338</v>
      </c>
      <c r="Y1413">
        <f>excelsalesdata[[#This Row],[Gross_sales]]-excelsalesdata[[#This Row],[Discount_amt]]</f>
        <v>3042</v>
      </c>
      <c r="Z1413" s="4">
        <f>excelsalesdata[[#This Row],[Net_sales]]-excelsalesdata[[#This Row],[Cost]]</f>
        <v>2152</v>
      </c>
      <c r="AA1413" s="5">
        <f>excelsalesdata[[#This Row],[Profit]]/excelsalesdata[[#This Row],[Net_sales]]</f>
        <v>0.70742932281393822</v>
      </c>
      <c r="AB1413" s="4">
        <f>YEAR(excelsalesdata[[#This Row],[Order_Date]])</f>
        <v>2029</v>
      </c>
      <c r="AC1413" s="4" t="str">
        <f>TEXT(excelsalesdata[[#This Row],[Order_Date]],"mmm")</f>
        <v>Feb</v>
      </c>
      <c r="AD1413" s="4" t="str">
        <f>"Q"&amp;ROUNDUP(MONTH(excelsalesdata[[#This Row],[Order_Date]])/3,0)</f>
        <v>Q1</v>
      </c>
    </row>
    <row r="1414" spans="1:30" x14ac:dyDescent="0.35">
      <c r="A1414" t="s">
        <v>2235</v>
      </c>
      <c r="B1414" s="3">
        <v>47172</v>
      </c>
      <c r="C1414" t="s">
        <v>573</v>
      </c>
      <c r="D1414" t="s">
        <v>1029</v>
      </c>
      <c r="E1414" t="str">
        <f>TRIM(excelsalesdata[[#This Row],[Customer_Name]])</f>
        <v>Kavya Reddy</v>
      </c>
      <c r="F1414" t="s">
        <v>44</v>
      </c>
      <c r="G1414">
        <v>32</v>
      </c>
      <c r="H1414" t="s">
        <v>168</v>
      </c>
      <c r="I1414" t="str">
        <f>TRIM(excelsalesdata[[#This Row],[City]])</f>
        <v>Delhi</v>
      </c>
      <c r="J1414" t="s">
        <v>168</v>
      </c>
      <c r="K1414" t="s">
        <v>61</v>
      </c>
      <c r="L1414" t="s">
        <v>54</v>
      </c>
      <c r="M1414" t="s">
        <v>157</v>
      </c>
      <c r="N1414" t="s">
        <v>157</v>
      </c>
      <c r="O1414">
        <v>2</v>
      </c>
      <c r="P1414">
        <v>52000</v>
      </c>
      <c r="Q1414">
        <v>0.15</v>
      </c>
      <c r="R1414">
        <v>42800</v>
      </c>
      <c r="S1414" t="s">
        <v>80</v>
      </c>
      <c r="T1414" t="s">
        <v>30</v>
      </c>
      <c r="U1414">
        <v>2</v>
      </c>
      <c r="V1414" t="s">
        <v>40</v>
      </c>
      <c r="W1414">
        <f>excelsalesdata[[#This Row],[Quantity]]*excelsalesdata[[#This Row],[Unit_Price]]</f>
        <v>104000</v>
      </c>
      <c r="X1414">
        <f>excelsalesdata[[#This Row],[Gross_sales]]*excelsalesdata[[#This Row],[Discount_%]]</f>
        <v>15600</v>
      </c>
      <c r="Y1414">
        <f>excelsalesdata[[#This Row],[Gross_sales]]-excelsalesdata[[#This Row],[Discount_amt]]</f>
        <v>88400</v>
      </c>
      <c r="Z1414" s="4">
        <f>excelsalesdata[[#This Row],[Net_sales]]-excelsalesdata[[#This Row],[Cost]]</f>
        <v>45600</v>
      </c>
      <c r="AA1414" s="5">
        <f>excelsalesdata[[#This Row],[Profit]]/excelsalesdata[[#This Row],[Net_sales]]</f>
        <v>0.51583710407239824</v>
      </c>
      <c r="AB1414" s="4">
        <f>YEAR(excelsalesdata[[#This Row],[Order_Date]])</f>
        <v>2029</v>
      </c>
      <c r="AC1414" s="4" t="str">
        <f>TEXT(excelsalesdata[[#This Row],[Order_Date]],"mmm")</f>
        <v>Feb</v>
      </c>
      <c r="AD1414" s="4" t="str">
        <f>"Q"&amp;ROUNDUP(MONTH(excelsalesdata[[#This Row],[Order_Date]])/3,0)</f>
        <v>Q1</v>
      </c>
    </row>
    <row r="1415" spans="1:30" x14ac:dyDescent="0.35">
      <c r="A1415" t="s">
        <v>2236</v>
      </c>
      <c r="B1415" s="3">
        <v>47173</v>
      </c>
      <c r="C1415" t="s">
        <v>2237</v>
      </c>
      <c r="D1415" t="s">
        <v>1806</v>
      </c>
      <c r="E1415" t="str">
        <f>TRIM(excelsalesdata[[#This Row],[Customer_Name]])</f>
        <v>Sneha Bhat</v>
      </c>
      <c r="F1415" t="s">
        <v>44</v>
      </c>
      <c r="G1415">
        <v>43</v>
      </c>
      <c r="H1415" t="s">
        <v>60</v>
      </c>
      <c r="I1415" t="str">
        <f>TRIM(excelsalesdata[[#This Row],[City]])</f>
        <v>Chandigarh</v>
      </c>
      <c r="J1415" t="s">
        <v>60</v>
      </c>
      <c r="K1415" t="s">
        <v>61</v>
      </c>
      <c r="L1415" t="s">
        <v>27</v>
      </c>
      <c r="M1415" t="s">
        <v>195</v>
      </c>
      <c r="N1415" t="s">
        <v>195</v>
      </c>
      <c r="O1415">
        <v>1</v>
      </c>
      <c r="P1415">
        <v>2110</v>
      </c>
      <c r="Q1415">
        <v>0.05</v>
      </c>
      <c r="R1415">
        <v>1230</v>
      </c>
      <c r="S1415" t="s">
        <v>80</v>
      </c>
      <c r="T1415" t="s">
        <v>30</v>
      </c>
      <c r="U1415">
        <v>4</v>
      </c>
      <c r="V1415" t="s">
        <v>40</v>
      </c>
      <c r="W1415">
        <f>excelsalesdata[[#This Row],[Quantity]]*excelsalesdata[[#This Row],[Unit_Price]]</f>
        <v>2110</v>
      </c>
      <c r="X1415">
        <f>excelsalesdata[[#This Row],[Gross_sales]]*excelsalesdata[[#This Row],[Discount_%]]</f>
        <v>105.5</v>
      </c>
      <c r="Y1415">
        <f>excelsalesdata[[#This Row],[Gross_sales]]-excelsalesdata[[#This Row],[Discount_amt]]</f>
        <v>2004.5</v>
      </c>
      <c r="Z1415" s="4">
        <f>excelsalesdata[[#This Row],[Net_sales]]-excelsalesdata[[#This Row],[Cost]]</f>
        <v>774.5</v>
      </c>
      <c r="AA1415" s="5">
        <f>excelsalesdata[[#This Row],[Profit]]/excelsalesdata[[#This Row],[Net_sales]]</f>
        <v>0.38638064355200796</v>
      </c>
      <c r="AB1415" s="4">
        <f>YEAR(excelsalesdata[[#This Row],[Order_Date]])</f>
        <v>2029</v>
      </c>
      <c r="AC1415" s="4" t="str">
        <f>TEXT(excelsalesdata[[#This Row],[Order_Date]],"mmm")</f>
        <v>Feb</v>
      </c>
      <c r="AD1415" s="4" t="str">
        <f>"Q"&amp;ROUNDUP(MONTH(excelsalesdata[[#This Row],[Order_Date]])/3,0)</f>
        <v>Q1</v>
      </c>
    </row>
    <row r="1416" spans="1:30" x14ac:dyDescent="0.35">
      <c r="A1416" t="s">
        <v>2238</v>
      </c>
      <c r="B1416" s="3">
        <v>47174</v>
      </c>
      <c r="C1416" t="s">
        <v>391</v>
      </c>
      <c r="D1416" t="s">
        <v>534</v>
      </c>
      <c r="E1416" t="str">
        <f>TRIM(excelsalesdata[[#This Row],[Customer_Name]])</f>
        <v>Ananya Kumar</v>
      </c>
      <c r="F1416" t="s">
        <v>44</v>
      </c>
      <c r="G1416">
        <v>60</v>
      </c>
      <c r="H1416" t="s">
        <v>52</v>
      </c>
      <c r="I1416" t="str">
        <f>TRIM(excelsalesdata[[#This Row],[City]])</f>
        <v>Bengaluru</v>
      </c>
      <c r="J1416" t="s">
        <v>53</v>
      </c>
      <c r="K1416" t="s">
        <v>47</v>
      </c>
      <c r="L1416" t="s">
        <v>103</v>
      </c>
      <c r="M1416" t="s">
        <v>312</v>
      </c>
      <c r="N1416" t="s">
        <v>312</v>
      </c>
      <c r="O1416">
        <v>3</v>
      </c>
      <c r="P1416">
        <v>6930</v>
      </c>
      <c r="Q1416">
        <v>0.25</v>
      </c>
      <c r="R1416">
        <v>4040</v>
      </c>
      <c r="S1416" t="s">
        <v>80</v>
      </c>
      <c r="T1416" t="s">
        <v>30</v>
      </c>
      <c r="U1416">
        <v>3</v>
      </c>
      <c r="V1416" t="s">
        <v>40</v>
      </c>
      <c r="W1416">
        <f>excelsalesdata[[#This Row],[Quantity]]*excelsalesdata[[#This Row],[Unit_Price]]</f>
        <v>20790</v>
      </c>
      <c r="X1416">
        <f>excelsalesdata[[#This Row],[Gross_sales]]*excelsalesdata[[#This Row],[Discount_%]]</f>
        <v>5197.5</v>
      </c>
      <c r="Y1416">
        <f>excelsalesdata[[#This Row],[Gross_sales]]-excelsalesdata[[#This Row],[Discount_amt]]</f>
        <v>15592.5</v>
      </c>
      <c r="Z1416" s="4">
        <f>excelsalesdata[[#This Row],[Net_sales]]-excelsalesdata[[#This Row],[Cost]]</f>
        <v>11552.5</v>
      </c>
      <c r="AA1416" s="5">
        <f>excelsalesdata[[#This Row],[Profit]]/excelsalesdata[[#This Row],[Net_sales]]</f>
        <v>0.74090107423440754</v>
      </c>
      <c r="AB1416" s="4">
        <f>YEAR(excelsalesdata[[#This Row],[Order_Date]])</f>
        <v>2029</v>
      </c>
      <c r="AC1416" s="4" t="str">
        <f>TEXT(excelsalesdata[[#This Row],[Order_Date]],"mmm")</f>
        <v>Feb</v>
      </c>
      <c r="AD1416" s="4" t="str">
        <f>"Q"&amp;ROUNDUP(MONTH(excelsalesdata[[#This Row],[Order_Date]])/3,0)</f>
        <v>Q1</v>
      </c>
    </row>
    <row r="1417" spans="1:30" x14ac:dyDescent="0.35">
      <c r="A1417" t="s">
        <v>2239</v>
      </c>
      <c r="B1417" s="3">
        <v>47175</v>
      </c>
      <c r="C1417" t="s">
        <v>2240</v>
      </c>
      <c r="D1417" t="s">
        <v>631</v>
      </c>
      <c r="E1417" t="str">
        <f>TRIM(excelsalesdata[[#This Row],[Customer_Name]])</f>
        <v>Diya Naidu</v>
      </c>
      <c r="F1417" t="s">
        <v>23</v>
      </c>
      <c r="G1417">
        <v>60</v>
      </c>
      <c r="H1417" t="s">
        <v>98</v>
      </c>
      <c r="I1417" t="str">
        <f>TRIM(excelsalesdata[[#This Row],[City]])</f>
        <v>Mumbai</v>
      </c>
      <c r="J1417" t="s">
        <v>25</v>
      </c>
      <c r="K1417" t="s">
        <v>26</v>
      </c>
      <c r="L1417" t="s">
        <v>54</v>
      </c>
      <c r="M1417" t="s">
        <v>157</v>
      </c>
      <c r="N1417" t="s">
        <v>157</v>
      </c>
      <c r="O1417">
        <v>5</v>
      </c>
      <c r="P1417">
        <v>51740</v>
      </c>
      <c r="Q1417">
        <v>0.2</v>
      </c>
      <c r="R1417">
        <v>42800</v>
      </c>
      <c r="S1417" t="s">
        <v>29</v>
      </c>
      <c r="T1417" t="s">
        <v>81</v>
      </c>
      <c r="U1417">
        <v>0</v>
      </c>
      <c r="V1417" t="s">
        <v>40</v>
      </c>
      <c r="W1417">
        <f>excelsalesdata[[#This Row],[Quantity]]*excelsalesdata[[#This Row],[Unit_Price]]</f>
        <v>258700</v>
      </c>
      <c r="X1417">
        <f>excelsalesdata[[#This Row],[Gross_sales]]*excelsalesdata[[#This Row],[Discount_%]]</f>
        <v>51740</v>
      </c>
      <c r="Y1417">
        <f>excelsalesdata[[#This Row],[Gross_sales]]-excelsalesdata[[#This Row],[Discount_amt]]</f>
        <v>206960</v>
      </c>
      <c r="Z1417" s="4">
        <f>excelsalesdata[[#This Row],[Net_sales]]-excelsalesdata[[#This Row],[Cost]]</f>
        <v>164160</v>
      </c>
      <c r="AA1417" s="5">
        <f>excelsalesdata[[#This Row],[Profit]]/excelsalesdata[[#This Row],[Net_sales]]</f>
        <v>0.79319675299574799</v>
      </c>
      <c r="AB1417" s="4">
        <f>YEAR(excelsalesdata[[#This Row],[Order_Date]])</f>
        <v>2029</v>
      </c>
      <c r="AC1417" s="4" t="str">
        <f>TEXT(excelsalesdata[[#This Row],[Order_Date]],"mmm")</f>
        <v>Feb</v>
      </c>
      <c r="AD1417" s="4" t="str">
        <f>"Q"&amp;ROUNDUP(MONTH(excelsalesdata[[#This Row],[Order_Date]])/3,0)</f>
        <v>Q1</v>
      </c>
    </row>
    <row r="1418" spans="1:30" x14ac:dyDescent="0.35">
      <c r="A1418" t="s">
        <v>2241</v>
      </c>
      <c r="B1418" s="3">
        <v>47176</v>
      </c>
      <c r="C1418" t="s">
        <v>660</v>
      </c>
      <c r="D1418" t="s">
        <v>600</v>
      </c>
      <c r="E1418" t="str">
        <f>TRIM(excelsalesdata[[#This Row],[Customer_Name]])</f>
        <v>Karan Mehta</v>
      </c>
      <c r="F1418" t="s">
        <v>44</v>
      </c>
      <c r="G1418">
        <v>41</v>
      </c>
      <c r="H1418" t="s">
        <v>185</v>
      </c>
      <c r="I1418" t="str">
        <f>TRIM(excelsalesdata[[#This Row],[City]])</f>
        <v>Lucknow</v>
      </c>
      <c r="J1418" t="s">
        <v>186</v>
      </c>
      <c r="K1418" t="s">
        <v>61</v>
      </c>
      <c r="L1418" t="s">
        <v>93</v>
      </c>
      <c r="M1418" t="s">
        <v>135</v>
      </c>
      <c r="N1418" t="s">
        <v>135</v>
      </c>
      <c r="O1418">
        <v>1</v>
      </c>
      <c r="P1418">
        <v>1770</v>
      </c>
      <c r="Q1418">
        <v>0.05</v>
      </c>
      <c r="R1418">
        <v>950</v>
      </c>
      <c r="S1418" t="s">
        <v>29</v>
      </c>
      <c r="T1418" t="s">
        <v>30</v>
      </c>
      <c r="U1418">
        <v>3</v>
      </c>
      <c r="V1418" t="s">
        <v>40</v>
      </c>
      <c r="W1418">
        <f>excelsalesdata[[#This Row],[Quantity]]*excelsalesdata[[#This Row],[Unit_Price]]</f>
        <v>1770</v>
      </c>
      <c r="X1418">
        <f>excelsalesdata[[#This Row],[Gross_sales]]*excelsalesdata[[#This Row],[Discount_%]]</f>
        <v>88.5</v>
      </c>
      <c r="Y1418">
        <f>excelsalesdata[[#This Row],[Gross_sales]]-excelsalesdata[[#This Row],[Discount_amt]]</f>
        <v>1681.5</v>
      </c>
      <c r="Z1418" s="4">
        <f>excelsalesdata[[#This Row],[Net_sales]]-excelsalesdata[[#This Row],[Cost]]</f>
        <v>731.5</v>
      </c>
      <c r="AA1418" s="5">
        <f>excelsalesdata[[#This Row],[Profit]]/excelsalesdata[[#This Row],[Net_sales]]</f>
        <v>0.43502824858757061</v>
      </c>
      <c r="AB1418" s="4">
        <f>YEAR(excelsalesdata[[#This Row],[Order_Date]])</f>
        <v>2029</v>
      </c>
      <c r="AC1418" s="4" t="str">
        <f>TEXT(excelsalesdata[[#This Row],[Order_Date]],"mmm")</f>
        <v>Feb</v>
      </c>
      <c r="AD1418" s="4" t="str">
        <f>"Q"&amp;ROUNDUP(MONTH(excelsalesdata[[#This Row],[Order_Date]])/3,0)</f>
        <v>Q1</v>
      </c>
    </row>
    <row r="1419" spans="1:30" x14ac:dyDescent="0.35">
      <c r="A1419" t="s">
        <v>2242</v>
      </c>
      <c r="B1419" s="3">
        <v>47177</v>
      </c>
      <c r="C1419" t="s">
        <v>767</v>
      </c>
      <c r="D1419" t="s">
        <v>563</v>
      </c>
      <c r="E1419" t="str">
        <f>TRIM(excelsalesdata[[#This Row],[Customer_Name]])</f>
        <v>Sneha Verma</v>
      </c>
      <c r="F1419" t="s">
        <v>23</v>
      </c>
      <c r="G1419">
        <v>44</v>
      </c>
      <c r="H1419" t="s">
        <v>114</v>
      </c>
      <c r="I1419" t="str">
        <f>TRIM(excelsalesdata[[#This Row],[City]])</f>
        <v>Hyderabad</v>
      </c>
      <c r="J1419" t="s">
        <v>115</v>
      </c>
      <c r="K1419" t="s">
        <v>47</v>
      </c>
      <c r="L1419" t="s">
        <v>38</v>
      </c>
      <c r="M1419" t="s">
        <v>73</v>
      </c>
      <c r="N1419" t="s">
        <v>73</v>
      </c>
      <c r="O1419">
        <v>2</v>
      </c>
      <c r="P1419">
        <v>5140</v>
      </c>
      <c r="Q1419">
        <v>0.05</v>
      </c>
      <c r="R1419">
        <v>3210</v>
      </c>
      <c r="S1419" t="s">
        <v>80</v>
      </c>
      <c r="T1419" t="s">
        <v>30</v>
      </c>
      <c r="U1419">
        <v>2</v>
      </c>
      <c r="V1419" t="s">
        <v>31</v>
      </c>
      <c r="W1419">
        <f>excelsalesdata[[#This Row],[Quantity]]*excelsalesdata[[#This Row],[Unit_Price]]</f>
        <v>10280</v>
      </c>
      <c r="X1419">
        <f>excelsalesdata[[#This Row],[Gross_sales]]*excelsalesdata[[#This Row],[Discount_%]]</f>
        <v>514</v>
      </c>
      <c r="Y1419">
        <f>excelsalesdata[[#This Row],[Gross_sales]]-excelsalesdata[[#This Row],[Discount_amt]]</f>
        <v>9766</v>
      </c>
      <c r="Z1419" s="4">
        <f>excelsalesdata[[#This Row],[Net_sales]]-excelsalesdata[[#This Row],[Cost]]</f>
        <v>6556</v>
      </c>
      <c r="AA1419" s="5">
        <f>excelsalesdata[[#This Row],[Profit]]/excelsalesdata[[#This Row],[Net_sales]]</f>
        <v>0.67130862174892481</v>
      </c>
      <c r="AB1419" s="4">
        <f>YEAR(excelsalesdata[[#This Row],[Order_Date]])</f>
        <v>2029</v>
      </c>
      <c r="AC1419" s="4" t="str">
        <f>TEXT(excelsalesdata[[#This Row],[Order_Date]],"mmm")</f>
        <v>Feb</v>
      </c>
      <c r="AD1419" s="4" t="str">
        <f>"Q"&amp;ROUNDUP(MONTH(excelsalesdata[[#This Row],[Order_Date]])/3,0)</f>
        <v>Q1</v>
      </c>
    </row>
    <row r="1420" spans="1:30" x14ac:dyDescent="0.35">
      <c r="A1420" t="s">
        <v>2243</v>
      </c>
      <c r="B1420" s="3">
        <v>47178</v>
      </c>
      <c r="C1420" t="s">
        <v>2051</v>
      </c>
      <c r="D1420" t="s">
        <v>544</v>
      </c>
      <c r="E1420" t="str">
        <f>TRIM(excelsalesdata[[#This Row],[Customer_Name]])</f>
        <v>Kavya Iyer</v>
      </c>
      <c r="F1420" t="s">
        <v>44</v>
      </c>
      <c r="G1420">
        <v>40</v>
      </c>
      <c r="H1420" t="s">
        <v>35</v>
      </c>
      <c r="I1420" t="str">
        <f>TRIM(excelsalesdata[[#This Row],[City]])</f>
        <v>Kolkata</v>
      </c>
      <c r="J1420" t="s">
        <v>36</v>
      </c>
      <c r="K1420" t="s">
        <v>37</v>
      </c>
      <c r="L1420" t="s">
        <v>54</v>
      </c>
      <c r="M1420" t="s">
        <v>129</v>
      </c>
      <c r="N1420" t="s">
        <v>129</v>
      </c>
      <c r="O1420">
        <v>1</v>
      </c>
      <c r="P1420">
        <v>16630</v>
      </c>
      <c r="Q1420">
        <v>0.25</v>
      </c>
      <c r="R1420">
        <v>12890</v>
      </c>
      <c r="S1420" t="s">
        <v>105</v>
      </c>
      <c r="T1420" t="s">
        <v>74</v>
      </c>
      <c r="U1420">
        <v>5</v>
      </c>
      <c r="V1420" t="s">
        <v>40</v>
      </c>
      <c r="W1420">
        <f>excelsalesdata[[#This Row],[Quantity]]*excelsalesdata[[#This Row],[Unit_Price]]</f>
        <v>16630</v>
      </c>
      <c r="X1420">
        <f>excelsalesdata[[#This Row],[Gross_sales]]*excelsalesdata[[#This Row],[Discount_%]]</f>
        <v>4157.5</v>
      </c>
      <c r="Y1420">
        <f>excelsalesdata[[#This Row],[Gross_sales]]-excelsalesdata[[#This Row],[Discount_amt]]</f>
        <v>12472.5</v>
      </c>
      <c r="Z1420" s="4">
        <f>excelsalesdata[[#This Row],[Net_sales]]-excelsalesdata[[#This Row],[Cost]]</f>
        <v>-417.5</v>
      </c>
      <c r="AA1420" s="5">
        <f>excelsalesdata[[#This Row],[Profit]]/excelsalesdata[[#This Row],[Net_sales]]</f>
        <v>-3.3473642012427342E-2</v>
      </c>
      <c r="AB1420" s="4">
        <f>YEAR(excelsalesdata[[#This Row],[Order_Date]])</f>
        <v>2029</v>
      </c>
      <c r="AC1420" s="4" t="str">
        <f>TEXT(excelsalesdata[[#This Row],[Order_Date]],"mmm")</f>
        <v>Mar</v>
      </c>
      <c r="AD1420" s="4" t="str">
        <f>"Q"&amp;ROUNDUP(MONTH(excelsalesdata[[#This Row],[Order_Date]])/3,0)</f>
        <v>Q1</v>
      </c>
    </row>
    <row r="1421" spans="1:30" x14ac:dyDescent="0.35">
      <c r="A1421" t="s">
        <v>2244</v>
      </c>
      <c r="B1421" s="3">
        <v>47179</v>
      </c>
      <c r="C1421" t="s">
        <v>2245</v>
      </c>
      <c r="D1421" t="s">
        <v>510</v>
      </c>
      <c r="E1421" t="str">
        <f>TRIM(excelsalesdata[[#This Row],[Customer_Name]])</f>
        <v>Diya Kumar</v>
      </c>
      <c r="F1421" t="s">
        <v>23</v>
      </c>
      <c r="G1421">
        <v>19</v>
      </c>
      <c r="H1421" t="s">
        <v>114</v>
      </c>
      <c r="I1421" t="str">
        <f>TRIM(excelsalesdata[[#This Row],[City]])</f>
        <v>Hyderabad</v>
      </c>
      <c r="J1421" t="s">
        <v>115</v>
      </c>
      <c r="K1421" t="s">
        <v>47</v>
      </c>
      <c r="L1421" t="s">
        <v>54</v>
      </c>
      <c r="M1421" t="s">
        <v>66</v>
      </c>
      <c r="N1421" t="s">
        <v>66</v>
      </c>
      <c r="O1421">
        <v>3</v>
      </c>
      <c r="P1421">
        <v>2480</v>
      </c>
      <c r="Q1421">
        <v>0.15</v>
      </c>
      <c r="R1421">
        <v>1530</v>
      </c>
      <c r="S1421" t="s">
        <v>29</v>
      </c>
      <c r="T1421" t="s">
        <v>30</v>
      </c>
      <c r="U1421">
        <v>5</v>
      </c>
      <c r="V1421" t="s">
        <v>40</v>
      </c>
      <c r="W1421">
        <f>excelsalesdata[[#This Row],[Quantity]]*excelsalesdata[[#This Row],[Unit_Price]]</f>
        <v>7440</v>
      </c>
      <c r="X1421">
        <f>excelsalesdata[[#This Row],[Gross_sales]]*excelsalesdata[[#This Row],[Discount_%]]</f>
        <v>1116</v>
      </c>
      <c r="Y1421">
        <f>excelsalesdata[[#This Row],[Gross_sales]]-excelsalesdata[[#This Row],[Discount_amt]]</f>
        <v>6324</v>
      </c>
      <c r="Z1421" s="4">
        <f>excelsalesdata[[#This Row],[Net_sales]]-excelsalesdata[[#This Row],[Cost]]</f>
        <v>4794</v>
      </c>
      <c r="AA1421" s="5">
        <f>excelsalesdata[[#This Row],[Profit]]/excelsalesdata[[#This Row],[Net_sales]]</f>
        <v>0.75806451612903225</v>
      </c>
      <c r="AB1421" s="4">
        <f>YEAR(excelsalesdata[[#This Row],[Order_Date]])</f>
        <v>2029</v>
      </c>
      <c r="AC1421" s="4" t="str">
        <f>TEXT(excelsalesdata[[#This Row],[Order_Date]],"mmm")</f>
        <v>Mar</v>
      </c>
      <c r="AD1421" s="4" t="str">
        <f>"Q"&amp;ROUNDUP(MONTH(excelsalesdata[[#This Row],[Order_Date]])/3,0)</f>
        <v>Q1</v>
      </c>
    </row>
    <row r="1422" spans="1:30" x14ac:dyDescent="0.35">
      <c r="A1422" t="s">
        <v>2246</v>
      </c>
      <c r="B1422" s="3">
        <v>47180</v>
      </c>
      <c r="C1422" t="s">
        <v>587</v>
      </c>
      <c r="D1422" t="s">
        <v>305</v>
      </c>
      <c r="E1422" t="str">
        <f>TRIM(excelsalesdata[[#This Row],[Customer_Name]])</f>
        <v>Priya Reddy</v>
      </c>
      <c r="F1422" t="s">
        <v>44</v>
      </c>
      <c r="G1422">
        <v>22</v>
      </c>
      <c r="H1422" t="s">
        <v>109</v>
      </c>
      <c r="I1422" t="str">
        <f>TRIM(excelsalesdata[[#This Row],[City]])</f>
        <v>Mysuru</v>
      </c>
      <c r="J1422" t="s">
        <v>53</v>
      </c>
      <c r="K1422" t="s">
        <v>47</v>
      </c>
      <c r="L1422" t="s">
        <v>38</v>
      </c>
      <c r="M1422" t="s">
        <v>119</v>
      </c>
      <c r="N1422" t="s">
        <v>119</v>
      </c>
      <c r="O1422">
        <v>2</v>
      </c>
      <c r="P1422">
        <v>8470</v>
      </c>
      <c r="Q1422">
        <v>0.05</v>
      </c>
      <c r="R1422">
        <v>5410</v>
      </c>
      <c r="S1422" t="s">
        <v>151</v>
      </c>
      <c r="T1422" t="s">
        <v>81</v>
      </c>
      <c r="U1422">
        <v>0</v>
      </c>
      <c r="V1422" t="s">
        <v>31</v>
      </c>
      <c r="W1422">
        <f>excelsalesdata[[#This Row],[Quantity]]*excelsalesdata[[#This Row],[Unit_Price]]</f>
        <v>16940</v>
      </c>
      <c r="X1422">
        <f>excelsalesdata[[#This Row],[Gross_sales]]*excelsalesdata[[#This Row],[Discount_%]]</f>
        <v>847</v>
      </c>
      <c r="Y1422">
        <f>excelsalesdata[[#This Row],[Gross_sales]]-excelsalesdata[[#This Row],[Discount_amt]]</f>
        <v>16093</v>
      </c>
      <c r="Z1422" s="4">
        <f>excelsalesdata[[#This Row],[Net_sales]]-excelsalesdata[[#This Row],[Cost]]</f>
        <v>10683</v>
      </c>
      <c r="AA1422" s="5">
        <f>excelsalesdata[[#This Row],[Profit]]/excelsalesdata[[#This Row],[Net_sales]]</f>
        <v>0.6638289939725347</v>
      </c>
      <c r="AB1422" s="4">
        <f>YEAR(excelsalesdata[[#This Row],[Order_Date]])</f>
        <v>2029</v>
      </c>
      <c r="AC1422" s="4" t="str">
        <f>TEXT(excelsalesdata[[#This Row],[Order_Date]],"mmm")</f>
        <v>Mar</v>
      </c>
      <c r="AD1422" s="4" t="str">
        <f>"Q"&amp;ROUNDUP(MONTH(excelsalesdata[[#This Row],[Order_Date]])/3,0)</f>
        <v>Q1</v>
      </c>
    </row>
    <row r="1423" spans="1:30" x14ac:dyDescent="0.35">
      <c r="A1423" t="s">
        <v>2247</v>
      </c>
      <c r="B1423" s="3">
        <v>47181</v>
      </c>
      <c r="C1423" t="s">
        <v>91</v>
      </c>
      <c r="D1423" t="s">
        <v>833</v>
      </c>
      <c r="E1423" t="str">
        <f>TRIM(excelsalesdata[[#This Row],[Customer_Name]])</f>
        <v>Rohan Mehta</v>
      </c>
      <c r="F1423" t="s">
        <v>44</v>
      </c>
      <c r="G1423">
        <v>37</v>
      </c>
      <c r="H1423" t="s">
        <v>45</v>
      </c>
      <c r="I1423" t="str">
        <f>TRIM(excelsalesdata[[#This Row],[City]])</f>
        <v>Kochi</v>
      </c>
      <c r="J1423" t="s">
        <v>46</v>
      </c>
      <c r="K1423" t="s">
        <v>47</v>
      </c>
      <c r="L1423" t="s">
        <v>54</v>
      </c>
      <c r="M1423" t="s">
        <v>55</v>
      </c>
      <c r="N1423" t="s">
        <v>55</v>
      </c>
      <c r="O1423">
        <v>2</v>
      </c>
      <c r="P1423">
        <v>7500</v>
      </c>
      <c r="Q1423">
        <v>0.1</v>
      </c>
      <c r="R1423">
        <v>4610</v>
      </c>
      <c r="S1423" t="s">
        <v>105</v>
      </c>
      <c r="T1423" t="s">
        <v>30</v>
      </c>
      <c r="U1423">
        <v>1</v>
      </c>
      <c r="V1423" t="s">
        <v>40</v>
      </c>
      <c r="W1423">
        <f>excelsalesdata[[#This Row],[Quantity]]*excelsalesdata[[#This Row],[Unit_Price]]</f>
        <v>15000</v>
      </c>
      <c r="X1423">
        <f>excelsalesdata[[#This Row],[Gross_sales]]*excelsalesdata[[#This Row],[Discount_%]]</f>
        <v>1500</v>
      </c>
      <c r="Y1423">
        <f>excelsalesdata[[#This Row],[Gross_sales]]-excelsalesdata[[#This Row],[Discount_amt]]</f>
        <v>13500</v>
      </c>
      <c r="Z1423" s="4">
        <f>excelsalesdata[[#This Row],[Net_sales]]-excelsalesdata[[#This Row],[Cost]]</f>
        <v>8890</v>
      </c>
      <c r="AA1423" s="5">
        <f>excelsalesdata[[#This Row],[Profit]]/excelsalesdata[[#This Row],[Net_sales]]</f>
        <v>0.6585185185185185</v>
      </c>
      <c r="AB1423" s="4">
        <f>YEAR(excelsalesdata[[#This Row],[Order_Date]])</f>
        <v>2029</v>
      </c>
      <c r="AC1423" s="4" t="str">
        <f>TEXT(excelsalesdata[[#This Row],[Order_Date]],"mmm")</f>
        <v>Mar</v>
      </c>
      <c r="AD1423" s="4" t="str">
        <f>"Q"&amp;ROUNDUP(MONTH(excelsalesdata[[#This Row],[Order_Date]])/3,0)</f>
        <v>Q1</v>
      </c>
    </row>
    <row r="1424" spans="1:30" x14ac:dyDescent="0.35">
      <c r="A1424" t="s">
        <v>2248</v>
      </c>
      <c r="B1424" s="3">
        <v>47182</v>
      </c>
      <c r="C1424" t="s">
        <v>932</v>
      </c>
      <c r="D1424" t="s">
        <v>711</v>
      </c>
      <c r="E1424" t="str">
        <f>TRIM(excelsalesdata[[#This Row],[Customer_Name]])</f>
        <v>Rohan Naidu</v>
      </c>
      <c r="F1424" t="s">
        <v>44</v>
      </c>
      <c r="G1424">
        <v>59</v>
      </c>
      <c r="H1424" t="s">
        <v>35</v>
      </c>
      <c r="I1424" t="str">
        <f>TRIM(excelsalesdata[[#This Row],[City]])</f>
        <v>Kolkata</v>
      </c>
      <c r="J1424" t="s">
        <v>36</v>
      </c>
      <c r="K1424" t="s">
        <v>37</v>
      </c>
      <c r="L1424" t="s">
        <v>38</v>
      </c>
      <c r="M1424" t="s">
        <v>73</v>
      </c>
      <c r="N1424" t="s">
        <v>73</v>
      </c>
      <c r="O1424">
        <v>1</v>
      </c>
      <c r="P1424">
        <v>5270</v>
      </c>
      <c r="Q1424">
        <v>0.1</v>
      </c>
      <c r="R1424">
        <v>3350</v>
      </c>
      <c r="S1424" t="s">
        <v>67</v>
      </c>
      <c r="T1424" t="s">
        <v>99</v>
      </c>
      <c r="U1424">
        <v>7</v>
      </c>
      <c r="V1424" t="s">
        <v>31</v>
      </c>
      <c r="W1424">
        <f>excelsalesdata[[#This Row],[Quantity]]*excelsalesdata[[#This Row],[Unit_Price]]</f>
        <v>5270</v>
      </c>
      <c r="X1424">
        <f>excelsalesdata[[#This Row],[Gross_sales]]*excelsalesdata[[#This Row],[Discount_%]]</f>
        <v>527</v>
      </c>
      <c r="Y1424">
        <f>excelsalesdata[[#This Row],[Gross_sales]]-excelsalesdata[[#This Row],[Discount_amt]]</f>
        <v>4743</v>
      </c>
      <c r="Z1424" s="4">
        <f>excelsalesdata[[#This Row],[Net_sales]]-excelsalesdata[[#This Row],[Cost]]</f>
        <v>1393</v>
      </c>
      <c r="AA1424" s="5">
        <f>excelsalesdata[[#This Row],[Profit]]/excelsalesdata[[#This Row],[Net_sales]]</f>
        <v>0.29369597301286104</v>
      </c>
      <c r="AB1424" s="4">
        <f>YEAR(excelsalesdata[[#This Row],[Order_Date]])</f>
        <v>2029</v>
      </c>
      <c r="AC1424" s="4" t="str">
        <f>TEXT(excelsalesdata[[#This Row],[Order_Date]],"mmm")</f>
        <v>Mar</v>
      </c>
      <c r="AD1424" s="4" t="str">
        <f>"Q"&amp;ROUNDUP(MONTH(excelsalesdata[[#This Row],[Order_Date]])/3,0)</f>
        <v>Q1</v>
      </c>
    </row>
    <row r="1425" spans="1:30" x14ac:dyDescent="0.35">
      <c r="A1425" t="s">
        <v>2249</v>
      </c>
      <c r="B1425" s="3">
        <v>47183</v>
      </c>
      <c r="C1425" t="s">
        <v>597</v>
      </c>
      <c r="D1425" t="s">
        <v>540</v>
      </c>
      <c r="E1425" t="str">
        <f>TRIM(excelsalesdata[[#This Row],[Customer_Name]])</f>
        <v>Priya Kumar</v>
      </c>
      <c r="F1425" t="s">
        <v>44</v>
      </c>
      <c r="G1425">
        <v>47</v>
      </c>
      <c r="H1425" t="s">
        <v>109</v>
      </c>
      <c r="I1425" t="str">
        <f>TRIM(excelsalesdata[[#This Row],[City]])</f>
        <v>Mysuru</v>
      </c>
      <c r="J1425" t="s">
        <v>53</v>
      </c>
      <c r="K1425" t="s">
        <v>47</v>
      </c>
      <c r="L1425" t="s">
        <v>85</v>
      </c>
      <c r="M1425" t="s">
        <v>86</v>
      </c>
      <c r="N1425" t="s">
        <v>86</v>
      </c>
      <c r="O1425">
        <v>5</v>
      </c>
      <c r="P1425">
        <v>2570</v>
      </c>
      <c r="Q1425">
        <v>0</v>
      </c>
      <c r="R1425">
        <v>1440</v>
      </c>
      <c r="S1425" t="s">
        <v>67</v>
      </c>
      <c r="T1425" t="s">
        <v>30</v>
      </c>
      <c r="U1425">
        <v>6</v>
      </c>
      <c r="V1425" t="s">
        <v>40</v>
      </c>
      <c r="W1425">
        <f>excelsalesdata[[#This Row],[Quantity]]*excelsalesdata[[#This Row],[Unit_Price]]</f>
        <v>12850</v>
      </c>
      <c r="X1425">
        <f>excelsalesdata[[#This Row],[Gross_sales]]*excelsalesdata[[#This Row],[Discount_%]]</f>
        <v>0</v>
      </c>
      <c r="Y1425">
        <f>excelsalesdata[[#This Row],[Gross_sales]]-excelsalesdata[[#This Row],[Discount_amt]]</f>
        <v>12850</v>
      </c>
      <c r="Z1425" s="4">
        <f>excelsalesdata[[#This Row],[Net_sales]]-excelsalesdata[[#This Row],[Cost]]</f>
        <v>11410</v>
      </c>
      <c r="AA1425" s="5">
        <f>excelsalesdata[[#This Row],[Profit]]/excelsalesdata[[#This Row],[Net_sales]]</f>
        <v>0.88793774319066143</v>
      </c>
      <c r="AB1425" s="4">
        <f>YEAR(excelsalesdata[[#This Row],[Order_Date]])</f>
        <v>2029</v>
      </c>
      <c r="AC1425" s="4" t="str">
        <f>TEXT(excelsalesdata[[#This Row],[Order_Date]],"mmm")</f>
        <v>Mar</v>
      </c>
      <c r="AD1425" s="4" t="str">
        <f>"Q"&amp;ROUNDUP(MONTH(excelsalesdata[[#This Row],[Order_Date]])/3,0)</f>
        <v>Q1</v>
      </c>
    </row>
    <row r="1426" spans="1:30" x14ac:dyDescent="0.35">
      <c r="A1426" t="s">
        <v>2250</v>
      </c>
      <c r="B1426" s="3">
        <v>47184</v>
      </c>
      <c r="C1426" t="s">
        <v>800</v>
      </c>
      <c r="D1426" t="s">
        <v>436</v>
      </c>
      <c r="E1426" t="str">
        <f>TRIM(excelsalesdata[[#This Row],[Customer_Name]])</f>
        <v>Meera Shah</v>
      </c>
      <c r="F1426" t="s">
        <v>23</v>
      </c>
      <c r="G1426">
        <v>34</v>
      </c>
      <c r="H1426" t="s">
        <v>109</v>
      </c>
      <c r="I1426" t="str">
        <f>TRIM(excelsalesdata[[#This Row],[City]])</f>
        <v>Mysuru</v>
      </c>
      <c r="J1426" t="s">
        <v>53</v>
      </c>
      <c r="K1426" t="s">
        <v>47</v>
      </c>
      <c r="L1426" t="s">
        <v>54</v>
      </c>
      <c r="M1426" t="s">
        <v>55</v>
      </c>
      <c r="N1426" t="s">
        <v>55</v>
      </c>
      <c r="O1426">
        <v>1</v>
      </c>
      <c r="P1426">
        <v>6630</v>
      </c>
      <c r="Q1426">
        <v>0.1</v>
      </c>
      <c r="R1426">
        <v>4430</v>
      </c>
      <c r="S1426" t="s">
        <v>80</v>
      </c>
      <c r="T1426" t="s">
        <v>30</v>
      </c>
      <c r="U1426">
        <v>4</v>
      </c>
      <c r="V1426" t="s">
        <v>40</v>
      </c>
      <c r="W1426">
        <f>excelsalesdata[[#This Row],[Quantity]]*excelsalesdata[[#This Row],[Unit_Price]]</f>
        <v>6630</v>
      </c>
      <c r="X1426">
        <f>excelsalesdata[[#This Row],[Gross_sales]]*excelsalesdata[[#This Row],[Discount_%]]</f>
        <v>663</v>
      </c>
      <c r="Y1426">
        <f>excelsalesdata[[#This Row],[Gross_sales]]-excelsalesdata[[#This Row],[Discount_amt]]</f>
        <v>5967</v>
      </c>
      <c r="Z1426" s="4">
        <f>excelsalesdata[[#This Row],[Net_sales]]-excelsalesdata[[#This Row],[Cost]]</f>
        <v>1537</v>
      </c>
      <c r="AA1426" s="5">
        <f>excelsalesdata[[#This Row],[Profit]]/excelsalesdata[[#This Row],[Net_sales]]</f>
        <v>0.25758337523043406</v>
      </c>
      <c r="AB1426" s="4">
        <f>YEAR(excelsalesdata[[#This Row],[Order_Date]])</f>
        <v>2029</v>
      </c>
      <c r="AC1426" s="4" t="str">
        <f>TEXT(excelsalesdata[[#This Row],[Order_Date]],"mmm")</f>
        <v>Mar</v>
      </c>
      <c r="AD1426" s="4" t="str">
        <f>"Q"&amp;ROUNDUP(MONTH(excelsalesdata[[#This Row],[Order_Date]])/3,0)</f>
        <v>Q1</v>
      </c>
    </row>
    <row r="1427" spans="1:30" x14ac:dyDescent="0.35">
      <c r="A1427" t="s">
        <v>2251</v>
      </c>
      <c r="B1427" s="3">
        <v>47185</v>
      </c>
      <c r="C1427" t="s">
        <v>824</v>
      </c>
      <c r="D1427" t="s">
        <v>786</v>
      </c>
      <c r="E1427" t="str">
        <f>TRIM(excelsalesdata[[#This Row],[Customer_Name]])</f>
        <v>Aarav Patel</v>
      </c>
      <c r="F1427" t="s">
        <v>44</v>
      </c>
      <c r="G1427">
        <v>49</v>
      </c>
      <c r="H1427" t="s">
        <v>114</v>
      </c>
      <c r="I1427" t="str">
        <f>TRIM(excelsalesdata[[#This Row],[City]])</f>
        <v>Hyderabad</v>
      </c>
      <c r="J1427" t="s">
        <v>115</v>
      </c>
      <c r="K1427" t="s">
        <v>47</v>
      </c>
      <c r="L1427" t="s">
        <v>54</v>
      </c>
      <c r="M1427" t="s">
        <v>157</v>
      </c>
      <c r="N1427" t="s">
        <v>157</v>
      </c>
      <c r="O1427">
        <v>1</v>
      </c>
      <c r="P1427">
        <v>58690</v>
      </c>
      <c r="Q1427">
        <v>0.1</v>
      </c>
      <c r="R1427">
        <v>42860</v>
      </c>
      <c r="S1427" t="s">
        <v>67</v>
      </c>
      <c r="T1427" t="s">
        <v>30</v>
      </c>
      <c r="U1427">
        <v>2</v>
      </c>
      <c r="V1427" t="s">
        <v>40</v>
      </c>
      <c r="W1427">
        <f>excelsalesdata[[#This Row],[Quantity]]*excelsalesdata[[#This Row],[Unit_Price]]</f>
        <v>58690</v>
      </c>
      <c r="X1427">
        <f>excelsalesdata[[#This Row],[Gross_sales]]*excelsalesdata[[#This Row],[Discount_%]]</f>
        <v>5869</v>
      </c>
      <c r="Y1427">
        <f>excelsalesdata[[#This Row],[Gross_sales]]-excelsalesdata[[#This Row],[Discount_amt]]</f>
        <v>52821</v>
      </c>
      <c r="Z1427" s="4">
        <f>excelsalesdata[[#This Row],[Net_sales]]-excelsalesdata[[#This Row],[Cost]]</f>
        <v>9961</v>
      </c>
      <c r="AA1427" s="5">
        <f>excelsalesdata[[#This Row],[Profit]]/excelsalesdata[[#This Row],[Net_sales]]</f>
        <v>0.18858029950209196</v>
      </c>
      <c r="AB1427" s="4">
        <f>YEAR(excelsalesdata[[#This Row],[Order_Date]])</f>
        <v>2029</v>
      </c>
      <c r="AC1427" s="4" t="str">
        <f>TEXT(excelsalesdata[[#This Row],[Order_Date]],"mmm")</f>
        <v>Mar</v>
      </c>
      <c r="AD1427" s="4" t="str">
        <f>"Q"&amp;ROUNDUP(MONTH(excelsalesdata[[#This Row],[Order_Date]])/3,0)</f>
        <v>Q1</v>
      </c>
    </row>
    <row r="1428" spans="1:30" x14ac:dyDescent="0.35">
      <c r="A1428" t="s">
        <v>2252</v>
      </c>
      <c r="B1428" s="3">
        <v>47186</v>
      </c>
      <c r="C1428" t="s">
        <v>221</v>
      </c>
      <c r="D1428" t="s">
        <v>583</v>
      </c>
      <c r="E1428" t="str">
        <f>TRIM(excelsalesdata[[#This Row],[Customer_Name]])</f>
        <v>Ishita Gupta</v>
      </c>
      <c r="F1428" t="s">
        <v>44</v>
      </c>
      <c r="G1428">
        <v>33</v>
      </c>
      <c r="H1428" t="s">
        <v>45</v>
      </c>
      <c r="I1428" t="str">
        <f>TRIM(excelsalesdata[[#This Row],[City]])</f>
        <v>Kochi</v>
      </c>
      <c r="J1428" t="s">
        <v>46</v>
      </c>
      <c r="K1428" t="s">
        <v>47</v>
      </c>
      <c r="L1428" t="s">
        <v>38</v>
      </c>
      <c r="M1428" t="s">
        <v>161</v>
      </c>
      <c r="N1428" t="s">
        <v>161</v>
      </c>
      <c r="O1428">
        <v>2</v>
      </c>
      <c r="P1428">
        <v>28480</v>
      </c>
      <c r="Q1428">
        <v>0</v>
      </c>
      <c r="R1428">
        <v>20820</v>
      </c>
      <c r="S1428" t="s">
        <v>67</v>
      </c>
      <c r="T1428" t="s">
        <v>30</v>
      </c>
      <c r="U1428">
        <v>4</v>
      </c>
      <c r="V1428" t="s">
        <v>40</v>
      </c>
      <c r="W1428">
        <f>excelsalesdata[[#This Row],[Quantity]]*excelsalesdata[[#This Row],[Unit_Price]]</f>
        <v>56960</v>
      </c>
      <c r="X1428">
        <f>excelsalesdata[[#This Row],[Gross_sales]]*excelsalesdata[[#This Row],[Discount_%]]</f>
        <v>0</v>
      </c>
      <c r="Y1428">
        <f>excelsalesdata[[#This Row],[Gross_sales]]-excelsalesdata[[#This Row],[Discount_amt]]</f>
        <v>56960</v>
      </c>
      <c r="Z1428" s="4">
        <f>excelsalesdata[[#This Row],[Net_sales]]-excelsalesdata[[#This Row],[Cost]]</f>
        <v>36140</v>
      </c>
      <c r="AA1428" s="5">
        <f>excelsalesdata[[#This Row],[Profit]]/excelsalesdata[[#This Row],[Net_sales]]</f>
        <v>0.6344803370786517</v>
      </c>
      <c r="AB1428" s="4">
        <f>YEAR(excelsalesdata[[#This Row],[Order_Date]])</f>
        <v>2029</v>
      </c>
      <c r="AC1428" s="4" t="str">
        <f>TEXT(excelsalesdata[[#This Row],[Order_Date]],"mmm")</f>
        <v>Mar</v>
      </c>
      <c r="AD1428" s="4" t="str">
        <f>"Q"&amp;ROUNDUP(MONTH(excelsalesdata[[#This Row],[Order_Date]])/3,0)</f>
        <v>Q1</v>
      </c>
    </row>
    <row r="1429" spans="1:30" x14ac:dyDescent="0.35">
      <c r="A1429" t="s">
        <v>2253</v>
      </c>
      <c r="B1429" s="3">
        <v>47187</v>
      </c>
      <c r="C1429" t="s">
        <v>473</v>
      </c>
      <c r="D1429" t="s">
        <v>631</v>
      </c>
      <c r="E1429" t="str">
        <f>TRIM(excelsalesdata[[#This Row],[Customer_Name]])</f>
        <v>Diya Naidu</v>
      </c>
      <c r="F1429" t="s">
        <v>44</v>
      </c>
      <c r="G1429">
        <v>51</v>
      </c>
      <c r="H1429" t="s">
        <v>35</v>
      </c>
      <c r="I1429" t="str">
        <f>TRIM(excelsalesdata[[#This Row],[City]])</f>
        <v>Kolkata</v>
      </c>
      <c r="J1429" t="s">
        <v>36</v>
      </c>
      <c r="K1429" t="s">
        <v>37</v>
      </c>
      <c r="L1429" t="s">
        <v>54</v>
      </c>
      <c r="M1429" t="s">
        <v>55</v>
      </c>
      <c r="N1429" t="s">
        <v>55</v>
      </c>
      <c r="O1429">
        <v>1</v>
      </c>
      <c r="P1429">
        <v>7550</v>
      </c>
      <c r="Q1429">
        <v>0.15</v>
      </c>
      <c r="R1429">
        <v>4460</v>
      </c>
      <c r="S1429" t="s">
        <v>151</v>
      </c>
      <c r="T1429" t="s">
        <v>30</v>
      </c>
      <c r="U1429">
        <v>3</v>
      </c>
      <c r="V1429" t="s">
        <v>31</v>
      </c>
      <c r="W1429">
        <f>excelsalesdata[[#This Row],[Quantity]]*excelsalesdata[[#This Row],[Unit_Price]]</f>
        <v>7550</v>
      </c>
      <c r="X1429">
        <f>excelsalesdata[[#This Row],[Gross_sales]]*excelsalesdata[[#This Row],[Discount_%]]</f>
        <v>1132.5</v>
      </c>
      <c r="Y1429">
        <f>excelsalesdata[[#This Row],[Gross_sales]]-excelsalesdata[[#This Row],[Discount_amt]]</f>
        <v>6417.5</v>
      </c>
      <c r="Z1429" s="4">
        <f>excelsalesdata[[#This Row],[Net_sales]]-excelsalesdata[[#This Row],[Cost]]</f>
        <v>1957.5</v>
      </c>
      <c r="AA1429" s="5">
        <f>excelsalesdata[[#This Row],[Profit]]/excelsalesdata[[#This Row],[Net_sales]]</f>
        <v>0.30502532138683286</v>
      </c>
      <c r="AB1429" s="4">
        <f>YEAR(excelsalesdata[[#This Row],[Order_Date]])</f>
        <v>2029</v>
      </c>
      <c r="AC1429" s="4" t="str">
        <f>TEXT(excelsalesdata[[#This Row],[Order_Date]],"mmm")</f>
        <v>Mar</v>
      </c>
      <c r="AD1429" s="4" t="str">
        <f>"Q"&amp;ROUNDUP(MONTH(excelsalesdata[[#This Row],[Order_Date]])/3,0)</f>
        <v>Q1</v>
      </c>
    </row>
    <row r="1430" spans="1:30" x14ac:dyDescent="0.35">
      <c r="A1430" t="s">
        <v>2254</v>
      </c>
      <c r="B1430" s="3">
        <v>47188</v>
      </c>
      <c r="C1430" t="s">
        <v>1320</v>
      </c>
      <c r="D1430" t="s">
        <v>285</v>
      </c>
      <c r="E1430" t="str">
        <f>TRIM(excelsalesdata[[#This Row],[Customer_Name]])</f>
        <v>Aditya Bhat</v>
      </c>
      <c r="F1430" t="s">
        <v>44</v>
      </c>
      <c r="G1430">
        <v>39</v>
      </c>
      <c r="H1430" t="s">
        <v>155</v>
      </c>
      <c r="I1430" t="str">
        <f>TRIM(excelsalesdata[[#This Row],[City]])</f>
        <v>Chennai</v>
      </c>
      <c r="J1430" t="s">
        <v>156</v>
      </c>
      <c r="K1430" t="s">
        <v>47</v>
      </c>
      <c r="L1430" t="s">
        <v>54</v>
      </c>
      <c r="M1430" t="s">
        <v>157</v>
      </c>
      <c r="N1430" t="s">
        <v>157</v>
      </c>
      <c r="O1430">
        <v>2</v>
      </c>
      <c r="P1430">
        <v>57980</v>
      </c>
      <c r="Q1430">
        <v>0.15</v>
      </c>
      <c r="R1430">
        <v>43670</v>
      </c>
      <c r="S1430" t="s">
        <v>29</v>
      </c>
      <c r="T1430" t="s">
        <v>30</v>
      </c>
      <c r="U1430">
        <v>3</v>
      </c>
      <c r="V1430" t="s">
        <v>40</v>
      </c>
      <c r="W1430">
        <f>excelsalesdata[[#This Row],[Quantity]]*excelsalesdata[[#This Row],[Unit_Price]]</f>
        <v>115960</v>
      </c>
      <c r="X1430">
        <f>excelsalesdata[[#This Row],[Gross_sales]]*excelsalesdata[[#This Row],[Discount_%]]</f>
        <v>17394</v>
      </c>
      <c r="Y1430">
        <f>excelsalesdata[[#This Row],[Gross_sales]]-excelsalesdata[[#This Row],[Discount_amt]]</f>
        <v>98566</v>
      </c>
      <c r="Z1430" s="4">
        <f>excelsalesdata[[#This Row],[Net_sales]]-excelsalesdata[[#This Row],[Cost]]</f>
        <v>54896</v>
      </c>
      <c r="AA1430" s="5">
        <f>excelsalesdata[[#This Row],[Profit]]/excelsalesdata[[#This Row],[Net_sales]]</f>
        <v>0.55694661445123061</v>
      </c>
      <c r="AB1430" s="4">
        <f>YEAR(excelsalesdata[[#This Row],[Order_Date]])</f>
        <v>2029</v>
      </c>
      <c r="AC1430" s="4" t="str">
        <f>TEXT(excelsalesdata[[#This Row],[Order_Date]],"mmm")</f>
        <v>Mar</v>
      </c>
      <c r="AD1430" s="4" t="str">
        <f>"Q"&amp;ROUNDUP(MONTH(excelsalesdata[[#This Row],[Order_Date]])/3,0)</f>
        <v>Q1</v>
      </c>
    </row>
    <row r="1431" spans="1:30" x14ac:dyDescent="0.35">
      <c r="A1431" t="s">
        <v>2255</v>
      </c>
      <c r="B1431" s="3">
        <v>47189</v>
      </c>
      <c r="C1431" t="s">
        <v>767</v>
      </c>
      <c r="D1431" t="s">
        <v>70</v>
      </c>
      <c r="E1431" t="str">
        <f>TRIM(excelsalesdata[[#This Row],[Customer_Name]])</f>
        <v>Priya Patel</v>
      </c>
      <c r="F1431" t="s">
        <v>23</v>
      </c>
      <c r="G1431">
        <v>54</v>
      </c>
      <c r="H1431" t="s">
        <v>155</v>
      </c>
      <c r="I1431" t="str">
        <f>TRIM(excelsalesdata[[#This Row],[City]])</f>
        <v>Chennai</v>
      </c>
      <c r="J1431" t="s">
        <v>156</v>
      </c>
      <c r="K1431" t="s">
        <v>47</v>
      </c>
      <c r="L1431" t="s">
        <v>38</v>
      </c>
      <c r="M1431" t="s">
        <v>73</v>
      </c>
      <c r="N1431" t="s">
        <v>73</v>
      </c>
      <c r="O1431">
        <v>2</v>
      </c>
      <c r="P1431">
        <v>5080</v>
      </c>
      <c r="Q1431">
        <v>0.05</v>
      </c>
      <c r="R1431">
        <v>3160</v>
      </c>
      <c r="S1431" t="s">
        <v>105</v>
      </c>
      <c r="T1431" t="s">
        <v>81</v>
      </c>
      <c r="U1431">
        <v>0</v>
      </c>
      <c r="V1431" t="s">
        <v>31</v>
      </c>
      <c r="W1431">
        <f>excelsalesdata[[#This Row],[Quantity]]*excelsalesdata[[#This Row],[Unit_Price]]</f>
        <v>10160</v>
      </c>
      <c r="X1431">
        <f>excelsalesdata[[#This Row],[Gross_sales]]*excelsalesdata[[#This Row],[Discount_%]]</f>
        <v>508</v>
      </c>
      <c r="Y1431">
        <f>excelsalesdata[[#This Row],[Gross_sales]]-excelsalesdata[[#This Row],[Discount_amt]]</f>
        <v>9652</v>
      </c>
      <c r="Z1431" s="4">
        <f>excelsalesdata[[#This Row],[Net_sales]]-excelsalesdata[[#This Row],[Cost]]</f>
        <v>6492</v>
      </c>
      <c r="AA1431" s="5">
        <f>excelsalesdata[[#This Row],[Profit]]/excelsalesdata[[#This Row],[Net_sales]]</f>
        <v>0.67260671363447988</v>
      </c>
      <c r="AB1431" s="4">
        <f>YEAR(excelsalesdata[[#This Row],[Order_Date]])</f>
        <v>2029</v>
      </c>
      <c r="AC1431" s="4" t="str">
        <f>TEXT(excelsalesdata[[#This Row],[Order_Date]],"mmm")</f>
        <v>Mar</v>
      </c>
      <c r="AD1431" s="4" t="str">
        <f>"Q"&amp;ROUNDUP(MONTH(excelsalesdata[[#This Row],[Order_Date]])/3,0)</f>
        <v>Q1</v>
      </c>
    </row>
    <row r="1432" spans="1:30" x14ac:dyDescent="0.35">
      <c r="A1432" t="s">
        <v>2256</v>
      </c>
      <c r="B1432" s="3">
        <v>47190</v>
      </c>
      <c r="C1432" t="s">
        <v>1681</v>
      </c>
      <c r="D1432" t="s">
        <v>344</v>
      </c>
      <c r="E1432" t="str">
        <f>TRIM(excelsalesdata[[#This Row],[Customer_Name]])</f>
        <v>Meera Verma</v>
      </c>
      <c r="F1432" t="s">
        <v>23</v>
      </c>
      <c r="G1432">
        <v>59</v>
      </c>
      <c r="H1432" t="s">
        <v>78</v>
      </c>
      <c r="I1432" t="str">
        <f>TRIM(excelsalesdata[[#This Row],[City]])</f>
        <v>Guwahati</v>
      </c>
      <c r="J1432" t="s">
        <v>79</v>
      </c>
      <c r="K1432" t="s">
        <v>37</v>
      </c>
      <c r="L1432" t="s">
        <v>103</v>
      </c>
      <c r="M1432" t="s">
        <v>178</v>
      </c>
      <c r="N1432" t="s">
        <v>178</v>
      </c>
      <c r="O1432">
        <v>2</v>
      </c>
      <c r="P1432">
        <v>1860</v>
      </c>
      <c r="Q1432">
        <v>0.05</v>
      </c>
      <c r="R1432">
        <v>970</v>
      </c>
      <c r="S1432" t="s">
        <v>80</v>
      </c>
      <c r="T1432" t="s">
        <v>30</v>
      </c>
      <c r="U1432">
        <v>5</v>
      </c>
      <c r="V1432" t="s">
        <v>31</v>
      </c>
      <c r="W1432">
        <f>excelsalesdata[[#This Row],[Quantity]]*excelsalesdata[[#This Row],[Unit_Price]]</f>
        <v>3720</v>
      </c>
      <c r="X1432">
        <f>excelsalesdata[[#This Row],[Gross_sales]]*excelsalesdata[[#This Row],[Discount_%]]</f>
        <v>186</v>
      </c>
      <c r="Y1432">
        <f>excelsalesdata[[#This Row],[Gross_sales]]-excelsalesdata[[#This Row],[Discount_amt]]</f>
        <v>3534</v>
      </c>
      <c r="Z1432" s="4">
        <f>excelsalesdata[[#This Row],[Net_sales]]-excelsalesdata[[#This Row],[Cost]]</f>
        <v>2564</v>
      </c>
      <c r="AA1432" s="5">
        <f>excelsalesdata[[#This Row],[Profit]]/excelsalesdata[[#This Row],[Net_sales]]</f>
        <v>0.72552348613469153</v>
      </c>
      <c r="AB1432" s="4">
        <f>YEAR(excelsalesdata[[#This Row],[Order_Date]])</f>
        <v>2029</v>
      </c>
      <c r="AC1432" s="4" t="str">
        <f>TEXT(excelsalesdata[[#This Row],[Order_Date]],"mmm")</f>
        <v>Mar</v>
      </c>
      <c r="AD1432" s="4" t="str">
        <f>"Q"&amp;ROUNDUP(MONTH(excelsalesdata[[#This Row],[Order_Date]])/3,0)</f>
        <v>Q1</v>
      </c>
    </row>
    <row r="1433" spans="1:30" x14ac:dyDescent="0.35">
      <c r="A1433" t="s">
        <v>2257</v>
      </c>
      <c r="B1433" s="3">
        <v>47191</v>
      </c>
      <c r="C1433" t="s">
        <v>668</v>
      </c>
      <c r="D1433" t="s">
        <v>423</v>
      </c>
      <c r="E1433" t="str">
        <f>TRIM(excelsalesdata[[#This Row],[Customer_Name]])</f>
        <v>Kavya Kumar</v>
      </c>
      <c r="F1433" t="s">
        <v>44</v>
      </c>
      <c r="G1433">
        <v>35</v>
      </c>
      <c r="H1433" t="s">
        <v>190</v>
      </c>
      <c r="I1433" t="str">
        <f>TRIM(excelsalesdata[[#This Row],[City]])</f>
        <v>Ahmedabad</v>
      </c>
      <c r="J1433" t="s">
        <v>191</v>
      </c>
      <c r="K1433" t="s">
        <v>26</v>
      </c>
      <c r="L1433" t="s">
        <v>93</v>
      </c>
      <c r="M1433" t="s">
        <v>94</v>
      </c>
      <c r="N1433" t="s">
        <v>94</v>
      </c>
      <c r="O1433">
        <v>2</v>
      </c>
      <c r="P1433">
        <v>470</v>
      </c>
      <c r="Q1433">
        <v>0.2</v>
      </c>
      <c r="R1433">
        <v>240</v>
      </c>
      <c r="S1433" t="s">
        <v>29</v>
      </c>
      <c r="T1433" t="s">
        <v>30</v>
      </c>
      <c r="U1433">
        <v>1</v>
      </c>
      <c r="V1433" t="s">
        <v>40</v>
      </c>
      <c r="W1433">
        <f>excelsalesdata[[#This Row],[Quantity]]*excelsalesdata[[#This Row],[Unit_Price]]</f>
        <v>940</v>
      </c>
      <c r="X1433">
        <f>excelsalesdata[[#This Row],[Gross_sales]]*excelsalesdata[[#This Row],[Discount_%]]</f>
        <v>188</v>
      </c>
      <c r="Y1433">
        <f>excelsalesdata[[#This Row],[Gross_sales]]-excelsalesdata[[#This Row],[Discount_amt]]</f>
        <v>752</v>
      </c>
      <c r="Z1433" s="4">
        <f>excelsalesdata[[#This Row],[Net_sales]]-excelsalesdata[[#This Row],[Cost]]</f>
        <v>512</v>
      </c>
      <c r="AA1433" s="5">
        <f>excelsalesdata[[#This Row],[Profit]]/excelsalesdata[[#This Row],[Net_sales]]</f>
        <v>0.68085106382978722</v>
      </c>
      <c r="AB1433" s="4">
        <f>YEAR(excelsalesdata[[#This Row],[Order_Date]])</f>
        <v>2029</v>
      </c>
      <c r="AC1433" s="4" t="str">
        <f>TEXT(excelsalesdata[[#This Row],[Order_Date]],"mmm")</f>
        <v>Mar</v>
      </c>
      <c r="AD1433" s="4" t="str">
        <f>"Q"&amp;ROUNDUP(MONTH(excelsalesdata[[#This Row],[Order_Date]])/3,0)</f>
        <v>Q1</v>
      </c>
    </row>
    <row r="1434" spans="1:30" x14ac:dyDescent="0.35">
      <c r="A1434" t="s">
        <v>2258</v>
      </c>
      <c r="B1434" s="3">
        <v>47192</v>
      </c>
      <c r="C1434" t="s">
        <v>859</v>
      </c>
      <c r="D1434" t="s">
        <v>1335</v>
      </c>
      <c r="E1434" t="str">
        <f>TRIM(excelsalesdata[[#This Row],[Customer_Name]])</f>
        <v>Kavya Patel</v>
      </c>
      <c r="F1434" t="s">
        <v>23</v>
      </c>
      <c r="G1434">
        <v>31</v>
      </c>
      <c r="H1434" t="s">
        <v>24</v>
      </c>
      <c r="I1434" t="str">
        <f>TRIM(excelsalesdata[[#This Row],[City]])</f>
        <v>Pune</v>
      </c>
      <c r="J1434" t="s">
        <v>25</v>
      </c>
      <c r="K1434" t="s">
        <v>26</v>
      </c>
      <c r="L1434" t="s">
        <v>27</v>
      </c>
      <c r="M1434" t="s">
        <v>123</v>
      </c>
      <c r="N1434" t="s">
        <v>123</v>
      </c>
      <c r="O1434">
        <v>2</v>
      </c>
      <c r="P1434">
        <v>2780</v>
      </c>
      <c r="Q1434">
        <v>0.15</v>
      </c>
      <c r="R1434">
        <v>1590</v>
      </c>
      <c r="S1434" t="s">
        <v>80</v>
      </c>
      <c r="T1434" t="s">
        <v>30</v>
      </c>
      <c r="U1434">
        <v>6</v>
      </c>
      <c r="V1434" t="s">
        <v>40</v>
      </c>
      <c r="W1434">
        <f>excelsalesdata[[#This Row],[Quantity]]*excelsalesdata[[#This Row],[Unit_Price]]</f>
        <v>5560</v>
      </c>
      <c r="X1434">
        <f>excelsalesdata[[#This Row],[Gross_sales]]*excelsalesdata[[#This Row],[Discount_%]]</f>
        <v>834</v>
      </c>
      <c r="Y1434">
        <f>excelsalesdata[[#This Row],[Gross_sales]]-excelsalesdata[[#This Row],[Discount_amt]]</f>
        <v>4726</v>
      </c>
      <c r="Z1434" s="4">
        <f>excelsalesdata[[#This Row],[Net_sales]]-excelsalesdata[[#This Row],[Cost]]</f>
        <v>3136</v>
      </c>
      <c r="AA1434" s="5">
        <f>excelsalesdata[[#This Row],[Profit]]/excelsalesdata[[#This Row],[Net_sales]]</f>
        <v>0.66356326703343205</v>
      </c>
      <c r="AB1434" s="4">
        <f>YEAR(excelsalesdata[[#This Row],[Order_Date]])</f>
        <v>2029</v>
      </c>
      <c r="AC1434" s="4" t="str">
        <f>TEXT(excelsalesdata[[#This Row],[Order_Date]],"mmm")</f>
        <v>Mar</v>
      </c>
      <c r="AD1434" s="4" t="str">
        <f>"Q"&amp;ROUNDUP(MONTH(excelsalesdata[[#This Row],[Order_Date]])/3,0)</f>
        <v>Q1</v>
      </c>
    </row>
    <row r="1435" spans="1:30" x14ac:dyDescent="0.35">
      <c r="A1435" t="s">
        <v>2259</v>
      </c>
      <c r="B1435" s="3">
        <v>47193</v>
      </c>
      <c r="C1435" t="s">
        <v>140</v>
      </c>
      <c r="D1435" t="s">
        <v>244</v>
      </c>
      <c r="E1435" t="str">
        <f>TRIM(excelsalesdata[[#This Row],[Customer_Name]])</f>
        <v>Karan Das</v>
      </c>
      <c r="F1435" t="s">
        <v>23</v>
      </c>
      <c r="G1435">
        <v>25</v>
      </c>
      <c r="H1435" t="s">
        <v>98</v>
      </c>
      <c r="I1435" t="str">
        <f>TRIM(excelsalesdata[[#This Row],[City]])</f>
        <v>Mumbai</v>
      </c>
      <c r="J1435" t="s">
        <v>25</v>
      </c>
      <c r="K1435" t="s">
        <v>26</v>
      </c>
      <c r="L1435" t="s">
        <v>93</v>
      </c>
      <c r="M1435" t="s">
        <v>135</v>
      </c>
      <c r="N1435" t="s">
        <v>135</v>
      </c>
      <c r="O1435">
        <v>2</v>
      </c>
      <c r="P1435">
        <v>1710</v>
      </c>
      <c r="Q1435">
        <v>0.15</v>
      </c>
      <c r="R1435">
        <v>1020</v>
      </c>
      <c r="S1435" t="s">
        <v>56</v>
      </c>
      <c r="T1435" t="s">
        <v>30</v>
      </c>
      <c r="U1435">
        <v>3</v>
      </c>
      <c r="V1435" t="s">
        <v>31</v>
      </c>
      <c r="W1435">
        <f>excelsalesdata[[#This Row],[Quantity]]*excelsalesdata[[#This Row],[Unit_Price]]</f>
        <v>3420</v>
      </c>
      <c r="X1435">
        <f>excelsalesdata[[#This Row],[Gross_sales]]*excelsalesdata[[#This Row],[Discount_%]]</f>
        <v>513</v>
      </c>
      <c r="Y1435">
        <f>excelsalesdata[[#This Row],[Gross_sales]]-excelsalesdata[[#This Row],[Discount_amt]]</f>
        <v>2907</v>
      </c>
      <c r="Z1435" s="4">
        <f>excelsalesdata[[#This Row],[Net_sales]]-excelsalesdata[[#This Row],[Cost]]</f>
        <v>1887</v>
      </c>
      <c r="AA1435" s="5">
        <f>excelsalesdata[[#This Row],[Profit]]/excelsalesdata[[#This Row],[Net_sales]]</f>
        <v>0.64912280701754388</v>
      </c>
      <c r="AB1435" s="4">
        <f>YEAR(excelsalesdata[[#This Row],[Order_Date]])</f>
        <v>2029</v>
      </c>
      <c r="AC1435" s="4" t="str">
        <f>TEXT(excelsalesdata[[#This Row],[Order_Date]],"mmm")</f>
        <v>Mar</v>
      </c>
      <c r="AD1435" s="4" t="str">
        <f>"Q"&amp;ROUNDUP(MONTH(excelsalesdata[[#This Row],[Order_Date]])/3,0)</f>
        <v>Q1</v>
      </c>
    </row>
    <row r="1436" spans="1:30" x14ac:dyDescent="0.35">
      <c r="A1436" t="s">
        <v>2260</v>
      </c>
      <c r="B1436" s="3">
        <v>47194</v>
      </c>
      <c r="C1436" t="s">
        <v>2261</v>
      </c>
      <c r="D1436" t="s">
        <v>626</v>
      </c>
      <c r="E1436" t="str">
        <f>TRIM(excelsalesdata[[#This Row],[Customer_Name]])</f>
        <v>Aditya Rao</v>
      </c>
      <c r="F1436" t="s">
        <v>44</v>
      </c>
      <c r="G1436">
        <v>52</v>
      </c>
      <c r="H1436" t="s">
        <v>35</v>
      </c>
      <c r="I1436" t="str">
        <f>TRIM(excelsalesdata[[#This Row],[City]])</f>
        <v>Kolkata</v>
      </c>
      <c r="J1436" t="s">
        <v>36</v>
      </c>
      <c r="K1436" t="s">
        <v>37</v>
      </c>
      <c r="L1436" t="s">
        <v>27</v>
      </c>
      <c r="M1436" t="s">
        <v>295</v>
      </c>
      <c r="N1436" t="s">
        <v>295</v>
      </c>
      <c r="O1436">
        <v>2</v>
      </c>
      <c r="P1436">
        <v>4370</v>
      </c>
      <c r="Q1436">
        <v>0</v>
      </c>
      <c r="R1436">
        <v>2690</v>
      </c>
      <c r="S1436" t="s">
        <v>151</v>
      </c>
      <c r="T1436" t="s">
        <v>30</v>
      </c>
      <c r="U1436">
        <v>1</v>
      </c>
      <c r="V1436" t="s">
        <v>40</v>
      </c>
      <c r="W1436">
        <f>excelsalesdata[[#This Row],[Quantity]]*excelsalesdata[[#This Row],[Unit_Price]]</f>
        <v>8740</v>
      </c>
      <c r="X1436">
        <f>excelsalesdata[[#This Row],[Gross_sales]]*excelsalesdata[[#This Row],[Discount_%]]</f>
        <v>0</v>
      </c>
      <c r="Y1436">
        <f>excelsalesdata[[#This Row],[Gross_sales]]-excelsalesdata[[#This Row],[Discount_amt]]</f>
        <v>8740</v>
      </c>
      <c r="Z1436" s="4">
        <f>excelsalesdata[[#This Row],[Net_sales]]-excelsalesdata[[#This Row],[Cost]]</f>
        <v>6050</v>
      </c>
      <c r="AA1436" s="5">
        <f>excelsalesdata[[#This Row],[Profit]]/excelsalesdata[[#This Row],[Net_sales]]</f>
        <v>0.69221967963386732</v>
      </c>
      <c r="AB1436" s="4">
        <f>YEAR(excelsalesdata[[#This Row],[Order_Date]])</f>
        <v>2029</v>
      </c>
      <c r="AC1436" s="4" t="str">
        <f>TEXT(excelsalesdata[[#This Row],[Order_Date]],"mmm")</f>
        <v>Mar</v>
      </c>
      <c r="AD1436" s="4" t="str">
        <f>"Q"&amp;ROUNDUP(MONTH(excelsalesdata[[#This Row],[Order_Date]])/3,0)</f>
        <v>Q1</v>
      </c>
    </row>
    <row r="1437" spans="1:30" x14ac:dyDescent="0.35">
      <c r="A1437" t="s">
        <v>2262</v>
      </c>
      <c r="B1437" s="3">
        <v>47195</v>
      </c>
      <c r="C1437" t="s">
        <v>188</v>
      </c>
      <c r="D1437" t="s">
        <v>270</v>
      </c>
      <c r="E1437" t="str">
        <f>TRIM(excelsalesdata[[#This Row],[Customer_Name]])</f>
        <v>Ananya Das</v>
      </c>
      <c r="F1437" t="s">
        <v>23</v>
      </c>
      <c r="G1437">
        <v>36</v>
      </c>
      <c r="H1437" t="s">
        <v>71</v>
      </c>
      <c r="I1437" t="str">
        <f>TRIM(excelsalesdata[[#This Row],[City]])</f>
        <v>Bhubaneswar</v>
      </c>
      <c r="J1437" t="s">
        <v>72</v>
      </c>
      <c r="K1437" t="s">
        <v>37</v>
      </c>
      <c r="L1437" t="s">
        <v>54</v>
      </c>
      <c r="M1437" t="s">
        <v>62</v>
      </c>
      <c r="N1437" t="s">
        <v>62</v>
      </c>
      <c r="O1437">
        <v>2</v>
      </c>
      <c r="P1437">
        <v>23100</v>
      </c>
      <c r="Q1437">
        <v>0.1</v>
      </c>
      <c r="R1437">
        <v>15250</v>
      </c>
      <c r="S1437" t="s">
        <v>80</v>
      </c>
      <c r="T1437" t="s">
        <v>74</v>
      </c>
      <c r="U1437">
        <v>3</v>
      </c>
      <c r="V1437" t="s">
        <v>31</v>
      </c>
      <c r="W1437">
        <f>excelsalesdata[[#This Row],[Quantity]]*excelsalesdata[[#This Row],[Unit_Price]]</f>
        <v>46200</v>
      </c>
      <c r="X1437">
        <f>excelsalesdata[[#This Row],[Gross_sales]]*excelsalesdata[[#This Row],[Discount_%]]</f>
        <v>4620</v>
      </c>
      <c r="Y1437">
        <f>excelsalesdata[[#This Row],[Gross_sales]]-excelsalesdata[[#This Row],[Discount_amt]]</f>
        <v>41580</v>
      </c>
      <c r="Z1437" s="4">
        <f>excelsalesdata[[#This Row],[Net_sales]]-excelsalesdata[[#This Row],[Cost]]</f>
        <v>26330</v>
      </c>
      <c r="AA1437" s="5">
        <f>excelsalesdata[[#This Row],[Profit]]/excelsalesdata[[#This Row],[Net_sales]]</f>
        <v>0.63323713323713327</v>
      </c>
      <c r="AB1437" s="4">
        <f>YEAR(excelsalesdata[[#This Row],[Order_Date]])</f>
        <v>2029</v>
      </c>
      <c r="AC1437" s="4" t="str">
        <f>TEXT(excelsalesdata[[#This Row],[Order_Date]],"mmm")</f>
        <v>Mar</v>
      </c>
      <c r="AD1437" s="4" t="str">
        <f>"Q"&amp;ROUNDUP(MONTH(excelsalesdata[[#This Row],[Order_Date]])/3,0)</f>
        <v>Q1</v>
      </c>
    </row>
    <row r="1438" spans="1:30" x14ac:dyDescent="0.35">
      <c r="A1438" t="s">
        <v>2263</v>
      </c>
      <c r="B1438" s="3">
        <v>47196</v>
      </c>
      <c r="C1438" t="s">
        <v>1818</v>
      </c>
      <c r="D1438" t="s">
        <v>1292</v>
      </c>
      <c r="E1438" t="str">
        <f>TRIM(excelsalesdata[[#This Row],[Customer_Name]])</f>
        <v>Sneha Mehta</v>
      </c>
      <c r="F1438" t="s">
        <v>44</v>
      </c>
      <c r="G1438">
        <v>23</v>
      </c>
      <c r="H1438" t="s">
        <v>133</v>
      </c>
      <c r="I1438" t="str">
        <f>TRIM(excelsalesdata[[#This Row],[City]])</f>
        <v>Jaipur</v>
      </c>
      <c r="J1438" t="s">
        <v>134</v>
      </c>
      <c r="K1438" t="s">
        <v>61</v>
      </c>
      <c r="L1438" t="s">
        <v>38</v>
      </c>
      <c r="M1438" t="s">
        <v>255</v>
      </c>
      <c r="N1438" t="s">
        <v>255</v>
      </c>
      <c r="O1438">
        <v>1</v>
      </c>
      <c r="P1438">
        <v>4280</v>
      </c>
      <c r="Q1438">
        <v>0.25</v>
      </c>
      <c r="R1438">
        <v>2930</v>
      </c>
      <c r="S1438" t="s">
        <v>151</v>
      </c>
      <c r="T1438" t="s">
        <v>30</v>
      </c>
      <c r="U1438">
        <v>6</v>
      </c>
      <c r="V1438" t="s">
        <v>40</v>
      </c>
      <c r="W1438">
        <f>excelsalesdata[[#This Row],[Quantity]]*excelsalesdata[[#This Row],[Unit_Price]]</f>
        <v>4280</v>
      </c>
      <c r="X1438">
        <f>excelsalesdata[[#This Row],[Gross_sales]]*excelsalesdata[[#This Row],[Discount_%]]</f>
        <v>1070</v>
      </c>
      <c r="Y1438">
        <f>excelsalesdata[[#This Row],[Gross_sales]]-excelsalesdata[[#This Row],[Discount_amt]]</f>
        <v>3210</v>
      </c>
      <c r="Z1438" s="4">
        <f>excelsalesdata[[#This Row],[Net_sales]]-excelsalesdata[[#This Row],[Cost]]</f>
        <v>280</v>
      </c>
      <c r="AA1438" s="5">
        <f>excelsalesdata[[#This Row],[Profit]]/excelsalesdata[[#This Row],[Net_sales]]</f>
        <v>8.7227414330218064E-2</v>
      </c>
      <c r="AB1438" s="4">
        <f>YEAR(excelsalesdata[[#This Row],[Order_Date]])</f>
        <v>2029</v>
      </c>
      <c r="AC1438" s="4" t="str">
        <f>TEXT(excelsalesdata[[#This Row],[Order_Date]],"mmm")</f>
        <v>Mar</v>
      </c>
      <c r="AD1438" s="4" t="str">
        <f>"Q"&amp;ROUNDUP(MONTH(excelsalesdata[[#This Row],[Order_Date]])/3,0)</f>
        <v>Q1</v>
      </c>
    </row>
    <row r="1439" spans="1:30" x14ac:dyDescent="0.35">
      <c r="A1439" t="s">
        <v>2264</v>
      </c>
      <c r="B1439" s="3">
        <v>47197</v>
      </c>
      <c r="C1439" t="s">
        <v>1245</v>
      </c>
      <c r="D1439" t="s">
        <v>1108</v>
      </c>
      <c r="E1439" t="str">
        <f>TRIM(excelsalesdata[[#This Row],[Customer_Name]])</f>
        <v>Rohan Verma</v>
      </c>
      <c r="F1439" t="s">
        <v>23</v>
      </c>
      <c r="G1439">
        <v>54</v>
      </c>
      <c r="H1439" t="s">
        <v>71</v>
      </c>
      <c r="I1439" t="str">
        <f>TRIM(excelsalesdata[[#This Row],[City]])</f>
        <v>Bhubaneswar</v>
      </c>
      <c r="J1439" t="s">
        <v>72</v>
      </c>
      <c r="K1439" t="s">
        <v>37</v>
      </c>
      <c r="L1439" t="s">
        <v>93</v>
      </c>
      <c r="M1439" t="s">
        <v>375</v>
      </c>
      <c r="N1439" t="s">
        <v>375</v>
      </c>
      <c r="O1439">
        <v>2</v>
      </c>
      <c r="P1439">
        <v>2030</v>
      </c>
      <c r="Q1439">
        <v>0.1</v>
      </c>
      <c r="R1439">
        <v>1220</v>
      </c>
      <c r="S1439" t="s">
        <v>56</v>
      </c>
      <c r="T1439" t="s">
        <v>99</v>
      </c>
      <c r="U1439">
        <v>6</v>
      </c>
      <c r="V1439" t="s">
        <v>31</v>
      </c>
      <c r="W1439">
        <f>excelsalesdata[[#This Row],[Quantity]]*excelsalesdata[[#This Row],[Unit_Price]]</f>
        <v>4060</v>
      </c>
      <c r="X1439">
        <f>excelsalesdata[[#This Row],[Gross_sales]]*excelsalesdata[[#This Row],[Discount_%]]</f>
        <v>406</v>
      </c>
      <c r="Y1439">
        <f>excelsalesdata[[#This Row],[Gross_sales]]-excelsalesdata[[#This Row],[Discount_amt]]</f>
        <v>3654</v>
      </c>
      <c r="Z1439" s="4">
        <f>excelsalesdata[[#This Row],[Net_sales]]-excelsalesdata[[#This Row],[Cost]]</f>
        <v>2434</v>
      </c>
      <c r="AA1439" s="5">
        <f>excelsalesdata[[#This Row],[Profit]]/excelsalesdata[[#This Row],[Net_sales]]</f>
        <v>0.66611932129173512</v>
      </c>
      <c r="AB1439" s="4">
        <f>YEAR(excelsalesdata[[#This Row],[Order_Date]])</f>
        <v>2029</v>
      </c>
      <c r="AC1439" s="4" t="str">
        <f>TEXT(excelsalesdata[[#This Row],[Order_Date]],"mmm")</f>
        <v>Mar</v>
      </c>
      <c r="AD1439" s="4" t="str">
        <f>"Q"&amp;ROUNDUP(MONTH(excelsalesdata[[#This Row],[Order_Date]])/3,0)</f>
        <v>Q1</v>
      </c>
    </row>
    <row r="1440" spans="1:30" x14ac:dyDescent="0.35">
      <c r="A1440" t="s">
        <v>2265</v>
      </c>
      <c r="B1440" s="3">
        <v>47198</v>
      </c>
      <c r="C1440" t="s">
        <v>370</v>
      </c>
      <c r="D1440" t="s">
        <v>744</v>
      </c>
      <c r="E1440" t="str">
        <f>TRIM(excelsalesdata[[#This Row],[Customer_Name]])</f>
        <v>Meera Nair</v>
      </c>
      <c r="F1440" t="s">
        <v>23</v>
      </c>
      <c r="G1440">
        <v>26</v>
      </c>
      <c r="H1440" t="s">
        <v>190</v>
      </c>
      <c r="I1440" t="str">
        <f>TRIM(excelsalesdata[[#This Row],[City]])</f>
        <v>Ahmedabad</v>
      </c>
      <c r="J1440" t="s">
        <v>191</v>
      </c>
      <c r="K1440" t="s">
        <v>26</v>
      </c>
      <c r="L1440" t="s">
        <v>38</v>
      </c>
      <c r="M1440" t="s">
        <v>39</v>
      </c>
      <c r="N1440" t="s">
        <v>39</v>
      </c>
      <c r="O1440">
        <v>1</v>
      </c>
      <c r="P1440">
        <v>6720</v>
      </c>
      <c r="Q1440">
        <v>0.1</v>
      </c>
      <c r="R1440">
        <v>4360</v>
      </c>
      <c r="S1440" t="s">
        <v>80</v>
      </c>
      <c r="T1440" t="s">
        <v>30</v>
      </c>
      <c r="U1440">
        <v>4</v>
      </c>
      <c r="V1440" t="s">
        <v>31</v>
      </c>
      <c r="W1440">
        <f>excelsalesdata[[#This Row],[Quantity]]*excelsalesdata[[#This Row],[Unit_Price]]</f>
        <v>6720</v>
      </c>
      <c r="X1440">
        <f>excelsalesdata[[#This Row],[Gross_sales]]*excelsalesdata[[#This Row],[Discount_%]]</f>
        <v>672</v>
      </c>
      <c r="Y1440">
        <f>excelsalesdata[[#This Row],[Gross_sales]]-excelsalesdata[[#This Row],[Discount_amt]]</f>
        <v>6048</v>
      </c>
      <c r="Z1440" s="4">
        <f>excelsalesdata[[#This Row],[Net_sales]]-excelsalesdata[[#This Row],[Cost]]</f>
        <v>1688</v>
      </c>
      <c r="AA1440" s="5">
        <f>excelsalesdata[[#This Row],[Profit]]/excelsalesdata[[#This Row],[Net_sales]]</f>
        <v>0.27910052910052913</v>
      </c>
      <c r="AB1440" s="4">
        <f>YEAR(excelsalesdata[[#This Row],[Order_Date]])</f>
        <v>2029</v>
      </c>
      <c r="AC1440" s="4" t="str">
        <f>TEXT(excelsalesdata[[#This Row],[Order_Date]],"mmm")</f>
        <v>Mar</v>
      </c>
      <c r="AD1440" s="4" t="str">
        <f>"Q"&amp;ROUNDUP(MONTH(excelsalesdata[[#This Row],[Order_Date]])/3,0)</f>
        <v>Q1</v>
      </c>
    </row>
    <row r="1441" spans="1:30" x14ac:dyDescent="0.35">
      <c r="A1441" t="s">
        <v>2266</v>
      </c>
      <c r="B1441" s="3">
        <v>47199</v>
      </c>
      <c r="C1441" t="s">
        <v>1616</v>
      </c>
      <c r="D1441" t="s">
        <v>629</v>
      </c>
      <c r="E1441" t="str">
        <f>TRIM(excelsalesdata[[#This Row],[Customer_Name]])</f>
        <v>Vikram Shah</v>
      </c>
      <c r="F1441" t="s">
        <v>23</v>
      </c>
      <c r="G1441">
        <v>41</v>
      </c>
      <c r="H1441" t="s">
        <v>24</v>
      </c>
      <c r="I1441" t="str">
        <f>TRIM(excelsalesdata[[#This Row],[City]])</f>
        <v>Pune</v>
      </c>
      <c r="J1441" t="s">
        <v>25</v>
      </c>
      <c r="K1441" t="s">
        <v>26</v>
      </c>
      <c r="L1441" t="s">
        <v>85</v>
      </c>
      <c r="M1441" t="s">
        <v>172</v>
      </c>
      <c r="N1441" t="s">
        <v>172</v>
      </c>
      <c r="O1441">
        <v>1</v>
      </c>
      <c r="P1441">
        <v>4290</v>
      </c>
      <c r="Q1441">
        <v>0</v>
      </c>
      <c r="R1441">
        <v>2730</v>
      </c>
      <c r="S1441" t="s">
        <v>29</v>
      </c>
      <c r="T1441" t="s">
        <v>99</v>
      </c>
      <c r="U1441">
        <v>3</v>
      </c>
      <c r="V1441" t="s">
        <v>31</v>
      </c>
      <c r="W1441">
        <f>excelsalesdata[[#This Row],[Quantity]]*excelsalesdata[[#This Row],[Unit_Price]]</f>
        <v>4290</v>
      </c>
      <c r="X1441">
        <f>excelsalesdata[[#This Row],[Gross_sales]]*excelsalesdata[[#This Row],[Discount_%]]</f>
        <v>0</v>
      </c>
      <c r="Y1441">
        <f>excelsalesdata[[#This Row],[Gross_sales]]-excelsalesdata[[#This Row],[Discount_amt]]</f>
        <v>4290</v>
      </c>
      <c r="Z1441" s="4">
        <f>excelsalesdata[[#This Row],[Net_sales]]-excelsalesdata[[#This Row],[Cost]]</f>
        <v>1560</v>
      </c>
      <c r="AA1441" s="5">
        <f>excelsalesdata[[#This Row],[Profit]]/excelsalesdata[[#This Row],[Net_sales]]</f>
        <v>0.36363636363636365</v>
      </c>
      <c r="AB1441" s="4">
        <f>YEAR(excelsalesdata[[#This Row],[Order_Date]])</f>
        <v>2029</v>
      </c>
      <c r="AC1441" s="4" t="str">
        <f>TEXT(excelsalesdata[[#This Row],[Order_Date]],"mmm")</f>
        <v>Mar</v>
      </c>
      <c r="AD1441" s="4" t="str">
        <f>"Q"&amp;ROUNDUP(MONTH(excelsalesdata[[#This Row],[Order_Date]])/3,0)</f>
        <v>Q1</v>
      </c>
    </row>
    <row r="1442" spans="1:30" x14ac:dyDescent="0.35">
      <c r="A1442" t="s">
        <v>2267</v>
      </c>
      <c r="B1442" s="3">
        <v>47200</v>
      </c>
      <c r="C1442" t="s">
        <v>1880</v>
      </c>
      <c r="D1442" t="s">
        <v>164</v>
      </c>
      <c r="E1442" t="str">
        <f>TRIM(excelsalesdata[[#This Row],[Customer_Name]])</f>
        <v>Priya Naidu</v>
      </c>
      <c r="F1442" t="s">
        <v>44</v>
      </c>
      <c r="G1442">
        <v>23</v>
      </c>
      <c r="H1442" t="s">
        <v>45</v>
      </c>
      <c r="I1442" t="str">
        <f>TRIM(excelsalesdata[[#This Row],[City]])</f>
        <v>Kochi</v>
      </c>
      <c r="J1442" t="s">
        <v>46</v>
      </c>
      <c r="K1442" t="s">
        <v>47</v>
      </c>
      <c r="L1442" t="s">
        <v>27</v>
      </c>
      <c r="M1442" t="s">
        <v>195</v>
      </c>
      <c r="N1442" t="s">
        <v>195</v>
      </c>
      <c r="O1442">
        <v>1</v>
      </c>
      <c r="P1442">
        <v>2170</v>
      </c>
      <c r="Q1442">
        <v>0.1</v>
      </c>
      <c r="R1442">
        <v>1260</v>
      </c>
      <c r="S1442" t="s">
        <v>105</v>
      </c>
      <c r="T1442" t="s">
        <v>30</v>
      </c>
      <c r="U1442">
        <v>5</v>
      </c>
      <c r="V1442" t="s">
        <v>40</v>
      </c>
      <c r="W1442">
        <f>excelsalesdata[[#This Row],[Quantity]]*excelsalesdata[[#This Row],[Unit_Price]]</f>
        <v>2170</v>
      </c>
      <c r="X1442">
        <f>excelsalesdata[[#This Row],[Gross_sales]]*excelsalesdata[[#This Row],[Discount_%]]</f>
        <v>217</v>
      </c>
      <c r="Y1442">
        <f>excelsalesdata[[#This Row],[Gross_sales]]-excelsalesdata[[#This Row],[Discount_amt]]</f>
        <v>1953</v>
      </c>
      <c r="Z1442" s="4">
        <f>excelsalesdata[[#This Row],[Net_sales]]-excelsalesdata[[#This Row],[Cost]]</f>
        <v>693</v>
      </c>
      <c r="AA1442" s="5">
        <f>excelsalesdata[[#This Row],[Profit]]/excelsalesdata[[#This Row],[Net_sales]]</f>
        <v>0.35483870967741937</v>
      </c>
      <c r="AB1442" s="4">
        <f>YEAR(excelsalesdata[[#This Row],[Order_Date]])</f>
        <v>2029</v>
      </c>
      <c r="AC1442" s="4" t="str">
        <f>TEXT(excelsalesdata[[#This Row],[Order_Date]],"mmm")</f>
        <v>Mar</v>
      </c>
      <c r="AD1442" s="4" t="str">
        <f>"Q"&amp;ROUNDUP(MONTH(excelsalesdata[[#This Row],[Order_Date]])/3,0)</f>
        <v>Q1</v>
      </c>
    </row>
    <row r="1443" spans="1:30" x14ac:dyDescent="0.35">
      <c r="A1443" t="s">
        <v>2268</v>
      </c>
      <c r="B1443" s="3">
        <v>47201</v>
      </c>
      <c r="C1443" t="s">
        <v>42</v>
      </c>
      <c r="D1443" t="s">
        <v>1507</v>
      </c>
      <c r="E1443" t="str">
        <f>TRIM(excelsalesdata[[#This Row],[Customer_Name]])</f>
        <v>Aarav Shah</v>
      </c>
      <c r="F1443" t="s">
        <v>23</v>
      </c>
      <c r="G1443">
        <v>47</v>
      </c>
      <c r="H1443" t="s">
        <v>98</v>
      </c>
      <c r="I1443" t="str">
        <f>TRIM(excelsalesdata[[#This Row],[City]])</f>
        <v>Mumbai</v>
      </c>
      <c r="J1443" t="s">
        <v>25</v>
      </c>
      <c r="K1443" t="s">
        <v>26</v>
      </c>
      <c r="L1443" t="s">
        <v>54</v>
      </c>
      <c r="M1443" t="s">
        <v>129</v>
      </c>
      <c r="N1443" t="s">
        <v>129</v>
      </c>
      <c r="O1443">
        <v>5</v>
      </c>
      <c r="P1443">
        <v>18870</v>
      </c>
      <c r="Q1443">
        <v>0.2</v>
      </c>
      <c r="R1443">
        <v>13060</v>
      </c>
      <c r="S1443" t="s">
        <v>29</v>
      </c>
      <c r="T1443" t="s">
        <v>30</v>
      </c>
      <c r="U1443">
        <v>4</v>
      </c>
      <c r="V1443" t="s">
        <v>40</v>
      </c>
      <c r="W1443">
        <f>excelsalesdata[[#This Row],[Quantity]]*excelsalesdata[[#This Row],[Unit_Price]]</f>
        <v>94350</v>
      </c>
      <c r="X1443">
        <f>excelsalesdata[[#This Row],[Gross_sales]]*excelsalesdata[[#This Row],[Discount_%]]</f>
        <v>18870</v>
      </c>
      <c r="Y1443">
        <f>excelsalesdata[[#This Row],[Gross_sales]]-excelsalesdata[[#This Row],[Discount_amt]]</f>
        <v>75480</v>
      </c>
      <c r="Z1443" s="4">
        <f>excelsalesdata[[#This Row],[Net_sales]]-excelsalesdata[[#This Row],[Cost]]</f>
        <v>62420</v>
      </c>
      <c r="AA1443" s="5">
        <f>excelsalesdata[[#This Row],[Profit]]/excelsalesdata[[#This Row],[Net_sales]]</f>
        <v>0.82697403285638582</v>
      </c>
      <c r="AB1443" s="4">
        <f>YEAR(excelsalesdata[[#This Row],[Order_Date]])</f>
        <v>2029</v>
      </c>
      <c r="AC1443" s="4" t="str">
        <f>TEXT(excelsalesdata[[#This Row],[Order_Date]],"mmm")</f>
        <v>Mar</v>
      </c>
      <c r="AD1443" s="4" t="str">
        <f>"Q"&amp;ROUNDUP(MONTH(excelsalesdata[[#This Row],[Order_Date]])/3,0)</f>
        <v>Q1</v>
      </c>
    </row>
    <row r="1444" spans="1:30" x14ac:dyDescent="0.35">
      <c r="A1444" t="s">
        <v>2269</v>
      </c>
      <c r="B1444" s="3">
        <v>47202</v>
      </c>
      <c r="C1444" t="s">
        <v>1351</v>
      </c>
      <c r="D1444" t="s">
        <v>519</v>
      </c>
      <c r="E1444" t="str">
        <f>TRIM(excelsalesdata[[#This Row],[Customer_Name]])</f>
        <v>Kavya Das</v>
      </c>
      <c r="F1444" t="s">
        <v>23</v>
      </c>
      <c r="G1444">
        <v>25</v>
      </c>
      <c r="H1444" t="s">
        <v>52</v>
      </c>
      <c r="I1444" t="str">
        <f>TRIM(excelsalesdata[[#This Row],[City]])</f>
        <v>Bengaluru</v>
      </c>
      <c r="J1444" t="s">
        <v>53</v>
      </c>
      <c r="K1444" t="s">
        <v>47</v>
      </c>
      <c r="L1444" t="s">
        <v>85</v>
      </c>
      <c r="M1444" t="s">
        <v>251</v>
      </c>
      <c r="N1444" t="s">
        <v>251</v>
      </c>
      <c r="O1444">
        <v>1</v>
      </c>
      <c r="P1444">
        <v>3370</v>
      </c>
      <c r="Q1444">
        <v>0.25</v>
      </c>
      <c r="R1444">
        <v>1980</v>
      </c>
      <c r="S1444" t="s">
        <v>29</v>
      </c>
      <c r="T1444" t="s">
        <v>30</v>
      </c>
      <c r="U1444">
        <v>3</v>
      </c>
      <c r="V1444" t="s">
        <v>40</v>
      </c>
      <c r="W1444">
        <f>excelsalesdata[[#This Row],[Quantity]]*excelsalesdata[[#This Row],[Unit_Price]]</f>
        <v>3370</v>
      </c>
      <c r="X1444">
        <f>excelsalesdata[[#This Row],[Gross_sales]]*excelsalesdata[[#This Row],[Discount_%]]</f>
        <v>842.5</v>
      </c>
      <c r="Y1444">
        <f>excelsalesdata[[#This Row],[Gross_sales]]-excelsalesdata[[#This Row],[Discount_amt]]</f>
        <v>2527.5</v>
      </c>
      <c r="Z1444" s="4">
        <f>excelsalesdata[[#This Row],[Net_sales]]-excelsalesdata[[#This Row],[Cost]]</f>
        <v>547.5</v>
      </c>
      <c r="AA1444" s="5">
        <f>excelsalesdata[[#This Row],[Profit]]/excelsalesdata[[#This Row],[Net_sales]]</f>
        <v>0.21661721068249259</v>
      </c>
      <c r="AB1444" s="4">
        <f>YEAR(excelsalesdata[[#This Row],[Order_Date]])</f>
        <v>2029</v>
      </c>
      <c r="AC1444" s="4" t="str">
        <f>TEXT(excelsalesdata[[#This Row],[Order_Date]],"mmm")</f>
        <v>Mar</v>
      </c>
      <c r="AD1444" s="4" t="str">
        <f>"Q"&amp;ROUNDUP(MONTH(excelsalesdata[[#This Row],[Order_Date]])/3,0)</f>
        <v>Q1</v>
      </c>
    </row>
    <row r="1445" spans="1:30" x14ac:dyDescent="0.35">
      <c r="A1445" t="s">
        <v>2270</v>
      </c>
      <c r="B1445" s="3">
        <v>47203</v>
      </c>
      <c r="C1445" t="s">
        <v>1568</v>
      </c>
      <c r="D1445" t="s">
        <v>744</v>
      </c>
      <c r="E1445" t="str">
        <f>TRIM(excelsalesdata[[#This Row],[Customer_Name]])</f>
        <v>Meera Nair</v>
      </c>
      <c r="F1445" t="s">
        <v>23</v>
      </c>
      <c r="G1445">
        <v>22</v>
      </c>
      <c r="H1445" t="s">
        <v>168</v>
      </c>
      <c r="I1445" t="str">
        <f>TRIM(excelsalesdata[[#This Row],[City]])</f>
        <v>Delhi</v>
      </c>
      <c r="J1445" t="s">
        <v>168</v>
      </c>
      <c r="K1445" t="s">
        <v>61</v>
      </c>
      <c r="L1445" t="s">
        <v>103</v>
      </c>
      <c r="M1445" t="s">
        <v>312</v>
      </c>
      <c r="N1445" t="s">
        <v>312</v>
      </c>
      <c r="O1445">
        <v>5</v>
      </c>
      <c r="P1445">
        <v>7020</v>
      </c>
      <c r="Q1445">
        <v>0.1</v>
      </c>
      <c r="R1445">
        <v>4390</v>
      </c>
      <c r="S1445" t="s">
        <v>80</v>
      </c>
      <c r="T1445" t="s">
        <v>30</v>
      </c>
      <c r="U1445">
        <v>2</v>
      </c>
      <c r="V1445" t="s">
        <v>31</v>
      </c>
      <c r="W1445">
        <f>excelsalesdata[[#This Row],[Quantity]]*excelsalesdata[[#This Row],[Unit_Price]]</f>
        <v>35100</v>
      </c>
      <c r="X1445">
        <f>excelsalesdata[[#This Row],[Gross_sales]]*excelsalesdata[[#This Row],[Discount_%]]</f>
        <v>3510</v>
      </c>
      <c r="Y1445">
        <f>excelsalesdata[[#This Row],[Gross_sales]]-excelsalesdata[[#This Row],[Discount_amt]]</f>
        <v>31590</v>
      </c>
      <c r="Z1445" s="4">
        <f>excelsalesdata[[#This Row],[Net_sales]]-excelsalesdata[[#This Row],[Cost]]</f>
        <v>27200</v>
      </c>
      <c r="AA1445" s="5">
        <f>excelsalesdata[[#This Row],[Profit]]/excelsalesdata[[#This Row],[Net_sales]]</f>
        <v>0.86103197214308325</v>
      </c>
      <c r="AB1445" s="4">
        <f>YEAR(excelsalesdata[[#This Row],[Order_Date]])</f>
        <v>2029</v>
      </c>
      <c r="AC1445" s="4" t="str">
        <f>TEXT(excelsalesdata[[#This Row],[Order_Date]],"mmm")</f>
        <v>Mar</v>
      </c>
      <c r="AD1445" s="4" t="str">
        <f>"Q"&amp;ROUNDUP(MONTH(excelsalesdata[[#This Row],[Order_Date]])/3,0)</f>
        <v>Q1</v>
      </c>
    </row>
    <row r="1446" spans="1:30" x14ac:dyDescent="0.35">
      <c r="A1446" t="s">
        <v>2271</v>
      </c>
      <c r="B1446" s="3">
        <v>47204</v>
      </c>
      <c r="C1446" t="s">
        <v>402</v>
      </c>
      <c r="D1446" t="s">
        <v>1016</v>
      </c>
      <c r="E1446" t="str">
        <f>TRIM(excelsalesdata[[#This Row],[Customer_Name]])</f>
        <v>Meera Reddy</v>
      </c>
      <c r="F1446" t="s">
        <v>44</v>
      </c>
      <c r="G1446">
        <v>30</v>
      </c>
      <c r="H1446" t="s">
        <v>52</v>
      </c>
      <c r="I1446" t="str">
        <f>TRIM(excelsalesdata[[#This Row],[City]])</f>
        <v>Bengaluru</v>
      </c>
      <c r="J1446" t="s">
        <v>53</v>
      </c>
      <c r="K1446" t="s">
        <v>47</v>
      </c>
      <c r="L1446" t="s">
        <v>54</v>
      </c>
      <c r="M1446" t="s">
        <v>129</v>
      </c>
      <c r="N1446" t="s">
        <v>129</v>
      </c>
      <c r="O1446">
        <v>2</v>
      </c>
      <c r="P1446">
        <v>18680</v>
      </c>
      <c r="Q1446">
        <v>0.05</v>
      </c>
      <c r="R1446">
        <v>12500</v>
      </c>
      <c r="S1446" t="s">
        <v>151</v>
      </c>
      <c r="T1446" t="s">
        <v>30</v>
      </c>
      <c r="U1446">
        <v>2</v>
      </c>
      <c r="V1446" t="s">
        <v>40</v>
      </c>
      <c r="W1446">
        <f>excelsalesdata[[#This Row],[Quantity]]*excelsalesdata[[#This Row],[Unit_Price]]</f>
        <v>37360</v>
      </c>
      <c r="X1446">
        <f>excelsalesdata[[#This Row],[Gross_sales]]*excelsalesdata[[#This Row],[Discount_%]]</f>
        <v>1868</v>
      </c>
      <c r="Y1446">
        <f>excelsalesdata[[#This Row],[Gross_sales]]-excelsalesdata[[#This Row],[Discount_amt]]</f>
        <v>35492</v>
      </c>
      <c r="Z1446" s="4">
        <f>excelsalesdata[[#This Row],[Net_sales]]-excelsalesdata[[#This Row],[Cost]]</f>
        <v>22992</v>
      </c>
      <c r="AA1446" s="5">
        <f>excelsalesdata[[#This Row],[Profit]]/excelsalesdata[[#This Row],[Net_sales]]</f>
        <v>0.64780795672264169</v>
      </c>
      <c r="AB1446" s="4">
        <f>YEAR(excelsalesdata[[#This Row],[Order_Date]])</f>
        <v>2029</v>
      </c>
      <c r="AC1446" s="4" t="str">
        <f>TEXT(excelsalesdata[[#This Row],[Order_Date]],"mmm")</f>
        <v>Mar</v>
      </c>
      <c r="AD1446" s="4" t="str">
        <f>"Q"&amp;ROUNDUP(MONTH(excelsalesdata[[#This Row],[Order_Date]])/3,0)</f>
        <v>Q1</v>
      </c>
    </row>
    <row r="1447" spans="1:30" x14ac:dyDescent="0.35">
      <c r="A1447" t="s">
        <v>2272</v>
      </c>
      <c r="B1447" s="3">
        <v>47205</v>
      </c>
      <c r="C1447" t="s">
        <v>153</v>
      </c>
      <c r="D1447" t="s">
        <v>420</v>
      </c>
      <c r="E1447" t="str">
        <f>TRIM(excelsalesdata[[#This Row],[Customer_Name]])</f>
        <v>Vivaan Mehta</v>
      </c>
      <c r="F1447" t="s">
        <v>23</v>
      </c>
      <c r="G1447">
        <v>47</v>
      </c>
      <c r="H1447" t="s">
        <v>78</v>
      </c>
      <c r="I1447" t="str">
        <f>TRIM(excelsalesdata[[#This Row],[City]])</f>
        <v>Guwahati</v>
      </c>
      <c r="J1447" t="s">
        <v>79</v>
      </c>
      <c r="K1447" t="s">
        <v>37</v>
      </c>
      <c r="L1447" t="s">
        <v>54</v>
      </c>
      <c r="M1447" t="s">
        <v>157</v>
      </c>
      <c r="N1447" t="s">
        <v>157</v>
      </c>
      <c r="O1447">
        <v>2</v>
      </c>
      <c r="P1447">
        <v>53110</v>
      </c>
      <c r="Q1447">
        <v>0.05</v>
      </c>
      <c r="R1447">
        <v>42380</v>
      </c>
      <c r="S1447" t="s">
        <v>67</v>
      </c>
      <c r="T1447" t="s">
        <v>74</v>
      </c>
      <c r="U1447">
        <v>2</v>
      </c>
      <c r="V1447" t="s">
        <v>40</v>
      </c>
      <c r="W1447">
        <f>excelsalesdata[[#This Row],[Quantity]]*excelsalesdata[[#This Row],[Unit_Price]]</f>
        <v>106220</v>
      </c>
      <c r="X1447">
        <f>excelsalesdata[[#This Row],[Gross_sales]]*excelsalesdata[[#This Row],[Discount_%]]</f>
        <v>5311</v>
      </c>
      <c r="Y1447">
        <f>excelsalesdata[[#This Row],[Gross_sales]]-excelsalesdata[[#This Row],[Discount_amt]]</f>
        <v>100909</v>
      </c>
      <c r="Z1447" s="4">
        <f>excelsalesdata[[#This Row],[Net_sales]]-excelsalesdata[[#This Row],[Cost]]</f>
        <v>58529</v>
      </c>
      <c r="AA1447" s="5">
        <f>excelsalesdata[[#This Row],[Profit]]/excelsalesdata[[#This Row],[Net_sales]]</f>
        <v>0.58001763965553121</v>
      </c>
      <c r="AB1447" s="4">
        <f>YEAR(excelsalesdata[[#This Row],[Order_Date]])</f>
        <v>2029</v>
      </c>
      <c r="AC1447" s="4" t="str">
        <f>TEXT(excelsalesdata[[#This Row],[Order_Date]],"mmm")</f>
        <v>Mar</v>
      </c>
      <c r="AD1447" s="4" t="str">
        <f>"Q"&amp;ROUNDUP(MONTH(excelsalesdata[[#This Row],[Order_Date]])/3,0)</f>
        <v>Q1</v>
      </c>
    </row>
    <row r="1448" spans="1:30" x14ac:dyDescent="0.35">
      <c r="A1448" t="s">
        <v>2273</v>
      </c>
      <c r="B1448" s="3">
        <v>47206</v>
      </c>
      <c r="C1448" t="s">
        <v>1112</v>
      </c>
      <c r="D1448" t="s">
        <v>532</v>
      </c>
      <c r="E1448" t="str">
        <f>TRIM(excelsalesdata[[#This Row],[Customer_Name]])</f>
        <v>Ananya Mehta</v>
      </c>
      <c r="F1448" t="s">
        <v>44</v>
      </c>
      <c r="G1448">
        <v>26</v>
      </c>
      <c r="H1448" t="s">
        <v>60</v>
      </c>
      <c r="I1448" t="str">
        <f>TRIM(excelsalesdata[[#This Row],[City]])</f>
        <v>Chandigarh</v>
      </c>
      <c r="J1448" t="s">
        <v>60</v>
      </c>
      <c r="K1448" t="s">
        <v>61</v>
      </c>
      <c r="L1448" t="s">
        <v>85</v>
      </c>
      <c r="M1448" t="s">
        <v>86</v>
      </c>
      <c r="N1448" t="s">
        <v>86</v>
      </c>
      <c r="O1448">
        <v>1</v>
      </c>
      <c r="P1448">
        <v>2320</v>
      </c>
      <c r="Q1448">
        <v>0.2</v>
      </c>
      <c r="R1448">
        <v>1530</v>
      </c>
      <c r="S1448" t="s">
        <v>105</v>
      </c>
      <c r="T1448" t="s">
        <v>30</v>
      </c>
      <c r="U1448">
        <v>3</v>
      </c>
      <c r="V1448" t="s">
        <v>31</v>
      </c>
      <c r="W1448">
        <f>excelsalesdata[[#This Row],[Quantity]]*excelsalesdata[[#This Row],[Unit_Price]]</f>
        <v>2320</v>
      </c>
      <c r="X1448">
        <f>excelsalesdata[[#This Row],[Gross_sales]]*excelsalesdata[[#This Row],[Discount_%]]</f>
        <v>464</v>
      </c>
      <c r="Y1448">
        <f>excelsalesdata[[#This Row],[Gross_sales]]-excelsalesdata[[#This Row],[Discount_amt]]</f>
        <v>1856</v>
      </c>
      <c r="Z1448" s="4">
        <f>excelsalesdata[[#This Row],[Net_sales]]-excelsalesdata[[#This Row],[Cost]]</f>
        <v>326</v>
      </c>
      <c r="AA1448" s="5">
        <f>excelsalesdata[[#This Row],[Profit]]/excelsalesdata[[#This Row],[Net_sales]]</f>
        <v>0.17564655172413793</v>
      </c>
      <c r="AB1448" s="4">
        <f>YEAR(excelsalesdata[[#This Row],[Order_Date]])</f>
        <v>2029</v>
      </c>
      <c r="AC1448" s="4" t="str">
        <f>TEXT(excelsalesdata[[#This Row],[Order_Date]],"mmm")</f>
        <v>Mar</v>
      </c>
      <c r="AD1448" s="4" t="str">
        <f>"Q"&amp;ROUNDUP(MONTH(excelsalesdata[[#This Row],[Order_Date]])/3,0)</f>
        <v>Q1</v>
      </c>
    </row>
    <row r="1449" spans="1:30" x14ac:dyDescent="0.35">
      <c r="A1449" t="s">
        <v>2274</v>
      </c>
      <c r="B1449" s="3">
        <v>47207</v>
      </c>
      <c r="C1449" t="s">
        <v>91</v>
      </c>
      <c r="D1449" t="s">
        <v>175</v>
      </c>
      <c r="E1449" t="str">
        <f>TRIM(excelsalesdata[[#This Row],[Customer_Name]])</f>
        <v>Kavya Naidu</v>
      </c>
      <c r="F1449" t="s">
        <v>23</v>
      </c>
      <c r="G1449">
        <v>54</v>
      </c>
      <c r="H1449" t="s">
        <v>185</v>
      </c>
      <c r="I1449" t="str">
        <f>TRIM(excelsalesdata[[#This Row],[City]])</f>
        <v>Lucknow</v>
      </c>
      <c r="J1449" t="s">
        <v>186</v>
      </c>
      <c r="K1449" t="s">
        <v>61</v>
      </c>
      <c r="L1449" t="s">
        <v>54</v>
      </c>
      <c r="M1449" t="s">
        <v>55</v>
      </c>
      <c r="N1449" t="s">
        <v>55</v>
      </c>
      <c r="O1449">
        <v>1</v>
      </c>
      <c r="P1449">
        <v>6960</v>
      </c>
      <c r="Q1449">
        <v>0.05</v>
      </c>
      <c r="R1449">
        <v>4510</v>
      </c>
      <c r="S1449" t="s">
        <v>80</v>
      </c>
      <c r="T1449" t="s">
        <v>30</v>
      </c>
      <c r="U1449">
        <v>5</v>
      </c>
      <c r="V1449" t="s">
        <v>40</v>
      </c>
      <c r="W1449">
        <f>excelsalesdata[[#This Row],[Quantity]]*excelsalesdata[[#This Row],[Unit_Price]]</f>
        <v>6960</v>
      </c>
      <c r="X1449">
        <f>excelsalesdata[[#This Row],[Gross_sales]]*excelsalesdata[[#This Row],[Discount_%]]</f>
        <v>348</v>
      </c>
      <c r="Y1449">
        <f>excelsalesdata[[#This Row],[Gross_sales]]-excelsalesdata[[#This Row],[Discount_amt]]</f>
        <v>6612</v>
      </c>
      <c r="Z1449" s="4">
        <f>excelsalesdata[[#This Row],[Net_sales]]-excelsalesdata[[#This Row],[Cost]]</f>
        <v>2102</v>
      </c>
      <c r="AA1449" s="5">
        <f>excelsalesdata[[#This Row],[Profit]]/excelsalesdata[[#This Row],[Net_sales]]</f>
        <v>0.31790683605565639</v>
      </c>
      <c r="AB1449" s="4">
        <f>YEAR(excelsalesdata[[#This Row],[Order_Date]])</f>
        <v>2029</v>
      </c>
      <c r="AC1449" s="4" t="str">
        <f>TEXT(excelsalesdata[[#This Row],[Order_Date]],"mmm")</f>
        <v>Mar</v>
      </c>
      <c r="AD1449" s="4" t="str">
        <f>"Q"&amp;ROUNDUP(MONTH(excelsalesdata[[#This Row],[Order_Date]])/3,0)</f>
        <v>Q1</v>
      </c>
    </row>
    <row r="1450" spans="1:30" x14ac:dyDescent="0.35">
      <c r="A1450" t="s">
        <v>2275</v>
      </c>
      <c r="B1450" s="3">
        <v>47208</v>
      </c>
      <c r="C1450" t="s">
        <v>140</v>
      </c>
      <c r="D1450" t="s">
        <v>108</v>
      </c>
      <c r="E1450" t="str">
        <f>TRIM(excelsalesdata[[#This Row],[Customer_Name]])</f>
        <v>Vikram Sharma</v>
      </c>
      <c r="F1450" t="s">
        <v>23</v>
      </c>
      <c r="G1450">
        <v>21</v>
      </c>
      <c r="H1450" t="s">
        <v>109</v>
      </c>
      <c r="I1450" t="str">
        <f>TRIM(excelsalesdata[[#This Row],[City]])</f>
        <v>Mysuru</v>
      </c>
      <c r="J1450" t="s">
        <v>53</v>
      </c>
      <c r="K1450" t="s">
        <v>47</v>
      </c>
      <c r="L1450" t="s">
        <v>103</v>
      </c>
      <c r="M1450" t="s">
        <v>104</v>
      </c>
      <c r="N1450" t="s">
        <v>104</v>
      </c>
      <c r="O1450">
        <v>4</v>
      </c>
      <c r="P1450">
        <v>8780</v>
      </c>
      <c r="Q1450">
        <v>0.05</v>
      </c>
      <c r="R1450">
        <v>5500</v>
      </c>
      <c r="S1450" t="s">
        <v>67</v>
      </c>
      <c r="T1450" t="s">
        <v>81</v>
      </c>
      <c r="U1450">
        <v>0</v>
      </c>
      <c r="V1450" t="s">
        <v>31</v>
      </c>
      <c r="W1450">
        <f>excelsalesdata[[#This Row],[Quantity]]*excelsalesdata[[#This Row],[Unit_Price]]</f>
        <v>35120</v>
      </c>
      <c r="X1450">
        <f>excelsalesdata[[#This Row],[Gross_sales]]*excelsalesdata[[#This Row],[Discount_%]]</f>
        <v>1756</v>
      </c>
      <c r="Y1450">
        <f>excelsalesdata[[#This Row],[Gross_sales]]-excelsalesdata[[#This Row],[Discount_amt]]</f>
        <v>33364</v>
      </c>
      <c r="Z1450" s="4">
        <f>excelsalesdata[[#This Row],[Net_sales]]-excelsalesdata[[#This Row],[Cost]]</f>
        <v>27864</v>
      </c>
      <c r="AA1450" s="5">
        <f>excelsalesdata[[#This Row],[Profit]]/excelsalesdata[[#This Row],[Net_sales]]</f>
        <v>0.83515166047236544</v>
      </c>
      <c r="AB1450" s="4">
        <f>YEAR(excelsalesdata[[#This Row],[Order_Date]])</f>
        <v>2029</v>
      </c>
      <c r="AC1450" s="4" t="str">
        <f>TEXT(excelsalesdata[[#This Row],[Order_Date]],"mmm")</f>
        <v>Mar</v>
      </c>
      <c r="AD1450" s="4" t="str">
        <f>"Q"&amp;ROUNDUP(MONTH(excelsalesdata[[#This Row],[Order_Date]])/3,0)</f>
        <v>Q1</v>
      </c>
    </row>
    <row r="1451" spans="1:30" x14ac:dyDescent="0.35">
      <c r="A1451" t="s">
        <v>2276</v>
      </c>
      <c r="B1451" s="3">
        <v>47209</v>
      </c>
      <c r="C1451" t="s">
        <v>2277</v>
      </c>
      <c r="D1451" t="s">
        <v>1226</v>
      </c>
      <c r="E1451" t="str">
        <f>TRIM(excelsalesdata[[#This Row],[Customer_Name]])</f>
        <v>Vikram Reddy</v>
      </c>
      <c r="F1451" t="s">
        <v>23</v>
      </c>
      <c r="G1451">
        <v>48</v>
      </c>
      <c r="H1451" t="s">
        <v>60</v>
      </c>
      <c r="I1451" t="str">
        <f>TRIM(excelsalesdata[[#This Row],[City]])</f>
        <v>Chandigarh</v>
      </c>
      <c r="J1451" t="s">
        <v>60</v>
      </c>
      <c r="K1451" t="s">
        <v>61</v>
      </c>
      <c r="L1451" t="s">
        <v>103</v>
      </c>
      <c r="M1451" t="s">
        <v>312</v>
      </c>
      <c r="N1451" t="s">
        <v>312</v>
      </c>
      <c r="O1451">
        <v>1</v>
      </c>
      <c r="P1451">
        <v>6570</v>
      </c>
      <c r="Q1451">
        <v>0.05</v>
      </c>
      <c r="R1451">
        <v>4260</v>
      </c>
      <c r="S1451" t="s">
        <v>29</v>
      </c>
      <c r="T1451" t="s">
        <v>30</v>
      </c>
      <c r="U1451">
        <v>3</v>
      </c>
      <c r="V1451" t="s">
        <v>40</v>
      </c>
      <c r="W1451">
        <f>excelsalesdata[[#This Row],[Quantity]]*excelsalesdata[[#This Row],[Unit_Price]]</f>
        <v>6570</v>
      </c>
      <c r="X1451">
        <f>excelsalesdata[[#This Row],[Gross_sales]]*excelsalesdata[[#This Row],[Discount_%]]</f>
        <v>328.5</v>
      </c>
      <c r="Y1451">
        <f>excelsalesdata[[#This Row],[Gross_sales]]-excelsalesdata[[#This Row],[Discount_amt]]</f>
        <v>6241.5</v>
      </c>
      <c r="Z1451" s="4">
        <f>excelsalesdata[[#This Row],[Net_sales]]-excelsalesdata[[#This Row],[Cost]]</f>
        <v>1981.5</v>
      </c>
      <c r="AA1451" s="5">
        <f>excelsalesdata[[#This Row],[Profit]]/excelsalesdata[[#This Row],[Net_sales]]</f>
        <v>0.31747176159577023</v>
      </c>
      <c r="AB1451" s="4">
        <f>YEAR(excelsalesdata[[#This Row],[Order_Date]])</f>
        <v>2029</v>
      </c>
      <c r="AC1451" s="4" t="str">
        <f>TEXT(excelsalesdata[[#This Row],[Order_Date]],"mmm")</f>
        <v>Apr</v>
      </c>
      <c r="AD1451" s="4" t="str">
        <f>"Q"&amp;ROUNDUP(MONTH(excelsalesdata[[#This Row],[Order_Date]])/3,0)</f>
        <v>Q2</v>
      </c>
    </row>
    <row r="1452" spans="1:30" x14ac:dyDescent="0.35">
      <c r="A1452" t="s">
        <v>2278</v>
      </c>
      <c r="B1452" s="3">
        <v>47210</v>
      </c>
      <c r="C1452" t="s">
        <v>1086</v>
      </c>
      <c r="D1452" t="s">
        <v>254</v>
      </c>
      <c r="E1452" t="str">
        <f>TRIM(excelsalesdata[[#This Row],[Customer_Name]])</f>
        <v>Meera Sharma</v>
      </c>
      <c r="F1452" t="s">
        <v>23</v>
      </c>
      <c r="G1452">
        <v>51</v>
      </c>
      <c r="H1452" t="s">
        <v>98</v>
      </c>
      <c r="I1452" t="str">
        <f>TRIM(excelsalesdata[[#This Row],[City]])</f>
        <v>Mumbai</v>
      </c>
      <c r="J1452" t="s">
        <v>25</v>
      </c>
      <c r="K1452" t="s">
        <v>26</v>
      </c>
      <c r="L1452" t="s">
        <v>54</v>
      </c>
      <c r="M1452" t="s">
        <v>62</v>
      </c>
      <c r="N1452" t="s">
        <v>62</v>
      </c>
      <c r="O1452">
        <v>1</v>
      </c>
      <c r="P1452">
        <v>22030</v>
      </c>
      <c r="Q1452">
        <v>0.1</v>
      </c>
      <c r="R1452">
        <v>15550</v>
      </c>
      <c r="S1452" t="s">
        <v>80</v>
      </c>
      <c r="T1452" t="s">
        <v>30</v>
      </c>
      <c r="U1452">
        <v>6</v>
      </c>
      <c r="V1452" t="s">
        <v>40</v>
      </c>
      <c r="W1452">
        <f>excelsalesdata[[#This Row],[Quantity]]*excelsalesdata[[#This Row],[Unit_Price]]</f>
        <v>22030</v>
      </c>
      <c r="X1452">
        <f>excelsalesdata[[#This Row],[Gross_sales]]*excelsalesdata[[#This Row],[Discount_%]]</f>
        <v>2203</v>
      </c>
      <c r="Y1452">
        <f>excelsalesdata[[#This Row],[Gross_sales]]-excelsalesdata[[#This Row],[Discount_amt]]</f>
        <v>19827</v>
      </c>
      <c r="Z1452" s="4">
        <f>excelsalesdata[[#This Row],[Net_sales]]-excelsalesdata[[#This Row],[Cost]]</f>
        <v>4277</v>
      </c>
      <c r="AA1452" s="5">
        <f>excelsalesdata[[#This Row],[Profit]]/excelsalesdata[[#This Row],[Net_sales]]</f>
        <v>0.2157159429061381</v>
      </c>
      <c r="AB1452" s="4">
        <f>YEAR(excelsalesdata[[#This Row],[Order_Date]])</f>
        <v>2029</v>
      </c>
      <c r="AC1452" s="4" t="str">
        <f>TEXT(excelsalesdata[[#This Row],[Order_Date]],"mmm")</f>
        <v>Apr</v>
      </c>
      <c r="AD1452" s="4" t="str">
        <f>"Q"&amp;ROUNDUP(MONTH(excelsalesdata[[#This Row],[Order_Date]])/3,0)</f>
        <v>Q2</v>
      </c>
    </row>
    <row r="1453" spans="1:30" x14ac:dyDescent="0.35">
      <c r="A1453" t="s">
        <v>2279</v>
      </c>
      <c r="B1453" s="3">
        <v>47211</v>
      </c>
      <c r="C1453" t="s">
        <v>646</v>
      </c>
      <c r="D1453" t="s">
        <v>619</v>
      </c>
      <c r="E1453" t="str">
        <f>TRIM(excelsalesdata[[#This Row],[Customer_Name]])</f>
        <v>Aarav Naidu</v>
      </c>
      <c r="F1453" t="s">
        <v>23</v>
      </c>
      <c r="G1453">
        <v>35</v>
      </c>
      <c r="H1453" t="s">
        <v>114</v>
      </c>
      <c r="I1453" t="str">
        <f>TRIM(excelsalesdata[[#This Row],[City]])</f>
        <v>Hyderabad</v>
      </c>
      <c r="J1453" t="s">
        <v>115</v>
      </c>
      <c r="K1453" t="s">
        <v>47</v>
      </c>
      <c r="L1453" t="s">
        <v>103</v>
      </c>
      <c r="M1453" t="s">
        <v>347</v>
      </c>
      <c r="N1453" t="s">
        <v>347</v>
      </c>
      <c r="O1453">
        <v>3</v>
      </c>
      <c r="P1453">
        <v>12680</v>
      </c>
      <c r="Q1453">
        <v>0.15</v>
      </c>
      <c r="R1453">
        <v>8470</v>
      </c>
      <c r="S1453" t="s">
        <v>29</v>
      </c>
      <c r="T1453" t="s">
        <v>30</v>
      </c>
      <c r="U1453">
        <v>3</v>
      </c>
      <c r="V1453" t="s">
        <v>40</v>
      </c>
      <c r="W1453">
        <f>excelsalesdata[[#This Row],[Quantity]]*excelsalesdata[[#This Row],[Unit_Price]]</f>
        <v>38040</v>
      </c>
      <c r="X1453">
        <f>excelsalesdata[[#This Row],[Gross_sales]]*excelsalesdata[[#This Row],[Discount_%]]</f>
        <v>5706</v>
      </c>
      <c r="Y1453">
        <f>excelsalesdata[[#This Row],[Gross_sales]]-excelsalesdata[[#This Row],[Discount_amt]]</f>
        <v>32334</v>
      </c>
      <c r="Z1453" s="4">
        <f>excelsalesdata[[#This Row],[Net_sales]]-excelsalesdata[[#This Row],[Cost]]</f>
        <v>23864</v>
      </c>
      <c r="AA1453" s="5">
        <f>excelsalesdata[[#This Row],[Profit]]/excelsalesdata[[#This Row],[Net_sales]]</f>
        <v>0.73804663821364513</v>
      </c>
      <c r="AB1453" s="4">
        <f>YEAR(excelsalesdata[[#This Row],[Order_Date]])</f>
        <v>2029</v>
      </c>
      <c r="AC1453" s="4" t="str">
        <f>TEXT(excelsalesdata[[#This Row],[Order_Date]],"mmm")</f>
        <v>Apr</v>
      </c>
      <c r="AD1453" s="4" t="str">
        <f>"Q"&amp;ROUNDUP(MONTH(excelsalesdata[[#This Row],[Order_Date]])/3,0)</f>
        <v>Q2</v>
      </c>
    </row>
    <row r="1454" spans="1:30" x14ac:dyDescent="0.35">
      <c r="A1454" t="s">
        <v>2280</v>
      </c>
      <c r="B1454" s="3">
        <v>47212</v>
      </c>
      <c r="C1454" t="s">
        <v>163</v>
      </c>
      <c r="D1454" t="s">
        <v>423</v>
      </c>
      <c r="E1454" t="str">
        <f>TRIM(excelsalesdata[[#This Row],[Customer_Name]])</f>
        <v>Kavya Kumar</v>
      </c>
      <c r="F1454" t="s">
        <v>23</v>
      </c>
      <c r="G1454">
        <v>48</v>
      </c>
      <c r="H1454" t="s">
        <v>185</v>
      </c>
      <c r="I1454" t="str">
        <f>TRIM(excelsalesdata[[#This Row],[City]])</f>
        <v>Lucknow</v>
      </c>
      <c r="J1454" t="s">
        <v>186</v>
      </c>
      <c r="K1454" t="s">
        <v>61</v>
      </c>
      <c r="L1454" t="s">
        <v>54</v>
      </c>
      <c r="M1454" t="s">
        <v>129</v>
      </c>
      <c r="N1454" t="s">
        <v>129</v>
      </c>
      <c r="O1454">
        <v>2</v>
      </c>
      <c r="P1454">
        <v>16640</v>
      </c>
      <c r="Q1454">
        <v>0.15</v>
      </c>
      <c r="R1454">
        <v>12980</v>
      </c>
      <c r="S1454" t="s">
        <v>80</v>
      </c>
      <c r="T1454" t="s">
        <v>30</v>
      </c>
      <c r="U1454">
        <v>2</v>
      </c>
      <c r="V1454" t="s">
        <v>31</v>
      </c>
      <c r="W1454">
        <f>excelsalesdata[[#This Row],[Quantity]]*excelsalesdata[[#This Row],[Unit_Price]]</f>
        <v>33280</v>
      </c>
      <c r="X1454">
        <f>excelsalesdata[[#This Row],[Gross_sales]]*excelsalesdata[[#This Row],[Discount_%]]</f>
        <v>4992</v>
      </c>
      <c r="Y1454">
        <f>excelsalesdata[[#This Row],[Gross_sales]]-excelsalesdata[[#This Row],[Discount_amt]]</f>
        <v>28288</v>
      </c>
      <c r="Z1454" s="4">
        <f>excelsalesdata[[#This Row],[Net_sales]]-excelsalesdata[[#This Row],[Cost]]</f>
        <v>15308</v>
      </c>
      <c r="AA1454" s="5">
        <f>excelsalesdata[[#This Row],[Profit]]/excelsalesdata[[#This Row],[Net_sales]]</f>
        <v>0.54114819004524883</v>
      </c>
      <c r="AB1454" s="4">
        <f>YEAR(excelsalesdata[[#This Row],[Order_Date]])</f>
        <v>2029</v>
      </c>
      <c r="AC1454" s="4" t="str">
        <f>TEXT(excelsalesdata[[#This Row],[Order_Date]],"mmm")</f>
        <v>Apr</v>
      </c>
      <c r="AD1454" s="4" t="str">
        <f>"Q"&amp;ROUNDUP(MONTH(excelsalesdata[[#This Row],[Order_Date]])/3,0)</f>
        <v>Q2</v>
      </c>
    </row>
    <row r="1455" spans="1:30" x14ac:dyDescent="0.35">
      <c r="A1455" t="s">
        <v>2281</v>
      </c>
      <c r="B1455" s="3">
        <v>47213</v>
      </c>
      <c r="C1455" t="s">
        <v>174</v>
      </c>
      <c r="D1455" t="s">
        <v>984</v>
      </c>
      <c r="E1455" t="str">
        <f>TRIM(excelsalesdata[[#This Row],[Customer_Name]])</f>
        <v>Ananya Singh</v>
      </c>
      <c r="F1455" t="s">
        <v>44</v>
      </c>
      <c r="G1455">
        <v>24</v>
      </c>
      <c r="H1455" t="s">
        <v>155</v>
      </c>
      <c r="I1455" t="str">
        <f>TRIM(excelsalesdata[[#This Row],[City]])</f>
        <v>Chennai</v>
      </c>
      <c r="J1455" t="s">
        <v>156</v>
      </c>
      <c r="K1455" t="s">
        <v>47</v>
      </c>
      <c r="L1455" t="s">
        <v>27</v>
      </c>
      <c r="M1455" t="s">
        <v>28</v>
      </c>
      <c r="N1455" t="s">
        <v>28</v>
      </c>
      <c r="O1455">
        <v>2</v>
      </c>
      <c r="P1455">
        <v>3420</v>
      </c>
      <c r="Q1455">
        <v>0.2</v>
      </c>
      <c r="R1455">
        <v>2140</v>
      </c>
      <c r="S1455" t="s">
        <v>29</v>
      </c>
      <c r="T1455" t="s">
        <v>30</v>
      </c>
      <c r="U1455">
        <v>4</v>
      </c>
      <c r="V1455" t="s">
        <v>40</v>
      </c>
      <c r="W1455">
        <f>excelsalesdata[[#This Row],[Quantity]]*excelsalesdata[[#This Row],[Unit_Price]]</f>
        <v>6840</v>
      </c>
      <c r="X1455">
        <f>excelsalesdata[[#This Row],[Gross_sales]]*excelsalesdata[[#This Row],[Discount_%]]</f>
        <v>1368</v>
      </c>
      <c r="Y1455">
        <f>excelsalesdata[[#This Row],[Gross_sales]]-excelsalesdata[[#This Row],[Discount_amt]]</f>
        <v>5472</v>
      </c>
      <c r="Z1455" s="4">
        <f>excelsalesdata[[#This Row],[Net_sales]]-excelsalesdata[[#This Row],[Cost]]</f>
        <v>3332</v>
      </c>
      <c r="AA1455" s="5">
        <f>excelsalesdata[[#This Row],[Profit]]/excelsalesdata[[#This Row],[Net_sales]]</f>
        <v>0.60891812865497075</v>
      </c>
      <c r="AB1455" s="4">
        <f>YEAR(excelsalesdata[[#This Row],[Order_Date]])</f>
        <v>2029</v>
      </c>
      <c r="AC1455" s="4" t="str">
        <f>TEXT(excelsalesdata[[#This Row],[Order_Date]],"mmm")</f>
        <v>Apr</v>
      </c>
      <c r="AD1455" s="4" t="str">
        <f>"Q"&amp;ROUNDUP(MONTH(excelsalesdata[[#This Row],[Order_Date]])/3,0)</f>
        <v>Q2</v>
      </c>
    </row>
    <row r="1456" spans="1:30" x14ac:dyDescent="0.35">
      <c r="A1456" t="s">
        <v>2282</v>
      </c>
      <c r="B1456" s="3">
        <v>47214</v>
      </c>
      <c r="C1456" t="s">
        <v>233</v>
      </c>
      <c r="D1456" t="s">
        <v>786</v>
      </c>
      <c r="E1456" t="str">
        <f>TRIM(excelsalesdata[[#This Row],[Customer_Name]])</f>
        <v>Aarav Patel</v>
      </c>
      <c r="F1456" t="s">
        <v>23</v>
      </c>
      <c r="G1456">
        <v>24</v>
      </c>
      <c r="H1456" t="s">
        <v>168</v>
      </c>
      <c r="I1456" t="str">
        <f>TRIM(excelsalesdata[[#This Row],[City]])</f>
        <v>Delhi</v>
      </c>
      <c r="J1456" t="s">
        <v>168</v>
      </c>
      <c r="K1456" t="s">
        <v>61</v>
      </c>
      <c r="L1456" t="s">
        <v>38</v>
      </c>
      <c r="M1456" t="s">
        <v>119</v>
      </c>
      <c r="N1456" t="s">
        <v>119</v>
      </c>
      <c r="O1456">
        <v>2</v>
      </c>
      <c r="P1456">
        <v>8660</v>
      </c>
      <c r="Q1456">
        <v>0.1</v>
      </c>
      <c r="R1456">
        <v>5800</v>
      </c>
      <c r="S1456" t="s">
        <v>105</v>
      </c>
      <c r="T1456" t="s">
        <v>74</v>
      </c>
      <c r="U1456">
        <v>3</v>
      </c>
      <c r="V1456" t="s">
        <v>40</v>
      </c>
      <c r="W1456">
        <f>excelsalesdata[[#This Row],[Quantity]]*excelsalesdata[[#This Row],[Unit_Price]]</f>
        <v>17320</v>
      </c>
      <c r="X1456">
        <f>excelsalesdata[[#This Row],[Gross_sales]]*excelsalesdata[[#This Row],[Discount_%]]</f>
        <v>1732</v>
      </c>
      <c r="Y1456">
        <f>excelsalesdata[[#This Row],[Gross_sales]]-excelsalesdata[[#This Row],[Discount_amt]]</f>
        <v>15588</v>
      </c>
      <c r="Z1456" s="4">
        <f>excelsalesdata[[#This Row],[Net_sales]]-excelsalesdata[[#This Row],[Cost]]</f>
        <v>9788</v>
      </c>
      <c r="AA1456" s="5">
        <f>excelsalesdata[[#This Row],[Profit]]/excelsalesdata[[#This Row],[Net_sales]]</f>
        <v>0.62791891198357708</v>
      </c>
      <c r="AB1456" s="4">
        <f>YEAR(excelsalesdata[[#This Row],[Order_Date]])</f>
        <v>2029</v>
      </c>
      <c r="AC1456" s="4" t="str">
        <f>TEXT(excelsalesdata[[#This Row],[Order_Date]],"mmm")</f>
        <v>Apr</v>
      </c>
      <c r="AD1456" s="4" t="str">
        <f>"Q"&amp;ROUNDUP(MONTH(excelsalesdata[[#This Row],[Order_Date]])/3,0)</f>
        <v>Q2</v>
      </c>
    </row>
    <row r="1457" spans="1:30" x14ac:dyDescent="0.35">
      <c r="A1457" t="s">
        <v>2283</v>
      </c>
      <c r="B1457" s="3">
        <v>47215</v>
      </c>
      <c r="C1457" t="s">
        <v>452</v>
      </c>
      <c r="D1457" t="s">
        <v>914</v>
      </c>
      <c r="E1457" t="str">
        <f>TRIM(excelsalesdata[[#This Row],[Customer_Name]])</f>
        <v>Nisha Kumar</v>
      </c>
      <c r="F1457" t="s">
        <v>44</v>
      </c>
      <c r="G1457">
        <v>45</v>
      </c>
      <c r="H1457" t="s">
        <v>155</v>
      </c>
      <c r="I1457" t="str">
        <f>TRIM(excelsalesdata[[#This Row],[City]])</f>
        <v>Chennai</v>
      </c>
      <c r="J1457" t="s">
        <v>156</v>
      </c>
      <c r="K1457" t="s">
        <v>47</v>
      </c>
      <c r="L1457" t="s">
        <v>27</v>
      </c>
      <c r="M1457" t="s">
        <v>123</v>
      </c>
      <c r="N1457" t="s">
        <v>123</v>
      </c>
      <c r="O1457">
        <v>1</v>
      </c>
      <c r="P1457">
        <v>2640</v>
      </c>
      <c r="Q1457">
        <v>0</v>
      </c>
      <c r="R1457">
        <v>1570</v>
      </c>
      <c r="S1457" t="s">
        <v>67</v>
      </c>
      <c r="T1457" t="s">
        <v>30</v>
      </c>
      <c r="U1457">
        <v>2</v>
      </c>
      <c r="V1457" t="s">
        <v>40</v>
      </c>
      <c r="W1457">
        <f>excelsalesdata[[#This Row],[Quantity]]*excelsalesdata[[#This Row],[Unit_Price]]</f>
        <v>2640</v>
      </c>
      <c r="X1457">
        <f>excelsalesdata[[#This Row],[Gross_sales]]*excelsalesdata[[#This Row],[Discount_%]]</f>
        <v>0</v>
      </c>
      <c r="Y1457">
        <f>excelsalesdata[[#This Row],[Gross_sales]]-excelsalesdata[[#This Row],[Discount_amt]]</f>
        <v>2640</v>
      </c>
      <c r="Z1457" s="4">
        <f>excelsalesdata[[#This Row],[Net_sales]]-excelsalesdata[[#This Row],[Cost]]</f>
        <v>1070</v>
      </c>
      <c r="AA1457" s="5">
        <f>excelsalesdata[[#This Row],[Profit]]/excelsalesdata[[#This Row],[Net_sales]]</f>
        <v>0.40530303030303028</v>
      </c>
      <c r="AB1457" s="4">
        <f>YEAR(excelsalesdata[[#This Row],[Order_Date]])</f>
        <v>2029</v>
      </c>
      <c r="AC1457" s="4" t="str">
        <f>TEXT(excelsalesdata[[#This Row],[Order_Date]],"mmm")</f>
        <v>Apr</v>
      </c>
      <c r="AD1457" s="4" t="str">
        <f>"Q"&amp;ROUNDUP(MONTH(excelsalesdata[[#This Row],[Order_Date]])/3,0)</f>
        <v>Q2</v>
      </c>
    </row>
    <row r="1458" spans="1:30" x14ac:dyDescent="0.35">
      <c r="A1458" t="s">
        <v>2284</v>
      </c>
      <c r="B1458" s="3">
        <v>47216</v>
      </c>
      <c r="C1458" t="s">
        <v>21</v>
      </c>
      <c r="D1458" t="s">
        <v>1392</v>
      </c>
      <c r="E1458" t="str">
        <f>TRIM(excelsalesdata[[#This Row],[Customer_Name]])</f>
        <v>Rohan Das</v>
      </c>
      <c r="F1458" t="s">
        <v>44</v>
      </c>
      <c r="G1458">
        <v>51</v>
      </c>
      <c r="H1458" t="s">
        <v>45</v>
      </c>
      <c r="I1458" t="str">
        <f>TRIM(excelsalesdata[[#This Row],[City]])</f>
        <v>Kochi</v>
      </c>
      <c r="J1458" t="s">
        <v>46</v>
      </c>
      <c r="K1458" t="s">
        <v>47</v>
      </c>
      <c r="L1458" t="s">
        <v>85</v>
      </c>
      <c r="M1458" t="s">
        <v>86</v>
      </c>
      <c r="N1458" t="s">
        <v>86</v>
      </c>
      <c r="O1458">
        <v>1</v>
      </c>
      <c r="P1458">
        <v>2560</v>
      </c>
      <c r="Q1458">
        <v>0.2</v>
      </c>
      <c r="R1458">
        <v>1490</v>
      </c>
      <c r="S1458" t="s">
        <v>105</v>
      </c>
      <c r="T1458" t="s">
        <v>81</v>
      </c>
      <c r="U1458">
        <v>0</v>
      </c>
      <c r="V1458" t="s">
        <v>31</v>
      </c>
      <c r="W1458">
        <f>excelsalesdata[[#This Row],[Quantity]]*excelsalesdata[[#This Row],[Unit_Price]]</f>
        <v>2560</v>
      </c>
      <c r="X1458">
        <f>excelsalesdata[[#This Row],[Gross_sales]]*excelsalesdata[[#This Row],[Discount_%]]</f>
        <v>512</v>
      </c>
      <c r="Y1458">
        <f>excelsalesdata[[#This Row],[Gross_sales]]-excelsalesdata[[#This Row],[Discount_amt]]</f>
        <v>2048</v>
      </c>
      <c r="Z1458" s="4">
        <f>excelsalesdata[[#This Row],[Net_sales]]-excelsalesdata[[#This Row],[Cost]]</f>
        <v>558</v>
      </c>
      <c r="AA1458" s="5">
        <f>excelsalesdata[[#This Row],[Profit]]/excelsalesdata[[#This Row],[Net_sales]]</f>
        <v>0.2724609375</v>
      </c>
      <c r="AB1458" s="4">
        <f>YEAR(excelsalesdata[[#This Row],[Order_Date]])</f>
        <v>2029</v>
      </c>
      <c r="AC1458" s="4" t="str">
        <f>TEXT(excelsalesdata[[#This Row],[Order_Date]],"mmm")</f>
        <v>Apr</v>
      </c>
      <c r="AD1458" s="4" t="str">
        <f>"Q"&amp;ROUNDUP(MONTH(excelsalesdata[[#This Row],[Order_Date]])/3,0)</f>
        <v>Q2</v>
      </c>
    </row>
    <row r="1459" spans="1:30" x14ac:dyDescent="0.35">
      <c r="A1459" t="s">
        <v>2285</v>
      </c>
      <c r="B1459" s="3">
        <v>47217</v>
      </c>
      <c r="C1459" t="s">
        <v>730</v>
      </c>
      <c r="D1459" t="s">
        <v>1839</v>
      </c>
      <c r="E1459" t="str">
        <f>TRIM(excelsalesdata[[#This Row],[Customer_Name]])</f>
        <v>Diya Nair</v>
      </c>
      <c r="F1459" t="s">
        <v>23</v>
      </c>
      <c r="G1459">
        <v>46</v>
      </c>
      <c r="H1459" t="s">
        <v>71</v>
      </c>
      <c r="I1459" t="str">
        <f>TRIM(excelsalesdata[[#This Row],[City]])</f>
        <v>Bhubaneswar</v>
      </c>
      <c r="J1459" t="s">
        <v>72</v>
      </c>
      <c r="K1459" t="s">
        <v>37</v>
      </c>
      <c r="L1459" t="s">
        <v>93</v>
      </c>
      <c r="M1459" t="s">
        <v>375</v>
      </c>
      <c r="N1459" t="s">
        <v>375</v>
      </c>
      <c r="O1459">
        <v>2</v>
      </c>
      <c r="P1459">
        <v>2160</v>
      </c>
      <c r="Q1459">
        <v>0.05</v>
      </c>
      <c r="R1459">
        <v>1250</v>
      </c>
      <c r="S1459" t="s">
        <v>67</v>
      </c>
      <c r="T1459" t="s">
        <v>30</v>
      </c>
      <c r="U1459">
        <v>3</v>
      </c>
      <c r="V1459" t="s">
        <v>40</v>
      </c>
      <c r="W1459">
        <f>excelsalesdata[[#This Row],[Quantity]]*excelsalesdata[[#This Row],[Unit_Price]]</f>
        <v>4320</v>
      </c>
      <c r="X1459">
        <f>excelsalesdata[[#This Row],[Gross_sales]]*excelsalesdata[[#This Row],[Discount_%]]</f>
        <v>216</v>
      </c>
      <c r="Y1459">
        <f>excelsalesdata[[#This Row],[Gross_sales]]-excelsalesdata[[#This Row],[Discount_amt]]</f>
        <v>4104</v>
      </c>
      <c r="Z1459" s="4">
        <f>excelsalesdata[[#This Row],[Net_sales]]-excelsalesdata[[#This Row],[Cost]]</f>
        <v>2854</v>
      </c>
      <c r="AA1459" s="5">
        <f>excelsalesdata[[#This Row],[Profit]]/excelsalesdata[[#This Row],[Net_sales]]</f>
        <v>0.69541910331384016</v>
      </c>
      <c r="AB1459" s="4">
        <f>YEAR(excelsalesdata[[#This Row],[Order_Date]])</f>
        <v>2029</v>
      </c>
      <c r="AC1459" s="4" t="str">
        <f>TEXT(excelsalesdata[[#This Row],[Order_Date]],"mmm")</f>
        <v>Apr</v>
      </c>
      <c r="AD1459" s="4" t="str">
        <f>"Q"&amp;ROUNDUP(MONTH(excelsalesdata[[#This Row],[Order_Date]])/3,0)</f>
        <v>Q2</v>
      </c>
    </row>
    <row r="1460" spans="1:30" x14ac:dyDescent="0.35">
      <c r="A1460" t="s">
        <v>2286</v>
      </c>
      <c r="B1460" s="3">
        <v>47218</v>
      </c>
      <c r="C1460" t="s">
        <v>893</v>
      </c>
      <c r="D1460" t="s">
        <v>685</v>
      </c>
      <c r="E1460" t="str">
        <f>TRIM(excelsalesdata[[#This Row],[Customer_Name]])</f>
        <v>Arjun Reddy</v>
      </c>
      <c r="F1460" t="s">
        <v>44</v>
      </c>
      <c r="G1460">
        <v>48</v>
      </c>
      <c r="H1460" t="s">
        <v>52</v>
      </c>
      <c r="I1460" t="str">
        <f>TRIM(excelsalesdata[[#This Row],[City]])</f>
        <v>Bengaluru</v>
      </c>
      <c r="J1460" t="s">
        <v>53</v>
      </c>
      <c r="K1460" t="s">
        <v>47</v>
      </c>
      <c r="L1460" t="s">
        <v>85</v>
      </c>
      <c r="M1460" t="s">
        <v>110</v>
      </c>
      <c r="N1460" t="s">
        <v>110</v>
      </c>
      <c r="O1460">
        <v>2</v>
      </c>
      <c r="P1460">
        <v>1240</v>
      </c>
      <c r="Q1460">
        <v>0.2</v>
      </c>
      <c r="R1460">
        <v>570</v>
      </c>
      <c r="S1460" t="s">
        <v>29</v>
      </c>
      <c r="T1460" t="s">
        <v>30</v>
      </c>
      <c r="U1460">
        <v>6</v>
      </c>
      <c r="V1460" t="s">
        <v>40</v>
      </c>
      <c r="W1460">
        <f>excelsalesdata[[#This Row],[Quantity]]*excelsalesdata[[#This Row],[Unit_Price]]</f>
        <v>2480</v>
      </c>
      <c r="X1460">
        <f>excelsalesdata[[#This Row],[Gross_sales]]*excelsalesdata[[#This Row],[Discount_%]]</f>
        <v>496</v>
      </c>
      <c r="Y1460">
        <f>excelsalesdata[[#This Row],[Gross_sales]]-excelsalesdata[[#This Row],[Discount_amt]]</f>
        <v>1984</v>
      </c>
      <c r="Z1460" s="4">
        <f>excelsalesdata[[#This Row],[Net_sales]]-excelsalesdata[[#This Row],[Cost]]</f>
        <v>1414</v>
      </c>
      <c r="AA1460" s="5">
        <f>excelsalesdata[[#This Row],[Profit]]/excelsalesdata[[#This Row],[Net_sales]]</f>
        <v>0.71270161290322576</v>
      </c>
      <c r="AB1460" s="4">
        <f>YEAR(excelsalesdata[[#This Row],[Order_Date]])</f>
        <v>2029</v>
      </c>
      <c r="AC1460" s="4" t="str">
        <f>TEXT(excelsalesdata[[#This Row],[Order_Date]],"mmm")</f>
        <v>Apr</v>
      </c>
      <c r="AD1460" s="4" t="str">
        <f>"Q"&amp;ROUNDUP(MONTH(excelsalesdata[[#This Row],[Order_Date]])/3,0)</f>
        <v>Q2</v>
      </c>
    </row>
    <row r="1461" spans="1:30" x14ac:dyDescent="0.35">
      <c r="A1461" t="s">
        <v>2287</v>
      </c>
      <c r="B1461" s="3">
        <v>47219</v>
      </c>
      <c r="C1461" t="s">
        <v>791</v>
      </c>
      <c r="D1461" t="s">
        <v>954</v>
      </c>
      <c r="E1461" t="str">
        <f>TRIM(excelsalesdata[[#This Row],[Customer_Name]])</f>
        <v>Ishita Nair</v>
      </c>
      <c r="F1461" t="s">
        <v>44</v>
      </c>
      <c r="G1461">
        <v>57</v>
      </c>
      <c r="H1461" t="s">
        <v>60</v>
      </c>
      <c r="I1461" t="str">
        <f>TRIM(excelsalesdata[[#This Row],[City]])</f>
        <v>Chandigarh</v>
      </c>
      <c r="J1461" t="s">
        <v>60</v>
      </c>
      <c r="K1461" t="s">
        <v>61</v>
      </c>
      <c r="L1461" t="s">
        <v>27</v>
      </c>
      <c r="M1461" t="s">
        <v>28</v>
      </c>
      <c r="N1461" t="s">
        <v>28</v>
      </c>
      <c r="O1461">
        <v>4</v>
      </c>
      <c r="P1461">
        <v>3530</v>
      </c>
      <c r="Q1461">
        <v>0.2</v>
      </c>
      <c r="R1461">
        <v>2040</v>
      </c>
      <c r="S1461" t="s">
        <v>80</v>
      </c>
      <c r="T1461" t="s">
        <v>74</v>
      </c>
      <c r="U1461">
        <v>1</v>
      </c>
      <c r="V1461" t="s">
        <v>40</v>
      </c>
      <c r="W1461">
        <f>excelsalesdata[[#This Row],[Quantity]]*excelsalesdata[[#This Row],[Unit_Price]]</f>
        <v>14120</v>
      </c>
      <c r="X1461">
        <f>excelsalesdata[[#This Row],[Gross_sales]]*excelsalesdata[[#This Row],[Discount_%]]</f>
        <v>2824</v>
      </c>
      <c r="Y1461">
        <f>excelsalesdata[[#This Row],[Gross_sales]]-excelsalesdata[[#This Row],[Discount_amt]]</f>
        <v>11296</v>
      </c>
      <c r="Z1461" s="4">
        <f>excelsalesdata[[#This Row],[Net_sales]]-excelsalesdata[[#This Row],[Cost]]</f>
        <v>9256</v>
      </c>
      <c r="AA1461" s="5">
        <f>excelsalesdata[[#This Row],[Profit]]/excelsalesdata[[#This Row],[Net_sales]]</f>
        <v>0.81940509915014159</v>
      </c>
      <c r="AB1461" s="4">
        <f>YEAR(excelsalesdata[[#This Row],[Order_Date]])</f>
        <v>2029</v>
      </c>
      <c r="AC1461" s="4" t="str">
        <f>TEXT(excelsalesdata[[#This Row],[Order_Date]],"mmm")</f>
        <v>Apr</v>
      </c>
      <c r="AD1461" s="4" t="str">
        <f>"Q"&amp;ROUNDUP(MONTH(excelsalesdata[[#This Row],[Order_Date]])/3,0)</f>
        <v>Q2</v>
      </c>
    </row>
    <row r="1462" spans="1:30" x14ac:dyDescent="0.35">
      <c r="A1462" t="s">
        <v>2288</v>
      </c>
      <c r="B1462" s="3">
        <v>47220</v>
      </c>
      <c r="C1462" t="s">
        <v>1295</v>
      </c>
      <c r="D1462" t="s">
        <v>97</v>
      </c>
      <c r="E1462" t="str">
        <f>TRIM(excelsalesdata[[#This Row],[Customer_Name]])</f>
        <v>Aditya Shah</v>
      </c>
      <c r="F1462" t="s">
        <v>23</v>
      </c>
      <c r="G1462">
        <v>54</v>
      </c>
      <c r="H1462" t="s">
        <v>114</v>
      </c>
      <c r="I1462" t="str">
        <f>TRIM(excelsalesdata[[#This Row],[City]])</f>
        <v>Hyderabad</v>
      </c>
      <c r="J1462" t="s">
        <v>115</v>
      </c>
      <c r="K1462" t="s">
        <v>47</v>
      </c>
      <c r="L1462" t="s">
        <v>54</v>
      </c>
      <c r="M1462" t="s">
        <v>55</v>
      </c>
      <c r="N1462" t="s">
        <v>55</v>
      </c>
      <c r="O1462">
        <v>2</v>
      </c>
      <c r="P1462">
        <v>6560</v>
      </c>
      <c r="Q1462">
        <v>0.05</v>
      </c>
      <c r="R1462">
        <v>4720</v>
      </c>
      <c r="S1462" t="s">
        <v>29</v>
      </c>
      <c r="T1462" t="s">
        <v>30</v>
      </c>
      <c r="U1462">
        <v>3</v>
      </c>
      <c r="V1462" t="s">
        <v>31</v>
      </c>
      <c r="W1462">
        <f>excelsalesdata[[#This Row],[Quantity]]*excelsalesdata[[#This Row],[Unit_Price]]</f>
        <v>13120</v>
      </c>
      <c r="X1462">
        <f>excelsalesdata[[#This Row],[Gross_sales]]*excelsalesdata[[#This Row],[Discount_%]]</f>
        <v>656</v>
      </c>
      <c r="Y1462">
        <f>excelsalesdata[[#This Row],[Gross_sales]]-excelsalesdata[[#This Row],[Discount_amt]]</f>
        <v>12464</v>
      </c>
      <c r="Z1462" s="4">
        <f>excelsalesdata[[#This Row],[Net_sales]]-excelsalesdata[[#This Row],[Cost]]</f>
        <v>7744</v>
      </c>
      <c r="AA1462" s="5">
        <f>excelsalesdata[[#This Row],[Profit]]/excelsalesdata[[#This Row],[Net_sales]]</f>
        <v>0.62130937098844674</v>
      </c>
      <c r="AB1462" s="4">
        <f>YEAR(excelsalesdata[[#This Row],[Order_Date]])</f>
        <v>2029</v>
      </c>
      <c r="AC1462" s="4" t="str">
        <f>TEXT(excelsalesdata[[#This Row],[Order_Date]],"mmm")</f>
        <v>Apr</v>
      </c>
      <c r="AD1462" s="4" t="str">
        <f>"Q"&amp;ROUNDUP(MONTH(excelsalesdata[[#This Row],[Order_Date]])/3,0)</f>
        <v>Q2</v>
      </c>
    </row>
    <row r="1463" spans="1:30" x14ac:dyDescent="0.35">
      <c r="A1463" t="s">
        <v>2289</v>
      </c>
      <c r="B1463" s="3">
        <v>47221</v>
      </c>
      <c r="C1463" t="s">
        <v>607</v>
      </c>
      <c r="D1463" t="s">
        <v>43</v>
      </c>
      <c r="E1463" t="str">
        <f>TRIM(excelsalesdata[[#This Row],[Customer_Name]])</f>
        <v>Nisha Nair</v>
      </c>
      <c r="F1463" t="s">
        <v>23</v>
      </c>
      <c r="G1463">
        <v>21</v>
      </c>
      <c r="H1463" t="s">
        <v>35</v>
      </c>
      <c r="I1463" t="str">
        <f>TRIM(excelsalesdata[[#This Row],[City]])</f>
        <v>Kolkata</v>
      </c>
      <c r="J1463" t="s">
        <v>36</v>
      </c>
      <c r="K1463" t="s">
        <v>37</v>
      </c>
      <c r="L1463" t="s">
        <v>93</v>
      </c>
      <c r="M1463" t="s">
        <v>135</v>
      </c>
      <c r="N1463" t="s">
        <v>135</v>
      </c>
      <c r="O1463">
        <v>2</v>
      </c>
      <c r="P1463">
        <v>1850</v>
      </c>
      <c r="Q1463">
        <v>0.25</v>
      </c>
      <c r="R1463">
        <v>1050</v>
      </c>
      <c r="S1463" t="s">
        <v>80</v>
      </c>
      <c r="T1463" t="s">
        <v>30</v>
      </c>
      <c r="U1463">
        <v>6</v>
      </c>
      <c r="V1463" t="s">
        <v>40</v>
      </c>
      <c r="W1463">
        <f>excelsalesdata[[#This Row],[Quantity]]*excelsalesdata[[#This Row],[Unit_Price]]</f>
        <v>3700</v>
      </c>
      <c r="X1463">
        <f>excelsalesdata[[#This Row],[Gross_sales]]*excelsalesdata[[#This Row],[Discount_%]]</f>
        <v>925</v>
      </c>
      <c r="Y1463">
        <f>excelsalesdata[[#This Row],[Gross_sales]]-excelsalesdata[[#This Row],[Discount_amt]]</f>
        <v>2775</v>
      </c>
      <c r="Z1463" s="4">
        <f>excelsalesdata[[#This Row],[Net_sales]]-excelsalesdata[[#This Row],[Cost]]</f>
        <v>1725</v>
      </c>
      <c r="AA1463" s="5">
        <f>excelsalesdata[[#This Row],[Profit]]/excelsalesdata[[#This Row],[Net_sales]]</f>
        <v>0.6216216216216216</v>
      </c>
      <c r="AB1463" s="4">
        <f>YEAR(excelsalesdata[[#This Row],[Order_Date]])</f>
        <v>2029</v>
      </c>
      <c r="AC1463" s="4" t="str">
        <f>TEXT(excelsalesdata[[#This Row],[Order_Date]],"mmm")</f>
        <v>Apr</v>
      </c>
      <c r="AD1463" s="4" t="str">
        <f>"Q"&amp;ROUNDUP(MONTH(excelsalesdata[[#This Row],[Order_Date]])/3,0)</f>
        <v>Q2</v>
      </c>
    </row>
    <row r="1464" spans="1:30" x14ac:dyDescent="0.35">
      <c r="A1464" t="s">
        <v>2290</v>
      </c>
      <c r="B1464" s="3">
        <v>47222</v>
      </c>
      <c r="C1464" t="s">
        <v>644</v>
      </c>
      <c r="D1464" t="s">
        <v>302</v>
      </c>
      <c r="E1464" t="str">
        <f>TRIM(excelsalesdata[[#This Row],[Customer_Name]])</f>
        <v>Diya Patel</v>
      </c>
      <c r="F1464" t="s">
        <v>44</v>
      </c>
      <c r="G1464">
        <v>21</v>
      </c>
      <c r="H1464" t="s">
        <v>109</v>
      </c>
      <c r="I1464" t="str">
        <f>TRIM(excelsalesdata[[#This Row],[City]])</f>
        <v>Mysuru</v>
      </c>
      <c r="J1464" t="s">
        <v>53</v>
      </c>
      <c r="K1464" t="s">
        <v>47</v>
      </c>
      <c r="L1464" t="s">
        <v>93</v>
      </c>
      <c r="M1464" t="s">
        <v>718</v>
      </c>
      <c r="N1464" t="s">
        <v>718</v>
      </c>
      <c r="O1464">
        <v>4</v>
      </c>
      <c r="P1464">
        <v>1900</v>
      </c>
      <c r="Q1464">
        <v>0.05</v>
      </c>
      <c r="R1464">
        <v>920</v>
      </c>
      <c r="S1464" t="s">
        <v>29</v>
      </c>
      <c r="T1464" t="s">
        <v>30</v>
      </c>
      <c r="U1464">
        <v>4</v>
      </c>
      <c r="V1464" t="s">
        <v>31</v>
      </c>
      <c r="W1464">
        <f>excelsalesdata[[#This Row],[Quantity]]*excelsalesdata[[#This Row],[Unit_Price]]</f>
        <v>7600</v>
      </c>
      <c r="X1464">
        <f>excelsalesdata[[#This Row],[Gross_sales]]*excelsalesdata[[#This Row],[Discount_%]]</f>
        <v>380</v>
      </c>
      <c r="Y1464">
        <f>excelsalesdata[[#This Row],[Gross_sales]]-excelsalesdata[[#This Row],[Discount_amt]]</f>
        <v>7220</v>
      </c>
      <c r="Z1464" s="4">
        <f>excelsalesdata[[#This Row],[Net_sales]]-excelsalesdata[[#This Row],[Cost]]</f>
        <v>6300</v>
      </c>
      <c r="AA1464" s="5">
        <f>excelsalesdata[[#This Row],[Profit]]/excelsalesdata[[#This Row],[Net_sales]]</f>
        <v>0.87257617728531855</v>
      </c>
      <c r="AB1464" s="4">
        <f>YEAR(excelsalesdata[[#This Row],[Order_Date]])</f>
        <v>2029</v>
      </c>
      <c r="AC1464" s="4" t="str">
        <f>TEXT(excelsalesdata[[#This Row],[Order_Date]],"mmm")</f>
        <v>Apr</v>
      </c>
      <c r="AD1464" s="4" t="str">
        <f>"Q"&amp;ROUNDUP(MONTH(excelsalesdata[[#This Row],[Order_Date]])/3,0)</f>
        <v>Q2</v>
      </c>
    </row>
    <row r="1465" spans="1:30" x14ac:dyDescent="0.35">
      <c r="A1465" t="s">
        <v>2291</v>
      </c>
      <c r="B1465" s="3">
        <v>47223</v>
      </c>
      <c r="C1465" t="s">
        <v>91</v>
      </c>
      <c r="D1465" t="s">
        <v>833</v>
      </c>
      <c r="E1465" t="str">
        <f>TRIM(excelsalesdata[[#This Row],[Customer_Name]])</f>
        <v>Rohan Mehta</v>
      </c>
      <c r="F1465" t="s">
        <v>44</v>
      </c>
      <c r="G1465">
        <v>29</v>
      </c>
      <c r="H1465" t="s">
        <v>168</v>
      </c>
      <c r="I1465" t="str">
        <f>TRIM(excelsalesdata[[#This Row],[City]])</f>
        <v>Delhi</v>
      </c>
      <c r="J1465" t="s">
        <v>168</v>
      </c>
      <c r="K1465" t="s">
        <v>61</v>
      </c>
      <c r="L1465" t="s">
        <v>93</v>
      </c>
      <c r="M1465" t="s">
        <v>135</v>
      </c>
      <c r="N1465" t="s">
        <v>135</v>
      </c>
      <c r="O1465">
        <v>1</v>
      </c>
      <c r="P1465">
        <v>1720</v>
      </c>
      <c r="Q1465">
        <v>0.2</v>
      </c>
      <c r="R1465">
        <v>980</v>
      </c>
      <c r="S1465" t="s">
        <v>29</v>
      </c>
      <c r="T1465" t="s">
        <v>30</v>
      </c>
      <c r="U1465">
        <v>3</v>
      </c>
      <c r="V1465" t="s">
        <v>40</v>
      </c>
      <c r="W1465">
        <f>excelsalesdata[[#This Row],[Quantity]]*excelsalesdata[[#This Row],[Unit_Price]]</f>
        <v>1720</v>
      </c>
      <c r="X1465">
        <f>excelsalesdata[[#This Row],[Gross_sales]]*excelsalesdata[[#This Row],[Discount_%]]</f>
        <v>344</v>
      </c>
      <c r="Y1465">
        <f>excelsalesdata[[#This Row],[Gross_sales]]-excelsalesdata[[#This Row],[Discount_amt]]</f>
        <v>1376</v>
      </c>
      <c r="Z1465" s="4">
        <f>excelsalesdata[[#This Row],[Net_sales]]-excelsalesdata[[#This Row],[Cost]]</f>
        <v>396</v>
      </c>
      <c r="AA1465" s="5">
        <f>excelsalesdata[[#This Row],[Profit]]/excelsalesdata[[#This Row],[Net_sales]]</f>
        <v>0.28779069767441862</v>
      </c>
      <c r="AB1465" s="4">
        <f>YEAR(excelsalesdata[[#This Row],[Order_Date]])</f>
        <v>2029</v>
      </c>
      <c r="AC1465" s="4" t="str">
        <f>TEXT(excelsalesdata[[#This Row],[Order_Date]],"mmm")</f>
        <v>Apr</v>
      </c>
      <c r="AD1465" s="4" t="str">
        <f>"Q"&amp;ROUNDUP(MONTH(excelsalesdata[[#This Row],[Order_Date]])/3,0)</f>
        <v>Q2</v>
      </c>
    </row>
    <row r="1466" spans="1:30" x14ac:dyDescent="0.35">
      <c r="A1466" t="s">
        <v>2292</v>
      </c>
      <c r="B1466" s="3">
        <v>47224</v>
      </c>
      <c r="C1466" t="s">
        <v>1270</v>
      </c>
      <c r="D1466" t="s">
        <v>138</v>
      </c>
      <c r="E1466" t="str">
        <f>TRIM(excelsalesdata[[#This Row],[Customer_Name]])</f>
        <v>Vikram Bhat</v>
      </c>
      <c r="F1466" t="s">
        <v>44</v>
      </c>
      <c r="G1466">
        <v>36</v>
      </c>
      <c r="H1466" t="s">
        <v>71</v>
      </c>
      <c r="I1466" t="str">
        <f>TRIM(excelsalesdata[[#This Row],[City]])</f>
        <v>Bhubaneswar</v>
      </c>
      <c r="J1466" t="s">
        <v>72</v>
      </c>
      <c r="K1466" t="s">
        <v>37</v>
      </c>
      <c r="L1466" t="s">
        <v>27</v>
      </c>
      <c r="M1466" t="s">
        <v>28</v>
      </c>
      <c r="N1466" t="s">
        <v>28</v>
      </c>
      <c r="O1466">
        <v>1</v>
      </c>
      <c r="P1466">
        <v>3490</v>
      </c>
      <c r="Q1466">
        <v>0.3</v>
      </c>
      <c r="R1466">
        <v>2090</v>
      </c>
      <c r="S1466" t="s">
        <v>151</v>
      </c>
      <c r="T1466" t="s">
        <v>30</v>
      </c>
      <c r="U1466">
        <v>2</v>
      </c>
      <c r="V1466" t="s">
        <v>40</v>
      </c>
      <c r="W1466">
        <f>excelsalesdata[[#This Row],[Quantity]]*excelsalesdata[[#This Row],[Unit_Price]]</f>
        <v>3490</v>
      </c>
      <c r="X1466">
        <f>excelsalesdata[[#This Row],[Gross_sales]]*excelsalesdata[[#This Row],[Discount_%]]</f>
        <v>1047</v>
      </c>
      <c r="Y1466">
        <f>excelsalesdata[[#This Row],[Gross_sales]]-excelsalesdata[[#This Row],[Discount_amt]]</f>
        <v>2443</v>
      </c>
      <c r="Z1466" s="4">
        <f>excelsalesdata[[#This Row],[Net_sales]]-excelsalesdata[[#This Row],[Cost]]</f>
        <v>353</v>
      </c>
      <c r="AA1466" s="5">
        <f>excelsalesdata[[#This Row],[Profit]]/excelsalesdata[[#This Row],[Net_sales]]</f>
        <v>0.14449447400736798</v>
      </c>
      <c r="AB1466" s="4">
        <f>YEAR(excelsalesdata[[#This Row],[Order_Date]])</f>
        <v>2029</v>
      </c>
      <c r="AC1466" s="4" t="str">
        <f>TEXT(excelsalesdata[[#This Row],[Order_Date]],"mmm")</f>
        <v>Apr</v>
      </c>
      <c r="AD1466" s="4" t="str">
        <f>"Q"&amp;ROUNDUP(MONTH(excelsalesdata[[#This Row],[Order_Date]])/3,0)</f>
        <v>Q2</v>
      </c>
    </row>
    <row r="1467" spans="1:30" x14ac:dyDescent="0.35">
      <c r="A1467" t="s">
        <v>2293</v>
      </c>
      <c r="B1467" s="3">
        <v>47225</v>
      </c>
      <c r="C1467" t="s">
        <v>1144</v>
      </c>
      <c r="D1467" t="s">
        <v>219</v>
      </c>
      <c r="E1467" t="str">
        <f>TRIM(excelsalesdata[[#This Row],[Customer_Name]])</f>
        <v>Rohan Patel</v>
      </c>
      <c r="F1467" t="s">
        <v>23</v>
      </c>
      <c r="G1467">
        <v>48</v>
      </c>
      <c r="H1467" t="s">
        <v>52</v>
      </c>
      <c r="I1467" t="str">
        <f>TRIM(excelsalesdata[[#This Row],[City]])</f>
        <v>Bengaluru</v>
      </c>
      <c r="J1467" t="s">
        <v>53</v>
      </c>
      <c r="K1467" t="s">
        <v>47</v>
      </c>
      <c r="L1467" t="s">
        <v>103</v>
      </c>
      <c r="M1467" t="s">
        <v>347</v>
      </c>
      <c r="N1467" t="s">
        <v>347</v>
      </c>
      <c r="O1467">
        <v>2</v>
      </c>
      <c r="P1467">
        <v>11350</v>
      </c>
      <c r="Q1467">
        <v>0</v>
      </c>
      <c r="R1467">
        <v>8010</v>
      </c>
      <c r="S1467" t="s">
        <v>105</v>
      </c>
      <c r="T1467" t="s">
        <v>81</v>
      </c>
      <c r="U1467">
        <v>0</v>
      </c>
      <c r="V1467" t="s">
        <v>31</v>
      </c>
      <c r="W1467">
        <f>excelsalesdata[[#This Row],[Quantity]]*excelsalesdata[[#This Row],[Unit_Price]]</f>
        <v>22700</v>
      </c>
      <c r="X1467">
        <f>excelsalesdata[[#This Row],[Gross_sales]]*excelsalesdata[[#This Row],[Discount_%]]</f>
        <v>0</v>
      </c>
      <c r="Y1467">
        <f>excelsalesdata[[#This Row],[Gross_sales]]-excelsalesdata[[#This Row],[Discount_amt]]</f>
        <v>22700</v>
      </c>
      <c r="Z1467" s="4">
        <f>excelsalesdata[[#This Row],[Net_sales]]-excelsalesdata[[#This Row],[Cost]]</f>
        <v>14690</v>
      </c>
      <c r="AA1467" s="5">
        <f>excelsalesdata[[#This Row],[Profit]]/excelsalesdata[[#This Row],[Net_sales]]</f>
        <v>0.64713656387665197</v>
      </c>
      <c r="AB1467" s="4">
        <f>YEAR(excelsalesdata[[#This Row],[Order_Date]])</f>
        <v>2029</v>
      </c>
      <c r="AC1467" s="4" t="str">
        <f>TEXT(excelsalesdata[[#This Row],[Order_Date]],"mmm")</f>
        <v>Apr</v>
      </c>
      <c r="AD1467" s="4" t="str">
        <f>"Q"&amp;ROUNDUP(MONTH(excelsalesdata[[#This Row],[Order_Date]])/3,0)</f>
        <v>Q2</v>
      </c>
    </row>
    <row r="1468" spans="1:30" x14ac:dyDescent="0.35">
      <c r="A1468" t="s">
        <v>2294</v>
      </c>
      <c r="B1468" s="3">
        <v>47226</v>
      </c>
      <c r="C1468" t="s">
        <v>1086</v>
      </c>
      <c r="D1468" t="s">
        <v>488</v>
      </c>
      <c r="E1468" t="str">
        <f>TRIM(excelsalesdata[[#This Row],[Customer_Name]])</f>
        <v>Nisha Singh</v>
      </c>
      <c r="F1468" t="s">
        <v>23</v>
      </c>
      <c r="G1468">
        <v>22</v>
      </c>
      <c r="H1468" t="s">
        <v>168</v>
      </c>
      <c r="I1468" t="str">
        <f>TRIM(excelsalesdata[[#This Row],[City]])</f>
        <v>Delhi</v>
      </c>
      <c r="J1468" t="s">
        <v>168</v>
      </c>
      <c r="K1468" t="s">
        <v>61</v>
      </c>
      <c r="L1468" t="s">
        <v>54</v>
      </c>
      <c r="M1468" t="s">
        <v>55</v>
      </c>
      <c r="N1468" t="s">
        <v>55</v>
      </c>
      <c r="O1468">
        <v>3</v>
      </c>
      <c r="P1468">
        <v>7030</v>
      </c>
      <c r="Q1468">
        <v>0.05</v>
      </c>
      <c r="R1468">
        <v>4640</v>
      </c>
      <c r="S1468" t="s">
        <v>29</v>
      </c>
      <c r="T1468" t="s">
        <v>30</v>
      </c>
      <c r="U1468">
        <v>2</v>
      </c>
      <c r="V1468" t="s">
        <v>40</v>
      </c>
      <c r="W1468">
        <f>excelsalesdata[[#This Row],[Quantity]]*excelsalesdata[[#This Row],[Unit_Price]]</f>
        <v>21090</v>
      </c>
      <c r="X1468">
        <f>excelsalesdata[[#This Row],[Gross_sales]]*excelsalesdata[[#This Row],[Discount_%]]</f>
        <v>1054.5</v>
      </c>
      <c r="Y1468">
        <f>excelsalesdata[[#This Row],[Gross_sales]]-excelsalesdata[[#This Row],[Discount_amt]]</f>
        <v>20035.5</v>
      </c>
      <c r="Z1468" s="4">
        <f>excelsalesdata[[#This Row],[Net_sales]]-excelsalesdata[[#This Row],[Cost]]</f>
        <v>15395.5</v>
      </c>
      <c r="AA1468" s="5">
        <f>excelsalesdata[[#This Row],[Profit]]/excelsalesdata[[#This Row],[Net_sales]]</f>
        <v>0.76841107035012857</v>
      </c>
      <c r="AB1468" s="4">
        <f>YEAR(excelsalesdata[[#This Row],[Order_Date]])</f>
        <v>2029</v>
      </c>
      <c r="AC1468" s="4" t="str">
        <f>TEXT(excelsalesdata[[#This Row],[Order_Date]],"mmm")</f>
        <v>Apr</v>
      </c>
      <c r="AD1468" s="4" t="str">
        <f>"Q"&amp;ROUNDUP(MONTH(excelsalesdata[[#This Row],[Order_Date]])/3,0)</f>
        <v>Q2</v>
      </c>
    </row>
    <row r="1469" spans="1:30" x14ac:dyDescent="0.35">
      <c r="A1469" t="s">
        <v>2295</v>
      </c>
      <c r="B1469" s="3">
        <v>47227</v>
      </c>
      <c r="C1469" t="s">
        <v>487</v>
      </c>
      <c r="D1469" t="s">
        <v>937</v>
      </c>
      <c r="E1469" t="str">
        <f>TRIM(excelsalesdata[[#This Row],[Customer_Name]])</f>
        <v>Vikram Singh</v>
      </c>
      <c r="F1469" t="s">
        <v>23</v>
      </c>
      <c r="G1469">
        <v>24</v>
      </c>
      <c r="H1469" t="s">
        <v>98</v>
      </c>
      <c r="I1469" t="str">
        <f>TRIM(excelsalesdata[[#This Row],[City]])</f>
        <v>Mumbai</v>
      </c>
      <c r="J1469" t="s">
        <v>25</v>
      </c>
      <c r="K1469" t="s">
        <v>26</v>
      </c>
      <c r="L1469" t="s">
        <v>54</v>
      </c>
      <c r="M1469" t="s">
        <v>66</v>
      </c>
      <c r="N1469" t="s">
        <v>66</v>
      </c>
      <c r="O1469">
        <v>2</v>
      </c>
      <c r="P1469">
        <v>2470</v>
      </c>
      <c r="Q1469">
        <v>0.1</v>
      </c>
      <c r="R1469">
        <v>1480</v>
      </c>
      <c r="S1469" t="s">
        <v>29</v>
      </c>
      <c r="T1469" t="s">
        <v>99</v>
      </c>
      <c r="U1469">
        <v>6</v>
      </c>
      <c r="V1469" t="s">
        <v>40</v>
      </c>
      <c r="W1469">
        <f>excelsalesdata[[#This Row],[Quantity]]*excelsalesdata[[#This Row],[Unit_Price]]</f>
        <v>4940</v>
      </c>
      <c r="X1469">
        <f>excelsalesdata[[#This Row],[Gross_sales]]*excelsalesdata[[#This Row],[Discount_%]]</f>
        <v>494</v>
      </c>
      <c r="Y1469">
        <f>excelsalesdata[[#This Row],[Gross_sales]]-excelsalesdata[[#This Row],[Discount_amt]]</f>
        <v>4446</v>
      </c>
      <c r="Z1469" s="4">
        <f>excelsalesdata[[#This Row],[Net_sales]]-excelsalesdata[[#This Row],[Cost]]</f>
        <v>2966</v>
      </c>
      <c r="AA1469" s="5">
        <f>excelsalesdata[[#This Row],[Profit]]/excelsalesdata[[#This Row],[Net_sales]]</f>
        <v>0.66711650922177235</v>
      </c>
      <c r="AB1469" s="4">
        <f>YEAR(excelsalesdata[[#This Row],[Order_Date]])</f>
        <v>2029</v>
      </c>
      <c r="AC1469" s="4" t="str">
        <f>TEXT(excelsalesdata[[#This Row],[Order_Date]],"mmm")</f>
        <v>Apr</v>
      </c>
      <c r="AD1469" s="4" t="str">
        <f>"Q"&amp;ROUNDUP(MONTH(excelsalesdata[[#This Row],[Order_Date]])/3,0)</f>
        <v>Q2</v>
      </c>
    </row>
    <row r="1470" spans="1:30" x14ac:dyDescent="0.35">
      <c r="A1470" t="s">
        <v>2296</v>
      </c>
      <c r="B1470" s="3">
        <v>47228</v>
      </c>
      <c r="C1470" t="s">
        <v>987</v>
      </c>
      <c r="D1470" t="s">
        <v>445</v>
      </c>
      <c r="E1470" t="str">
        <f>TRIM(excelsalesdata[[#This Row],[Customer_Name]])</f>
        <v>Priya Gupta</v>
      </c>
      <c r="F1470" t="s">
        <v>23</v>
      </c>
      <c r="G1470">
        <v>40</v>
      </c>
      <c r="H1470" t="s">
        <v>114</v>
      </c>
      <c r="I1470" t="str">
        <f>TRIM(excelsalesdata[[#This Row],[City]])</f>
        <v>Hyderabad</v>
      </c>
      <c r="J1470" t="s">
        <v>115</v>
      </c>
      <c r="K1470" t="s">
        <v>47</v>
      </c>
      <c r="L1470" t="s">
        <v>27</v>
      </c>
      <c r="M1470" t="s">
        <v>28</v>
      </c>
      <c r="N1470" t="s">
        <v>28</v>
      </c>
      <c r="O1470">
        <v>1</v>
      </c>
      <c r="P1470">
        <v>3690</v>
      </c>
      <c r="Q1470">
        <v>0.1</v>
      </c>
      <c r="R1470">
        <v>2030</v>
      </c>
      <c r="S1470" t="s">
        <v>29</v>
      </c>
      <c r="T1470" t="s">
        <v>30</v>
      </c>
      <c r="U1470">
        <v>4</v>
      </c>
      <c r="V1470" t="s">
        <v>40</v>
      </c>
      <c r="W1470">
        <f>excelsalesdata[[#This Row],[Quantity]]*excelsalesdata[[#This Row],[Unit_Price]]</f>
        <v>3690</v>
      </c>
      <c r="X1470">
        <f>excelsalesdata[[#This Row],[Gross_sales]]*excelsalesdata[[#This Row],[Discount_%]]</f>
        <v>369</v>
      </c>
      <c r="Y1470">
        <f>excelsalesdata[[#This Row],[Gross_sales]]-excelsalesdata[[#This Row],[Discount_amt]]</f>
        <v>3321</v>
      </c>
      <c r="Z1470" s="4">
        <f>excelsalesdata[[#This Row],[Net_sales]]-excelsalesdata[[#This Row],[Cost]]</f>
        <v>1291</v>
      </c>
      <c r="AA1470" s="5">
        <f>excelsalesdata[[#This Row],[Profit]]/excelsalesdata[[#This Row],[Net_sales]]</f>
        <v>0.38873833182776274</v>
      </c>
      <c r="AB1470" s="4">
        <f>YEAR(excelsalesdata[[#This Row],[Order_Date]])</f>
        <v>2029</v>
      </c>
      <c r="AC1470" s="4" t="str">
        <f>TEXT(excelsalesdata[[#This Row],[Order_Date]],"mmm")</f>
        <v>Apr</v>
      </c>
      <c r="AD1470" s="4" t="str">
        <f>"Q"&amp;ROUNDUP(MONTH(excelsalesdata[[#This Row],[Order_Date]])/3,0)</f>
        <v>Q2</v>
      </c>
    </row>
    <row r="1471" spans="1:30" x14ac:dyDescent="0.35">
      <c r="A1471" t="s">
        <v>2297</v>
      </c>
      <c r="B1471" s="3">
        <v>47229</v>
      </c>
      <c r="C1471" t="s">
        <v>614</v>
      </c>
      <c r="D1471" t="s">
        <v>1354</v>
      </c>
      <c r="E1471" t="str">
        <f>TRIM(excelsalesdata[[#This Row],[Customer_Name]])</f>
        <v>Priya Shah</v>
      </c>
      <c r="F1471" t="s">
        <v>23</v>
      </c>
      <c r="G1471">
        <v>41</v>
      </c>
      <c r="H1471" t="s">
        <v>114</v>
      </c>
      <c r="I1471" t="str">
        <f>TRIM(excelsalesdata[[#This Row],[City]])</f>
        <v>Hyderabad</v>
      </c>
      <c r="J1471" t="s">
        <v>115</v>
      </c>
      <c r="K1471" t="s">
        <v>47</v>
      </c>
      <c r="L1471" t="s">
        <v>103</v>
      </c>
      <c r="M1471" t="s">
        <v>347</v>
      </c>
      <c r="N1471" t="s">
        <v>347</v>
      </c>
      <c r="O1471">
        <v>1</v>
      </c>
      <c r="P1471">
        <v>12620</v>
      </c>
      <c r="Q1471">
        <v>0.1</v>
      </c>
      <c r="R1471">
        <v>8100</v>
      </c>
      <c r="S1471" t="s">
        <v>151</v>
      </c>
      <c r="T1471" t="s">
        <v>30</v>
      </c>
      <c r="U1471">
        <v>6</v>
      </c>
      <c r="V1471" t="s">
        <v>31</v>
      </c>
      <c r="W1471">
        <f>excelsalesdata[[#This Row],[Quantity]]*excelsalesdata[[#This Row],[Unit_Price]]</f>
        <v>12620</v>
      </c>
      <c r="X1471">
        <f>excelsalesdata[[#This Row],[Gross_sales]]*excelsalesdata[[#This Row],[Discount_%]]</f>
        <v>1262</v>
      </c>
      <c r="Y1471">
        <f>excelsalesdata[[#This Row],[Gross_sales]]-excelsalesdata[[#This Row],[Discount_amt]]</f>
        <v>11358</v>
      </c>
      <c r="Z1471" s="4">
        <f>excelsalesdata[[#This Row],[Net_sales]]-excelsalesdata[[#This Row],[Cost]]</f>
        <v>3258</v>
      </c>
      <c r="AA1471" s="5">
        <f>excelsalesdata[[#This Row],[Profit]]/excelsalesdata[[#This Row],[Net_sales]]</f>
        <v>0.28684627575277338</v>
      </c>
      <c r="AB1471" s="4">
        <f>YEAR(excelsalesdata[[#This Row],[Order_Date]])</f>
        <v>2029</v>
      </c>
      <c r="AC1471" s="4" t="str">
        <f>TEXT(excelsalesdata[[#This Row],[Order_Date]],"mmm")</f>
        <v>Apr</v>
      </c>
      <c r="AD1471" s="4" t="str">
        <f>"Q"&amp;ROUNDUP(MONTH(excelsalesdata[[#This Row],[Order_Date]])/3,0)</f>
        <v>Q2</v>
      </c>
    </row>
    <row r="1472" spans="1:30" x14ac:dyDescent="0.35">
      <c r="A1472" t="s">
        <v>2298</v>
      </c>
      <c r="B1472" s="3">
        <v>47230</v>
      </c>
      <c r="C1472" t="s">
        <v>2053</v>
      </c>
      <c r="D1472" t="s">
        <v>752</v>
      </c>
      <c r="E1472" t="str">
        <f>TRIM(excelsalesdata[[#This Row],[Customer_Name]])</f>
        <v>Kavya Mehta</v>
      </c>
      <c r="F1472" t="s">
        <v>44</v>
      </c>
      <c r="G1472">
        <v>31</v>
      </c>
      <c r="H1472" t="s">
        <v>109</v>
      </c>
      <c r="I1472" t="str">
        <f>TRIM(excelsalesdata[[#This Row],[City]])</f>
        <v>Mysuru</v>
      </c>
      <c r="J1472" t="s">
        <v>53</v>
      </c>
      <c r="K1472" t="s">
        <v>47</v>
      </c>
      <c r="L1472" t="s">
        <v>103</v>
      </c>
      <c r="M1472" t="s">
        <v>312</v>
      </c>
      <c r="N1472" t="s">
        <v>312</v>
      </c>
      <c r="O1472">
        <v>2</v>
      </c>
      <c r="P1472">
        <v>6120</v>
      </c>
      <c r="Q1472">
        <v>0.05</v>
      </c>
      <c r="R1472">
        <v>4130</v>
      </c>
      <c r="S1472" t="s">
        <v>29</v>
      </c>
      <c r="T1472" t="s">
        <v>30</v>
      </c>
      <c r="U1472">
        <v>3</v>
      </c>
      <c r="V1472" t="s">
        <v>40</v>
      </c>
      <c r="W1472">
        <f>excelsalesdata[[#This Row],[Quantity]]*excelsalesdata[[#This Row],[Unit_Price]]</f>
        <v>12240</v>
      </c>
      <c r="X1472">
        <f>excelsalesdata[[#This Row],[Gross_sales]]*excelsalesdata[[#This Row],[Discount_%]]</f>
        <v>612</v>
      </c>
      <c r="Y1472">
        <f>excelsalesdata[[#This Row],[Gross_sales]]-excelsalesdata[[#This Row],[Discount_amt]]</f>
        <v>11628</v>
      </c>
      <c r="Z1472" s="4">
        <f>excelsalesdata[[#This Row],[Net_sales]]-excelsalesdata[[#This Row],[Cost]]</f>
        <v>7498</v>
      </c>
      <c r="AA1472" s="5">
        <f>excelsalesdata[[#This Row],[Profit]]/excelsalesdata[[#This Row],[Net_sales]]</f>
        <v>0.64482284141726864</v>
      </c>
      <c r="AB1472" s="4">
        <f>YEAR(excelsalesdata[[#This Row],[Order_Date]])</f>
        <v>2029</v>
      </c>
      <c r="AC1472" s="4" t="str">
        <f>TEXT(excelsalesdata[[#This Row],[Order_Date]],"mmm")</f>
        <v>Apr</v>
      </c>
      <c r="AD1472" s="4" t="str">
        <f>"Q"&amp;ROUNDUP(MONTH(excelsalesdata[[#This Row],[Order_Date]])/3,0)</f>
        <v>Q2</v>
      </c>
    </row>
    <row r="1473" spans="1:30" x14ac:dyDescent="0.35">
      <c r="A1473" t="s">
        <v>2299</v>
      </c>
      <c r="B1473" s="3">
        <v>47231</v>
      </c>
      <c r="C1473" t="s">
        <v>471</v>
      </c>
      <c r="D1473" t="s">
        <v>1157</v>
      </c>
      <c r="E1473" t="str">
        <f>TRIM(excelsalesdata[[#This Row],[Customer_Name]])</f>
        <v>Kavya Shah</v>
      </c>
      <c r="F1473" t="s">
        <v>44</v>
      </c>
      <c r="G1473">
        <v>18</v>
      </c>
      <c r="H1473" t="s">
        <v>24</v>
      </c>
      <c r="I1473" t="str">
        <f>TRIM(excelsalesdata[[#This Row],[City]])</f>
        <v>Pune</v>
      </c>
      <c r="J1473" t="s">
        <v>25</v>
      </c>
      <c r="K1473" t="s">
        <v>26</v>
      </c>
      <c r="L1473" t="s">
        <v>93</v>
      </c>
      <c r="M1473" t="s">
        <v>718</v>
      </c>
      <c r="N1473" t="s">
        <v>718</v>
      </c>
      <c r="O1473">
        <v>1</v>
      </c>
      <c r="P1473">
        <v>1760</v>
      </c>
      <c r="Q1473">
        <v>0.2</v>
      </c>
      <c r="R1473">
        <v>910</v>
      </c>
      <c r="S1473" t="s">
        <v>56</v>
      </c>
      <c r="T1473" t="s">
        <v>81</v>
      </c>
      <c r="U1473">
        <v>0</v>
      </c>
      <c r="V1473" t="s">
        <v>40</v>
      </c>
      <c r="W1473">
        <f>excelsalesdata[[#This Row],[Quantity]]*excelsalesdata[[#This Row],[Unit_Price]]</f>
        <v>1760</v>
      </c>
      <c r="X1473">
        <f>excelsalesdata[[#This Row],[Gross_sales]]*excelsalesdata[[#This Row],[Discount_%]]</f>
        <v>352</v>
      </c>
      <c r="Y1473">
        <f>excelsalesdata[[#This Row],[Gross_sales]]-excelsalesdata[[#This Row],[Discount_amt]]</f>
        <v>1408</v>
      </c>
      <c r="Z1473" s="4">
        <f>excelsalesdata[[#This Row],[Net_sales]]-excelsalesdata[[#This Row],[Cost]]</f>
        <v>498</v>
      </c>
      <c r="AA1473" s="5">
        <f>excelsalesdata[[#This Row],[Profit]]/excelsalesdata[[#This Row],[Net_sales]]</f>
        <v>0.35369318181818182</v>
      </c>
      <c r="AB1473" s="4">
        <f>YEAR(excelsalesdata[[#This Row],[Order_Date]])</f>
        <v>2029</v>
      </c>
      <c r="AC1473" s="4" t="str">
        <f>TEXT(excelsalesdata[[#This Row],[Order_Date]],"mmm")</f>
        <v>Apr</v>
      </c>
      <c r="AD1473" s="4" t="str">
        <f>"Q"&amp;ROUNDUP(MONTH(excelsalesdata[[#This Row],[Order_Date]])/3,0)</f>
        <v>Q2</v>
      </c>
    </row>
    <row r="1474" spans="1:30" x14ac:dyDescent="0.35">
      <c r="A1474" t="s">
        <v>2300</v>
      </c>
      <c r="B1474" s="3">
        <v>47232</v>
      </c>
      <c r="C1474" t="s">
        <v>58</v>
      </c>
      <c r="D1474" t="s">
        <v>899</v>
      </c>
      <c r="E1474" t="str">
        <f>TRIM(excelsalesdata[[#This Row],[Customer_Name]])</f>
        <v>Arjun Shah</v>
      </c>
      <c r="F1474" t="s">
        <v>44</v>
      </c>
      <c r="G1474">
        <v>29</v>
      </c>
      <c r="H1474" t="s">
        <v>185</v>
      </c>
      <c r="I1474" t="str">
        <f>TRIM(excelsalesdata[[#This Row],[City]])</f>
        <v>Lucknow</v>
      </c>
      <c r="J1474" t="s">
        <v>186</v>
      </c>
      <c r="K1474" t="s">
        <v>61</v>
      </c>
      <c r="L1474" t="s">
        <v>93</v>
      </c>
      <c r="M1474" t="s">
        <v>718</v>
      </c>
      <c r="N1474" t="s">
        <v>718</v>
      </c>
      <c r="O1474">
        <v>2</v>
      </c>
      <c r="P1474">
        <v>1790</v>
      </c>
      <c r="Q1474">
        <v>0.05</v>
      </c>
      <c r="R1474">
        <v>910</v>
      </c>
      <c r="S1474" t="s">
        <v>56</v>
      </c>
      <c r="T1474" t="s">
        <v>30</v>
      </c>
      <c r="U1474">
        <v>3</v>
      </c>
      <c r="V1474" t="s">
        <v>31</v>
      </c>
      <c r="W1474">
        <f>excelsalesdata[[#This Row],[Quantity]]*excelsalesdata[[#This Row],[Unit_Price]]</f>
        <v>3580</v>
      </c>
      <c r="X1474">
        <f>excelsalesdata[[#This Row],[Gross_sales]]*excelsalesdata[[#This Row],[Discount_%]]</f>
        <v>179</v>
      </c>
      <c r="Y1474">
        <f>excelsalesdata[[#This Row],[Gross_sales]]-excelsalesdata[[#This Row],[Discount_amt]]</f>
        <v>3401</v>
      </c>
      <c r="Z1474" s="4">
        <f>excelsalesdata[[#This Row],[Net_sales]]-excelsalesdata[[#This Row],[Cost]]</f>
        <v>2491</v>
      </c>
      <c r="AA1474" s="5">
        <f>excelsalesdata[[#This Row],[Profit]]/excelsalesdata[[#This Row],[Net_sales]]</f>
        <v>0.73243163775360187</v>
      </c>
      <c r="AB1474" s="4">
        <f>YEAR(excelsalesdata[[#This Row],[Order_Date]])</f>
        <v>2029</v>
      </c>
      <c r="AC1474" s="4" t="str">
        <f>TEXT(excelsalesdata[[#This Row],[Order_Date]],"mmm")</f>
        <v>Apr</v>
      </c>
      <c r="AD1474" s="4" t="str">
        <f>"Q"&amp;ROUNDUP(MONTH(excelsalesdata[[#This Row],[Order_Date]])/3,0)</f>
        <v>Q2</v>
      </c>
    </row>
    <row r="1475" spans="1:30" x14ac:dyDescent="0.35">
      <c r="A1475" t="s">
        <v>2301</v>
      </c>
      <c r="B1475" s="3">
        <v>47233</v>
      </c>
      <c r="C1475" t="s">
        <v>531</v>
      </c>
      <c r="D1475" t="s">
        <v>488</v>
      </c>
      <c r="E1475" t="str">
        <f>TRIM(excelsalesdata[[#This Row],[Customer_Name]])</f>
        <v>Nisha Singh</v>
      </c>
      <c r="F1475" t="s">
        <v>23</v>
      </c>
      <c r="G1475">
        <v>39</v>
      </c>
      <c r="H1475" t="s">
        <v>60</v>
      </c>
      <c r="I1475" t="str">
        <f>TRIM(excelsalesdata[[#This Row],[City]])</f>
        <v>Chandigarh</v>
      </c>
      <c r="J1475" t="s">
        <v>60</v>
      </c>
      <c r="K1475" t="s">
        <v>61</v>
      </c>
      <c r="L1475" t="s">
        <v>54</v>
      </c>
      <c r="M1475" t="s">
        <v>157</v>
      </c>
      <c r="N1475" t="s">
        <v>157</v>
      </c>
      <c r="O1475">
        <v>2</v>
      </c>
      <c r="P1475">
        <v>59310</v>
      </c>
      <c r="Q1475">
        <v>0.15</v>
      </c>
      <c r="R1475">
        <v>41710</v>
      </c>
      <c r="S1475" t="s">
        <v>80</v>
      </c>
      <c r="T1475" t="s">
        <v>30</v>
      </c>
      <c r="U1475">
        <v>4</v>
      </c>
      <c r="V1475" t="s">
        <v>31</v>
      </c>
      <c r="W1475">
        <f>excelsalesdata[[#This Row],[Quantity]]*excelsalesdata[[#This Row],[Unit_Price]]</f>
        <v>118620</v>
      </c>
      <c r="X1475">
        <f>excelsalesdata[[#This Row],[Gross_sales]]*excelsalesdata[[#This Row],[Discount_%]]</f>
        <v>17793</v>
      </c>
      <c r="Y1475">
        <f>excelsalesdata[[#This Row],[Gross_sales]]-excelsalesdata[[#This Row],[Discount_amt]]</f>
        <v>100827</v>
      </c>
      <c r="Z1475" s="4">
        <f>excelsalesdata[[#This Row],[Net_sales]]-excelsalesdata[[#This Row],[Cost]]</f>
        <v>59117</v>
      </c>
      <c r="AA1475" s="5">
        <f>excelsalesdata[[#This Row],[Profit]]/excelsalesdata[[#This Row],[Net_sales]]</f>
        <v>0.58632112430202232</v>
      </c>
      <c r="AB1475" s="4">
        <f>YEAR(excelsalesdata[[#This Row],[Order_Date]])</f>
        <v>2029</v>
      </c>
      <c r="AC1475" s="4" t="str">
        <f>TEXT(excelsalesdata[[#This Row],[Order_Date]],"mmm")</f>
        <v>Apr</v>
      </c>
      <c r="AD1475" s="4" t="str">
        <f>"Q"&amp;ROUNDUP(MONTH(excelsalesdata[[#This Row],[Order_Date]])/3,0)</f>
        <v>Q2</v>
      </c>
    </row>
    <row r="1476" spans="1:30" x14ac:dyDescent="0.35">
      <c r="A1476" t="s">
        <v>2302</v>
      </c>
      <c r="B1476" s="3">
        <v>47234</v>
      </c>
      <c r="C1476" t="s">
        <v>1473</v>
      </c>
      <c r="D1476" t="s">
        <v>1197</v>
      </c>
      <c r="E1476" t="str">
        <f>TRIM(excelsalesdata[[#This Row],[Customer_Name]])</f>
        <v>Rahul Rao</v>
      </c>
      <c r="F1476" t="s">
        <v>44</v>
      </c>
      <c r="G1476">
        <v>33</v>
      </c>
      <c r="H1476" t="s">
        <v>114</v>
      </c>
      <c r="I1476" t="str">
        <f>TRIM(excelsalesdata[[#This Row],[City]])</f>
        <v>Hyderabad</v>
      </c>
      <c r="J1476" t="s">
        <v>115</v>
      </c>
      <c r="K1476" t="s">
        <v>47</v>
      </c>
      <c r="L1476" t="s">
        <v>103</v>
      </c>
      <c r="M1476" t="s">
        <v>347</v>
      </c>
      <c r="N1476" t="s">
        <v>347</v>
      </c>
      <c r="O1476">
        <v>2</v>
      </c>
      <c r="P1476">
        <v>11280</v>
      </c>
      <c r="Q1476">
        <v>0</v>
      </c>
      <c r="R1476">
        <v>8420</v>
      </c>
      <c r="S1476" t="s">
        <v>105</v>
      </c>
      <c r="T1476" t="s">
        <v>30</v>
      </c>
      <c r="U1476">
        <v>3</v>
      </c>
      <c r="V1476" t="s">
        <v>31</v>
      </c>
      <c r="W1476">
        <f>excelsalesdata[[#This Row],[Quantity]]*excelsalesdata[[#This Row],[Unit_Price]]</f>
        <v>22560</v>
      </c>
      <c r="X1476">
        <f>excelsalesdata[[#This Row],[Gross_sales]]*excelsalesdata[[#This Row],[Discount_%]]</f>
        <v>0</v>
      </c>
      <c r="Y1476">
        <f>excelsalesdata[[#This Row],[Gross_sales]]-excelsalesdata[[#This Row],[Discount_amt]]</f>
        <v>22560</v>
      </c>
      <c r="Z1476" s="4">
        <f>excelsalesdata[[#This Row],[Net_sales]]-excelsalesdata[[#This Row],[Cost]]</f>
        <v>14140</v>
      </c>
      <c r="AA1476" s="5">
        <f>excelsalesdata[[#This Row],[Profit]]/excelsalesdata[[#This Row],[Net_sales]]</f>
        <v>0.62677304964539005</v>
      </c>
      <c r="AB1476" s="4">
        <f>YEAR(excelsalesdata[[#This Row],[Order_Date]])</f>
        <v>2029</v>
      </c>
      <c r="AC1476" s="4" t="str">
        <f>TEXT(excelsalesdata[[#This Row],[Order_Date]],"mmm")</f>
        <v>Apr</v>
      </c>
      <c r="AD1476" s="4" t="str">
        <f>"Q"&amp;ROUNDUP(MONTH(excelsalesdata[[#This Row],[Order_Date]])/3,0)</f>
        <v>Q2</v>
      </c>
    </row>
    <row r="1477" spans="1:30" x14ac:dyDescent="0.35">
      <c r="A1477" t="s">
        <v>2303</v>
      </c>
      <c r="B1477" s="3">
        <v>47235</v>
      </c>
      <c r="C1477" t="s">
        <v>1585</v>
      </c>
      <c r="D1477" t="s">
        <v>1011</v>
      </c>
      <c r="E1477" t="str">
        <f>TRIM(excelsalesdata[[#This Row],[Customer_Name]])</f>
        <v>Vivaan Rao</v>
      </c>
      <c r="F1477" t="s">
        <v>44</v>
      </c>
      <c r="G1477">
        <v>52</v>
      </c>
      <c r="H1477" t="s">
        <v>45</v>
      </c>
      <c r="I1477" t="str">
        <f>TRIM(excelsalesdata[[#This Row],[City]])</f>
        <v>Kochi</v>
      </c>
      <c r="J1477" t="s">
        <v>46</v>
      </c>
      <c r="K1477" t="s">
        <v>47</v>
      </c>
      <c r="L1477" t="s">
        <v>27</v>
      </c>
      <c r="M1477" t="s">
        <v>295</v>
      </c>
      <c r="N1477" t="s">
        <v>295</v>
      </c>
      <c r="O1477">
        <v>2</v>
      </c>
      <c r="P1477">
        <v>4030</v>
      </c>
      <c r="Q1477">
        <v>0.05</v>
      </c>
      <c r="R1477">
        <v>2570</v>
      </c>
      <c r="S1477" t="s">
        <v>29</v>
      </c>
      <c r="T1477" t="s">
        <v>30</v>
      </c>
      <c r="U1477">
        <v>5</v>
      </c>
      <c r="V1477" t="s">
        <v>31</v>
      </c>
      <c r="W1477">
        <f>excelsalesdata[[#This Row],[Quantity]]*excelsalesdata[[#This Row],[Unit_Price]]</f>
        <v>8060</v>
      </c>
      <c r="X1477">
        <f>excelsalesdata[[#This Row],[Gross_sales]]*excelsalesdata[[#This Row],[Discount_%]]</f>
        <v>403</v>
      </c>
      <c r="Y1477">
        <f>excelsalesdata[[#This Row],[Gross_sales]]-excelsalesdata[[#This Row],[Discount_amt]]</f>
        <v>7657</v>
      </c>
      <c r="Z1477" s="4">
        <f>excelsalesdata[[#This Row],[Net_sales]]-excelsalesdata[[#This Row],[Cost]]</f>
        <v>5087</v>
      </c>
      <c r="AA1477" s="5">
        <f>excelsalesdata[[#This Row],[Profit]]/excelsalesdata[[#This Row],[Net_sales]]</f>
        <v>0.66435940969047935</v>
      </c>
      <c r="AB1477" s="4">
        <f>YEAR(excelsalesdata[[#This Row],[Order_Date]])</f>
        <v>2029</v>
      </c>
      <c r="AC1477" s="4" t="str">
        <f>TEXT(excelsalesdata[[#This Row],[Order_Date]],"mmm")</f>
        <v>Apr</v>
      </c>
      <c r="AD1477" s="4" t="str">
        <f>"Q"&amp;ROUNDUP(MONTH(excelsalesdata[[#This Row],[Order_Date]])/3,0)</f>
        <v>Q2</v>
      </c>
    </row>
    <row r="1478" spans="1:30" x14ac:dyDescent="0.35">
      <c r="A1478" t="s">
        <v>2304</v>
      </c>
      <c r="B1478" s="3">
        <v>47236</v>
      </c>
      <c r="C1478" t="s">
        <v>459</v>
      </c>
      <c r="D1478" t="s">
        <v>642</v>
      </c>
      <c r="E1478" t="str">
        <f>TRIM(excelsalesdata[[#This Row],[Customer_Name]])</f>
        <v>Kavya Singh</v>
      </c>
      <c r="F1478" t="s">
        <v>44</v>
      </c>
      <c r="G1478">
        <v>42</v>
      </c>
      <c r="H1478" t="s">
        <v>114</v>
      </c>
      <c r="I1478" t="str">
        <f>TRIM(excelsalesdata[[#This Row],[City]])</f>
        <v>Hyderabad</v>
      </c>
      <c r="J1478" t="s">
        <v>115</v>
      </c>
      <c r="K1478" t="s">
        <v>47</v>
      </c>
      <c r="L1478" t="s">
        <v>27</v>
      </c>
      <c r="M1478" t="s">
        <v>295</v>
      </c>
      <c r="N1478" t="s">
        <v>295</v>
      </c>
      <c r="O1478">
        <v>1</v>
      </c>
      <c r="P1478">
        <v>4080</v>
      </c>
      <c r="Q1478">
        <v>0</v>
      </c>
      <c r="R1478">
        <v>2620</v>
      </c>
      <c r="S1478" t="s">
        <v>105</v>
      </c>
      <c r="T1478" t="s">
        <v>30</v>
      </c>
      <c r="U1478">
        <v>3</v>
      </c>
      <c r="V1478" t="s">
        <v>31</v>
      </c>
      <c r="W1478">
        <f>excelsalesdata[[#This Row],[Quantity]]*excelsalesdata[[#This Row],[Unit_Price]]</f>
        <v>4080</v>
      </c>
      <c r="X1478">
        <f>excelsalesdata[[#This Row],[Gross_sales]]*excelsalesdata[[#This Row],[Discount_%]]</f>
        <v>0</v>
      </c>
      <c r="Y1478">
        <f>excelsalesdata[[#This Row],[Gross_sales]]-excelsalesdata[[#This Row],[Discount_amt]]</f>
        <v>4080</v>
      </c>
      <c r="Z1478" s="4">
        <f>excelsalesdata[[#This Row],[Net_sales]]-excelsalesdata[[#This Row],[Cost]]</f>
        <v>1460</v>
      </c>
      <c r="AA1478" s="5">
        <f>excelsalesdata[[#This Row],[Profit]]/excelsalesdata[[#This Row],[Net_sales]]</f>
        <v>0.35784313725490197</v>
      </c>
      <c r="AB1478" s="4">
        <f>YEAR(excelsalesdata[[#This Row],[Order_Date]])</f>
        <v>2029</v>
      </c>
      <c r="AC1478" s="4" t="str">
        <f>TEXT(excelsalesdata[[#This Row],[Order_Date]],"mmm")</f>
        <v>Apr</v>
      </c>
      <c r="AD1478" s="4" t="str">
        <f>"Q"&amp;ROUNDUP(MONTH(excelsalesdata[[#This Row],[Order_Date]])/3,0)</f>
        <v>Q2</v>
      </c>
    </row>
    <row r="1479" spans="1:30" x14ac:dyDescent="0.35">
      <c r="A1479" t="s">
        <v>2305</v>
      </c>
      <c r="B1479" s="3">
        <v>47237</v>
      </c>
      <c r="C1479" t="s">
        <v>573</v>
      </c>
      <c r="D1479" t="s">
        <v>315</v>
      </c>
      <c r="E1479" t="str">
        <f>TRIM(excelsalesdata[[#This Row],[Customer_Name]])</f>
        <v>Diya Rao</v>
      </c>
      <c r="F1479" t="s">
        <v>44</v>
      </c>
      <c r="G1479">
        <v>19</v>
      </c>
      <c r="H1479" t="s">
        <v>45</v>
      </c>
      <c r="I1479" t="str">
        <f>TRIM(excelsalesdata[[#This Row],[City]])</f>
        <v>Kochi</v>
      </c>
      <c r="J1479" t="s">
        <v>46</v>
      </c>
      <c r="K1479" t="s">
        <v>47</v>
      </c>
      <c r="L1479" t="s">
        <v>93</v>
      </c>
      <c r="M1479" t="s">
        <v>94</v>
      </c>
      <c r="N1479" t="s">
        <v>94</v>
      </c>
      <c r="O1479">
        <v>1</v>
      </c>
      <c r="P1479">
        <v>490</v>
      </c>
      <c r="Q1479">
        <v>0</v>
      </c>
      <c r="R1479">
        <v>230</v>
      </c>
      <c r="S1479" t="s">
        <v>29</v>
      </c>
      <c r="T1479" t="s">
        <v>30</v>
      </c>
      <c r="U1479">
        <v>6</v>
      </c>
      <c r="V1479" t="s">
        <v>40</v>
      </c>
      <c r="W1479">
        <f>excelsalesdata[[#This Row],[Quantity]]*excelsalesdata[[#This Row],[Unit_Price]]</f>
        <v>490</v>
      </c>
      <c r="X1479">
        <f>excelsalesdata[[#This Row],[Gross_sales]]*excelsalesdata[[#This Row],[Discount_%]]</f>
        <v>0</v>
      </c>
      <c r="Y1479">
        <f>excelsalesdata[[#This Row],[Gross_sales]]-excelsalesdata[[#This Row],[Discount_amt]]</f>
        <v>490</v>
      </c>
      <c r="Z1479" s="4">
        <f>excelsalesdata[[#This Row],[Net_sales]]-excelsalesdata[[#This Row],[Cost]]</f>
        <v>260</v>
      </c>
      <c r="AA1479" s="5">
        <f>excelsalesdata[[#This Row],[Profit]]/excelsalesdata[[#This Row],[Net_sales]]</f>
        <v>0.53061224489795922</v>
      </c>
      <c r="AB1479" s="4">
        <f>YEAR(excelsalesdata[[#This Row],[Order_Date]])</f>
        <v>2029</v>
      </c>
      <c r="AC1479" s="4" t="str">
        <f>TEXT(excelsalesdata[[#This Row],[Order_Date]],"mmm")</f>
        <v>Apr</v>
      </c>
      <c r="AD1479" s="4" t="str">
        <f>"Q"&amp;ROUNDUP(MONTH(excelsalesdata[[#This Row],[Order_Date]])/3,0)</f>
        <v>Q2</v>
      </c>
    </row>
    <row r="1480" spans="1:30" x14ac:dyDescent="0.35">
      <c r="A1480" t="s">
        <v>2306</v>
      </c>
      <c r="B1480" s="3">
        <v>47238</v>
      </c>
      <c r="C1480" t="s">
        <v>2307</v>
      </c>
      <c r="D1480" t="s">
        <v>241</v>
      </c>
      <c r="E1480" t="str">
        <f>TRIM(excelsalesdata[[#This Row],[Customer_Name]])</f>
        <v>Rahul Kumar</v>
      </c>
      <c r="F1480" t="s">
        <v>23</v>
      </c>
      <c r="G1480">
        <v>42</v>
      </c>
      <c r="H1480" t="s">
        <v>190</v>
      </c>
      <c r="I1480" t="str">
        <f>TRIM(excelsalesdata[[#This Row],[City]])</f>
        <v>Ahmedabad</v>
      </c>
      <c r="J1480" t="s">
        <v>191</v>
      </c>
      <c r="K1480" t="s">
        <v>26</v>
      </c>
      <c r="L1480" t="s">
        <v>103</v>
      </c>
      <c r="M1480" t="s">
        <v>312</v>
      </c>
      <c r="N1480" t="s">
        <v>312</v>
      </c>
      <c r="O1480">
        <v>1</v>
      </c>
      <c r="P1480">
        <v>6520</v>
      </c>
      <c r="Q1480">
        <v>0.05</v>
      </c>
      <c r="R1480">
        <v>4250</v>
      </c>
      <c r="S1480" t="s">
        <v>29</v>
      </c>
      <c r="T1480" t="s">
        <v>30</v>
      </c>
      <c r="U1480">
        <v>3</v>
      </c>
      <c r="V1480" t="s">
        <v>40</v>
      </c>
      <c r="W1480">
        <f>excelsalesdata[[#This Row],[Quantity]]*excelsalesdata[[#This Row],[Unit_Price]]</f>
        <v>6520</v>
      </c>
      <c r="X1480">
        <f>excelsalesdata[[#This Row],[Gross_sales]]*excelsalesdata[[#This Row],[Discount_%]]</f>
        <v>326</v>
      </c>
      <c r="Y1480">
        <f>excelsalesdata[[#This Row],[Gross_sales]]-excelsalesdata[[#This Row],[Discount_amt]]</f>
        <v>6194</v>
      </c>
      <c r="Z1480" s="4">
        <f>excelsalesdata[[#This Row],[Net_sales]]-excelsalesdata[[#This Row],[Cost]]</f>
        <v>1944</v>
      </c>
      <c r="AA1480" s="5">
        <f>excelsalesdata[[#This Row],[Profit]]/excelsalesdata[[#This Row],[Net_sales]]</f>
        <v>0.31385211494995158</v>
      </c>
      <c r="AB1480" s="4">
        <f>YEAR(excelsalesdata[[#This Row],[Order_Date]])</f>
        <v>2029</v>
      </c>
      <c r="AC1480" s="4" t="str">
        <f>TEXT(excelsalesdata[[#This Row],[Order_Date]],"mmm")</f>
        <v>Apr</v>
      </c>
      <c r="AD1480" s="4" t="str">
        <f>"Q"&amp;ROUNDUP(MONTH(excelsalesdata[[#This Row],[Order_Date]])/3,0)</f>
        <v>Q2</v>
      </c>
    </row>
    <row r="1481" spans="1:30" x14ac:dyDescent="0.35">
      <c r="A1481" t="s">
        <v>2308</v>
      </c>
      <c r="B1481" s="3">
        <v>47239</v>
      </c>
      <c r="C1481" t="s">
        <v>2053</v>
      </c>
      <c r="D1481" t="s">
        <v>194</v>
      </c>
      <c r="E1481" t="str">
        <f>TRIM(excelsalesdata[[#This Row],[Customer_Name]])</f>
        <v>Aditya Reddy</v>
      </c>
      <c r="F1481" t="s">
        <v>23</v>
      </c>
      <c r="G1481">
        <v>33</v>
      </c>
      <c r="H1481" t="s">
        <v>155</v>
      </c>
      <c r="I1481" t="str">
        <f>TRIM(excelsalesdata[[#This Row],[City]])</f>
        <v>Chennai</v>
      </c>
      <c r="J1481" t="s">
        <v>156</v>
      </c>
      <c r="K1481" t="s">
        <v>47</v>
      </c>
      <c r="L1481" t="s">
        <v>103</v>
      </c>
      <c r="M1481" t="s">
        <v>178</v>
      </c>
      <c r="N1481" t="s">
        <v>178</v>
      </c>
      <c r="O1481">
        <v>2</v>
      </c>
      <c r="P1481">
        <v>1690</v>
      </c>
      <c r="Q1481">
        <v>0.1</v>
      </c>
      <c r="R1481">
        <v>950</v>
      </c>
      <c r="S1481" t="s">
        <v>29</v>
      </c>
      <c r="T1481" t="s">
        <v>30</v>
      </c>
      <c r="U1481">
        <v>5</v>
      </c>
      <c r="V1481" t="s">
        <v>40</v>
      </c>
      <c r="W1481">
        <f>excelsalesdata[[#This Row],[Quantity]]*excelsalesdata[[#This Row],[Unit_Price]]</f>
        <v>3380</v>
      </c>
      <c r="X1481">
        <f>excelsalesdata[[#This Row],[Gross_sales]]*excelsalesdata[[#This Row],[Discount_%]]</f>
        <v>338</v>
      </c>
      <c r="Y1481">
        <f>excelsalesdata[[#This Row],[Gross_sales]]-excelsalesdata[[#This Row],[Discount_amt]]</f>
        <v>3042</v>
      </c>
      <c r="Z1481" s="4">
        <f>excelsalesdata[[#This Row],[Net_sales]]-excelsalesdata[[#This Row],[Cost]]</f>
        <v>2092</v>
      </c>
      <c r="AA1481" s="5">
        <f>excelsalesdata[[#This Row],[Profit]]/excelsalesdata[[#This Row],[Net_sales]]</f>
        <v>0.6877054569362262</v>
      </c>
      <c r="AB1481" s="4">
        <f>YEAR(excelsalesdata[[#This Row],[Order_Date]])</f>
        <v>2029</v>
      </c>
      <c r="AC1481" s="4" t="str">
        <f>TEXT(excelsalesdata[[#This Row],[Order_Date]],"mmm")</f>
        <v>May</v>
      </c>
      <c r="AD1481" s="4" t="str">
        <f>"Q"&amp;ROUNDUP(MONTH(excelsalesdata[[#This Row],[Order_Date]])/3,0)</f>
        <v>Q2</v>
      </c>
    </row>
    <row r="1482" spans="1:30" x14ac:dyDescent="0.35">
      <c r="A1482" t="s">
        <v>2309</v>
      </c>
      <c r="B1482" s="3">
        <v>47240</v>
      </c>
      <c r="C1482" t="s">
        <v>521</v>
      </c>
      <c r="D1482" t="s">
        <v>637</v>
      </c>
      <c r="E1482" t="str">
        <f>TRIM(excelsalesdata[[#This Row],[Customer_Name]])</f>
        <v>Vikram Verma</v>
      </c>
      <c r="F1482" t="s">
        <v>23</v>
      </c>
      <c r="G1482">
        <v>38</v>
      </c>
      <c r="H1482" t="s">
        <v>60</v>
      </c>
      <c r="I1482" t="str">
        <f>TRIM(excelsalesdata[[#This Row],[City]])</f>
        <v>Chandigarh</v>
      </c>
      <c r="J1482" t="s">
        <v>60</v>
      </c>
      <c r="K1482" t="s">
        <v>61</v>
      </c>
      <c r="L1482" t="s">
        <v>54</v>
      </c>
      <c r="M1482" t="s">
        <v>129</v>
      </c>
      <c r="N1482" t="s">
        <v>129</v>
      </c>
      <c r="O1482">
        <v>2</v>
      </c>
      <c r="P1482">
        <v>17270</v>
      </c>
      <c r="Q1482">
        <v>0.15</v>
      </c>
      <c r="R1482">
        <v>12660</v>
      </c>
      <c r="S1482" t="s">
        <v>29</v>
      </c>
      <c r="T1482" t="s">
        <v>30</v>
      </c>
      <c r="U1482">
        <v>3</v>
      </c>
      <c r="V1482" t="s">
        <v>31</v>
      </c>
      <c r="W1482">
        <f>excelsalesdata[[#This Row],[Quantity]]*excelsalesdata[[#This Row],[Unit_Price]]</f>
        <v>34540</v>
      </c>
      <c r="X1482">
        <f>excelsalesdata[[#This Row],[Gross_sales]]*excelsalesdata[[#This Row],[Discount_%]]</f>
        <v>5181</v>
      </c>
      <c r="Y1482">
        <f>excelsalesdata[[#This Row],[Gross_sales]]-excelsalesdata[[#This Row],[Discount_amt]]</f>
        <v>29359</v>
      </c>
      <c r="Z1482" s="4">
        <f>excelsalesdata[[#This Row],[Net_sales]]-excelsalesdata[[#This Row],[Cost]]</f>
        <v>16699</v>
      </c>
      <c r="AA1482" s="5">
        <f>excelsalesdata[[#This Row],[Profit]]/excelsalesdata[[#This Row],[Net_sales]]</f>
        <v>0.56878640280663506</v>
      </c>
      <c r="AB1482" s="4">
        <f>YEAR(excelsalesdata[[#This Row],[Order_Date]])</f>
        <v>2029</v>
      </c>
      <c r="AC1482" s="4" t="str">
        <f>TEXT(excelsalesdata[[#This Row],[Order_Date]],"mmm")</f>
        <v>May</v>
      </c>
      <c r="AD1482" s="4" t="str">
        <f>"Q"&amp;ROUNDUP(MONTH(excelsalesdata[[#This Row],[Order_Date]])/3,0)</f>
        <v>Q2</v>
      </c>
    </row>
    <row r="1483" spans="1:30" x14ac:dyDescent="0.35">
      <c r="A1483" t="s">
        <v>2310</v>
      </c>
      <c r="B1483" s="3">
        <v>47241</v>
      </c>
      <c r="C1483" t="s">
        <v>1378</v>
      </c>
      <c r="D1483" t="s">
        <v>445</v>
      </c>
      <c r="E1483" t="str">
        <f>TRIM(excelsalesdata[[#This Row],[Customer_Name]])</f>
        <v>Priya Gupta</v>
      </c>
      <c r="F1483" t="s">
        <v>23</v>
      </c>
      <c r="G1483">
        <v>48</v>
      </c>
      <c r="H1483" t="s">
        <v>45</v>
      </c>
      <c r="I1483" t="str">
        <f>TRIM(excelsalesdata[[#This Row],[City]])</f>
        <v>Kochi</v>
      </c>
      <c r="J1483" t="s">
        <v>46</v>
      </c>
      <c r="K1483" t="s">
        <v>47</v>
      </c>
      <c r="L1483" t="s">
        <v>27</v>
      </c>
      <c r="M1483" t="s">
        <v>28</v>
      </c>
      <c r="N1483" t="s">
        <v>28</v>
      </c>
      <c r="O1483">
        <v>1</v>
      </c>
      <c r="P1483">
        <v>3700</v>
      </c>
      <c r="Q1483">
        <v>0.05</v>
      </c>
      <c r="R1483">
        <v>2070</v>
      </c>
      <c r="S1483" t="s">
        <v>105</v>
      </c>
      <c r="T1483" t="s">
        <v>30</v>
      </c>
      <c r="U1483">
        <v>3</v>
      </c>
      <c r="V1483" t="s">
        <v>40</v>
      </c>
      <c r="W1483">
        <f>excelsalesdata[[#This Row],[Quantity]]*excelsalesdata[[#This Row],[Unit_Price]]</f>
        <v>3700</v>
      </c>
      <c r="X1483">
        <f>excelsalesdata[[#This Row],[Gross_sales]]*excelsalesdata[[#This Row],[Discount_%]]</f>
        <v>185</v>
      </c>
      <c r="Y1483">
        <f>excelsalesdata[[#This Row],[Gross_sales]]-excelsalesdata[[#This Row],[Discount_amt]]</f>
        <v>3515</v>
      </c>
      <c r="Z1483" s="4">
        <f>excelsalesdata[[#This Row],[Net_sales]]-excelsalesdata[[#This Row],[Cost]]</f>
        <v>1445</v>
      </c>
      <c r="AA1483" s="5">
        <f>excelsalesdata[[#This Row],[Profit]]/excelsalesdata[[#This Row],[Net_sales]]</f>
        <v>0.41109530583214793</v>
      </c>
      <c r="AB1483" s="4">
        <f>YEAR(excelsalesdata[[#This Row],[Order_Date]])</f>
        <v>2029</v>
      </c>
      <c r="AC1483" s="4" t="str">
        <f>TEXT(excelsalesdata[[#This Row],[Order_Date]],"mmm")</f>
        <v>May</v>
      </c>
      <c r="AD1483" s="4" t="str">
        <f>"Q"&amp;ROUNDUP(MONTH(excelsalesdata[[#This Row],[Order_Date]])/3,0)</f>
        <v>Q2</v>
      </c>
    </row>
    <row r="1484" spans="1:30" x14ac:dyDescent="0.35">
      <c r="A1484" t="s">
        <v>2311</v>
      </c>
      <c r="B1484" s="3">
        <v>47242</v>
      </c>
      <c r="C1484" t="s">
        <v>1657</v>
      </c>
      <c r="D1484" t="s">
        <v>406</v>
      </c>
      <c r="E1484" t="str">
        <f>TRIM(excelsalesdata[[#This Row],[Customer_Name]])</f>
        <v>Ishita Joshi</v>
      </c>
      <c r="F1484" t="s">
        <v>23</v>
      </c>
      <c r="G1484">
        <v>28</v>
      </c>
      <c r="H1484" t="s">
        <v>109</v>
      </c>
      <c r="I1484" t="str">
        <f>TRIM(excelsalesdata[[#This Row],[City]])</f>
        <v>Mysuru</v>
      </c>
      <c r="J1484" t="s">
        <v>53</v>
      </c>
      <c r="K1484" t="s">
        <v>47</v>
      </c>
      <c r="L1484" t="s">
        <v>38</v>
      </c>
      <c r="M1484" t="s">
        <v>161</v>
      </c>
      <c r="N1484" t="s">
        <v>161</v>
      </c>
      <c r="O1484">
        <v>2</v>
      </c>
      <c r="P1484">
        <v>29460</v>
      </c>
      <c r="Q1484">
        <v>0.05</v>
      </c>
      <c r="R1484">
        <v>20590</v>
      </c>
      <c r="S1484" t="s">
        <v>56</v>
      </c>
      <c r="T1484" t="s">
        <v>30</v>
      </c>
      <c r="U1484">
        <v>2</v>
      </c>
      <c r="V1484" t="s">
        <v>40</v>
      </c>
      <c r="W1484">
        <f>excelsalesdata[[#This Row],[Quantity]]*excelsalesdata[[#This Row],[Unit_Price]]</f>
        <v>58920</v>
      </c>
      <c r="X1484">
        <f>excelsalesdata[[#This Row],[Gross_sales]]*excelsalesdata[[#This Row],[Discount_%]]</f>
        <v>2946</v>
      </c>
      <c r="Y1484">
        <f>excelsalesdata[[#This Row],[Gross_sales]]-excelsalesdata[[#This Row],[Discount_amt]]</f>
        <v>55974</v>
      </c>
      <c r="Z1484" s="4">
        <f>excelsalesdata[[#This Row],[Net_sales]]-excelsalesdata[[#This Row],[Cost]]</f>
        <v>35384</v>
      </c>
      <c r="AA1484" s="5">
        <f>excelsalesdata[[#This Row],[Profit]]/excelsalesdata[[#This Row],[Net_sales]]</f>
        <v>0.63215064136920718</v>
      </c>
      <c r="AB1484" s="4">
        <f>YEAR(excelsalesdata[[#This Row],[Order_Date]])</f>
        <v>2029</v>
      </c>
      <c r="AC1484" s="4" t="str">
        <f>TEXT(excelsalesdata[[#This Row],[Order_Date]],"mmm")</f>
        <v>May</v>
      </c>
      <c r="AD1484" s="4" t="str">
        <f>"Q"&amp;ROUNDUP(MONTH(excelsalesdata[[#This Row],[Order_Date]])/3,0)</f>
        <v>Q2</v>
      </c>
    </row>
    <row r="1485" spans="1:30" x14ac:dyDescent="0.35">
      <c r="A1485" t="s">
        <v>2312</v>
      </c>
      <c r="B1485" s="3">
        <v>47243</v>
      </c>
      <c r="C1485" t="s">
        <v>1751</v>
      </c>
      <c r="D1485" t="s">
        <v>631</v>
      </c>
      <c r="E1485" t="str">
        <f>TRIM(excelsalesdata[[#This Row],[Customer_Name]])</f>
        <v>Diya Naidu</v>
      </c>
      <c r="F1485" t="s">
        <v>44</v>
      </c>
      <c r="G1485">
        <v>20</v>
      </c>
      <c r="H1485" t="s">
        <v>114</v>
      </c>
      <c r="I1485" t="str">
        <f>TRIM(excelsalesdata[[#This Row],[City]])</f>
        <v>Hyderabad</v>
      </c>
      <c r="J1485" t="s">
        <v>115</v>
      </c>
      <c r="K1485" t="s">
        <v>47</v>
      </c>
      <c r="L1485" t="s">
        <v>27</v>
      </c>
      <c r="M1485" t="s">
        <v>195</v>
      </c>
      <c r="N1485" t="s">
        <v>195</v>
      </c>
      <c r="O1485">
        <v>3</v>
      </c>
      <c r="P1485">
        <v>2100</v>
      </c>
      <c r="Q1485">
        <v>0.05</v>
      </c>
      <c r="R1485">
        <v>1210</v>
      </c>
      <c r="S1485" t="s">
        <v>80</v>
      </c>
      <c r="T1485" t="s">
        <v>81</v>
      </c>
      <c r="U1485">
        <v>0</v>
      </c>
      <c r="V1485" t="s">
        <v>40</v>
      </c>
      <c r="W1485">
        <f>excelsalesdata[[#This Row],[Quantity]]*excelsalesdata[[#This Row],[Unit_Price]]</f>
        <v>6300</v>
      </c>
      <c r="X1485">
        <f>excelsalesdata[[#This Row],[Gross_sales]]*excelsalesdata[[#This Row],[Discount_%]]</f>
        <v>315</v>
      </c>
      <c r="Y1485">
        <f>excelsalesdata[[#This Row],[Gross_sales]]-excelsalesdata[[#This Row],[Discount_amt]]</f>
        <v>5985</v>
      </c>
      <c r="Z1485" s="4">
        <f>excelsalesdata[[#This Row],[Net_sales]]-excelsalesdata[[#This Row],[Cost]]</f>
        <v>4775</v>
      </c>
      <c r="AA1485" s="5">
        <f>excelsalesdata[[#This Row],[Profit]]/excelsalesdata[[#This Row],[Net_sales]]</f>
        <v>0.797827903091061</v>
      </c>
      <c r="AB1485" s="4">
        <f>YEAR(excelsalesdata[[#This Row],[Order_Date]])</f>
        <v>2029</v>
      </c>
      <c r="AC1485" s="4" t="str">
        <f>TEXT(excelsalesdata[[#This Row],[Order_Date]],"mmm")</f>
        <v>May</v>
      </c>
      <c r="AD1485" s="4" t="str">
        <f>"Q"&amp;ROUNDUP(MONTH(excelsalesdata[[#This Row],[Order_Date]])/3,0)</f>
        <v>Q2</v>
      </c>
    </row>
    <row r="1486" spans="1:30" x14ac:dyDescent="0.35">
      <c r="A1486" t="s">
        <v>2313</v>
      </c>
      <c r="B1486" s="3">
        <v>47244</v>
      </c>
      <c r="C1486" t="s">
        <v>671</v>
      </c>
      <c r="D1486" t="s">
        <v>1108</v>
      </c>
      <c r="E1486" t="str">
        <f>TRIM(excelsalesdata[[#This Row],[Customer_Name]])</f>
        <v>Rohan Verma</v>
      </c>
      <c r="F1486" t="s">
        <v>44</v>
      </c>
      <c r="G1486">
        <v>44</v>
      </c>
      <c r="H1486" t="s">
        <v>24</v>
      </c>
      <c r="I1486" t="str">
        <f>TRIM(excelsalesdata[[#This Row],[City]])</f>
        <v>Pune</v>
      </c>
      <c r="J1486" t="s">
        <v>25</v>
      </c>
      <c r="K1486" t="s">
        <v>26</v>
      </c>
      <c r="L1486" t="s">
        <v>54</v>
      </c>
      <c r="M1486" t="s">
        <v>129</v>
      </c>
      <c r="N1486" t="s">
        <v>129</v>
      </c>
      <c r="O1486">
        <v>1</v>
      </c>
      <c r="P1486">
        <v>18230</v>
      </c>
      <c r="Q1486">
        <v>0.1</v>
      </c>
      <c r="R1486">
        <v>12610</v>
      </c>
      <c r="S1486" t="s">
        <v>29</v>
      </c>
      <c r="T1486" t="s">
        <v>30</v>
      </c>
      <c r="U1486">
        <v>3</v>
      </c>
      <c r="V1486" t="s">
        <v>40</v>
      </c>
      <c r="W1486">
        <f>excelsalesdata[[#This Row],[Quantity]]*excelsalesdata[[#This Row],[Unit_Price]]</f>
        <v>18230</v>
      </c>
      <c r="X1486">
        <f>excelsalesdata[[#This Row],[Gross_sales]]*excelsalesdata[[#This Row],[Discount_%]]</f>
        <v>1823</v>
      </c>
      <c r="Y1486">
        <f>excelsalesdata[[#This Row],[Gross_sales]]-excelsalesdata[[#This Row],[Discount_amt]]</f>
        <v>16407</v>
      </c>
      <c r="Z1486" s="4">
        <f>excelsalesdata[[#This Row],[Net_sales]]-excelsalesdata[[#This Row],[Cost]]</f>
        <v>3797</v>
      </c>
      <c r="AA1486" s="5">
        <f>excelsalesdata[[#This Row],[Profit]]/excelsalesdata[[#This Row],[Net_sales]]</f>
        <v>0.23142561101968673</v>
      </c>
      <c r="AB1486" s="4">
        <f>YEAR(excelsalesdata[[#This Row],[Order_Date]])</f>
        <v>2029</v>
      </c>
      <c r="AC1486" s="4" t="str">
        <f>TEXT(excelsalesdata[[#This Row],[Order_Date]],"mmm")</f>
        <v>May</v>
      </c>
      <c r="AD1486" s="4" t="str">
        <f>"Q"&amp;ROUNDUP(MONTH(excelsalesdata[[#This Row],[Order_Date]])/3,0)</f>
        <v>Q2</v>
      </c>
    </row>
    <row r="1487" spans="1:30" x14ac:dyDescent="0.35">
      <c r="A1487" t="s">
        <v>2314</v>
      </c>
      <c r="B1487" s="3">
        <v>47245</v>
      </c>
      <c r="C1487" t="s">
        <v>737</v>
      </c>
      <c r="D1487" t="s">
        <v>237</v>
      </c>
      <c r="E1487" t="str">
        <f>TRIM(excelsalesdata[[#This Row],[Customer_Name]])</f>
        <v>Vivaan Kumar</v>
      </c>
      <c r="F1487" t="s">
        <v>23</v>
      </c>
      <c r="G1487">
        <v>25</v>
      </c>
      <c r="H1487" t="s">
        <v>109</v>
      </c>
      <c r="I1487" t="str">
        <f>TRIM(excelsalesdata[[#This Row],[City]])</f>
        <v>Mysuru</v>
      </c>
      <c r="J1487" t="s">
        <v>53</v>
      </c>
      <c r="K1487" t="s">
        <v>47</v>
      </c>
      <c r="L1487" t="s">
        <v>54</v>
      </c>
      <c r="M1487" t="s">
        <v>66</v>
      </c>
      <c r="N1487" t="s">
        <v>66</v>
      </c>
      <c r="O1487">
        <v>2</v>
      </c>
      <c r="P1487">
        <v>2550</v>
      </c>
      <c r="Q1487">
        <v>0.15</v>
      </c>
      <c r="R1487">
        <v>1440</v>
      </c>
      <c r="S1487" t="s">
        <v>80</v>
      </c>
      <c r="T1487" t="s">
        <v>30</v>
      </c>
      <c r="U1487">
        <v>3</v>
      </c>
      <c r="V1487" t="s">
        <v>31</v>
      </c>
      <c r="W1487">
        <f>excelsalesdata[[#This Row],[Quantity]]*excelsalesdata[[#This Row],[Unit_Price]]</f>
        <v>5100</v>
      </c>
      <c r="X1487">
        <f>excelsalesdata[[#This Row],[Gross_sales]]*excelsalesdata[[#This Row],[Discount_%]]</f>
        <v>765</v>
      </c>
      <c r="Y1487">
        <f>excelsalesdata[[#This Row],[Gross_sales]]-excelsalesdata[[#This Row],[Discount_amt]]</f>
        <v>4335</v>
      </c>
      <c r="Z1487" s="4">
        <f>excelsalesdata[[#This Row],[Net_sales]]-excelsalesdata[[#This Row],[Cost]]</f>
        <v>2895</v>
      </c>
      <c r="AA1487" s="5">
        <f>excelsalesdata[[#This Row],[Profit]]/excelsalesdata[[#This Row],[Net_sales]]</f>
        <v>0.66782006920415227</v>
      </c>
      <c r="AB1487" s="4">
        <f>YEAR(excelsalesdata[[#This Row],[Order_Date]])</f>
        <v>2029</v>
      </c>
      <c r="AC1487" s="4" t="str">
        <f>TEXT(excelsalesdata[[#This Row],[Order_Date]],"mmm")</f>
        <v>May</v>
      </c>
      <c r="AD1487" s="4" t="str">
        <f>"Q"&amp;ROUNDUP(MONTH(excelsalesdata[[#This Row],[Order_Date]])/3,0)</f>
        <v>Q2</v>
      </c>
    </row>
    <row r="1488" spans="1:30" x14ac:dyDescent="0.35">
      <c r="A1488" t="s">
        <v>2315</v>
      </c>
      <c r="B1488" s="3">
        <v>47246</v>
      </c>
      <c r="C1488" t="s">
        <v>951</v>
      </c>
      <c r="D1488" t="s">
        <v>22</v>
      </c>
      <c r="E1488" t="str">
        <f>TRIM(excelsalesdata[[#This Row],[Customer_Name]])</f>
        <v>Sneha Naidu</v>
      </c>
      <c r="F1488" t="s">
        <v>44</v>
      </c>
      <c r="G1488">
        <v>38</v>
      </c>
      <c r="H1488" t="s">
        <v>185</v>
      </c>
      <c r="I1488" t="str">
        <f>TRIM(excelsalesdata[[#This Row],[City]])</f>
        <v>Lucknow</v>
      </c>
      <c r="J1488" t="s">
        <v>186</v>
      </c>
      <c r="K1488" t="s">
        <v>61</v>
      </c>
      <c r="L1488" t="s">
        <v>93</v>
      </c>
      <c r="M1488" t="s">
        <v>94</v>
      </c>
      <c r="N1488" t="s">
        <v>94</v>
      </c>
      <c r="O1488">
        <v>1</v>
      </c>
      <c r="P1488">
        <v>500</v>
      </c>
      <c r="Q1488">
        <v>0.25</v>
      </c>
      <c r="R1488">
        <v>220</v>
      </c>
      <c r="S1488" t="s">
        <v>151</v>
      </c>
      <c r="T1488" t="s">
        <v>30</v>
      </c>
      <c r="U1488">
        <v>3</v>
      </c>
      <c r="V1488" t="s">
        <v>31</v>
      </c>
      <c r="W1488">
        <f>excelsalesdata[[#This Row],[Quantity]]*excelsalesdata[[#This Row],[Unit_Price]]</f>
        <v>500</v>
      </c>
      <c r="X1488">
        <f>excelsalesdata[[#This Row],[Gross_sales]]*excelsalesdata[[#This Row],[Discount_%]]</f>
        <v>125</v>
      </c>
      <c r="Y1488">
        <f>excelsalesdata[[#This Row],[Gross_sales]]-excelsalesdata[[#This Row],[Discount_amt]]</f>
        <v>375</v>
      </c>
      <c r="Z1488" s="4">
        <f>excelsalesdata[[#This Row],[Net_sales]]-excelsalesdata[[#This Row],[Cost]]</f>
        <v>155</v>
      </c>
      <c r="AA1488" s="5">
        <f>excelsalesdata[[#This Row],[Profit]]/excelsalesdata[[#This Row],[Net_sales]]</f>
        <v>0.41333333333333333</v>
      </c>
      <c r="AB1488" s="4">
        <f>YEAR(excelsalesdata[[#This Row],[Order_Date]])</f>
        <v>2029</v>
      </c>
      <c r="AC1488" s="4" t="str">
        <f>TEXT(excelsalesdata[[#This Row],[Order_Date]],"mmm")</f>
        <v>May</v>
      </c>
      <c r="AD1488" s="4" t="str">
        <f>"Q"&amp;ROUNDUP(MONTH(excelsalesdata[[#This Row],[Order_Date]])/3,0)</f>
        <v>Q2</v>
      </c>
    </row>
    <row r="1489" spans="1:30" x14ac:dyDescent="0.35">
      <c r="A1489" t="s">
        <v>2316</v>
      </c>
      <c r="B1489" s="3">
        <v>47247</v>
      </c>
      <c r="C1489" t="s">
        <v>2071</v>
      </c>
      <c r="D1489" t="s">
        <v>442</v>
      </c>
      <c r="E1489" t="str">
        <f>TRIM(excelsalesdata[[#This Row],[Customer_Name]])</f>
        <v>Arjun Rao</v>
      </c>
      <c r="F1489" t="s">
        <v>44</v>
      </c>
      <c r="G1489">
        <v>53</v>
      </c>
      <c r="H1489" t="s">
        <v>109</v>
      </c>
      <c r="I1489" t="str">
        <f>TRIM(excelsalesdata[[#This Row],[City]])</f>
        <v>Mysuru</v>
      </c>
      <c r="J1489" t="s">
        <v>53</v>
      </c>
      <c r="K1489" t="s">
        <v>47</v>
      </c>
      <c r="L1489" t="s">
        <v>54</v>
      </c>
      <c r="M1489" t="s">
        <v>129</v>
      </c>
      <c r="N1489" t="s">
        <v>129</v>
      </c>
      <c r="O1489">
        <v>4</v>
      </c>
      <c r="P1489">
        <v>17100</v>
      </c>
      <c r="Q1489">
        <v>0</v>
      </c>
      <c r="R1489">
        <v>12500</v>
      </c>
      <c r="S1489" t="s">
        <v>29</v>
      </c>
      <c r="T1489" t="s">
        <v>30</v>
      </c>
      <c r="U1489">
        <v>4</v>
      </c>
      <c r="V1489" t="s">
        <v>40</v>
      </c>
      <c r="W1489">
        <f>excelsalesdata[[#This Row],[Quantity]]*excelsalesdata[[#This Row],[Unit_Price]]</f>
        <v>68400</v>
      </c>
      <c r="X1489">
        <f>excelsalesdata[[#This Row],[Gross_sales]]*excelsalesdata[[#This Row],[Discount_%]]</f>
        <v>0</v>
      </c>
      <c r="Y1489">
        <f>excelsalesdata[[#This Row],[Gross_sales]]-excelsalesdata[[#This Row],[Discount_amt]]</f>
        <v>68400</v>
      </c>
      <c r="Z1489" s="4">
        <f>excelsalesdata[[#This Row],[Net_sales]]-excelsalesdata[[#This Row],[Cost]]</f>
        <v>55900</v>
      </c>
      <c r="AA1489" s="5">
        <f>excelsalesdata[[#This Row],[Profit]]/excelsalesdata[[#This Row],[Net_sales]]</f>
        <v>0.81725146198830412</v>
      </c>
      <c r="AB1489" s="4">
        <f>YEAR(excelsalesdata[[#This Row],[Order_Date]])</f>
        <v>2029</v>
      </c>
      <c r="AC1489" s="4" t="str">
        <f>TEXT(excelsalesdata[[#This Row],[Order_Date]],"mmm")</f>
        <v>May</v>
      </c>
      <c r="AD1489" s="4" t="str">
        <f>"Q"&amp;ROUNDUP(MONTH(excelsalesdata[[#This Row],[Order_Date]])/3,0)</f>
        <v>Q2</v>
      </c>
    </row>
    <row r="1490" spans="1:30" x14ac:dyDescent="0.35">
      <c r="A1490" t="s">
        <v>2317</v>
      </c>
      <c r="B1490" s="3">
        <v>47248</v>
      </c>
      <c r="C1490" t="s">
        <v>1229</v>
      </c>
      <c r="D1490" t="s">
        <v>102</v>
      </c>
      <c r="E1490" t="str">
        <f>TRIM(excelsalesdata[[#This Row],[Customer_Name]])</f>
        <v>Nisha Sharma</v>
      </c>
      <c r="F1490" t="s">
        <v>23</v>
      </c>
      <c r="G1490">
        <v>29</v>
      </c>
      <c r="H1490" t="s">
        <v>114</v>
      </c>
      <c r="I1490" t="str">
        <f>TRIM(excelsalesdata[[#This Row],[City]])</f>
        <v>Hyderabad</v>
      </c>
      <c r="J1490" t="s">
        <v>115</v>
      </c>
      <c r="K1490" t="s">
        <v>47</v>
      </c>
      <c r="L1490" t="s">
        <v>54</v>
      </c>
      <c r="M1490" t="s">
        <v>66</v>
      </c>
      <c r="N1490" t="s">
        <v>66</v>
      </c>
      <c r="O1490">
        <v>5</v>
      </c>
      <c r="P1490">
        <v>2340</v>
      </c>
      <c r="Q1490">
        <v>0.05</v>
      </c>
      <c r="R1490">
        <v>1440</v>
      </c>
      <c r="S1490" t="s">
        <v>29</v>
      </c>
      <c r="T1490" t="s">
        <v>30</v>
      </c>
      <c r="U1490">
        <v>3</v>
      </c>
      <c r="V1490" t="s">
        <v>31</v>
      </c>
      <c r="W1490">
        <f>excelsalesdata[[#This Row],[Quantity]]*excelsalesdata[[#This Row],[Unit_Price]]</f>
        <v>11700</v>
      </c>
      <c r="X1490">
        <f>excelsalesdata[[#This Row],[Gross_sales]]*excelsalesdata[[#This Row],[Discount_%]]</f>
        <v>585</v>
      </c>
      <c r="Y1490">
        <f>excelsalesdata[[#This Row],[Gross_sales]]-excelsalesdata[[#This Row],[Discount_amt]]</f>
        <v>11115</v>
      </c>
      <c r="Z1490" s="4">
        <f>excelsalesdata[[#This Row],[Net_sales]]-excelsalesdata[[#This Row],[Cost]]</f>
        <v>9675</v>
      </c>
      <c r="AA1490" s="5">
        <f>excelsalesdata[[#This Row],[Profit]]/excelsalesdata[[#This Row],[Net_sales]]</f>
        <v>0.87044534412955465</v>
      </c>
      <c r="AB1490" s="4">
        <f>YEAR(excelsalesdata[[#This Row],[Order_Date]])</f>
        <v>2029</v>
      </c>
      <c r="AC1490" s="4" t="str">
        <f>TEXT(excelsalesdata[[#This Row],[Order_Date]],"mmm")</f>
        <v>May</v>
      </c>
      <c r="AD1490" s="4" t="str">
        <f>"Q"&amp;ROUNDUP(MONTH(excelsalesdata[[#This Row],[Order_Date]])/3,0)</f>
        <v>Q2</v>
      </c>
    </row>
    <row r="1491" spans="1:30" x14ac:dyDescent="0.35">
      <c r="A1491" t="s">
        <v>2318</v>
      </c>
      <c r="B1491" s="3">
        <v>47249</v>
      </c>
      <c r="C1491" t="s">
        <v>42</v>
      </c>
      <c r="D1491" t="s">
        <v>362</v>
      </c>
      <c r="E1491" t="str">
        <f>TRIM(excelsalesdata[[#This Row],[Customer_Name]])</f>
        <v>Diya Gupta</v>
      </c>
      <c r="F1491" t="s">
        <v>44</v>
      </c>
      <c r="G1491">
        <v>28</v>
      </c>
      <c r="H1491" t="s">
        <v>24</v>
      </c>
      <c r="I1491" t="str">
        <f>TRIM(excelsalesdata[[#This Row],[City]])</f>
        <v>Pune</v>
      </c>
      <c r="J1491" t="s">
        <v>25</v>
      </c>
      <c r="K1491" t="s">
        <v>26</v>
      </c>
      <c r="L1491" t="s">
        <v>85</v>
      </c>
      <c r="M1491" t="s">
        <v>86</v>
      </c>
      <c r="N1491" t="s">
        <v>86</v>
      </c>
      <c r="O1491">
        <v>2</v>
      </c>
      <c r="P1491">
        <v>2680</v>
      </c>
      <c r="Q1491">
        <v>0.05</v>
      </c>
      <c r="R1491">
        <v>1560</v>
      </c>
      <c r="S1491" t="s">
        <v>56</v>
      </c>
      <c r="T1491" t="s">
        <v>30</v>
      </c>
      <c r="U1491">
        <v>5</v>
      </c>
      <c r="V1491" t="s">
        <v>40</v>
      </c>
      <c r="W1491">
        <f>excelsalesdata[[#This Row],[Quantity]]*excelsalesdata[[#This Row],[Unit_Price]]</f>
        <v>5360</v>
      </c>
      <c r="X1491">
        <f>excelsalesdata[[#This Row],[Gross_sales]]*excelsalesdata[[#This Row],[Discount_%]]</f>
        <v>268</v>
      </c>
      <c r="Y1491">
        <f>excelsalesdata[[#This Row],[Gross_sales]]-excelsalesdata[[#This Row],[Discount_amt]]</f>
        <v>5092</v>
      </c>
      <c r="Z1491" s="4">
        <f>excelsalesdata[[#This Row],[Net_sales]]-excelsalesdata[[#This Row],[Cost]]</f>
        <v>3532</v>
      </c>
      <c r="AA1491" s="5">
        <f>excelsalesdata[[#This Row],[Profit]]/excelsalesdata[[#This Row],[Net_sales]]</f>
        <v>0.69363707776904948</v>
      </c>
      <c r="AB1491" s="4">
        <f>YEAR(excelsalesdata[[#This Row],[Order_Date]])</f>
        <v>2029</v>
      </c>
      <c r="AC1491" s="4" t="str">
        <f>TEXT(excelsalesdata[[#This Row],[Order_Date]],"mmm")</f>
        <v>May</v>
      </c>
      <c r="AD1491" s="4" t="str">
        <f>"Q"&amp;ROUNDUP(MONTH(excelsalesdata[[#This Row],[Order_Date]])/3,0)</f>
        <v>Q2</v>
      </c>
    </row>
    <row r="1492" spans="1:30" x14ac:dyDescent="0.35">
      <c r="A1492" t="s">
        <v>2319</v>
      </c>
      <c r="B1492" s="3">
        <v>47250</v>
      </c>
      <c r="C1492" t="s">
        <v>864</v>
      </c>
      <c r="D1492" t="s">
        <v>442</v>
      </c>
      <c r="E1492" t="str">
        <f>TRIM(excelsalesdata[[#This Row],[Customer_Name]])</f>
        <v>Arjun Rao</v>
      </c>
      <c r="F1492" t="s">
        <v>44</v>
      </c>
      <c r="G1492">
        <v>34</v>
      </c>
      <c r="H1492" t="s">
        <v>71</v>
      </c>
      <c r="I1492" t="str">
        <f>TRIM(excelsalesdata[[#This Row],[City]])</f>
        <v>Bhubaneswar</v>
      </c>
      <c r="J1492" t="s">
        <v>72</v>
      </c>
      <c r="K1492" t="s">
        <v>37</v>
      </c>
      <c r="L1492" t="s">
        <v>38</v>
      </c>
      <c r="M1492" t="s">
        <v>119</v>
      </c>
      <c r="N1492" t="s">
        <v>119</v>
      </c>
      <c r="O1492">
        <v>2</v>
      </c>
      <c r="P1492">
        <v>8200</v>
      </c>
      <c r="Q1492">
        <v>0.3</v>
      </c>
      <c r="R1492">
        <v>5510</v>
      </c>
      <c r="S1492" t="s">
        <v>29</v>
      </c>
      <c r="T1492" t="s">
        <v>30</v>
      </c>
      <c r="U1492">
        <v>3</v>
      </c>
      <c r="V1492" t="s">
        <v>31</v>
      </c>
      <c r="W1492">
        <f>excelsalesdata[[#This Row],[Quantity]]*excelsalesdata[[#This Row],[Unit_Price]]</f>
        <v>16400</v>
      </c>
      <c r="X1492">
        <f>excelsalesdata[[#This Row],[Gross_sales]]*excelsalesdata[[#This Row],[Discount_%]]</f>
        <v>4920</v>
      </c>
      <c r="Y1492">
        <f>excelsalesdata[[#This Row],[Gross_sales]]-excelsalesdata[[#This Row],[Discount_amt]]</f>
        <v>11480</v>
      </c>
      <c r="Z1492" s="4">
        <f>excelsalesdata[[#This Row],[Net_sales]]-excelsalesdata[[#This Row],[Cost]]</f>
        <v>5970</v>
      </c>
      <c r="AA1492" s="5">
        <f>excelsalesdata[[#This Row],[Profit]]/excelsalesdata[[#This Row],[Net_sales]]</f>
        <v>0.52003484320557491</v>
      </c>
      <c r="AB1492" s="4">
        <f>YEAR(excelsalesdata[[#This Row],[Order_Date]])</f>
        <v>2029</v>
      </c>
      <c r="AC1492" s="4" t="str">
        <f>TEXT(excelsalesdata[[#This Row],[Order_Date]],"mmm")</f>
        <v>May</v>
      </c>
      <c r="AD1492" s="4" t="str">
        <f>"Q"&amp;ROUNDUP(MONTH(excelsalesdata[[#This Row],[Order_Date]])/3,0)</f>
        <v>Q2</v>
      </c>
    </row>
    <row r="1493" spans="1:30" x14ac:dyDescent="0.35">
      <c r="A1493" t="s">
        <v>2320</v>
      </c>
      <c r="B1493" s="3">
        <v>47251</v>
      </c>
      <c r="C1493" t="s">
        <v>682</v>
      </c>
      <c r="D1493" t="s">
        <v>631</v>
      </c>
      <c r="E1493" t="str">
        <f>TRIM(excelsalesdata[[#This Row],[Customer_Name]])</f>
        <v>Diya Naidu</v>
      </c>
      <c r="F1493" t="s">
        <v>23</v>
      </c>
      <c r="G1493">
        <v>19</v>
      </c>
      <c r="H1493" t="s">
        <v>24</v>
      </c>
      <c r="I1493" t="str">
        <f>TRIM(excelsalesdata[[#This Row],[City]])</f>
        <v>Pune</v>
      </c>
      <c r="J1493" t="s">
        <v>25</v>
      </c>
      <c r="K1493" t="s">
        <v>26</v>
      </c>
      <c r="L1493" t="s">
        <v>85</v>
      </c>
      <c r="M1493" t="s">
        <v>251</v>
      </c>
      <c r="N1493" t="s">
        <v>251</v>
      </c>
      <c r="O1493">
        <v>1</v>
      </c>
      <c r="P1493">
        <v>3250</v>
      </c>
      <c r="Q1493">
        <v>0.2</v>
      </c>
      <c r="R1493">
        <v>1920</v>
      </c>
      <c r="S1493" t="s">
        <v>80</v>
      </c>
      <c r="T1493" t="s">
        <v>74</v>
      </c>
      <c r="U1493">
        <v>8</v>
      </c>
      <c r="V1493" t="s">
        <v>31</v>
      </c>
      <c r="W1493">
        <f>excelsalesdata[[#This Row],[Quantity]]*excelsalesdata[[#This Row],[Unit_Price]]</f>
        <v>3250</v>
      </c>
      <c r="X1493">
        <f>excelsalesdata[[#This Row],[Gross_sales]]*excelsalesdata[[#This Row],[Discount_%]]</f>
        <v>650</v>
      </c>
      <c r="Y1493">
        <f>excelsalesdata[[#This Row],[Gross_sales]]-excelsalesdata[[#This Row],[Discount_amt]]</f>
        <v>2600</v>
      </c>
      <c r="Z1493" s="4">
        <f>excelsalesdata[[#This Row],[Net_sales]]-excelsalesdata[[#This Row],[Cost]]</f>
        <v>680</v>
      </c>
      <c r="AA1493" s="5">
        <f>excelsalesdata[[#This Row],[Profit]]/excelsalesdata[[#This Row],[Net_sales]]</f>
        <v>0.26153846153846155</v>
      </c>
      <c r="AB1493" s="4">
        <f>YEAR(excelsalesdata[[#This Row],[Order_Date]])</f>
        <v>2029</v>
      </c>
      <c r="AC1493" s="4" t="str">
        <f>TEXT(excelsalesdata[[#This Row],[Order_Date]],"mmm")</f>
        <v>May</v>
      </c>
      <c r="AD1493" s="4" t="str">
        <f>"Q"&amp;ROUNDUP(MONTH(excelsalesdata[[#This Row],[Order_Date]])/3,0)</f>
        <v>Q2</v>
      </c>
    </row>
    <row r="1494" spans="1:30" x14ac:dyDescent="0.35">
      <c r="A1494" t="s">
        <v>2321</v>
      </c>
      <c r="B1494" s="3">
        <v>47252</v>
      </c>
      <c r="C1494" t="s">
        <v>680</v>
      </c>
      <c r="D1494" t="s">
        <v>1404</v>
      </c>
      <c r="E1494" t="str">
        <f>TRIM(excelsalesdata[[#This Row],[Customer_Name]])</f>
        <v>Rohan Joshi</v>
      </c>
      <c r="F1494" t="s">
        <v>23</v>
      </c>
      <c r="G1494">
        <v>23</v>
      </c>
      <c r="H1494" t="s">
        <v>155</v>
      </c>
      <c r="I1494" t="str">
        <f>TRIM(excelsalesdata[[#This Row],[City]])</f>
        <v>Chennai</v>
      </c>
      <c r="J1494" t="s">
        <v>156</v>
      </c>
      <c r="K1494" t="s">
        <v>47</v>
      </c>
      <c r="L1494" t="s">
        <v>54</v>
      </c>
      <c r="M1494" t="s">
        <v>66</v>
      </c>
      <c r="N1494" t="s">
        <v>66</v>
      </c>
      <c r="O1494">
        <v>2</v>
      </c>
      <c r="P1494">
        <v>2410</v>
      </c>
      <c r="Q1494">
        <v>0</v>
      </c>
      <c r="R1494">
        <v>1560</v>
      </c>
      <c r="S1494" t="s">
        <v>80</v>
      </c>
      <c r="T1494" t="s">
        <v>30</v>
      </c>
      <c r="U1494">
        <v>6</v>
      </c>
      <c r="V1494" t="s">
        <v>40</v>
      </c>
      <c r="W1494">
        <f>excelsalesdata[[#This Row],[Quantity]]*excelsalesdata[[#This Row],[Unit_Price]]</f>
        <v>4820</v>
      </c>
      <c r="X1494">
        <f>excelsalesdata[[#This Row],[Gross_sales]]*excelsalesdata[[#This Row],[Discount_%]]</f>
        <v>0</v>
      </c>
      <c r="Y1494">
        <f>excelsalesdata[[#This Row],[Gross_sales]]-excelsalesdata[[#This Row],[Discount_amt]]</f>
        <v>4820</v>
      </c>
      <c r="Z1494" s="4">
        <f>excelsalesdata[[#This Row],[Net_sales]]-excelsalesdata[[#This Row],[Cost]]</f>
        <v>3260</v>
      </c>
      <c r="AA1494" s="5">
        <f>excelsalesdata[[#This Row],[Profit]]/excelsalesdata[[#This Row],[Net_sales]]</f>
        <v>0.67634854771784236</v>
      </c>
      <c r="AB1494" s="4">
        <f>YEAR(excelsalesdata[[#This Row],[Order_Date]])</f>
        <v>2029</v>
      </c>
      <c r="AC1494" s="4" t="str">
        <f>TEXT(excelsalesdata[[#This Row],[Order_Date]],"mmm")</f>
        <v>May</v>
      </c>
      <c r="AD1494" s="4" t="str">
        <f>"Q"&amp;ROUNDUP(MONTH(excelsalesdata[[#This Row],[Order_Date]])/3,0)</f>
        <v>Q2</v>
      </c>
    </row>
    <row r="1495" spans="1:30" x14ac:dyDescent="0.35">
      <c r="A1495" t="s">
        <v>2322</v>
      </c>
      <c r="B1495" s="3">
        <v>47253</v>
      </c>
      <c r="C1495" t="s">
        <v>1595</v>
      </c>
      <c r="D1495" t="s">
        <v>262</v>
      </c>
      <c r="E1495" t="str">
        <f>TRIM(excelsalesdata[[#This Row],[Customer_Name]])</f>
        <v>Arjun Joshi</v>
      </c>
      <c r="F1495" t="s">
        <v>44</v>
      </c>
      <c r="G1495">
        <v>53</v>
      </c>
      <c r="H1495" t="s">
        <v>168</v>
      </c>
      <c r="I1495" t="str">
        <f>TRIM(excelsalesdata[[#This Row],[City]])</f>
        <v>Delhi</v>
      </c>
      <c r="J1495" t="s">
        <v>168</v>
      </c>
      <c r="K1495" t="s">
        <v>61</v>
      </c>
      <c r="L1495" t="s">
        <v>54</v>
      </c>
      <c r="M1495" t="s">
        <v>55</v>
      </c>
      <c r="N1495" t="s">
        <v>55</v>
      </c>
      <c r="O1495">
        <v>1</v>
      </c>
      <c r="P1495">
        <v>6610</v>
      </c>
      <c r="Q1495">
        <v>0.1</v>
      </c>
      <c r="R1495">
        <v>4610</v>
      </c>
      <c r="S1495" t="s">
        <v>2848</v>
      </c>
      <c r="T1495" t="s">
        <v>30</v>
      </c>
      <c r="U1495">
        <v>4</v>
      </c>
      <c r="V1495" t="s">
        <v>40</v>
      </c>
      <c r="W1495">
        <f>excelsalesdata[[#This Row],[Quantity]]*excelsalesdata[[#This Row],[Unit_Price]]</f>
        <v>6610</v>
      </c>
      <c r="X1495">
        <f>excelsalesdata[[#This Row],[Gross_sales]]*excelsalesdata[[#This Row],[Discount_%]]</f>
        <v>661</v>
      </c>
      <c r="Y1495">
        <f>excelsalesdata[[#This Row],[Gross_sales]]-excelsalesdata[[#This Row],[Discount_amt]]</f>
        <v>5949</v>
      </c>
      <c r="Z1495" s="4">
        <f>excelsalesdata[[#This Row],[Net_sales]]-excelsalesdata[[#This Row],[Cost]]</f>
        <v>1339</v>
      </c>
      <c r="AA1495" s="5">
        <f>excelsalesdata[[#This Row],[Profit]]/excelsalesdata[[#This Row],[Net_sales]]</f>
        <v>0.22507984535216002</v>
      </c>
      <c r="AB1495" s="4">
        <f>YEAR(excelsalesdata[[#This Row],[Order_Date]])</f>
        <v>2029</v>
      </c>
      <c r="AC1495" s="4" t="str">
        <f>TEXT(excelsalesdata[[#This Row],[Order_Date]],"mmm")</f>
        <v>May</v>
      </c>
      <c r="AD1495" s="4" t="str">
        <f>"Q"&amp;ROUNDUP(MONTH(excelsalesdata[[#This Row],[Order_Date]])/3,0)</f>
        <v>Q2</v>
      </c>
    </row>
    <row r="1496" spans="1:30" x14ac:dyDescent="0.35">
      <c r="A1496" t="s">
        <v>2323</v>
      </c>
      <c r="B1496" s="3">
        <v>47254</v>
      </c>
      <c r="C1496" t="s">
        <v>1444</v>
      </c>
      <c r="D1496" t="s">
        <v>563</v>
      </c>
      <c r="E1496" t="str">
        <f>TRIM(excelsalesdata[[#This Row],[Customer_Name]])</f>
        <v>Sneha Verma</v>
      </c>
      <c r="F1496" t="s">
        <v>44</v>
      </c>
      <c r="G1496">
        <v>54</v>
      </c>
      <c r="H1496" t="s">
        <v>60</v>
      </c>
      <c r="I1496" t="str">
        <f>TRIM(excelsalesdata[[#This Row],[City]])</f>
        <v>Chandigarh</v>
      </c>
      <c r="J1496" t="s">
        <v>60</v>
      </c>
      <c r="K1496" t="s">
        <v>61</v>
      </c>
      <c r="L1496" t="s">
        <v>93</v>
      </c>
      <c r="M1496" t="s">
        <v>135</v>
      </c>
      <c r="N1496" t="s">
        <v>135</v>
      </c>
      <c r="O1496">
        <v>3</v>
      </c>
      <c r="P1496">
        <v>1680</v>
      </c>
      <c r="Q1496">
        <v>0.1</v>
      </c>
      <c r="R1496">
        <v>1040</v>
      </c>
      <c r="S1496" t="s">
        <v>67</v>
      </c>
      <c r="T1496" t="s">
        <v>30</v>
      </c>
      <c r="U1496">
        <v>3</v>
      </c>
      <c r="V1496" t="s">
        <v>40</v>
      </c>
      <c r="W1496">
        <f>excelsalesdata[[#This Row],[Quantity]]*excelsalesdata[[#This Row],[Unit_Price]]</f>
        <v>5040</v>
      </c>
      <c r="X1496">
        <f>excelsalesdata[[#This Row],[Gross_sales]]*excelsalesdata[[#This Row],[Discount_%]]</f>
        <v>504</v>
      </c>
      <c r="Y1496">
        <f>excelsalesdata[[#This Row],[Gross_sales]]-excelsalesdata[[#This Row],[Discount_amt]]</f>
        <v>4536</v>
      </c>
      <c r="Z1496" s="4">
        <f>excelsalesdata[[#This Row],[Net_sales]]-excelsalesdata[[#This Row],[Cost]]</f>
        <v>3496</v>
      </c>
      <c r="AA1496" s="5">
        <f>excelsalesdata[[#This Row],[Profit]]/excelsalesdata[[#This Row],[Net_sales]]</f>
        <v>0.7707231040564374</v>
      </c>
      <c r="AB1496" s="4">
        <f>YEAR(excelsalesdata[[#This Row],[Order_Date]])</f>
        <v>2029</v>
      </c>
      <c r="AC1496" s="4" t="str">
        <f>TEXT(excelsalesdata[[#This Row],[Order_Date]],"mmm")</f>
        <v>May</v>
      </c>
      <c r="AD1496" s="4" t="str">
        <f>"Q"&amp;ROUNDUP(MONTH(excelsalesdata[[#This Row],[Order_Date]])/3,0)</f>
        <v>Q2</v>
      </c>
    </row>
    <row r="1497" spans="1:30" x14ac:dyDescent="0.35">
      <c r="A1497" t="s">
        <v>2324</v>
      </c>
      <c r="B1497" s="3">
        <v>47255</v>
      </c>
      <c r="C1497" t="s">
        <v>2325</v>
      </c>
      <c r="D1497" t="s">
        <v>744</v>
      </c>
      <c r="E1497" t="str">
        <f>TRIM(excelsalesdata[[#This Row],[Customer_Name]])</f>
        <v>Meera Nair</v>
      </c>
      <c r="F1497" t="s">
        <v>44</v>
      </c>
      <c r="G1497">
        <v>39</v>
      </c>
      <c r="H1497" t="s">
        <v>133</v>
      </c>
      <c r="I1497" t="str">
        <f>TRIM(excelsalesdata[[#This Row],[City]])</f>
        <v>Jaipur</v>
      </c>
      <c r="J1497" t="s">
        <v>134</v>
      </c>
      <c r="K1497" t="s">
        <v>61</v>
      </c>
      <c r="L1497" t="s">
        <v>93</v>
      </c>
      <c r="M1497" t="s">
        <v>206</v>
      </c>
      <c r="N1497" t="s">
        <v>206</v>
      </c>
      <c r="O1497">
        <v>2</v>
      </c>
      <c r="P1497">
        <v>660</v>
      </c>
      <c r="Q1497">
        <v>0.15</v>
      </c>
      <c r="R1497">
        <v>290</v>
      </c>
      <c r="S1497" t="s">
        <v>105</v>
      </c>
      <c r="T1497" t="s">
        <v>30</v>
      </c>
      <c r="U1497">
        <v>1</v>
      </c>
      <c r="V1497" t="s">
        <v>31</v>
      </c>
      <c r="W1497">
        <f>excelsalesdata[[#This Row],[Quantity]]*excelsalesdata[[#This Row],[Unit_Price]]</f>
        <v>1320</v>
      </c>
      <c r="X1497">
        <f>excelsalesdata[[#This Row],[Gross_sales]]*excelsalesdata[[#This Row],[Discount_%]]</f>
        <v>198</v>
      </c>
      <c r="Y1497">
        <f>excelsalesdata[[#This Row],[Gross_sales]]-excelsalesdata[[#This Row],[Discount_amt]]</f>
        <v>1122</v>
      </c>
      <c r="Z1497" s="4">
        <f>excelsalesdata[[#This Row],[Net_sales]]-excelsalesdata[[#This Row],[Cost]]</f>
        <v>832</v>
      </c>
      <c r="AA1497" s="5">
        <f>excelsalesdata[[#This Row],[Profit]]/excelsalesdata[[#This Row],[Net_sales]]</f>
        <v>0.74153297682709451</v>
      </c>
      <c r="AB1497" s="4">
        <f>YEAR(excelsalesdata[[#This Row],[Order_Date]])</f>
        <v>2029</v>
      </c>
      <c r="AC1497" s="4" t="str">
        <f>TEXT(excelsalesdata[[#This Row],[Order_Date]],"mmm")</f>
        <v>May</v>
      </c>
      <c r="AD1497" s="4" t="str">
        <f>"Q"&amp;ROUNDUP(MONTH(excelsalesdata[[#This Row],[Order_Date]])/3,0)</f>
        <v>Q2</v>
      </c>
    </row>
    <row r="1498" spans="1:30" x14ac:dyDescent="0.35">
      <c r="A1498" t="s">
        <v>2326</v>
      </c>
      <c r="B1498" s="3">
        <v>47256</v>
      </c>
      <c r="C1498" t="s">
        <v>558</v>
      </c>
      <c r="D1498" t="s">
        <v>1839</v>
      </c>
      <c r="E1498" t="str">
        <f>TRIM(excelsalesdata[[#This Row],[Customer_Name]])</f>
        <v>Diya Nair</v>
      </c>
      <c r="F1498" t="s">
        <v>23</v>
      </c>
      <c r="G1498">
        <v>28</v>
      </c>
      <c r="H1498" t="s">
        <v>78</v>
      </c>
      <c r="I1498" t="str">
        <f>TRIM(excelsalesdata[[#This Row],[City]])</f>
        <v>Guwahati</v>
      </c>
      <c r="J1498" t="s">
        <v>79</v>
      </c>
      <c r="K1498" t="s">
        <v>37</v>
      </c>
      <c r="L1498" t="s">
        <v>54</v>
      </c>
      <c r="M1498" t="s">
        <v>129</v>
      </c>
      <c r="N1498" t="s">
        <v>129</v>
      </c>
      <c r="O1498">
        <v>1</v>
      </c>
      <c r="P1498">
        <v>17500</v>
      </c>
      <c r="Q1498">
        <v>0.05</v>
      </c>
      <c r="R1498">
        <v>12280</v>
      </c>
      <c r="S1498" t="s">
        <v>105</v>
      </c>
      <c r="T1498" t="s">
        <v>30</v>
      </c>
      <c r="U1498">
        <v>3</v>
      </c>
      <c r="V1498" t="s">
        <v>31</v>
      </c>
      <c r="W1498">
        <f>excelsalesdata[[#This Row],[Quantity]]*excelsalesdata[[#This Row],[Unit_Price]]</f>
        <v>17500</v>
      </c>
      <c r="X1498">
        <f>excelsalesdata[[#This Row],[Gross_sales]]*excelsalesdata[[#This Row],[Discount_%]]</f>
        <v>875</v>
      </c>
      <c r="Y1498">
        <f>excelsalesdata[[#This Row],[Gross_sales]]-excelsalesdata[[#This Row],[Discount_amt]]</f>
        <v>16625</v>
      </c>
      <c r="Z1498" s="4">
        <f>excelsalesdata[[#This Row],[Net_sales]]-excelsalesdata[[#This Row],[Cost]]</f>
        <v>4345</v>
      </c>
      <c r="AA1498" s="5">
        <f>excelsalesdata[[#This Row],[Profit]]/excelsalesdata[[#This Row],[Net_sales]]</f>
        <v>0.26135338345864662</v>
      </c>
      <c r="AB1498" s="4">
        <f>YEAR(excelsalesdata[[#This Row],[Order_Date]])</f>
        <v>2029</v>
      </c>
      <c r="AC1498" s="4" t="str">
        <f>TEXT(excelsalesdata[[#This Row],[Order_Date]],"mmm")</f>
        <v>May</v>
      </c>
      <c r="AD1498" s="4" t="str">
        <f>"Q"&amp;ROUNDUP(MONTH(excelsalesdata[[#This Row],[Order_Date]])/3,0)</f>
        <v>Q2</v>
      </c>
    </row>
    <row r="1499" spans="1:30" x14ac:dyDescent="0.35">
      <c r="A1499" t="s">
        <v>2327</v>
      </c>
      <c r="B1499" s="3">
        <v>47257</v>
      </c>
      <c r="C1499" t="s">
        <v>585</v>
      </c>
      <c r="D1499" t="s">
        <v>328</v>
      </c>
      <c r="E1499" t="str">
        <f>TRIM(excelsalesdata[[#This Row],[Customer_Name]])</f>
        <v>Aarav Verma</v>
      </c>
      <c r="F1499" t="s">
        <v>44</v>
      </c>
      <c r="G1499">
        <v>57</v>
      </c>
      <c r="H1499" t="s">
        <v>24</v>
      </c>
      <c r="I1499" t="str">
        <f>TRIM(excelsalesdata[[#This Row],[City]])</f>
        <v>Pune</v>
      </c>
      <c r="J1499" t="s">
        <v>25</v>
      </c>
      <c r="K1499" t="s">
        <v>26</v>
      </c>
      <c r="L1499" t="s">
        <v>27</v>
      </c>
      <c r="M1499" t="s">
        <v>48</v>
      </c>
      <c r="N1499" t="s">
        <v>48</v>
      </c>
      <c r="O1499">
        <v>2</v>
      </c>
      <c r="P1499">
        <v>850</v>
      </c>
      <c r="Q1499">
        <v>0.15</v>
      </c>
      <c r="R1499">
        <v>460</v>
      </c>
      <c r="S1499" t="s">
        <v>29</v>
      </c>
      <c r="T1499" t="s">
        <v>30</v>
      </c>
      <c r="U1499">
        <v>3</v>
      </c>
      <c r="V1499" t="s">
        <v>31</v>
      </c>
      <c r="W1499">
        <f>excelsalesdata[[#This Row],[Quantity]]*excelsalesdata[[#This Row],[Unit_Price]]</f>
        <v>1700</v>
      </c>
      <c r="X1499">
        <f>excelsalesdata[[#This Row],[Gross_sales]]*excelsalesdata[[#This Row],[Discount_%]]</f>
        <v>255</v>
      </c>
      <c r="Y1499">
        <f>excelsalesdata[[#This Row],[Gross_sales]]-excelsalesdata[[#This Row],[Discount_amt]]</f>
        <v>1445</v>
      </c>
      <c r="Z1499" s="4">
        <f>excelsalesdata[[#This Row],[Net_sales]]-excelsalesdata[[#This Row],[Cost]]</f>
        <v>985</v>
      </c>
      <c r="AA1499" s="5">
        <f>excelsalesdata[[#This Row],[Profit]]/excelsalesdata[[#This Row],[Net_sales]]</f>
        <v>0.68166089965397925</v>
      </c>
      <c r="AB1499" s="4">
        <f>YEAR(excelsalesdata[[#This Row],[Order_Date]])</f>
        <v>2029</v>
      </c>
      <c r="AC1499" s="4" t="str">
        <f>TEXT(excelsalesdata[[#This Row],[Order_Date]],"mmm")</f>
        <v>May</v>
      </c>
      <c r="AD1499" s="4" t="str">
        <f>"Q"&amp;ROUNDUP(MONTH(excelsalesdata[[#This Row],[Order_Date]])/3,0)</f>
        <v>Q2</v>
      </c>
    </row>
    <row r="1500" spans="1:30" x14ac:dyDescent="0.35">
      <c r="A1500" t="s">
        <v>2328</v>
      </c>
      <c r="B1500" s="3">
        <v>47258</v>
      </c>
      <c r="C1500" t="s">
        <v>951</v>
      </c>
      <c r="D1500" t="s">
        <v>141</v>
      </c>
      <c r="E1500" t="str">
        <f>TRIM(excelsalesdata[[#This Row],[Customer_Name]])</f>
        <v>Aarav Kumar</v>
      </c>
      <c r="F1500" t="s">
        <v>23</v>
      </c>
      <c r="G1500">
        <v>39</v>
      </c>
      <c r="H1500" t="s">
        <v>71</v>
      </c>
      <c r="I1500" t="str">
        <f>TRIM(excelsalesdata[[#This Row],[City]])</f>
        <v>Bhubaneswar</v>
      </c>
      <c r="J1500" t="s">
        <v>72</v>
      </c>
      <c r="K1500" t="s">
        <v>37</v>
      </c>
      <c r="L1500" t="s">
        <v>27</v>
      </c>
      <c r="M1500" t="s">
        <v>48</v>
      </c>
      <c r="N1500" t="s">
        <v>48</v>
      </c>
      <c r="O1500">
        <v>1</v>
      </c>
      <c r="P1500">
        <v>870</v>
      </c>
      <c r="Q1500">
        <v>0.2</v>
      </c>
      <c r="R1500">
        <v>440</v>
      </c>
      <c r="S1500" t="s">
        <v>105</v>
      </c>
      <c r="T1500" t="s">
        <v>30</v>
      </c>
      <c r="U1500">
        <v>5</v>
      </c>
      <c r="V1500" t="s">
        <v>31</v>
      </c>
      <c r="W1500">
        <f>excelsalesdata[[#This Row],[Quantity]]*excelsalesdata[[#This Row],[Unit_Price]]</f>
        <v>870</v>
      </c>
      <c r="X1500">
        <f>excelsalesdata[[#This Row],[Gross_sales]]*excelsalesdata[[#This Row],[Discount_%]]</f>
        <v>174</v>
      </c>
      <c r="Y1500">
        <f>excelsalesdata[[#This Row],[Gross_sales]]-excelsalesdata[[#This Row],[Discount_amt]]</f>
        <v>696</v>
      </c>
      <c r="Z1500" s="4">
        <f>excelsalesdata[[#This Row],[Net_sales]]-excelsalesdata[[#This Row],[Cost]]</f>
        <v>256</v>
      </c>
      <c r="AA1500" s="5">
        <f>excelsalesdata[[#This Row],[Profit]]/excelsalesdata[[#This Row],[Net_sales]]</f>
        <v>0.36781609195402298</v>
      </c>
      <c r="AB1500" s="4">
        <f>YEAR(excelsalesdata[[#This Row],[Order_Date]])</f>
        <v>2029</v>
      </c>
      <c r="AC1500" s="4" t="str">
        <f>TEXT(excelsalesdata[[#This Row],[Order_Date]],"mmm")</f>
        <v>May</v>
      </c>
      <c r="AD1500" s="4" t="str">
        <f>"Q"&amp;ROUNDUP(MONTH(excelsalesdata[[#This Row],[Order_Date]])/3,0)</f>
        <v>Q2</v>
      </c>
    </row>
    <row r="1501" spans="1:30" x14ac:dyDescent="0.35">
      <c r="A1501" t="s">
        <v>2329</v>
      </c>
      <c r="B1501" s="3">
        <v>47259</v>
      </c>
      <c r="C1501" t="s">
        <v>726</v>
      </c>
      <c r="D1501" t="s">
        <v>198</v>
      </c>
      <c r="E1501" t="str">
        <f>TRIM(excelsalesdata[[#This Row],[Customer_Name]])</f>
        <v>Rohan Iyer</v>
      </c>
      <c r="F1501" t="s">
        <v>23</v>
      </c>
      <c r="G1501">
        <v>43</v>
      </c>
      <c r="H1501" t="s">
        <v>78</v>
      </c>
      <c r="I1501" t="str">
        <f>TRIM(excelsalesdata[[#This Row],[City]])</f>
        <v>Guwahati</v>
      </c>
      <c r="J1501" t="s">
        <v>79</v>
      </c>
      <c r="K1501" t="s">
        <v>37</v>
      </c>
      <c r="L1501" t="s">
        <v>85</v>
      </c>
      <c r="M1501" t="s">
        <v>86</v>
      </c>
      <c r="N1501" t="s">
        <v>86</v>
      </c>
      <c r="O1501">
        <v>4</v>
      </c>
      <c r="P1501">
        <v>2570</v>
      </c>
      <c r="Q1501">
        <v>0.1</v>
      </c>
      <c r="R1501">
        <v>1510</v>
      </c>
      <c r="S1501" t="s">
        <v>151</v>
      </c>
      <c r="T1501" t="s">
        <v>30</v>
      </c>
      <c r="U1501">
        <v>6</v>
      </c>
      <c r="V1501" t="s">
        <v>31</v>
      </c>
      <c r="W1501">
        <f>excelsalesdata[[#This Row],[Quantity]]*excelsalesdata[[#This Row],[Unit_Price]]</f>
        <v>10280</v>
      </c>
      <c r="X1501">
        <f>excelsalesdata[[#This Row],[Gross_sales]]*excelsalesdata[[#This Row],[Discount_%]]</f>
        <v>1028</v>
      </c>
      <c r="Y1501">
        <f>excelsalesdata[[#This Row],[Gross_sales]]-excelsalesdata[[#This Row],[Discount_amt]]</f>
        <v>9252</v>
      </c>
      <c r="Z1501" s="4">
        <f>excelsalesdata[[#This Row],[Net_sales]]-excelsalesdata[[#This Row],[Cost]]</f>
        <v>7742</v>
      </c>
      <c r="AA1501" s="5">
        <f>excelsalesdata[[#This Row],[Profit]]/excelsalesdata[[#This Row],[Net_sales]]</f>
        <v>0.83679204496325121</v>
      </c>
      <c r="AB1501" s="4">
        <f>YEAR(excelsalesdata[[#This Row],[Order_Date]])</f>
        <v>2029</v>
      </c>
      <c r="AC1501" s="4" t="str">
        <f>TEXT(excelsalesdata[[#This Row],[Order_Date]],"mmm")</f>
        <v>May</v>
      </c>
      <c r="AD1501" s="4" t="str">
        <f>"Q"&amp;ROUNDUP(MONTH(excelsalesdata[[#This Row],[Order_Date]])/3,0)</f>
        <v>Q2</v>
      </c>
    </row>
    <row r="1502" spans="1:30" x14ac:dyDescent="0.35">
      <c r="A1502" t="s">
        <v>2330</v>
      </c>
      <c r="B1502" s="3">
        <v>47260</v>
      </c>
      <c r="C1502" t="s">
        <v>101</v>
      </c>
      <c r="D1502" t="s">
        <v>294</v>
      </c>
      <c r="E1502" t="str">
        <f>TRIM(excelsalesdata[[#This Row],[Customer_Name]])</f>
        <v>Ananya Gupta</v>
      </c>
      <c r="F1502" t="s">
        <v>23</v>
      </c>
      <c r="G1502">
        <v>18</v>
      </c>
      <c r="H1502" t="s">
        <v>60</v>
      </c>
      <c r="I1502" t="str">
        <f>TRIM(excelsalesdata[[#This Row],[City]])</f>
        <v>Chandigarh</v>
      </c>
      <c r="J1502" t="s">
        <v>60</v>
      </c>
      <c r="K1502" t="s">
        <v>61</v>
      </c>
      <c r="L1502" t="s">
        <v>27</v>
      </c>
      <c r="M1502" t="s">
        <v>28</v>
      </c>
      <c r="N1502" t="s">
        <v>28</v>
      </c>
      <c r="O1502">
        <v>1</v>
      </c>
      <c r="P1502">
        <v>3480</v>
      </c>
      <c r="Q1502">
        <v>0.15</v>
      </c>
      <c r="R1502">
        <v>2160</v>
      </c>
      <c r="S1502" t="s">
        <v>80</v>
      </c>
      <c r="T1502" t="s">
        <v>30</v>
      </c>
      <c r="U1502">
        <v>3</v>
      </c>
      <c r="V1502" t="s">
        <v>40</v>
      </c>
      <c r="W1502">
        <f>excelsalesdata[[#This Row],[Quantity]]*excelsalesdata[[#This Row],[Unit_Price]]</f>
        <v>3480</v>
      </c>
      <c r="X1502">
        <f>excelsalesdata[[#This Row],[Gross_sales]]*excelsalesdata[[#This Row],[Discount_%]]</f>
        <v>522</v>
      </c>
      <c r="Y1502">
        <f>excelsalesdata[[#This Row],[Gross_sales]]-excelsalesdata[[#This Row],[Discount_amt]]</f>
        <v>2958</v>
      </c>
      <c r="Z1502" s="4">
        <f>excelsalesdata[[#This Row],[Net_sales]]-excelsalesdata[[#This Row],[Cost]]</f>
        <v>798</v>
      </c>
      <c r="AA1502" s="5">
        <f>excelsalesdata[[#This Row],[Profit]]/excelsalesdata[[#This Row],[Net_sales]]</f>
        <v>0.26977687626774849</v>
      </c>
      <c r="AB1502" s="4">
        <f>YEAR(excelsalesdata[[#This Row],[Order_Date]])</f>
        <v>2029</v>
      </c>
      <c r="AC1502" s="4" t="str">
        <f>TEXT(excelsalesdata[[#This Row],[Order_Date]],"mmm")</f>
        <v>May</v>
      </c>
      <c r="AD1502" s="4" t="str">
        <f>"Q"&amp;ROUNDUP(MONTH(excelsalesdata[[#This Row],[Order_Date]])/3,0)</f>
        <v>Q2</v>
      </c>
    </row>
    <row r="1503" spans="1:30" x14ac:dyDescent="0.35">
      <c r="A1503" t="s">
        <v>2331</v>
      </c>
      <c r="B1503" s="3">
        <v>47261</v>
      </c>
      <c r="C1503" t="s">
        <v>310</v>
      </c>
      <c r="D1503" t="s">
        <v>455</v>
      </c>
      <c r="E1503" t="str">
        <f>TRIM(excelsalesdata[[#This Row],[Customer_Name]])</f>
        <v>Karan Reddy</v>
      </c>
      <c r="F1503" t="s">
        <v>23</v>
      </c>
      <c r="G1503">
        <v>54</v>
      </c>
      <c r="H1503" t="s">
        <v>45</v>
      </c>
      <c r="I1503" t="str">
        <f>TRIM(excelsalesdata[[#This Row],[City]])</f>
        <v>Kochi</v>
      </c>
      <c r="J1503" t="s">
        <v>46</v>
      </c>
      <c r="K1503" t="s">
        <v>47</v>
      </c>
      <c r="L1503" t="s">
        <v>103</v>
      </c>
      <c r="M1503" t="s">
        <v>312</v>
      </c>
      <c r="N1503" t="s">
        <v>312</v>
      </c>
      <c r="O1503">
        <v>1</v>
      </c>
      <c r="P1503">
        <v>6050</v>
      </c>
      <c r="Q1503">
        <v>0.1</v>
      </c>
      <c r="R1503">
        <v>4200</v>
      </c>
      <c r="S1503" t="s">
        <v>105</v>
      </c>
      <c r="T1503" t="s">
        <v>30</v>
      </c>
      <c r="U1503">
        <v>5</v>
      </c>
      <c r="V1503" t="s">
        <v>31</v>
      </c>
      <c r="W1503">
        <f>excelsalesdata[[#This Row],[Quantity]]*excelsalesdata[[#This Row],[Unit_Price]]</f>
        <v>6050</v>
      </c>
      <c r="X1503">
        <f>excelsalesdata[[#This Row],[Gross_sales]]*excelsalesdata[[#This Row],[Discount_%]]</f>
        <v>605</v>
      </c>
      <c r="Y1503">
        <f>excelsalesdata[[#This Row],[Gross_sales]]-excelsalesdata[[#This Row],[Discount_amt]]</f>
        <v>5445</v>
      </c>
      <c r="Z1503" s="4">
        <f>excelsalesdata[[#This Row],[Net_sales]]-excelsalesdata[[#This Row],[Cost]]</f>
        <v>1245</v>
      </c>
      <c r="AA1503" s="5">
        <f>excelsalesdata[[#This Row],[Profit]]/excelsalesdata[[#This Row],[Net_sales]]</f>
        <v>0.22865013774104684</v>
      </c>
      <c r="AB1503" s="4">
        <f>YEAR(excelsalesdata[[#This Row],[Order_Date]])</f>
        <v>2029</v>
      </c>
      <c r="AC1503" s="4" t="str">
        <f>TEXT(excelsalesdata[[#This Row],[Order_Date]],"mmm")</f>
        <v>May</v>
      </c>
      <c r="AD1503" s="4" t="str">
        <f>"Q"&amp;ROUNDUP(MONTH(excelsalesdata[[#This Row],[Order_Date]])/3,0)</f>
        <v>Q2</v>
      </c>
    </row>
    <row r="1504" spans="1:30" x14ac:dyDescent="0.35">
      <c r="A1504" t="s">
        <v>2332</v>
      </c>
      <c r="B1504" s="3">
        <v>47262</v>
      </c>
      <c r="C1504" t="s">
        <v>552</v>
      </c>
      <c r="D1504" t="s">
        <v>776</v>
      </c>
      <c r="E1504" t="str">
        <f>TRIM(excelsalesdata[[#This Row],[Customer_Name]])</f>
        <v>Ananya Shah</v>
      </c>
      <c r="F1504" t="s">
        <v>44</v>
      </c>
      <c r="G1504">
        <v>18</v>
      </c>
      <c r="H1504" t="s">
        <v>114</v>
      </c>
      <c r="I1504" t="str">
        <f>TRIM(excelsalesdata[[#This Row],[City]])</f>
        <v>Hyderabad</v>
      </c>
      <c r="J1504" t="s">
        <v>115</v>
      </c>
      <c r="K1504" t="s">
        <v>47</v>
      </c>
      <c r="L1504" t="s">
        <v>85</v>
      </c>
      <c r="M1504" t="s">
        <v>86</v>
      </c>
      <c r="N1504" t="s">
        <v>86</v>
      </c>
      <c r="O1504">
        <v>1</v>
      </c>
      <c r="P1504">
        <v>2610</v>
      </c>
      <c r="Q1504">
        <v>0.15</v>
      </c>
      <c r="R1504">
        <v>1500</v>
      </c>
      <c r="S1504" t="s">
        <v>105</v>
      </c>
      <c r="T1504" t="s">
        <v>30</v>
      </c>
      <c r="U1504">
        <v>6</v>
      </c>
      <c r="V1504" t="s">
        <v>31</v>
      </c>
      <c r="W1504">
        <f>excelsalesdata[[#This Row],[Quantity]]*excelsalesdata[[#This Row],[Unit_Price]]</f>
        <v>2610</v>
      </c>
      <c r="X1504">
        <f>excelsalesdata[[#This Row],[Gross_sales]]*excelsalesdata[[#This Row],[Discount_%]]</f>
        <v>391.5</v>
      </c>
      <c r="Y1504">
        <f>excelsalesdata[[#This Row],[Gross_sales]]-excelsalesdata[[#This Row],[Discount_amt]]</f>
        <v>2218.5</v>
      </c>
      <c r="Z1504" s="4">
        <f>excelsalesdata[[#This Row],[Net_sales]]-excelsalesdata[[#This Row],[Cost]]</f>
        <v>718.5</v>
      </c>
      <c r="AA1504" s="5">
        <f>excelsalesdata[[#This Row],[Profit]]/excelsalesdata[[#This Row],[Net_sales]]</f>
        <v>0.32386747802569305</v>
      </c>
      <c r="AB1504" s="4">
        <f>YEAR(excelsalesdata[[#This Row],[Order_Date]])</f>
        <v>2029</v>
      </c>
      <c r="AC1504" s="4" t="str">
        <f>TEXT(excelsalesdata[[#This Row],[Order_Date]],"mmm")</f>
        <v>May</v>
      </c>
      <c r="AD1504" s="4" t="str">
        <f>"Q"&amp;ROUNDUP(MONTH(excelsalesdata[[#This Row],[Order_Date]])/3,0)</f>
        <v>Q2</v>
      </c>
    </row>
    <row r="1505" spans="1:30" x14ac:dyDescent="0.35">
      <c r="A1505" t="s">
        <v>2333</v>
      </c>
      <c r="B1505" s="3">
        <v>47263</v>
      </c>
      <c r="C1505" t="s">
        <v>568</v>
      </c>
      <c r="D1505" t="s">
        <v>1213</v>
      </c>
      <c r="E1505" t="str">
        <f>TRIM(excelsalesdata[[#This Row],[Customer_Name]])</f>
        <v>Ananya Naidu</v>
      </c>
      <c r="F1505" t="s">
        <v>44</v>
      </c>
      <c r="G1505">
        <v>44</v>
      </c>
      <c r="H1505" t="s">
        <v>185</v>
      </c>
      <c r="I1505" t="str">
        <f>TRIM(excelsalesdata[[#This Row],[City]])</f>
        <v>Lucknow</v>
      </c>
      <c r="J1505" t="s">
        <v>186</v>
      </c>
      <c r="K1505" t="s">
        <v>61</v>
      </c>
      <c r="L1505" t="s">
        <v>103</v>
      </c>
      <c r="M1505" t="s">
        <v>178</v>
      </c>
      <c r="N1505" t="s">
        <v>178</v>
      </c>
      <c r="O1505">
        <v>3</v>
      </c>
      <c r="P1505">
        <v>1940</v>
      </c>
      <c r="Q1505">
        <v>0</v>
      </c>
      <c r="R1505">
        <v>940</v>
      </c>
      <c r="S1505" t="s">
        <v>29</v>
      </c>
      <c r="T1505" t="s">
        <v>30</v>
      </c>
      <c r="U1505">
        <v>7</v>
      </c>
      <c r="V1505" t="s">
        <v>31</v>
      </c>
      <c r="W1505">
        <f>excelsalesdata[[#This Row],[Quantity]]*excelsalesdata[[#This Row],[Unit_Price]]</f>
        <v>5820</v>
      </c>
      <c r="X1505">
        <f>excelsalesdata[[#This Row],[Gross_sales]]*excelsalesdata[[#This Row],[Discount_%]]</f>
        <v>0</v>
      </c>
      <c r="Y1505">
        <f>excelsalesdata[[#This Row],[Gross_sales]]-excelsalesdata[[#This Row],[Discount_amt]]</f>
        <v>5820</v>
      </c>
      <c r="Z1505" s="4">
        <f>excelsalesdata[[#This Row],[Net_sales]]-excelsalesdata[[#This Row],[Cost]]</f>
        <v>4880</v>
      </c>
      <c r="AA1505" s="5">
        <f>excelsalesdata[[#This Row],[Profit]]/excelsalesdata[[#This Row],[Net_sales]]</f>
        <v>0.83848797250859108</v>
      </c>
      <c r="AB1505" s="4">
        <f>YEAR(excelsalesdata[[#This Row],[Order_Date]])</f>
        <v>2029</v>
      </c>
      <c r="AC1505" s="4" t="str">
        <f>TEXT(excelsalesdata[[#This Row],[Order_Date]],"mmm")</f>
        <v>May</v>
      </c>
      <c r="AD1505" s="4" t="str">
        <f>"Q"&amp;ROUNDUP(MONTH(excelsalesdata[[#This Row],[Order_Date]])/3,0)</f>
        <v>Q2</v>
      </c>
    </row>
    <row r="1506" spans="1:30" x14ac:dyDescent="0.35">
      <c r="A1506" t="s">
        <v>2334</v>
      </c>
      <c r="B1506" s="3">
        <v>47264</v>
      </c>
      <c r="C1506" t="s">
        <v>1614</v>
      </c>
      <c r="D1506" t="s">
        <v>362</v>
      </c>
      <c r="E1506" t="str">
        <f>TRIM(excelsalesdata[[#This Row],[Customer_Name]])</f>
        <v>Diya Gupta</v>
      </c>
      <c r="F1506" t="s">
        <v>23</v>
      </c>
      <c r="G1506">
        <v>41</v>
      </c>
      <c r="H1506" t="s">
        <v>98</v>
      </c>
      <c r="I1506" t="str">
        <f>TRIM(excelsalesdata[[#This Row],[City]])</f>
        <v>Mumbai</v>
      </c>
      <c r="J1506" t="s">
        <v>25</v>
      </c>
      <c r="K1506" t="s">
        <v>26</v>
      </c>
      <c r="L1506" t="s">
        <v>103</v>
      </c>
      <c r="M1506" t="s">
        <v>104</v>
      </c>
      <c r="N1506" t="s">
        <v>104</v>
      </c>
      <c r="O1506">
        <v>1</v>
      </c>
      <c r="P1506">
        <v>8770</v>
      </c>
      <c r="Q1506">
        <v>0</v>
      </c>
      <c r="R1506">
        <v>5480</v>
      </c>
      <c r="S1506" t="s">
        <v>105</v>
      </c>
      <c r="T1506" t="s">
        <v>30</v>
      </c>
      <c r="U1506">
        <v>1</v>
      </c>
      <c r="V1506" t="s">
        <v>31</v>
      </c>
      <c r="W1506">
        <f>excelsalesdata[[#This Row],[Quantity]]*excelsalesdata[[#This Row],[Unit_Price]]</f>
        <v>8770</v>
      </c>
      <c r="X1506">
        <f>excelsalesdata[[#This Row],[Gross_sales]]*excelsalesdata[[#This Row],[Discount_%]]</f>
        <v>0</v>
      </c>
      <c r="Y1506">
        <f>excelsalesdata[[#This Row],[Gross_sales]]-excelsalesdata[[#This Row],[Discount_amt]]</f>
        <v>8770</v>
      </c>
      <c r="Z1506" s="4">
        <f>excelsalesdata[[#This Row],[Net_sales]]-excelsalesdata[[#This Row],[Cost]]</f>
        <v>3290</v>
      </c>
      <c r="AA1506" s="5">
        <f>excelsalesdata[[#This Row],[Profit]]/excelsalesdata[[#This Row],[Net_sales]]</f>
        <v>0.37514253135689851</v>
      </c>
      <c r="AB1506" s="4">
        <f>YEAR(excelsalesdata[[#This Row],[Order_Date]])</f>
        <v>2029</v>
      </c>
      <c r="AC1506" s="4" t="str">
        <f>TEXT(excelsalesdata[[#This Row],[Order_Date]],"mmm")</f>
        <v>May</v>
      </c>
      <c r="AD1506" s="4" t="str">
        <f>"Q"&amp;ROUNDUP(MONTH(excelsalesdata[[#This Row],[Order_Date]])/3,0)</f>
        <v>Q2</v>
      </c>
    </row>
    <row r="1507" spans="1:30" x14ac:dyDescent="0.35">
      <c r="A1507" t="s">
        <v>2335</v>
      </c>
      <c r="B1507" s="3">
        <v>47265</v>
      </c>
      <c r="C1507" t="s">
        <v>1718</v>
      </c>
      <c r="D1507" t="s">
        <v>1159</v>
      </c>
      <c r="E1507" t="str">
        <f>TRIM(excelsalesdata[[#This Row],[Customer_Name]])</f>
        <v>Aditya Patel</v>
      </c>
      <c r="F1507" t="s">
        <v>44</v>
      </c>
      <c r="G1507">
        <v>21</v>
      </c>
      <c r="H1507" t="s">
        <v>45</v>
      </c>
      <c r="I1507" t="str">
        <f>TRIM(excelsalesdata[[#This Row],[City]])</f>
        <v>Kochi</v>
      </c>
      <c r="J1507" t="s">
        <v>46</v>
      </c>
      <c r="K1507" t="s">
        <v>47</v>
      </c>
      <c r="L1507" t="s">
        <v>85</v>
      </c>
      <c r="M1507" t="s">
        <v>86</v>
      </c>
      <c r="N1507" t="s">
        <v>86</v>
      </c>
      <c r="O1507">
        <v>3</v>
      </c>
      <c r="P1507">
        <v>2370</v>
      </c>
      <c r="Q1507">
        <v>0.1</v>
      </c>
      <c r="R1507">
        <v>1530</v>
      </c>
      <c r="S1507" t="s">
        <v>105</v>
      </c>
      <c r="T1507" t="s">
        <v>30</v>
      </c>
      <c r="U1507">
        <v>7</v>
      </c>
      <c r="V1507" t="s">
        <v>31</v>
      </c>
      <c r="W1507">
        <f>excelsalesdata[[#This Row],[Quantity]]*excelsalesdata[[#This Row],[Unit_Price]]</f>
        <v>7110</v>
      </c>
      <c r="X1507">
        <f>excelsalesdata[[#This Row],[Gross_sales]]*excelsalesdata[[#This Row],[Discount_%]]</f>
        <v>711</v>
      </c>
      <c r="Y1507">
        <f>excelsalesdata[[#This Row],[Gross_sales]]-excelsalesdata[[#This Row],[Discount_amt]]</f>
        <v>6399</v>
      </c>
      <c r="Z1507" s="4">
        <f>excelsalesdata[[#This Row],[Net_sales]]-excelsalesdata[[#This Row],[Cost]]</f>
        <v>4869</v>
      </c>
      <c r="AA1507" s="5">
        <f>excelsalesdata[[#This Row],[Profit]]/excelsalesdata[[#This Row],[Net_sales]]</f>
        <v>0.76090014064697609</v>
      </c>
      <c r="AB1507" s="4">
        <f>YEAR(excelsalesdata[[#This Row],[Order_Date]])</f>
        <v>2029</v>
      </c>
      <c r="AC1507" s="4" t="str">
        <f>TEXT(excelsalesdata[[#This Row],[Order_Date]],"mmm")</f>
        <v>May</v>
      </c>
      <c r="AD1507" s="4" t="str">
        <f>"Q"&amp;ROUNDUP(MONTH(excelsalesdata[[#This Row],[Order_Date]])/3,0)</f>
        <v>Q2</v>
      </c>
    </row>
    <row r="1508" spans="1:30" x14ac:dyDescent="0.35">
      <c r="A1508" t="s">
        <v>2336</v>
      </c>
      <c r="B1508" s="3">
        <v>47266</v>
      </c>
      <c r="C1508" t="s">
        <v>514</v>
      </c>
      <c r="D1508" t="s">
        <v>175</v>
      </c>
      <c r="E1508" t="str">
        <f>TRIM(excelsalesdata[[#This Row],[Customer_Name]])</f>
        <v>Kavya Naidu</v>
      </c>
      <c r="F1508" t="s">
        <v>23</v>
      </c>
      <c r="G1508">
        <v>33</v>
      </c>
      <c r="H1508" t="s">
        <v>190</v>
      </c>
      <c r="I1508" t="str">
        <f>TRIM(excelsalesdata[[#This Row],[City]])</f>
        <v>Ahmedabad</v>
      </c>
      <c r="J1508" t="s">
        <v>191</v>
      </c>
      <c r="K1508" t="s">
        <v>26</v>
      </c>
      <c r="L1508" t="s">
        <v>38</v>
      </c>
      <c r="M1508" t="s">
        <v>73</v>
      </c>
      <c r="N1508" t="s">
        <v>73</v>
      </c>
      <c r="O1508">
        <v>2</v>
      </c>
      <c r="P1508">
        <v>4810</v>
      </c>
      <c r="Q1508">
        <v>0.05</v>
      </c>
      <c r="R1508">
        <v>3190</v>
      </c>
      <c r="S1508" t="s">
        <v>105</v>
      </c>
      <c r="T1508" t="s">
        <v>30</v>
      </c>
      <c r="U1508">
        <v>3</v>
      </c>
      <c r="V1508" t="s">
        <v>31</v>
      </c>
      <c r="W1508">
        <f>excelsalesdata[[#This Row],[Quantity]]*excelsalesdata[[#This Row],[Unit_Price]]</f>
        <v>9620</v>
      </c>
      <c r="X1508">
        <f>excelsalesdata[[#This Row],[Gross_sales]]*excelsalesdata[[#This Row],[Discount_%]]</f>
        <v>481</v>
      </c>
      <c r="Y1508">
        <f>excelsalesdata[[#This Row],[Gross_sales]]-excelsalesdata[[#This Row],[Discount_amt]]</f>
        <v>9139</v>
      </c>
      <c r="Z1508" s="4">
        <f>excelsalesdata[[#This Row],[Net_sales]]-excelsalesdata[[#This Row],[Cost]]</f>
        <v>5949</v>
      </c>
      <c r="AA1508" s="5">
        <f>excelsalesdata[[#This Row],[Profit]]/excelsalesdata[[#This Row],[Net_sales]]</f>
        <v>0.65094649305175623</v>
      </c>
      <c r="AB1508" s="4">
        <f>YEAR(excelsalesdata[[#This Row],[Order_Date]])</f>
        <v>2029</v>
      </c>
      <c r="AC1508" s="4" t="str">
        <f>TEXT(excelsalesdata[[#This Row],[Order_Date]],"mmm")</f>
        <v>May</v>
      </c>
      <c r="AD1508" s="4" t="str">
        <f>"Q"&amp;ROUNDUP(MONTH(excelsalesdata[[#This Row],[Order_Date]])/3,0)</f>
        <v>Q2</v>
      </c>
    </row>
    <row r="1509" spans="1:30" x14ac:dyDescent="0.35">
      <c r="A1509" t="s">
        <v>2337</v>
      </c>
      <c r="B1509" s="3">
        <v>47267</v>
      </c>
      <c r="C1509" t="s">
        <v>1100</v>
      </c>
      <c r="D1509" t="s">
        <v>770</v>
      </c>
      <c r="E1509" t="str">
        <f>TRIM(excelsalesdata[[#This Row],[Customer_Name]])</f>
        <v>Karan Naidu</v>
      </c>
      <c r="F1509" t="s">
        <v>23</v>
      </c>
      <c r="G1509">
        <v>50</v>
      </c>
      <c r="H1509" t="s">
        <v>45</v>
      </c>
      <c r="I1509" t="str">
        <f>TRIM(excelsalesdata[[#This Row],[City]])</f>
        <v>Kochi</v>
      </c>
      <c r="J1509" t="s">
        <v>46</v>
      </c>
      <c r="K1509" t="s">
        <v>47</v>
      </c>
      <c r="L1509" t="s">
        <v>54</v>
      </c>
      <c r="M1509" t="s">
        <v>157</v>
      </c>
      <c r="N1509" t="s">
        <v>157</v>
      </c>
      <c r="O1509">
        <v>1</v>
      </c>
      <c r="P1509">
        <v>54680</v>
      </c>
      <c r="Q1509">
        <v>0.05</v>
      </c>
      <c r="R1509">
        <v>42450</v>
      </c>
      <c r="S1509" t="s">
        <v>151</v>
      </c>
      <c r="T1509" t="s">
        <v>30</v>
      </c>
      <c r="U1509">
        <v>8</v>
      </c>
      <c r="V1509" t="s">
        <v>31</v>
      </c>
      <c r="W1509">
        <f>excelsalesdata[[#This Row],[Quantity]]*excelsalesdata[[#This Row],[Unit_Price]]</f>
        <v>54680</v>
      </c>
      <c r="X1509">
        <f>excelsalesdata[[#This Row],[Gross_sales]]*excelsalesdata[[#This Row],[Discount_%]]</f>
        <v>2734</v>
      </c>
      <c r="Y1509">
        <f>excelsalesdata[[#This Row],[Gross_sales]]-excelsalesdata[[#This Row],[Discount_amt]]</f>
        <v>51946</v>
      </c>
      <c r="Z1509" s="4">
        <f>excelsalesdata[[#This Row],[Net_sales]]-excelsalesdata[[#This Row],[Cost]]</f>
        <v>9496</v>
      </c>
      <c r="AA1509" s="5">
        <f>excelsalesdata[[#This Row],[Profit]]/excelsalesdata[[#This Row],[Net_sales]]</f>
        <v>0.18280522080622186</v>
      </c>
      <c r="AB1509" s="4">
        <f>YEAR(excelsalesdata[[#This Row],[Order_Date]])</f>
        <v>2029</v>
      </c>
      <c r="AC1509" s="4" t="str">
        <f>TEXT(excelsalesdata[[#This Row],[Order_Date]],"mmm")</f>
        <v>May</v>
      </c>
      <c r="AD1509" s="4" t="str">
        <f>"Q"&amp;ROUNDUP(MONTH(excelsalesdata[[#This Row],[Order_Date]])/3,0)</f>
        <v>Q2</v>
      </c>
    </row>
    <row r="1510" spans="1:30" x14ac:dyDescent="0.35">
      <c r="A1510" t="s">
        <v>2338</v>
      </c>
      <c r="B1510" s="3">
        <v>47268</v>
      </c>
      <c r="C1510" t="s">
        <v>1367</v>
      </c>
      <c r="D1510" t="s">
        <v>1409</v>
      </c>
      <c r="E1510" t="str">
        <f>TRIM(excelsalesdata[[#This Row],[Customer_Name]])</f>
        <v>Karan Sharma</v>
      </c>
      <c r="F1510" t="s">
        <v>23</v>
      </c>
      <c r="G1510">
        <v>25</v>
      </c>
      <c r="H1510" t="s">
        <v>78</v>
      </c>
      <c r="I1510" t="str">
        <f>TRIM(excelsalesdata[[#This Row],[City]])</f>
        <v>Guwahati</v>
      </c>
      <c r="J1510" t="s">
        <v>79</v>
      </c>
      <c r="K1510" t="s">
        <v>37</v>
      </c>
      <c r="L1510" t="s">
        <v>85</v>
      </c>
      <c r="M1510" t="s">
        <v>110</v>
      </c>
      <c r="N1510" t="s">
        <v>110</v>
      </c>
      <c r="O1510">
        <v>2</v>
      </c>
      <c r="P1510">
        <v>1180</v>
      </c>
      <c r="Q1510">
        <v>0.2</v>
      </c>
      <c r="R1510">
        <v>590</v>
      </c>
      <c r="S1510" t="s">
        <v>67</v>
      </c>
      <c r="T1510" t="s">
        <v>30</v>
      </c>
      <c r="U1510">
        <v>4</v>
      </c>
      <c r="V1510" t="s">
        <v>40</v>
      </c>
      <c r="W1510">
        <f>excelsalesdata[[#This Row],[Quantity]]*excelsalesdata[[#This Row],[Unit_Price]]</f>
        <v>2360</v>
      </c>
      <c r="X1510">
        <f>excelsalesdata[[#This Row],[Gross_sales]]*excelsalesdata[[#This Row],[Discount_%]]</f>
        <v>472</v>
      </c>
      <c r="Y1510">
        <f>excelsalesdata[[#This Row],[Gross_sales]]-excelsalesdata[[#This Row],[Discount_amt]]</f>
        <v>1888</v>
      </c>
      <c r="Z1510" s="4">
        <f>excelsalesdata[[#This Row],[Net_sales]]-excelsalesdata[[#This Row],[Cost]]</f>
        <v>1298</v>
      </c>
      <c r="AA1510" s="5">
        <f>excelsalesdata[[#This Row],[Profit]]/excelsalesdata[[#This Row],[Net_sales]]</f>
        <v>0.6875</v>
      </c>
      <c r="AB1510" s="4">
        <f>YEAR(excelsalesdata[[#This Row],[Order_Date]])</f>
        <v>2029</v>
      </c>
      <c r="AC1510" s="4" t="str">
        <f>TEXT(excelsalesdata[[#This Row],[Order_Date]],"mmm")</f>
        <v>May</v>
      </c>
      <c r="AD1510" s="4" t="str">
        <f>"Q"&amp;ROUNDUP(MONTH(excelsalesdata[[#This Row],[Order_Date]])/3,0)</f>
        <v>Q2</v>
      </c>
    </row>
    <row r="1511" spans="1:30" x14ac:dyDescent="0.35">
      <c r="A1511" t="s">
        <v>2339</v>
      </c>
      <c r="B1511" s="3">
        <v>47269</v>
      </c>
      <c r="C1511" t="s">
        <v>422</v>
      </c>
      <c r="D1511" t="s">
        <v>371</v>
      </c>
      <c r="E1511" t="str">
        <f>TRIM(excelsalesdata[[#This Row],[Customer_Name]])</f>
        <v>Karan Bhat</v>
      </c>
      <c r="F1511" t="s">
        <v>44</v>
      </c>
      <c r="G1511">
        <v>47</v>
      </c>
      <c r="H1511" t="s">
        <v>45</v>
      </c>
      <c r="I1511" t="str">
        <f>TRIM(excelsalesdata[[#This Row],[City]])</f>
        <v>Kochi</v>
      </c>
      <c r="J1511" t="s">
        <v>46</v>
      </c>
      <c r="K1511" t="s">
        <v>47</v>
      </c>
      <c r="L1511" t="s">
        <v>38</v>
      </c>
      <c r="M1511" t="s">
        <v>73</v>
      </c>
      <c r="N1511" t="s">
        <v>73</v>
      </c>
      <c r="O1511">
        <v>3</v>
      </c>
      <c r="P1511">
        <v>5220</v>
      </c>
      <c r="Q1511">
        <v>0.05</v>
      </c>
      <c r="R1511">
        <v>3360</v>
      </c>
      <c r="S1511" t="s">
        <v>67</v>
      </c>
      <c r="T1511" t="s">
        <v>30</v>
      </c>
      <c r="U1511">
        <v>4</v>
      </c>
      <c r="V1511" t="s">
        <v>31</v>
      </c>
      <c r="W1511">
        <f>excelsalesdata[[#This Row],[Quantity]]*excelsalesdata[[#This Row],[Unit_Price]]</f>
        <v>15660</v>
      </c>
      <c r="X1511">
        <f>excelsalesdata[[#This Row],[Gross_sales]]*excelsalesdata[[#This Row],[Discount_%]]</f>
        <v>783</v>
      </c>
      <c r="Y1511">
        <f>excelsalesdata[[#This Row],[Gross_sales]]-excelsalesdata[[#This Row],[Discount_amt]]</f>
        <v>14877</v>
      </c>
      <c r="Z1511" s="4">
        <f>excelsalesdata[[#This Row],[Net_sales]]-excelsalesdata[[#This Row],[Cost]]</f>
        <v>11517</v>
      </c>
      <c r="AA1511" s="5">
        <f>excelsalesdata[[#This Row],[Profit]]/excelsalesdata[[#This Row],[Net_sales]]</f>
        <v>0.77414801371244202</v>
      </c>
      <c r="AB1511" s="4">
        <f>YEAR(excelsalesdata[[#This Row],[Order_Date]])</f>
        <v>2029</v>
      </c>
      <c r="AC1511" s="4" t="str">
        <f>TEXT(excelsalesdata[[#This Row],[Order_Date]],"mmm")</f>
        <v>May</v>
      </c>
      <c r="AD1511" s="4" t="str">
        <f>"Q"&amp;ROUNDUP(MONTH(excelsalesdata[[#This Row],[Order_Date]])/3,0)</f>
        <v>Q2</v>
      </c>
    </row>
    <row r="1512" spans="1:30" x14ac:dyDescent="0.35">
      <c r="A1512" t="s">
        <v>2340</v>
      </c>
      <c r="B1512" s="3">
        <v>47270</v>
      </c>
      <c r="C1512" t="s">
        <v>1249</v>
      </c>
      <c r="D1512" t="s">
        <v>1528</v>
      </c>
      <c r="E1512" t="str">
        <f>TRIM(excelsalesdata[[#This Row],[Customer_Name]])</f>
        <v>Nisha Patel</v>
      </c>
      <c r="F1512" t="s">
        <v>23</v>
      </c>
      <c r="G1512">
        <v>42</v>
      </c>
      <c r="H1512" t="s">
        <v>52</v>
      </c>
      <c r="I1512" t="str">
        <f>TRIM(excelsalesdata[[#This Row],[City]])</f>
        <v>Bengaluru</v>
      </c>
      <c r="J1512" t="s">
        <v>53</v>
      </c>
      <c r="K1512" t="s">
        <v>47</v>
      </c>
      <c r="L1512" t="s">
        <v>54</v>
      </c>
      <c r="M1512" t="s">
        <v>55</v>
      </c>
      <c r="N1512" t="s">
        <v>55</v>
      </c>
      <c r="O1512">
        <v>2</v>
      </c>
      <c r="P1512">
        <v>6660</v>
      </c>
      <c r="Q1512">
        <v>0.05</v>
      </c>
      <c r="R1512">
        <v>4300</v>
      </c>
      <c r="S1512" t="s">
        <v>29</v>
      </c>
      <c r="T1512" t="s">
        <v>30</v>
      </c>
      <c r="U1512">
        <v>5</v>
      </c>
      <c r="V1512" t="s">
        <v>31</v>
      </c>
      <c r="W1512">
        <f>excelsalesdata[[#This Row],[Quantity]]*excelsalesdata[[#This Row],[Unit_Price]]</f>
        <v>13320</v>
      </c>
      <c r="X1512">
        <f>excelsalesdata[[#This Row],[Gross_sales]]*excelsalesdata[[#This Row],[Discount_%]]</f>
        <v>666</v>
      </c>
      <c r="Y1512">
        <f>excelsalesdata[[#This Row],[Gross_sales]]-excelsalesdata[[#This Row],[Discount_amt]]</f>
        <v>12654</v>
      </c>
      <c r="Z1512" s="4">
        <f>excelsalesdata[[#This Row],[Net_sales]]-excelsalesdata[[#This Row],[Cost]]</f>
        <v>8354</v>
      </c>
      <c r="AA1512" s="5">
        <f>excelsalesdata[[#This Row],[Profit]]/excelsalesdata[[#This Row],[Net_sales]]</f>
        <v>0.66018650229176545</v>
      </c>
      <c r="AB1512" s="4">
        <f>YEAR(excelsalesdata[[#This Row],[Order_Date]])</f>
        <v>2029</v>
      </c>
      <c r="AC1512" s="4" t="str">
        <f>TEXT(excelsalesdata[[#This Row],[Order_Date]],"mmm")</f>
        <v>Jun</v>
      </c>
      <c r="AD1512" s="4" t="str">
        <f>"Q"&amp;ROUNDUP(MONTH(excelsalesdata[[#This Row],[Order_Date]])/3,0)</f>
        <v>Q2</v>
      </c>
    </row>
    <row r="1513" spans="1:30" x14ac:dyDescent="0.35">
      <c r="A1513" t="s">
        <v>2341</v>
      </c>
      <c r="B1513" s="3">
        <v>47271</v>
      </c>
      <c r="C1513" t="s">
        <v>1266</v>
      </c>
      <c r="D1513" t="s">
        <v>2343</v>
      </c>
      <c r="E1513" t="str">
        <f>TRIM(excelsalesdata[[#This Row],[Customer_Name]])</f>
        <v>Aarav Rao</v>
      </c>
      <c r="F1513" t="s">
        <v>44</v>
      </c>
      <c r="G1513">
        <v>37</v>
      </c>
      <c r="H1513" t="s">
        <v>185</v>
      </c>
      <c r="I1513" t="str">
        <f>TRIM(excelsalesdata[[#This Row],[City]])</f>
        <v>Lucknow</v>
      </c>
      <c r="J1513" t="s">
        <v>186</v>
      </c>
      <c r="K1513" t="s">
        <v>61</v>
      </c>
      <c r="L1513" t="s">
        <v>54</v>
      </c>
      <c r="M1513" t="s">
        <v>62</v>
      </c>
      <c r="N1513" t="s">
        <v>62</v>
      </c>
      <c r="O1513">
        <v>4</v>
      </c>
      <c r="P1513">
        <v>20520</v>
      </c>
      <c r="Q1513">
        <v>0.2</v>
      </c>
      <c r="R1513">
        <v>15340</v>
      </c>
      <c r="S1513" t="s">
        <v>105</v>
      </c>
      <c r="T1513" t="s">
        <v>30</v>
      </c>
      <c r="U1513">
        <v>5</v>
      </c>
      <c r="V1513" t="s">
        <v>31</v>
      </c>
      <c r="W1513">
        <f>excelsalesdata[[#This Row],[Quantity]]*excelsalesdata[[#This Row],[Unit_Price]]</f>
        <v>82080</v>
      </c>
      <c r="X1513">
        <f>excelsalesdata[[#This Row],[Gross_sales]]*excelsalesdata[[#This Row],[Discount_%]]</f>
        <v>16416</v>
      </c>
      <c r="Y1513">
        <f>excelsalesdata[[#This Row],[Gross_sales]]-excelsalesdata[[#This Row],[Discount_amt]]</f>
        <v>65664</v>
      </c>
      <c r="Z1513" s="4">
        <f>excelsalesdata[[#This Row],[Net_sales]]-excelsalesdata[[#This Row],[Cost]]</f>
        <v>50324</v>
      </c>
      <c r="AA1513" s="5">
        <f>excelsalesdata[[#This Row],[Profit]]/excelsalesdata[[#This Row],[Net_sales]]</f>
        <v>0.76638645224171542</v>
      </c>
      <c r="AB1513" s="4">
        <f>YEAR(excelsalesdata[[#This Row],[Order_Date]])</f>
        <v>2029</v>
      </c>
      <c r="AC1513" s="4" t="str">
        <f>TEXT(excelsalesdata[[#This Row],[Order_Date]],"mmm")</f>
        <v>Jun</v>
      </c>
      <c r="AD1513" s="4" t="str">
        <f>"Q"&amp;ROUNDUP(MONTH(excelsalesdata[[#This Row],[Order_Date]])/3,0)</f>
        <v>Q2</v>
      </c>
    </row>
    <row r="1514" spans="1:30" x14ac:dyDescent="0.35">
      <c r="A1514" t="s">
        <v>2342</v>
      </c>
      <c r="B1514" s="3">
        <v>47272</v>
      </c>
      <c r="C1514" t="s">
        <v>1550</v>
      </c>
      <c r="D1514" t="s">
        <v>171</v>
      </c>
      <c r="E1514" t="str">
        <f>TRIM(excelsalesdata[[#This Row],[Customer_Name]])</f>
        <v>Sneha Rao</v>
      </c>
      <c r="F1514" t="s">
        <v>23</v>
      </c>
      <c r="G1514">
        <v>47</v>
      </c>
      <c r="H1514" t="s">
        <v>114</v>
      </c>
      <c r="I1514" t="str">
        <f>TRIM(excelsalesdata[[#This Row],[City]])</f>
        <v>Hyderabad</v>
      </c>
      <c r="J1514" t="s">
        <v>115</v>
      </c>
      <c r="K1514" t="s">
        <v>47</v>
      </c>
      <c r="L1514" t="s">
        <v>38</v>
      </c>
      <c r="M1514" t="s">
        <v>73</v>
      </c>
      <c r="N1514" t="s">
        <v>73</v>
      </c>
      <c r="O1514">
        <v>3</v>
      </c>
      <c r="P1514">
        <v>5100</v>
      </c>
      <c r="Q1514">
        <v>0.25</v>
      </c>
      <c r="R1514">
        <v>3160</v>
      </c>
      <c r="S1514" t="s">
        <v>29</v>
      </c>
      <c r="T1514" t="s">
        <v>30</v>
      </c>
      <c r="U1514">
        <v>4</v>
      </c>
      <c r="V1514" t="s">
        <v>40</v>
      </c>
      <c r="W1514">
        <f>excelsalesdata[[#This Row],[Quantity]]*excelsalesdata[[#This Row],[Unit_Price]]</f>
        <v>15300</v>
      </c>
      <c r="X1514">
        <f>excelsalesdata[[#This Row],[Gross_sales]]*excelsalesdata[[#This Row],[Discount_%]]</f>
        <v>3825</v>
      </c>
      <c r="Y1514">
        <f>excelsalesdata[[#This Row],[Gross_sales]]-excelsalesdata[[#This Row],[Discount_amt]]</f>
        <v>11475</v>
      </c>
      <c r="Z1514" s="4">
        <f>excelsalesdata[[#This Row],[Net_sales]]-excelsalesdata[[#This Row],[Cost]]</f>
        <v>8315</v>
      </c>
      <c r="AA1514" s="5">
        <f>excelsalesdata[[#This Row],[Profit]]/excelsalesdata[[#This Row],[Net_sales]]</f>
        <v>0.72461873638344232</v>
      </c>
      <c r="AB1514" s="4">
        <f>YEAR(excelsalesdata[[#This Row],[Order_Date]])</f>
        <v>2029</v>
      </c>
      <c r="AC1514" s="4" t="str">
        <f>TEXT(excelsalesdata[[#This Row],[Order_Date]],"mmm")</f>
        <v>Jun</v>
      </c>
      <c r="AD1514" s="4" t="str">
        <f>"Q"&amp;ROUNDUP(MONTH(excelsalesdata[[#This Row],[Order_Date]])/3,0)</f>
        <v>Q2</v>
      </c>
    </row>
    <row r="1515" spans="1:30" x14ac:dyDescent="0.35">
      <c r="A1515" t="s">
        <v>2344</v>
      </c>
      <c r="B1515" s="3">
        <v>47273</v>
      </c>
      <c r="C1515" t="s">
        <v>1466</v>
      </c>
      <c r="D1515" t="s">
        <v>436</v>
      </c>
      <c r="E1515" t="str">
        <f>TRIM(excelsalesdata[[#This Row],[Customer_Name]])</f>
        <v>Meera Shah</v>
      </c>
      <c r="F1515" t="s">
        <v>23</v>
      </c>
      <c r="G1515">
        <v>55</v>
      </c>
      <c r="H1515" t="s">
        <v>45</v>
      </c>
      <c r="I1515" t="str">
        <f>TRIM(excelsalesdata[[#This Row],[City]])</f>
        <v>Kochi</v>
      </c>
      <c r="J1515" t="s">
        <v>46</v>
      </c>
      <c r="K1515" t="s">
        <v>47</v>
      </c>
      <c r="L1515" t="s">
        <v>38</v>
      </c>
      <c r="M1515" t="s">
        <v>39</v>
      </c>
      <c r="N1515" t="s">
        <v>39</v>
      </c>
      <c r="O1515">
        <v>1</v>
      </c>
      <c r="P1515">
        <v>6210</v>
      </c>
      <c r="Q1515">
        <v>0.15</v>
      </c>
      <c r="R1515">
        <v>4350</v>
      </c>
      <c r="S1515" t="s">
        <v>105</v>
      </c>
      <c r="T1515" t="s">
        <v>30</v>
      </c>
      <c r="U1515">
        <v>6</v>
      </c>
      <c r="V1515" t="s">
        <v>31</v>
      </c>
      <c r="W1515">
        <f>excelsalesdata[[#This Row],[Quantity]]*excelsalesdata[[#This Row],[Unit_Price]]</f>
        <v>6210</v>
      </c>
      <c r="X1515">
        <f>excelsalesdata[[#This Row],[Gross_sales]]*excelsalesdata[[#This Row],[Discount_%]]</f>
        <v>931.5</v>
      </c>
      <c r="Y1515">
        <f>excelsalesdata[[#This Row],[Gross_sales]]-excelsalesdata[[#This Row],[Discount_amt]]</f>
        <v>5278.5</v>
      </c>
      <c r="Z1515" s="4">
        <f>excelsalesdata[[#This Row],[Net_sales]]-excelsalesdata[[#This Row],[Cost]]</f>
        <v>928.5</v>
      </c>
      <c r="AA1515" s="5">
        <f>excelsalesdata[[#This Row],[Profit]]/excelsalesdata[[#This Row],[Net_sales]]</f>
        <v>0.17590224495595339</v>
      </c>
      <c r="AB1515" s="4">
        <f>YEAR(excelsalesdata[[#This Row],[Order_Date]])</f>
        <v>2029</v>
      </c>
      <c r="AC1515" s="4" t="str">
        <f>TEXT(excelsalesdata[[#This Row],[Order_Date]],"mmm")</f>
        <v>Jun</v>
      </c>
      <c r="AD1515" s="4" t="str">
        <f>"Q"&amp;ROUNDUP(MONTH(excelsalesdata[[#This Row],[Order_Date]])/3,0)</f>
        <v>Q2</v>
      </c>
    </row>
    <row r="1516" spans="1:30" x14ac:dyDescent="0.35">
      <c r="A1516" t="s">
        <v>2345</v>
      </c>
      <c r="B1516" s="3">
        <v>47274</v>
      </c>
      <c r="C1516" t="s">
        <v>1532</v>
      </c>
      <c r="D1516" t="s">
        <v>519</v>
      </c>
      <c r="E1516" t="str">
        <f>TRIM(excelsalesdata[[#This Row],[Customer_Name]])</f>
        <v>Kavya Das</v>
      </c>
      <c r="F1516" t="s">
        <v>23</v>
      </c>
      <c r="G1516">
        <v>43</v>
      </c>
      <c r="H1516" t="s">
        <v>98</v>
      </c>
      <c r="I1516" t="str">
        <f>TRIM(excelsalesdata[[#This Row],[City]])</f>
        <v>Mumbai</v>
      </c>
      <c r="J1516" t="s">
        <v>25</v>
      </c>
      <c r="K1516" t="s">
        <v>26</v>
      </c>
      <c r="L1516" t="s">
        <v>27</v>
      </c>
      <c r="M1516" t="s">
        <v>48</v>
      </c>
      <c r="N1516" t="s">
        <v>48</v>
      </c>
      <c r="O1516">
        <v>2</v>
      </c>
      <c r="P1516">
        <v>880</v>
      </c>
      <c r="Q1516">
        <v>0.1</v>
      </c>
      <c r="R1516">
        <v>430</v>
      </c>
      <c r="S1516" t="s">
        <v>29</v>
      </c>
      <c r="T1516" t="s">
        <v>30</v>
      </c>
      <c r="U1516">
        <v>4</v>
      </c>
      <c r="V1516" t="s">
        <v>40</v>
      </c>
      <c r="W1516">
        <f>excelsalesdata[[#This Row],[Quantity]]*excelsalesdata[[#This Row],[Unit_Price]]</f>
        <v>1760</v>
      </c>
      <c r="X1516">
        <f>excelsalesdata[[#This Row],[Gross_sales]]*excelsalesdata[[#This Row],[Discount_%]]</f>
        <v>176</v>
      </c>
      <c r="Y1516">
        <f>excelsalesdata[[#This Row],[Gross_sales]]-excelsalesdata[[#This Row],[Discount_amt]]</f>
        <v>1584</v>
      </c>
      <c r="Z1516" s="4">
        <f>excelsalesdata[[#This Row],[Net_sales]]-excelsalesdata[[#This Row],[Cost]]</f>
        <v>1154</v>
      </c>
      <c r="AA1516" s="5">
        <f>excelsalesdata[[#This Row],[Profit]]/excelsalesdata[[#This Row],[Net_sales]]</f>
        <v>0.72853535353535348</v>
      </c>
      <c r="AB1516" s="4">
        <f>YEAR(excelsalesdata[[#This Row],[Order_Date]])</f>
        <v>2029</v>
      </c>
      <c r="AC1516" s="4" t="str">
        <f>TEXT(excelsalesdata[[#This Row],[Order_Date]],"mmm")</f>
        <v>Jun</v>
      </c>
      <c r="AD1516" s="4" t="str">
        <f>"Q"&amp;ROUNDUP(MONTH(excelsalesdata[[#This Row],[Order_Date]])/3,0)</f>
        <v>Q2</v>
      </c>
    </row>
    <row r="1517" spans="1:30" x14ac:dyDescent="0.35">
      <c r="A1517" t="s">
        <v>2346</v>
      </c>
      <c r="B1517" s="3">
        <v>47275</v>
      </c>
      <c r="C1517" t="s">
        <v>924</v>
      </c>
      <c r="D1517" t="s">
        <v>954</v>
      </c>
      <c r="E1517" t="str">
        <f>TRIM(excelsalesdata[[#This Row],[Customer_Name]])</f>
        <v>Ishita Nair</v>
      </c>
      <c r="F1517" t="s">
        <v>44</v>
      </c>
      <c r="G1517">
        <v>32</v>
      </c>
      <c r="H1517" t="s">
        <v>45</v>
      </c>
      <c r="I1517" t="str">
        <f>TRIM(excelsalesdata[[#This Row],[City]])</f>
        <v>Kochi</v>
      </c>
      <c r="J1517" t="s">
        <v>46</v>
      </c>
      <c r="K1517" t="s">
        <v>47</v>
      </c>
      <c r="L1517" t="s">
        <v>54</v>
      </c>
      <c r="M1517" t="s">
        <v>62</v>
      </c>
      <c r="N1517" t="s">
        <v>62</v>
      </c>
      <c r="O1517">
        <v>3</v>
      </c>
      <c r="P1517">
        <v>20340</v>
      </c>
      <c r="Q1517">
        <v>0.05</v>
      </c>
      <c r="R1517">
        <v>16130</v>
      </c>
      <c r="S1517" t="s">
        <v>105</v>
      </c>
      <c r="T1517" t="s">
        <v>30</v>
      </c>
      <c r="U1517">
        <v>2</v>
      </c>
      <c r="V1517" t="s">
        <v>40</v>
      </c>
      <c r="W1517">
        <f>excelsalesdata[[#This Row],[Quantity]]*excelsalesdata[[#This Row],[Unit_Price]]</f>
        <v>61020</v>
      </c>
      <c r="X1517">
        <f>excelsalesdata[[#This Row],[Gross_sales]]*excelsalesdata[[#This Row],[Discount_%]]</f>
        <v>3051</v>
      </c>
      <c r="Y1517">
        <f>excelsalesdata[[#This Row],[Gross_sales]]-excelsalesdata[[#This Row],[Discount_amt]]</f>
        <v>57969</v>
      </c>
      <c r="Z1517" s="4">
        <f>excelsalesdata[[#This Row],[Net_sales]]-excelsalesdata[[#This Row],[Cost]]</f>
        <v>41839</v>
      </c>
      <c r="AA1517" s="5">
        <f>excelsalesdata[[#This Row],[Profit]]/excelsalesdata[[#This Row],[Net_sales]]</f>
        <v>0.72174783073711812</v>
      </c>
      <c r="AB1517" s="4">
        <f>YEAR(excelsalesdata[[#This Row],[Order_Date]])</f>
        <v>2029</v>
      </c>
      <c r="AC1517" s="4" t="str">
        <f>TEXT(excelsalesdata[[#This Row],[Order_Date]],"mmm")</f>
        <v>Jun</v>
      </c>
      <c r="AD1517" s="4" t="str">
        <f>"Q"&amp;ROUNDUP(MONTH(excelsalesdata[[#This Row],[Order_Date]])/3,0)</f>
        <v>Q2</v>
      </c>
    </row>
    <row r="1518" spans="1:30" x14ac:dyDescent="0.35">
      <c r="A1518" t="s">
        <v>2347</v>
      </c>
      <c r="B1518" s="3">
        <v>47276</v>
      </c>
      <c r="C1518" t="s">
        <v>415</v>
      </c>
      <c r="D1518" t="s">
        <v>175</v>
      </c>
      <c r="E1518" t="str">
        <f>TRIM(excelsalesdata[[#This Row],[Customer_Name]])</f>
        <v>Kavya Naidu</v>
      </c>
      <c r="F1518" t="s">
        <v>44</v>
      </c>
      <c r="G1518">
        <v>31</v>
      </c>
      <c r="H1518" t="s">
        <v>155</v>
      </c>
      <c r="I1518" t="str">
        <f>TRIM(excelsalesdata[[#This Row],[City]])</f>
        <v>Chennai</v>
      </c>
      <c r="J1518" t="s">
        <v>156</v>
      </c>
      <c r="K1518" t="s">
        <v>47</v>
      </c>
      <c r="L1518" t="s">
        <v>103</v>
      </c>
      <c r="M1518" t="s">
        <v>104</v>
      </c>
      <c r="N1518" t="s">
        <v>104</v>
      </c>
      <c r="O1518">
        <v>2</v>
      </c>
      <c r="P1518">
        <v>8640</v>
      </c>
      <c r="Q1518">
        <v>0.1</v>
      </c>
      <c r="R1518">
        <v>5450</v>
      </c>
      <c r="S1518" t="s">
        <v>105</v>
      </c>
      <c r="T1518" t="s">
        <v>81</v>
      </c>
      <c r="U1518">
        <v>0</v>
      </c>
      <c r="V1518" t="s">
        <v>40</v>
      </c>
      <c r="W1518">
        <f>excelsalesdata[[#This Row],[Quantity]]*excelsalesdata[[#This Row],[Unit_Price]]</f>
        <v>17280</v>
      </c>
      <c r="X1518">
        <f>excelsalesdata[[#This Row],[Gross_sales]]*excelsalesdata[[#This Row],[Discount_%]]</f>
        <v>1728</v>
      </c>
      <c r="Y1518">
        <f>excelsalesdata[[#This Row],[Gross_sales]]-excelsalesdata[[#This Row],[Discount_amt]]</f>
        <v>15552</v>
      </c>
      <c r="Z1518" s="4">
        <f>excelsalesdata[[#This Row],[Net_sales]]-excelsalesdata[[#This Row],[Cost]]</f>
        <v>10102</v>
      </c>
      <c r="AA1518" s="5">
        <f>excelsalesdata[[#This Row],[Profit]]/excelsalesdata[[#This Row],[Net_sales]]</f>
        <v>0.64956275720164613</v>
      </c>
      <c r="AB1518" s="4">
        <f>YEAR(excelsalesdata[[#This Row],[Order_Date]])</f>
        <v>2029</v>
      </c>
      <c r="AC1518" s="4" t="str">
        <f>TEXT(excelsalesdata[[#This Row],[Order_Date]],"mmm")</f>
        <v>Jun</v>
      </c>
      <c r="AD1518" s="4" t="str">
        <f>"Q"&amp;ROUNDUP(MONTH(excelsalesdata[[#This Row],[Order_Date]])/3,0)</f>
        <v>Q2</v>
      </c>
    </row>
    <row r="1519" spans="1:30" x14ac:dyDescent="0.35">
      <c r="A1519" t="s">
        <v>2348</v>
      </c>
      <c r="B1519" s="3">
        <v>47277</v>
      </c>
      <c r="C1519" t="s">
        <v>612</v>
      </c>
      <c r="D1519" t="s">
        <v>600</v>
      </c>
      <c r="E1519" t="str">
        <f>TRIM(excelsalesdata[[#This Row],[Customer_Name]])</f>
        <v>Karan Mehta</v>
      </c>
      <c r="F1519" t="s">
        <v>44</v>
      </c>
      <c r="G1519">
        <v>48</v>
      </c>
      <c r="H1519" t="s">
        <v>45</v>
      </c>
      <c r="I1519" t="str">
        <f>TRIM(excelsalesdata[[#This Row],[City]])</f>
        <v>Kochi</v>
      </c>
      <c r="J1519" t="s">
        <v>46</v>
      </c>
      <c r="K1519" t="s">
        <v>47</v>
      </c>
      <c r="L1519" t="s">
        <v>85</v>
      </c>
      <c r="M1519" t="s">
        <v>172</v>
      </c>
      <c r="N1519" t="s">
        <v>172</v>
      </c>
      <c r="O1519">
        <v>1</v>
      </c>
      <c r="P1519">
        <v>4580</v>
      </c>
      <c r="Q1519">
        <v>0.15</v>
      </c>
      <c r="R1519">
        <v>2760</v>
      </c>
      <c r="S1519" t="s">
        <v>29</v>
      </c>
      <c r="T1519" t="s">
        <v>30</v>
      </c>
      <c r="U1519">
        <v>5</v>
      </c>
      <c r="V1519" t="s">
        <v>40</v>
      </c>
      <c r="W1519">
        <f>excelsalesdata[[#This Row],[Quantity]]*excelsalesdata[[#This Row],[Unit_Price]]</f>
        <v>4580</v>
      </c>
      <c r="X1519">
        <f>excelsalesdata[[#This Row],[Gross_sales]]*excelsalesdata[[#This Row],[Discount_%]]</f>
        <v>687</v>
      </c>
      <c r="Y1519">
        <f>excelsalesdata[[#This Row],[Gross_sales]]-excelsalesdata[[#This Row],[Discount_amt]]</f>
        <v>3893</v>
      </c>
      <c r="Z1519" s="4">
        <f>excelsalesdata[[#This Row],[Net_sales]]-excelsalesdata[[#This Row],[Cost]]</f>
        <v>1133</v>
      </c>
      <c r="AA1519" s="5">
        <f>excelsalesdata[[#This Row],[Profit]]/excelsalesdata[[#This Row],[Net_sales]]</f>
        <v>0.29103519136912409</v>
      </c>
      <c r="AB1519" s="4">
        <f>YEAR(excelsalesdata[[#This Row],[Order_Date]])</f>
        <v>2029</v>
      </c>
      <c r="AC1519" s="4" t="str">
        <f>TEXT(excelsalesdata[[#This Row],[Order_Date]],"mmm")</f>
        <v>Jun</v>
      </c>
      <c r="AD1519" s="4" t="str">
        <f>"Q"&amp;ROUNDUP(MONTH(excelsalesdata[[#This Row],[Order_Date]])/3,0)</f>
        <v>Q2</v>
      </c>
    </row>
    <row r="1520" spans="1:30" x14ac:dyDescent="0.35">
      <c r="A1520" t="s">
        <v>2349</v>
      </c>
      <c r="B1520" s="3">
        <v>47278</v>
      </c>
      <c r="C1520" t="s">
        <v>791</v>
      </c>
      <c r="D1520" t="s">
        <v>776</v>
      </c>
      <c r="E1520" t="str">
        <f>TRIM(excelsalesdata[[#This Row],[Customer_Name]])</f>
        <v>Ananya Shah</v>
      </c>
      <c r="F1520" t="s">
        <v>23</v>
      </c>
      <c r="G1520">
        <v>32</v>
      </c>
      <c r="H1520" t="s">
        <v>98</v>
      </c>
      <c r="I1520" t="str">
        <f>TRIM(excelsalesdata[[#This Row],[City]])</f>
        <v>Mumbai</v>
      </c>
      <c r="J1520" t="s">
        <v>25</v>
      </c>
      <c r="K1520" t="s">
        <v>26</v>
      </c>
      <c r="L1520" t="s">
        <v>103</v>
      </c>
      <c r="M1520" t="s">
        <v>238</v>
      </c>
      <c r="N1520" t="s">
        <v>238</v>
      </c>
      <c r="O1520">
        <v>5</v>
      </c>
      <c r="P1520">
        <v>4270</v>
      </c>
      <c r="Q1520">
        <v>0.1</v>
      </c>
      <c r="R1520">
        <v>2670</v>
      </c>
      <c r="S1520" t="s">
        <v>67</v>
      </c>
      <c r="T1520" t="s">
        <v>30</v>
      </c>
      <c r="U1520">
        <v>3</v>
      </c>
      <c r="V1520" t="s">
        <v>40</v>
      </c>
      <c r="W1520">
        <f>excelsalesdata[[#This Row],[Quantity]]*excelsalesdata[[#This Row],[Unit_Price]]</f>
        <v>21350</v>
      </c>
      <c r="X1520">
        <f>excelsalesdata[[#This Row],[Gross_sales]]*excelsalesdata[[#This Row],[Discount_%]]</f>
        <v>2135</v>
      </c>
      <c r="Y1520">
        <f>excelsalesdata[[#This Row],[Gross_sales]]-excelsalesdata[[#This Row],[Discount_amt]]</f>
        <v>19215</v>
      </c>
      <c r="Z1520" s="4">
        <f>excelsalesdata[[#This Row],[Net_sales]]-excelsalesdata[[#This Row],[Cost]]</f>
        <v>16545</v>
      </c>
      <c r="AA1520" s="5">
        <f>excelsalesdata[[#This Row],[Profit]]/excelsalesdata[[#This Row],[Net_sales]]</f>
        <v>0.8610460577673692</v>
      </c>
      <c r="AB1520" s="4">
        <f>YEAR(excelsalesdata[[#This Row],[Order_Date]])</f>
        <v>2029</v>
      </c>
      <c r="AC1520" s="4" t="str">
        <f>TEXT(excelsalesdata[[#This Row],[Order_Date]],"mmm")</f>
        <v>Jun</v>
      </c>
      <c r="AD1520" s="4" t="str">
        <f>"Q"&amp;ROUNDUP(MONTH(excelsalesdata[[#This Row],[Order_Date]])/3,0)</f>
        <v>Q2</v>
      </c>
    </row>
    <row r="1521" spans="1:30" x14ac:dyDescent="0.35">
      <c r="A1521" t="s">
        <v>2350</v>
      </c>
      <c r="B1521" s="3">
        <v>47279</v>
      </c>
      <c r="C1521" t="s">
        <v>379</v>
      </c>
      <c r="D1521" t="s">
        <v>862</v>
      </c>
      <c r="E1521" t="str">
        <f>TRIM(excelsalesdata[[#This Row],[Customer_Name]])</f>
        <v>Vivaan Iyer</v>
      </c>
      <c r="F1521" t="s">
        <v>23</v>
      </c>
      <c r="G1521">
        <v>54</v>
      </c>
      <c r="H1521" t="s">
        <v>78</v>
      </c>
      <c r="I1521" t="str">
        <f>TRIM(excelsalesdata[[#This Row],[City]])</f>
        <v>Guwahati</v>
      </c>
      <c r="J1521" t="s">
        <v>79</v>
      </c>
      <c r="K1521" t="s">
        <v>37</v>
      </c>
      <c r="L1521" t="s">
        <v>54</v>
      </c>
      <c r="M1521" t="s">
        <v>66</v>
      </c>
      <c r="N1521" t="s">
        <v>66</v>
      </c>
      <c r="O1521">
        <v>3</v>
      </c>
      <c r="P1521">
        <v>2440</v>
      </c>
      <c r="Q1521">
        <v>0.2</v>
      </c>
      <c r="R1521">
        <v>1480</v>
      </c>
      <c r="S1521" t="s">
        <v>151</v>
      </c>
      <c r="T1521" t="s">
        <v>30</v>
      </c>
      <c r="U1521">
        <v>4</v>
      </c>
      <c r="V1521" t="s">
        <v>40</v>
      </c>
      <c r="W1521">
        <f>excelsalesdata[[#This Row],[Quantity]]*excelsalesdata[[#This Row],[Unit_Price]]</f>
        <v>7320</v>
      </c>
      <c r="X1521">
        <f>excelsalesdata[[#This Row],[Gross_sales]]*excelsalesdata[[#This Row],[Discount_%]]</f>
        <v>1464</v>
      </c>
      <c r="Y1521">
        <f>excelsalesdata[[#This Row],[Gross_sales]]-excelsalesdata[[#This Row],[Discount_amt]]</f>
        <v>5856</v>
      </c>
      <c r="Z1521" s="4">
        <f>excelsalesdata[[#This Row],[Net_sales]]-excelsalesdata[[#This Row],[Cost]]</f>
        <v>4376</v>
      </c>
      <c r="AA1521" s="5">
        <f>excelsalesdata[[#This Row],[Profit]]/excelsalesdata[[#This Row],[Net_sales]]</f>
        <v>0.74726775956284153</v>
      </c>
      <c r="AB1521" s="4">
        <f>YEAR(excelsalesdata[[#This Row],[Order_Date]])</f>
        <v>2029</v>
      </c>
      <c r="AC1521" s="4" t="str">
        <f>TEXT(excelsalesdata[[#This Row],[Order_Date]],"mmm")</f>
        <v>Jun</v>
      </c>
      <c r="AD1521" s="4" t="str">
        <f>"Q"&amp;ROUNDUP(MONTH(excelsalesdata[[#This Row],[Order_Date]])/3,0)</f>
        <v>Q2</v>
      </c>
    </row>
    <row r="1522" spans="1:30" x14ac:dyDescent="0.35">
      <c r="A1522" t="s">
        <v>2351</v>
      </c>
      <c r="B1522" s="3">
        <v>47280</v>
      </c>
      <c r="C1522" t="s">
        <v>556</v>
      </c>
      <c r="D1522" t="s">
        <v>844</v>
      </c>
      <c r="E1522" t="str">
        <f>TRIM(excelsalesdata[[#This Row],[Customer_Name]])</f>
        <v>Vikram Gupta</v>
      </c>
      <c r="F1522" t="s">
        <v>44</v>
      </c>
      <c r="G1522">
        <v>55</v>
      </c>
      <c r="H1522" t="s">
        <v>133</v>
      </c>
      <c r="I1522" t="str">
        <f>TRIM(excelsalesdata[[#This Row],[City]])</f>
        <v>Jaipur</v>
      </c>
      <c r="J1522" t="s">
        <v>134</v>
      </c>
      <c r="K1522" t="s">
        <v>61</v>
      </c>
      <c r="L1522" t="s">
        <v>54</v>
      </c>
      <c r="M1522" t="s">
        <v>157</v>
      </c>
      <c r="N1522" t="s">
        <v>157</v>
      </c>
      <c r="O1522">
        <v>1</v>
      </c>
      <c r="P1522">
        <v>51590</v>
      </c>
      <c r="Q1522">
        <v>0.25</v>
      </c>
      <c r="R1522">
        <v>42130</v>
      </c>
      <c r="S1522" t="s">
        <v>29</v>
      </c>
      <c r="T1522" t="s">
        <v>30</v>
      </c>
      <c r="U1522">
        <v>3</v>
      </c>
      <c r="V1522" t="s">
        <v>40</v>
      </c>
      <c r="W1522">
        <f>excelsalesdata[[#This Row],[Quantity]]*excelsalesdata[[#This Row],[Unit_Price]]</f>
        <v>51590</v>
      </c>
      <c r="X1522">
        <f>excelsalesdata[[#This Row],[Gross_sales]]*excelsalesdata[[#This Row],[Discount_%]]</f>
        <v>12897.5</v>
      </c>
      <c r="Y1522">
        <f>excelsalesdata[[#This Row],[Gross_sales]]-excelsalesdata[[#This Row],[Discount_amt]]</f>
        <v>38692.5</v>
      </c>
      <c r="Z1522" s="4">
        <f>excelsalesdata[[#This Row],[Net_sales]]-excelsalesdata[[#This Row],[Cost]]</f>
        <v>-3437.5</v>
      </c>
      <c r="AA1522" s="5">
        <f>excelsalesdata[[#This Row],[Profit]]/excelsalesdata[[#This Row],[Net_sales]]</f>
        <v>-8.8841506751954513E-2</v>
      </c>
      <c r="AB1522" s="4">
        <f>YEAR(excelsalesdata[[#This Row],[Order_Date]])</f>
        <v>2029</v>
      </c>
      <c r="AC1522" s="4" t="str">
        <f>TEXT(excelsalesdata[[#This Row],[Order_Date]],"mmm")</f>
        <v>Jun</v>
      </c>
      <c r="AD1522" s="4" t="str">
        <f>"Q"&amp;ROUNDUP(MONTH(excelsalesdata[[#This Row],[Order_Date]])/3,0)</f>
        <v>Q2</v>
      </c>
    </row>
    <row r="1523" spans="1:30" x14ac:dyDescent="0.35">
      <c r="A1523" t="s">
        <v>2352</v>
      </c>
      <c r="B1523" s="3">
        <v>47281</v>
      </c>
      <c r="C1523" t="s">
        <v>674</v>
      </c>
      <c r="D1523" t="s">
        <v>423</v>
      </c>
      <c r="E1523" t="str">
        <f>TRIM(excelsalesdata[[#This Row],[Customer_Name]])</f>
        <v>Kavya Kumar</v>
      </c>
      <c r="F1523" t="s">
        <v>23</v>
      </c>
      <c r="G1523">
        <v>54</v>
      </c>
      <c r="H1523" t="s">
        <v>24</v>
      </c>
      <c r="I1523" t="str">
        <f>TRIM(excelsalesdata[[#This Row],[City]])</f>
        <v>Pune</v>
      </c>
      <c r="J1523" t="s">
        <v>25</v>
      </c>
      <c r="K1523" t="s">
        <v>26</v>
      </c>
      <c r="L1523" t="s">
        <v>103</v>
      </c>
      <c r="M1523" t="s">
        <v>347</v>
      </c>
      <c r="N1523" t="s">
        <v>347</v>
      </c>
      <c r="O1523">
        <v>1</v>
      </c>
      <c r="P1523">
        <v>11910</v>
      </c>
      <c r="Q1523">
        <v>0.25</v>
      </c>
      <c r="R1523">
        <v>8430</v>
      </c>
      <c r="S1523" t="s">
        <v>29</v>
      </c>
      <c r="T1523" t="s">
        <v>74</v>
      </c>
      <c r="U1523">
        <v>7</v>
      </c>
      <c r="V1523" t="s">
        <v>31</v>
      </c>
      <c r="W1523">
        <f>excelsalesdata[[#This Row],[Quantity]]*excelsalesdata[[#This Row],[Unit_Price]]</f>
        <v>11910</v>
      </c>
      <c r="X1523">
        <f>excelsalesdata[[#This Row],[Gross_sales]]*excelsalesdata[[#This Row],[Discount_%]]</f>
        <v>2977.5</v>
      </c>
      <c r="Y1523">
        <f>excelsalesdata[[#This Row],[Gross_sales]]-excelsalesdata[[#This Row],[Discount_amt]]</f>
        <v>8932.5</v>
      </c>
      <c r="Z1523" s="4">
        <f>excelsalesdata[[#This Row],[Net_sales]]-excelsalesdata[[#This Row],[Cost]]</f>
        <v>502.5</v>
      </c>
      <c r="AA1523" s="5">
        <f>excelsalesdata[[#This Row],[Profit]]/excelsalesdata[[#This Row],[Net_sales]]</f>
        <v>5.6255247691015954E-2</v>
      </c>
      <c r="AB1523" s="4">
        <f>YEAR(excelsalesdata[[#This Row],[Order_Date]])</f>
        <v>2029</v>
      </c>
      <c r="AC1523" s="4" t="str">
        <f>TEXT(excelsalesdata[[#This Row],[Order_Date]],"mmm")</f>
        <v>Jun</v>
      </c>
      <c r="AD1523" s="4" t="str">
        <f>"Q"&amp;ROUNDUP(MONTH(excelsalesdata[[#This Row],[Order_Date]])/3,0)</f>
        <v>Q2</v>
      </c>
    </row>
    <row r="1524" spans="1:30" x14ac:dyDescent="0.35">
      <c r="A1524" t="s">
        <v>2353</v>
      </c>
      <c r="B1524" s="3">
        <v>47282</v>
      </c>
      <c r="C1524" t="s">
        <v>228</v>
      </c>
      <c r="D1524" t="s">
        <v>522</v>
      </c>
      <c r="E1524" t="str">
        <f>TRIM(excelsalesdata[[#This Row],[Customer_Name]])</f>
        <v>Priya Joshi</v>
      </c>
      <c r="F1524" t="s">
        <v>44</v>
      </c>
      <c r="G1524">
        <v>23</v>
      </c>
      <c r="H1524" t="s">
        <v>114</v>
      </c>
      <c r="I1524" t="str">
        <f>TRIM(excelsalesdata[[#This Row],[City]])</f>
        <v>Hyderabad</v>
      </c>
      <c r="J1524" t="s">
        <v>115</v>
      </c>
      <c r="K1524" t="s">
        <v>47</v>
      </c>
      <c r="L1524" t="s">
        <v>38</v>
      </c>
      <c r="M1524" t="s">
        <v>119</v>
      </c>
      <c r="N1524" t="s">
        <v>119</v>
      </c>
      <c r="O1524">
        <v>2</v>
      </c>
      <c r="P1524">
        <v>8410</v>
      </c>
      <c r="Q1524">
        <v>0.1</v>
      </c>
      <c r="R1524">
        <v>5650</v>
      </c>
      <c r="S1524" t="s">
        <v>67</v>
      </c>
      <c r="T1524" t="s">
        <v>30</v>
      </c>
      <c r="U1524">
        <v>5</v>
      </c>
      <c r="V1524" t="s">
        <v>40</v>
      </c>
      <c r="W1524">
        <f>excelsalesdata[[#This Row],[Quantity]]*excelsalesdata[[#This Row],[Unit_Price]]</f>
        <v>16820</v>
      </c>
      <c r="X1524">
        <f>excelsalesdata[[#This Row],[Gross_sales]]*excelsalesdata[[#This Row],[Discount_%]]</f>
        <v>1682</v>
      </c>
      <c r="Y1524">
        <f>excelsalesdata[[#This Row],[Gross_sales]]-excelsalesdata[[#This Row],[Discount_amt]]</f>
        <v>15138</v>
      </c>
      <c r="Z1524" s="4">
        <f>excelsalesdata[[#This Row],[Net_sales]]-excelsalesdata[[#This Row],[Cost]]</f>
        <v>9488</v>
      </c>
      <c r="AA1524" s="5">
        <f>excelsalesdata[[#This Row],[Profit]]/excelsalesdata[[#This Row],[Net_sales]]</f>
        <v>0.6267670762319989</v>
      </c>
      <c r="AB1524" s="4">
        <f>YEAR(excelsalesdata[[#This Row],[Order_Date]])</f>
        <v>2029</v>
      </c>
      <c r="AC1524" s="4" t="str">
        <f>TEXT(excelsalesdata[[#This Row],[Order_Date]],"mmm")</f>
        <v>Jun</v>
      </c>
      <c r="AD1524" s="4" t="str">
        <f>"Q"&amp;ROUNDUP(MONTH(excelsalesdata[[#This Row],[Order_Date]])/3,0)</f>
        <v>Q2</v>
      </c>
    </row>
    <row r="1525" spans="1:30" x14ac:dyDescent="0.35">
      <c r="A1525" t="s">
        <v>2354</v>
      </c>
      <c r="B1525" s="3">
        <v>47283</v>
      </c>
      <c r="C1525" t="s">
        <v>816</v>
      </c>
      <c r="D1525" t="s">
        <v>160</v>
      </c>
      <c r="E1525" t="str">
        <f>TRIM(excelsalesdata[[#This Row],[Customer_Name]])</f>
        <v>Nisha Bhat</v>
      </c>
      <c r="F1525" t="s">
        <v>44</v>
      </c>
      <c r="G1525">
        <v>59</v>
      </c>
      <c r="H1525" t="s">
        <v>133</v>
      </c>
      <c r="I1525" t="str">
        <f>TRIM(excelsalesdata[[#This Row],[City]])</f>
        <v>Jaipur</v>
      </c>
      <c r="J1525" t="s">
        <v>134</v>
      </c>
      <c r="K1525" t="s">
        <v>61</v>
      </c>
      <c r="L1525" t="s">
        <v>54</v>
      </c>
      <c r="M1525" t="s">
        <v>55</v>
      </c>
      <c r="N1525" t="s">
        <v>55</v>
      </c>
      <c r="O1525">
        <v>3</v>
      </c>
      <c r="P1525">
        <v>6790</v>
      </c>
      <c r="Q1525">
        <v>0.1</v>
      </c>
      <c r="R1525">
        <v>4600</v>
      </c>
      <c r="S1525" t="s">
        <v>80</v>
      </c>
      <c r="T1525" t="s">
        <v>30</v>
      </c>
      <c r="U1525">
        <v>2</v>
      </c>
      <c r="V1525" t="s">
        <v>40</v>
      </c>
      <c r="W1525">
        <f>excelsalesdata[[#This Row],[Quantity]]*excelsalesdata[[#This Row],[Unit_Price]]</f>
        <v>20370</v>
      </c>
      <c r="X1525">
        <f>excelsalesdata[[#This Row],[Gross_sales]]*excelsalesdata[[#This Row],[Discount_%]]</f>
        <v>2037</v>
      </c>
      <c r="Y1525">
        <f>excelsalesdata[[#This Row],[Gross_sales]]-excelsalesdata[[#This Row],[Discount_amt]]</f>
        <v>18333</v>
      </c>
      <c r="Z1525" s="4">
        <f>excelsalesdata[[#This Row],[Net_sales]]-excelsalesdata[[#This Row],[Cost]]</f>
        <v>13733</v>
      </c>
      <c r="AA1525" s="5">
        <f>excelsalesdata[[#This Row],[Profit]]/excelsalesdata[[#This Row],[Net_sales]]</f>
        <v>0.74908634702449139</v>
      </c>
      <c r="AB1525" s="4">
        <f>YEAR(excelsalesdata[[#This Row],[Order_Date]])</f>
        <v>2029</v>
      </c>
      <c r="AC1525" s="4" t="str">
        <f>TEXT(excelsalesdata[[#This Row],[Order_Date]],"mmm")</f>
        <v>Jun</v>
      </c>
      <c r="AD1525" s="4" t="str">
        <f>"Q"&amp;ROUNDUP(MONTH(excelsalesdata[[#This Row],[Order_Date]])/3,0)</f>
        <v>Q2</v>
      </c>
    </row>
    <row r="1526" spans="1:30" x14ac:dyDescent="0.35">
      <c r="A1526" t="s">
        <v>2355</v>
      </c>
      <c r="B1526" s="3">
        <v>47284</v>
      </c>
      <c r="C1526" t="s">
        <v>676</v>
      </c>
      <c r="D1526" t="s">
        <v>792</v>
      </c>
      <c r="E1526" t="str">
        <f>TRIM(excelsalesdata[[#This Row],[Customer_Name]])</f>
        <v>Nisha Das</v>
      </c>
      <c r="F1526" t="s">
        <v>44</v>
      </c>
      <c r="G1526">
        <v>33</v>
      </c>
      <c r="H1526" t="s">
        <v>155</v>
      </c>
      <c r="I1526" t="str">
        <f>TRIM(excelsalesdata[[#This Row],[City]])</f>
        <v>Chennai</v>
      </c>
      <c r="J1526" t="s">
        <v>156</v>
      </c>
      <c r="K1526" t="s">
        <v>47</v>
      </c>
      <c r="L1526" t="s">
        <v>103</v>
      </c>
      <c r="M1526" t="s">
        <v>104</v>
      </c>
      <c r="N1526" t="s">
        <v>104</v>
      </c>
      <c r="O1526">
        <v>3</v>
      </c>
      <c r="P1526">
        <v>8290</v>
      </c>
      <c r="Q1526">
        <v>0.25</v>
      </c>
      <c r="R1526">
        <v>5720</v>
      </c>
      <c r="S1526" t="s">
        <v>80</v>
      </c>
      <c r="T1526" t="s">
        <v>30</v>
      </c>
      <c r="U1526">
        <v>6</v>
      </c>
      <c r="V1526" t="s">
        <v>40</v>
      </c>
      <c r="W1526">
        <f>excelsalesdata[[#This Row],[Quantity]]*excelsalesdata[[#This Row],[Unit_Price]]</f>
        <v>24870</v>
      </c>
      <c r="X1526">
        <f>excelsalesdata[[#This Row],[Gross_sales]]*excelsalesdata[[#This Row],[Discount_%]]</f>
        <v>6217.5</v>
      </c>
      <c r="Y1526">
        <f>excelsalesdata[[#This Row],[Gross_sales]]-excelsalesdata[[#This Row],[Discount_amt]]</f>
        <v>18652.5</v>
      </c>
      <c r="Z1526" s="4">
        <f>excelsalesdata[[#This Row],[Net_sales]]-excelsalesdata[[#This Row],[Cost]]</f>
        <v>12932.5</v>
      </c>
      <c r="AA1526" s="5">
        <f>excelsalesdata[[#This Row],[Profit]]/excelsalesdata[[#This Row],[Net_sales]]</f>
        <v>0.69333869454496722</v>
      </c>
      <c r="AB1526" s="4">
        <f>YEAR(excelsalesdata[[#This Row],[Order_Date]])</f>
        <v>2029</v>
      </c>
      <c r="AC1526" s="4" t="str">
        <f>TEXT(excelsalesdata[[#This Row],[Order_Date]],"mmm")</f>
        <v>Jun</v>
      </c>
      <c r="AD1526" s="4" t="str">
        <f>"Q"&amp;ROUNDUP(MONTH(excelsalesdata[[#This Row],[Order_Date]])/3,0)</f>
        <v>Q2</v>
      </c>
    </row>
    <row r="1527" spans="1:30" x14ac:dyDescent="0.35">
      <c r="A1527" t="s">
        <v>2356</v>
      </c>
      <c r="B1527" s="3">
        <v>47285</v>
      </c>
      <c r="C1527" t="s">
        <v>398</v>
      </c>
      <c r="D1527" t="s">
        <v>175</v>
      </c>
      <c r="E1527" t="str">
        <f>TRIM(excelsalesdata[[#This Row],[Customer_Name]])</f>
        <v>Kavya Naidu</v>
      </c>
      <c r="F1527" t="s">
        <v>44</v>
      </c>
      <c r="G1527">
        <v>39</v>
      </c>
      <c r="H1527" t="s">
        <v>133</v>
      </c>
      <c r="I1527" t="str">
        <f>TRIM(excelsalesdata[[#This Row],[City]])</f>
        <v>Jaipur</v>
      </c>
      <c r="J1527" t="s">
        <v>134</v>
      </c>
      <c r="K1527" t="s">
        <v>61</v>
      </c>
      <c r="L1527" t="s">
        <v>93</v>
      </c>
      <c r="M1527" t="s">
        <v>135</v>
      </c>
      <c r="N1527" t="s">
        <v>135</v>
      </c>
      <c r="O1527">
        <v>2</v>
      </c>
      <c r="P1527">
        <v>1760</v>
      </c>
      <c r="Q1527">
        <v>0.2</v>
      </c>
      <c r="R1527">
        <v>960</v>
      </c>
      <c r="S1527" t="s">
        <v>80</v>
      </c>
      <c r="T1527" t="s">
        <v>30</v>
      </c>
      <c r="U1527">
        <v>3</v>
      </c>
      <c r="V1527" t="s">
        <v>31</v>
      </c>
      <c r="W1527">
        <f>excelsalesdata[[#This Row],[Quantity]]*excelsalesdata[[#This Row],[Unit_Price]]</f>
        <v>3520</v>
      </c>
      <c r="X1527">
        <f>excelsalesdata[[#This Row],[Gross_sales]]*excelsalesdata[[#This Row],[Discount_%]]</f>
        <v>704</v>
      </c>
      <c r="Y1527">
        <f>excelsalesdata[[#This Row],[Gross_sales]]-excelsalesdata[[#This Row],[Discount_amt]]</f>
        <v>2816</v>
      </c>
      <c r="Z1527" s="4">
        <f>excelsalesdata[[#This Row],[Net_sales]]-excelsalesdata[[#This Row],[Cost]]</f>
        <v>1856</v>
      </c>
      <c r="AA1527" s="5">
        <f>excelsalesdata[[#This Row],[Profit]]/excelsalesdata[[#This Row],[Net_sales]]</f>
        <v>0.65909090909090906</v>
      </c>
      <c r="AB1527" s="4">
        <f>YEAR(excelsalesdata[[#This Row],[Order_Date]])</f>
        <v>2029</v>
      </c>
      <c r="AC1527" s="4" t="str">
        <f>TEXT(excelsalesdata[[#This Row],[Order_Date]],"mmm")</f>
        <v>Jun</v>
      </c>
      <c r="AD1527" s="4" t="str">
        <f>"Q"&amp;ROUNDUP(MONTH(excelsalesdata[[#This Row],[Order_Date]])/3,0)</f>
        <v>Q2</v>
      </c>
    </row>
    <row r="1528" spans="1:30" x14ac:dyDescent="0.35">
      <c r="A1528" t="s">
        <v>2357</v>
      </c>
      <c r="B1528" s="3">
        <v>47286</v>
      </c>
      <c r="C1528" t="s">
        <v>1673</v>
      </c>
      <c r="D1528" t="s">
        <v>510</v>
      </c>
      <c r="E1528" t="str">
        <f>TRIM(excelsalesdata[[#This Row],[Customer_Name]])</f>
        <v>Diya Kumar</v>
      </c>
      <c r="F1528" t="s">
        <v>23</v>
      </c>
      <c r="G1528">
        <v>59</v>
      </c>
      <c r="H1528" t="s">
        <v>60</v>
      </c>
      <c r="I1528" t="str">
        <f>TRIM(excelsalesdata[[#This Row],[City]])</f>
        <v>Chandigarh</v>
      </c>
      <c r="J1528" t="s">
        <v>60</v>
      </c>
      <c r="K1528" t="s">
        <v>61</v>
      </c>
      <c r="L1528" t="s">
        <v>85</v>
      </c>
      <c r="M1528" t="s">
        <v>202</v>
      </c>
      <c r="N1528" t="s">
        <v>202</v>
      </c>
      <c r="O1528">
        <v>2</v>
      </c>
      <c r="P1528">
        <v>950</v>
      </c>
      <c r="Q1528">
        <v>0.1</v>
      </c>
      <c r="R1528">
        <v>410</v>
      </c>
      <c r="S1528" t="s">
        <v>29</v>
      </c>
      <c r="T1528" t="s">
        <v>30</v>
      </c>
      <c r="U1528">
        <v>3</v>
      </c>
      <c r="V1528" t="s">
        <v>40</v>
      </c>
      <c r="W1528">
        <f>excelsalesdata[[#This Row],[Quantity]]*excelsalesdata[[#This Row],[Unit_Price]]</f>
        <v>1900</v>
      </c>
      <c r="X1528">
        <f>excelsalesdata[[#This Row],[Gross_sales]]*excelsalesdata[[#This Row],[Discount_%]]</f>
        <v>190</v>
      </c>
      <c r="Y1528">
        <f>excelsalesdata[[#This Row],[Gross_sales]]-excelsalesdata[[#This Row],[Discount_amt]]</f>
        <v>1710</v>
      </c>
      <c r="Z1528" s="4">
        <f>excelsalesdata[[#This Row],[Net_sales]]-excelsalesdata[[#This Row],[Cost]]</f>
        <v>1300</v>
      </c>
      <c r="AA1528" s="5">
        <f>excelsalesdata[[#This Row],[Profit]]/excelsalesdata[[#This Row],[Net_sales]]</f>
        <v>0.76023391812865493</v>
      </c>
      <c r="AB1528" s="4">
        <f>YEAR(excelsalesdata[[#This Row],[Order_Date]])</f>
        <v>2029</v>
      </c>
      <c r="AC1528" s="4" t="str">
        <f>TEXT(excelsalesdata[[#This Row],[Order_Date]],"mmm")</f>
        <v>Jun</v>
      </c>
      <c r="AD1528" s="4" t="str">
        <f>"Q"&amp;ROUNDUP(MONTH(excelsalesdata[[#This Row],[Order_Date]])/3,0)</f>
        <v>Q2</v>
      </c>
    </row>
    <row r="1529" spans="1:30" x14ac:dyDescent="0.35">
      <c r="A1529" t="s">
        <v>2358</v>
      </c>
      <c r="B1529" s="3">
        <v>47287</v>
      </c>
      <c r="C1529" t="s">
        <v>959</v>
      </c>
      <c r="D1529" t="s">
        <v>205</v>
      </c>
      <c r="E1529" t="str">
        <f>TRIM(excelsalesdata[[#This Row],[Customer_Name]])</f>
        <v>Vivaan Bhat</v>
      </c>
      <c r="F1529" t="s">
        <v>44</v>
      </c>
      <c r="G1529">
        <v>19</v>
      </c>
      <c r="H1529" t="s">
        <v>114</v>
      </c>
      <c r="I1529" t="str">
        <f>TRIM(excelsalesdata[[#This Row],[City]])</f>
        <v>Hyderabad</v>
      </c>
      <c r="J1529" t="s">
        <v>115</v>
      </c>
      <c r="K1529" t="s">
        <v>47</v>
      </c>
      <c r="L1529" t="s">
        <v>54</v>
      </c>
      <c r="M1529" t="s">
        <v>62</v>
      </c>
      <c r="N1529" t="s">
        <v>62</v>
      </c>
      <c r="O1529">
        <v>1</v>
      </c>
      <c r="P1529">
        <v>20960</v>
      </c>
      <c r="Q1529">
        <v>0.15</v>
      </c>
      <c r="R1529">
        <v>15960</v>
      </c>
      <c r="S1529" t="s">
        <v>29</v>
      </c>
      <c r="T1529" t="s">
        <v>30</v>
      </c>
      <c r="U1529">
        <v>2</v>
      </c>
      <c r="V1529" t="s">
        <v>31</v>
      </c>
      <c r="W1529">
        <f>excelsalesdata[[#This Row],[Quantity]]*excelsalesdata[[#This Row],[Unit_Price]]</f>
        <v>20960</v>
      </c>
      <c r="X1529">
        <f>excelsalesdata[[#This Row],[Gross_sales]]*excelsalesdata[[#This Row],[Discount_%]]</f>
        <v>3144</v>
      </c>
      <c r="Y1529">
        <f>excelsalesdata[[#This Row],[Gross_sales]]-excelsalesdata[[#This Row],[Discount_amt]]</f>
        <v>17816</v>
      </c>
      <c r="Z1529" s="4">
        <f>excelsalesdata[[#This Row],[Net_sales]]-excelsalesdata[[#This Row],[Cost]]</f>
        <v>1856</v>
      </c>
      <c r="AA1529" s="5">
        <f>excelsalesdata[[#This Row],[Profit]]/excelsalesdata[[#This Row],[Net_sales]]</f>
        <v>0.10417602155365963</v>
      </c>
      <c r="AB1529" s="4">
        <f>YEAR(excelsalesdata[[#This Row],[Order_Date]])</f>
        <v>2029</v>
      </c>
      <c r="AC1529" s="4" t="str">
        <f>TEXT(excelsalesdata[[#This Row],[Order_Date]],"mmm")</f>
        <v>Jun</v>
      </c>
      <c r="AD1529" s="4" t="str">
        <f>"Q"&amp;ROUNDUP(MONTH(excelsalesdata[[#This Row],[Order_Date]])/3,0)</f>
        <v>Q2</v>
      </c>
    </row>
    <row r="1530" spans="1:30" x14ac:dyDescent="0.35">
      <c r="A1530" t="s">
        <v>2359</v>
      </c>
      <c r="B1530" s="3">
        <v>47288</v>
      </c>
      <c r="C1530" t="s">
        <v>1560</v>
      </c>
      <c r="D1530" t="s">
        <v>128</v>
      </c>
      <c r="E1530" t="str">
        <f>TRIM(excelsalesdata[[#This Row],[Customer_Name]])</f>
        <v>Sneha Singh</v>
      </c>
      <c r="F1530" t="s">
        <v>44</v>
      </c>
      <c r="G1530">
        <v>51</v>
      </c>
      <c r="H1530" t="s">
        <v>155</v>
      </c>
      <c r="I1530" t="str">
        <f>TRIM(excelsalesdata[[#This Row],[City]])</f>
        <v>Chennai</v>
      </c>
      <c r="J1530" t="s">
        <v>156</v>
      </c>
      <c r="K1530" t="s">
        <v>47</v>
      </c>
      <c r="L1530" t="s">
        <v>54</v>
      </c>
      <c r="M1530" t="s">
        <v>157</v>
      </c>
      <c r="N1530" t="s">
        <v>157</v>
      </c>
      <c r="O1530">
        <v>2</v>
      </c>
      <c r="P1530">
        <v>56100</v>
      </c>
      <c r="Q1530">
        <v>0.15</v>
      </c>
      <c r="R1530">
        <v>40520</v>
      </c>
      <c r="S1530" t="s">
        <v>80</v>
      </c>
      <c r="T1530" t="s">
        <v>30</v>
      </c>
      <c r="U1530">
        <v>3</v>
      </c>
      <c r="V1530" t="s">
        <v>31</v>
      </c>
      <c r="W1530">
        <f>excelsalesdata[[#This Row],[Quantity]]*excelsalesdata[[#This Row],[Unit_Price]]</f>
        <v>112200</v>
      </c>
      <c r="X1530">
        <f>excelsalesdata[[#This Row],[Gross_sales]]*excelsalesdata[[#This Row],[Discount_%]]</f>
        <v>16830</v>
      </c>
      <c r="Y1530">
        <f>excelsalesdata[[#This Row],[Gross_sales]]-excelsalesdata[[#This Row],[Discount_amt]]</f>
        <v>95370</v>
      </c>
      <c r="Z1530" s="4">
        <f>excelsalesdata[[#This Row],[Net_sales]]-excelsalesdata[[#This Row],[Cost]]</f>
        <v>54850</v>
      </c>
      <c r="AA1530" s="5">
        <f>excelsalesdata[[#This Row],[Profit]]/excelsalesdata[[#This Row],[Net_sales]]</f>
        <v>0.57512844710076549</v>
      </c>
      <c r="AB1530" s="4">
        <f>YEAR(excelsalesdata[[#This Row],[Order_Date]])</f>
        <v>2029</v>
      </c>
      <c r="AC1530" s="4" t="str">
        <f>TEXT(excelsalesdata[[#This Row],[Order_Date]],"mmm")</f>
        <v>Jun</v>
      </c>
      <c r="AD1530" s="4" t="str">
        <f>"Q"&amp;ROUNDUP(MONTH(excelsalesdata[[#This Row],[Order_Date]])/3,0)</f>
        <v>Q2</v>
      </c>
    </row>
    <row r="1531" spans="1:30" x14ac:dyDescent="0.35">
      <c r="A1531" t="s">
        <v>2360</v>
      </c>
      <c r="B1531" s="3">
        <v>47289</v>
      </c>
      <c r="C1531" t="s">
        <v>107</v>
      </c>
      <c r="D1531" t="s">
        <v>463</v>
      </c>
      <c r="E1531" t="str">
        <f>TRIM(excelsalesdata[[#This Row],[Customer_Name]])</f>
        <v>Kavya Sharma</v>
      </c>
      <c r="F1531" t="s">
        <v>44</v>
      </c>
      <c r="G1531">
        <v>37</v>
      </c>
      <c r="H1531" t="s">
        <v>190</v>
      </c>
      <c r="I1531" t="str">
        <f>TRIM(excelsalesdata[[#This Row],[City]])</f>
        <v>Ahmedabad</v>
      </c>
      <c r="J1531" t="s">
        <v>191</v>
      </c>
      <c r="K1531" t="s">
        <v>26</v>
      </c>
      <c r="L1531" t="s">
        <v>93</v>
      </c>
      <c r="M1531" t="s">
        <v>206</v>
      </c>
      <c r="N1531" t="s">
        <v>206</v>
      </c>
      <c r="O1531">
        <v>4</v>
      </c>
      <c r="P1531">
        <v>650</v>
      </c>
      <c r="Q1531">
        <v>0</v>
      </c>
      <c r="R1531">
        <v>300</v>
      </c>
      <c r="S1531" t="s">
        <v>29</v>
      </c>
      <c r="T1531" t="s">
        <v>30</v>
      </c>
      <c r="U1531">
        <v>1</v>
      </c>
      <c r="V1531" t="s">
        <v>31</v>
      </c>
      <c r="W1531">
        <f>excelsalesdata[[#This Row],[Quantity]]*excelsalesdata[[#This Row],[Unit_Price]]</f>
        <v>2600</v>
      </c>
      <c r="X1531">
        <f>excelsalesdata[[#This Row],[Gross_sales]]*excelsalesdata[[#This Row],[Discount_%]]</f>
        <v>0</v>
      </c>
      <c r="Y1531">
        <f>excelsalesdata[[#This Row],[Gross_sales]]-excelsalesdata[[#This Row],[Discount_amt]]</f>
        <v>2600</v>
      </c>
      <c r="Z1531" s="4">
        <f>excelsalesdata[[#This Row],[Net_sales]]-excelsalesdata[[#This Row],[Cost]]</f>
        <v>2300</v>
      </c>
      <c r="AA1531" s="5">
        <f>excelsalesdata[[#This Row],[Profit]]/excelsalesdata[[#This Row],[Net_sales]]</f>
        <v>0.88461538461538458</v>
      </c>
      <c r="AB1531" s="4">
        <f>YEAR(excelsalesdata[[#This Row],[Order_Date]])</f>
        <v>2029</v>
      </c>
      <c r="AC1531" s="4" t="str">
        <f>TEXT(excelsalesdata[[#This Row],[Order_Date]],"mmm")</f>
        <v>Jun</v>
      </c>
      <c r="AD1531" s="4" t="str">
        <f>"Q"&amp;ROUNDUP(MONTH(excelsalesdata[[#This Row],[Order_Date]])/3,0)</f>
        <v>Q2</v>
      </c>
    </row>
    <row r="1532" spans="1:30" x14ac:dyDescent="0.35">
      <c r="A1532" t="s">
        <v>2361</v>
      </c>
      <c r="B1532" s="3">
        <v>47290</v>
      </c>
      <c r="C1532" t="s">
        <v>1829</v>
      </c>
      <c r="D1532" t="s">
        <v>752</v>
      </c>
      <c r="E1532" t="str">
        <f>TRIM(excelsalesdata[[#This Row],[Customer_Name]])</f>
        <v>Kavya Mehta</v>
      </c>
      <c r="F1532" t="s">
        <v>23</v>
      </c>
      <c r="G1532">
        <v>52</v>
      </c>
      <c r="H1532" t="s">
        <v>24</v>
      </c>
      <c r="I1532" t="str">
        <f>TRIM(excelsalesdata[[#This Row],[City]])</f>
        <v>Pune</v>
      </c>
      <c r="J1532" t="s">
        <v>25</v>
      </c>
      <c r="K1532" t="s">
        <v>26</v>
      </c>
      <c r="L1532" t="s">
        <v>54</v>
      </c>
      <c r="M1532" t="s">
        <v>157</v>
      </c>
      <c r="N1532" t="s">
        <v>157</v>
      </c>
      <c r="O1532">
        <v>1</v>
      </c>
      <c r="P1532">
        <v>57530</v>
      </c>
      <c r="Q1532">
        <v>0.1</v>
      </c>
      <c r="R1532">
        <v>40390</v>
      </c>
      <c r="S1532" t="s">
        <v>80</v>
      </c>
      <c r="T1532" t="s">
        <v>30</v>
      </c>
      <c r="U1532">
        <v>2</v>
      </c>
      <c r="V1532" t="s">
        <v>40</v>
      </c>
      <c r="W1532">
        <f>excelsalesdata[[#This Row],[Quantity]]*excelsalesdata[[#This Row],[Unit_Price]]</f>
        <v>57530</v>
      </c>
      <c r="X1532">
        <f>excelsalesdata[[#This Row],[Gross_sales]]*excelsalesdata[[#This Row],[Discount_%]]</f>
        <v>5753</v>
      </c>
      <c r="Y1532">
        <f>excelsalesdata[[#This Row],[Gross_sales]]-excelsalesdata[[#This Row],[Discount_amt]]</f>
        <v>51777</v>
      </c>
      <c r="Z1532" s="4">
        <f>excelsalesdata[[#This Row],[Net_sales]]-excelsalesdata[[#This Row],[Cost]]</f>
        <v>11387</v>
      </c>
      <c r="AA1532" s="5">
        <f>excelsalesdata[[#This Row],[Profit]]/excelsalesdata[[#This Row],[Net_sales]]</f>
        <v>0.21992390443633272</v>
      </c>
      <c r="AB1532" s="4">
        <f>YEAR(excelsalesdata[[#This Row],[Order_Date]])</f>
        <v>2029</v>
      </c>
      <c r="AC1532" s="4" t="str">
        <f>TEXT(excelsalesdata[[#This Row],[Order_Date]],"mmm")</f>
        <v>Jun</v>
      </c>
      <c r="AD1532" s="4" t="str">
        <f>"Q"&amp;ROUNDUP(MONTH(excelsalesdata[[#This Row],[Order_Date]])/3,0)</f>
        <v>Q2</v>
      </c>
    </row>
    <row r="1533" spans="1:30" x14ac:dyDescent="0.35">
      <c r="A1533" t="s">
        <v>2362</v>
      </c>
      <c r="B1533" s="3">
        <v>47291</v>
      </c>
      <c r="C1533" t="s">
        <v>354</v>
      </c>
      <c r="D1533" t="s">
        <v>1528</v>
      </c>
      <c r="E1533" t="str">
        <f>TRIM(excelsalesdata[[#This Row],[Customer_Name]])</f>
        <v>Nisha Patel</v>
      </c>
      <c r="F1533" t="s">
        <v>23</v>
      </c>
      <c r="G1533">
        <v>33</v>
      </c>
      <c r="H1533" t="s">
        <v>98</v>
      </c>
      <c r="I1533" t="str">
        <f>TRIM(excelsalesdata[[#This Row],[City]])</f>
        <v>Mumbai</v>
      </c>
      <c r="J1533" t="s">
        <v>25</v>
      </c>
      <c r="K1533" t="s">
        <v>26</v>
      </c>
      <c r="L1533" t="s">
        <v>54</v>
      </c>
      <c r="M1533" t="s">
        <v>62</v>
      </c>
      <c r="N1533" t="s">
        <v>62</v>
      </c>
      <c r="O1533">
        <v>3</v>
      </c>
      <c r="P1533">
        <v>23000</v>
      </c>
      <c r="Q1533">
        <v>0</v>
      </c>
      <c r="R1533">
        <v>15750</v>
      </c>
      <c r="S1533" t="s">
        <v>80</v>
      </c>
      <c r="T1533" t="s">
        <v>81</v>
      </c>
      <c r="U1533">
        <v>0</v>
      </c>
      <c r="V1533" t="s">
        <v>31</v>
      </c>
      <c r="W1533">
        <f>excelsalesdata[[#This Row],[Quantity]]*excelsalesdata[[#This Row],[Unit_Price]]</f>
        <v>69000</v>
      </c>
      <c r="X1533">
        <f>excelsalesdata[[#This Row],[Gross_sales]]*excelsalesdata[[#This Row],[Discount_%]]</f>
        <v>0</v>
      </c>
      <c r="Y1533">
        <f>excelsalesdata[[#This Row],[Gross_sales]]-excelsalesdata[[#This Row],[Discount_amt]]</f>
        <v>69000</v>
      </c>
      <c r="Z1533" s="4">
        <f>excelsalesdata[[#This Row],[Net_sales]]-excelsalesdata[[#This Row],[Cost]]</f>
        <v>53250</v>
      </c>
      <c r="AA1533" s="5">
        <f>excelsalesdata[[#This Row],[Profit]]/excelsalesdata[[#This Row],[Net_sales]]</f>
        <v>0.77173913043478259</v>
      </c>
      <c r="AB1533" s="4">
        <f>YEAR(excelsalesdata[[#This Row],[Order_Date]])</f>
        <v>2029</v>
      </c>
      <c r="AC1533" s="4" t="str">
        <f>TEXT(excelsalesdata[[#This Row],[Order_Date]],"mmm")</f>
        <v>Jun</v>
      </c>
      <c r="AD1533" s="4" t="str">
        <f>"Q"&amp;ROUNDUP(MONTH(excelsalesdata[[#This Row],[Order_Date]])/3,0)</f>
        <v>Q2</v>
      </c>
    </row>
    <row r="1534" spans="1:30" x14ac:dyDescent="0.35">
      <c r="A1534" t="s">
        <v>2363</v>
      </c>
      <c r="B1534" s="3">
        <v>47292</v>
      </c>
      <c r="C1534" t="s">
        <v>2150</v>
      </c>
      <c r="D1534" t="s">
        <v>352</v>
      </c>
      <c r="E1534" t="str">
        <f>TRIM(excelsalesdata[[#This Row],[Customer_Name]])</f>
        <v>Meera Mehta</v>
      </c>
      <c r="F1534" t="s">
        <v>44</v>
      </c>
      <c r="G1534">
        <v>33</v>
      </c>
      <c r="H1534" t="s">
        <v>109</v>
      </c>
      <c r="I1534" t="str">
        <f>TRIM(excelsalesdata[[#This Row],[City]])</f>
        <v>Mysuru</v>
      </c>
      <c r="J1534" t="s">
        <v>53</v>
      </c>
      <c r="K1534" t="s">
        <v>47</v>
      </c>
      <c r="L1534" t="s">
        <v>93</v>
      </c>
      <c r="M1534" t="s">
        <v>718</v>
      </c>
      <c r="N1534" t="s">
        <v>718</v>
      </c>
      <c r="O1534">
        <v>3</v>
      </c>
      <c r="P1534">
        <v>1730</v>
      </c>
      <c r="Q1534">
        <v>0</v>
      </c>
      <c r="R1534">
        <v>900</v>
      </c>
      <c r="S1534" t="s">
        <v>80</v>
      </c>
      <c r="T1534" t="s">
        <v>30</v>
      </c>
      <c r="U1534">
        <v>6</v>
      </c>
      <c r="V1534" t="s">
        <v>31</v>
      </c>
      <c r="W1534">
        <f>excelsalesdata[[#This Row],[Quantity]]*excelsalesdata[[#This Row],[Unit_Price]]</f>
        <v>5190</v>
      </c>
      <c r="X1534">
        <f>excelsalesdata[[#This Row],[Gross_sales]]*excelsalesdata[[#This Row],[Discount_%]]</f>
        <v>0</v>
      </c>
      <c r="Y1534">
        <f>excelsalesdata[[#This Row],[Gross_sales]]-excelsalesdata[[#This Row],[Discount_amt]]</f>
        <v>5190</v>
      </c>
      <c r="Z1534" s="4">
        <f>excelsalesdata[[#This Row],[Net_sales]]-excelsalesdata[[#This Row],[Cost]]</f>
        <v>4290</v>
      </c>
      <c r="AA1534" s="5">
        <f>excelsalesdata[[#This Row],[Profit]]/excelsalesdata[[#This Row],[Net_sales]]</f>
        <v>0.82658959537572252</v>
      </c>
      <c r="AB1534" s="4">
        <f>YEAR(excelsalesdata[[#This Row],[Order_Date]])</f>
        <v>2029</v>
      </c>
      <c r="AC1534" s="4" t="str">
        <f>TEXT(excelsalesdata[[#This Row],[Order_Date]],"mmm")</f>
        <v>Jun</v>
      </c>
      <c r="AD1534" s="4" t="str">
        <f>"Q"&amp;ROUNDUP(MONTH(excelsalesdata[[#This Row],[Order_Date]])/3,0)</f>
        <v>Q2</v>
      </c>
    </row>
    <row r="1535" spans="1:30" x14ac:dyDescent="0.35">
      <c r="A1535" t="s">
        <v>2364</v>
      </c>
      <c r="B1535" s="3">
        <v>47293</v>
      </c>
      <c r="C1535" t="s">
        <v>870</v>
      </c>
      <c r="D1535" t="s">
        <v>426</v>
      </c>
      <c r="E1535" t="str">
        <f>TRIM(excelsalesdata[[#This Row],[Customer_Name]])</f>
        <v>Kavya Verma</v>
      </c>
      <c r="F1535" t="s">
        <v>23</v>
      </c>
      <c r="G1535">
        <v>60</v>
      </c>
      <c r="H1535" t="s">
        <v>114</v>
      </c>
      <c r="I1535" t="str">
        <f>TRIM(excelsalesdata[[#This Row],[City]])</f>
        <v>Hyderabad</v>
      </c>
      <c r="J1535" t="s">
        <v>115</v>
      </c>
      <c r="K1535" t="s">
        <v>47</v>
      </c>
      <c r="L1535" t="s">
        <v>38</v>
      </c>
      <c r="M1535" t="s">
        <v>73</v>
      </c>
      <c r="N1535" t="s">
        <v>73</v>
      </c>
      <c r="O1535">
        <v>5</v>
      </c>
      <c r="P1535">
        <v>5020</v>
      </c>
      <c r="Q1535">
        <v>0.2</v>
      </c>
      <c r="R1535">
        <v>3090</v>
      </c>
      <c r="S1535" t="s">
        <v>105</v>
      </c>
      <c r="T1535" t="s">
        <v>81</v>
      </c>
      <c r="U1535">
        <v>0</v>
      </c>
      <c r="V1535" t="s">
        <v>40</v>
      </c>
      <c r="W1535">
        <f>excelsalesdata[[#This Row],[Quantity]]*excelsalesdata[[#This Row],[Unit_Price]]</f>
        <v>25100</v>
      </c>
      <c r="X1535">
        <f>excelsalesdata[[#This Row],[Gross_sales]]*excelsalesdata[[#This Row],[Discount_%]]</f>
        <v>5020</v>
      </c>
      <c r="Y1535">
        <f>excelsalesdata[[#This Row],[Gross_sales]]-excelsalesdata[[#This Row],[Discount_amt]]</f>
        <v>20080</v>
      </c>
      <c r="Z1535" s="4">
        <f>excelsalesdata[[#This Row],[Net_sales]]-excelsalesdata[[#This Row],[Cost]]</f>
        <v>16990</v>
      </c>
      <c r="AA1535" s="5">
        <f>excelsalesdata[[#This Row],[Profit]]/excelsalesdata[[#This Row],[Net_sales]]</f>
        <v>0.8461155378486056</v>
      </c>
      <c r="AB1535" s="4">
        <f>YEAR(excelsalesdata[[#This Row],[Order_Date]])</f>
        <v>2029</v>
      </c>
      <c r="AC1535" s="4" t="str">
        <f>TEXT(excelsalesdata[[#This Row],[Order_Date]],"mmm")</f>
        <v>Jun</v>
      </c>
      <c r="AD1535" s="4" t="str">
        <f>"Q"&amp;ROUNDUP(MONTH(excelsalesdata[[#This Row],[Order_Date]])/3,0)</f>
        <v>Q2</v>
      </c>
    </row>
    <row r="1536" spans="1:30" x14ac:dyDescent="0.35">
      <c r="A1536" t="s">
        <v>2365</v>
      </c>
      <c r="B1536" s="3">
        <v>47294</v>
      </c>
      <c r="C1536" t="s">
        <v>1556</v>
      </c>
      <c r="D1536" t="s">
        <v>211</v>
      </c>
      <c r="E1536" t="str">
        <f>TRIM(excelsalesdata[[#This Row],[Customer_Name]])</f>
        <v>Aarav Iyer</v>
      </c>
      <c r="F1536" t="s">
        <v>44</v>
      </c>
      <c r="G1536">
        <v>53</v>
      </c>
      <c r="H1536" t="s">
        <v>71</v>
      </c>
      <c r="I1536" t="str">
        <f>TRIM(excelsalesdata[[#This Row],[City]])</f>
        <v>Bhubaneswar</v>
      </c>
      <c r="J1536" t="s">
        <v>72</v>
      </c>
      <c r="K1536" t="s">
        <v>37</v>
      </c>
      <c r="L1536" t="s">
        <v>54</v>
      </c>
      <c r="M1536" t="s">
        <v>62</v>
      </c>
      <c r="N1536" t="s">
        <v>62</v>
      </c>
      <c r="O1536">
        <v>2</v>
      </c>
      <c r="P1536">
        <v>20490</v>
      </c>
      <c r="Q1536">
        <v>0.05</v>
      </c>
      <c r="R1536">
        <v>14750</v>
      </c>
      <c r="S1536" t="s">
        <v>151</v>
      </c>
      <c r="T1536" t="s">
        <v>30</v>
      </c>
      <c r="U1536">
        <v>1</v>
      </c>
      <c r="V1536" t="s">
        <v>31</v>
      </c>
      <c r="W1536">
        <f>excelsalesdata[[#This Row],[Quantity]]*excelsalesdata[[#This Row],[Unit_Price]]</f>
        <v>40980</v>
      </c>
      <c r="X1536">
        <f>excelsalesdata[[#This Row],[Gross_sales]]*excelsalesdata[[#This Row],[Discount_%]]</f>
        <v>2049</v>
      </c>
      <c r="Y1536">
        <f>excelsalesdata[[#This Row],[Gross_sales]]-excelsalesdata[[#This Row],[Discount_amt]]</f>
        <v>38931</v>
      </c>
      <c r="Z1536" s="4">
        <f>excelsalesdata[[#This Row],[Net_sales]]-excelsalesdata[[#This Row],[Cost]]</f>
        <v>24181</v>
      </c>
      <c r="AA1536" s="5">
        <f>excelsalesdata[[#This Row],[Profit]]/excelsalesdata[[#This Row],[Net_sales]]</f>
        <v>0.62112455369756747</v>
      </c>
      <c r="AB1536" s="4">
        <f>YEAR(excelsalesdata[[#This Row],[Order_Date]])</f>
        <v>2029</v>
      </c>
      <c r="AC1536" s="4" t="str">
        <f>TEXT(excelsalesdata[[#This Row],[Order_Date]],"mmm")</f>
        <v>Jun</v>
      </c>
      <c r="AD1536" s="4" t="str">
        <f>"Q"&amp;ROUNDUP(MONTH(excelsalesdata[[#This Row],[Order_Date]])/3,0)</f>
        <v>Q2</v>
      </c>
    </row>
    <row r="1537" spans="1:30" x14ac:dyDescent="0.35">
      <c r="A1537" t="s">
        <v>2366</v>
      </c>
      <c r="B1537" s="3">
        <v>47295</v>
      </c>
      <c r="C1537" t="s">
        <v>2367</v>
      </c>
      <c r="D1537" t="s">
        <v>485</v>
      </c>
      <c r="E1537" t="str">
        <f>TRIM(excelsalesdata[[#This Row],[Customer_Name]])</f>
        <v>Ishita Mehta</v>
      </c>
      <c r="F1537" t="s">
        <v>23</v>
      </c>
      <c r="G1537">
        <v>43</v>
      </c>
      <c r="H1537" t="s">
        <v>168</v>
      </c>
      <c r="I1537" t="str">
        <f>TRIM(excelsalesdata[[#This Row],[City]])</f>
        <v>Delhi</v>
      </c>
      <c r="J1537" t="s">
        <v>168</v>
      </c>
      <c r="K1537" t="s">
        <v>61</v>
      </c>
      <c r="L1537" t="s">
        <v>103</v>
      </c>
      <c r="M1537" t="s">
        <v>178</v>
      </c>
      <c r="N1537" t="s">
        <v>178</v>
      </c>
      <c r="O1537">
        <v>1</v>
      </c>
      <c r="P1537">
        <v>1870</v>
      </c>
      <c r="Q1537">
        <v>0.15</v>
      </c>
      <c r="R1537">
        <v>940</v>
      </c>
      <c r="S1537" t="s">
        <v>105</v>
      </c>
      <c r="T1537" t="s">
        <v>81</v>
      </c>
      <c r="U1537">
        <v>0</v>
      </c>
      <c r="V1537" t="s">
        <v>40</v>
      </c>
      <c r="W1537">
        <f>excelsalesdata[[#This Row],[Quantity]]*excelsalesdata[[#This Row],[Unit_Price]]</f>
        <v>1870</v>
      </c>
      <c r="X1537">
        <f>excelsalesdata[[#This Row],[Gross_sales]]*excelsalesdata[[#This Row],[Discount_%]]</f>
        <v>280.5</v>
      </c>
      <c r="Y1537">
        <f>excelsalesdata[[#This Row],[Gross_sales]]-excelsalesdata[[#This Row],[Discount_amt]]</f>
        <v>1589.5</v>
      </c>
      <c r="Z1537" s="4">
        <f>excelsalesdata[[#This Row],[Net_sales]]-excelsalesdata[[#This Row],[Cost]]</f>
        <v>649.5</v>
      </c>
      <c r="AA1537" s="5">
        <f>excelsalesdata[[#This Row],[Profit]]/excelsalesdata[[#This Row],[Net_sales]]</f>
        <v>0.40861906259830133</v>
      </c>
      <c r="AB1537" s="4">
        <f>YEAR(excelsalesdata[[#This Row],[Order_Date]])</f>
        <v>2029</v>
      </c>
      <c r="AC1537" s="4" t="str">
        <f>TEXT(excelsalesdata[[#This Row],[Order_Date]],"mmm")</f>
        <v>Jun</v>
      </c>
      <c r="AD1537" s="4" t="str">
        <f>"Q"&amp;ROUNDUP(MONTH(excelsalesdata[[#This Row],[Order_Date]])/3,0)</f>
        <v>Q2</v>
      </c>
    </row>
    <row r="1538" spans="1:30" x14ac:dyDescent="0.35">
      <c r="A1538" t="s">
        <v>2368</v>
      </c>
      <c r="B1538" s="3">
        <v>47296</v>
      </c>
      <c r="C1538" t="s">
        <v>473</v>
      </c>
      <c r="D1538" t="s">
        <v>276</v>
      </c>
      <c r="E1538" t="str">
        <f>TRIM(excelsalesdata[[#This Row],[Customer_Name]])</f>
        <v>Aarav Bhat</v>
      </c>
      <c r="F1538" t="s">
        <v>23</v>
      </c>
      <c r="G1538">
        <v>31</v>
      </c>
      <c r="H1538" t="s">
        <v>168</v>
      </c>
      <c r="I1538" t="str">
        <f>TRIM(excelsalesdata[[#This Row],[City]])</f>
        <v>Delhi</v>
      </c>
      <c r="J1538" t="s">
        <v>168</v>
      </c>
      <c r="K1538" t="s">
        <v>61</v>
      </c>
      <c r="L1538" t="s">
        <v>54</v>
      </c>
      <c r="M1538" t="s">
        <v>157</v>
      </c>
      <c r="N1538" t="s">
        <v>157</v>
      </c>
      <c r="O1538">
        <v>1</v>
      </c>
      <c r="P1538">
        <v>55810</v>
      </c>
      <c r="Q1538">
        <v>0.05</v>
      </c>
      <c r="R1538">
        <v>43700</v>
      </c>
      <c r="S1538" t="s">
        <v>80</v>
      </c>
      <c r="T1538" t="s">
        <v>30</v>
      </c>
      <c r="U1538">
        <v>4</v>
      </c>
      <c r="V1538" t="s">
        <v>31</v>
      </c>
      <c r="W1538">
        <f>excelsalesdata[[#This Row],[Quantity]]*excelsalesdata[[#This Row],[Unit_Price]]</f>
        <v>55810</v>
      </c>
      <c r="X1538">
        <f>excelsalesdata[[#This Row],[Gross_sales]]*excelsalesdata[[#This Row],[Discount_%]]</f>
        <v>2790.5</v>
      </c>
      <c r="Y1538">
        <f>excelsalesdata[[#This Row],[Gross_sales]]-excelsalesdata[[#This Row],[Discount_amt]]</f>
        <v>53019.5</v>
      </c>
      <c r="Z1538" s="4">
        <f>excelsalesdata[[#This Row],[Net_sales]]-excelsalesdata[[#This Row],[Cost]]</f>
        <v>9319.5</v>
      </c>
      <c r="AA1538" s="5">
        <f>excelsalesdata[[#This Row],[Profit]]/excelsalesdata[[#This Row],[Net_sales]]</f>
        <v>0.17577495072567639</v>
      </c>
      <c r="AB1538" s="4">
        <f>YEAR(excelsalesdata[[#This Row],[Order_Date]])</f>
        <v>2029</v>
      </c>
      <c r="AC1538" s="4" t="str">
        <f>TEXT(excelsalesdata[[#This Row],[Order_Date]],"mmm")</f>
        <v>Jun</v>
      </c>
      <c r="AD1538" s="4" t="str">
        <f>"Q"&amp;ROUNDUP(MONTH(excelsalesdata[[#This Row],[Order_Date]])/3,0)</f>
        <v>Q2</v>
      </c>
    </row>
    <row r="1539" spans="1:30" x14ac:dyDescent="0.35">
      <c r="A1539" t="s">
        <v>2369</v>
      </c>
      <c r="B1539" s="3">
        <v>47297</v>
      </c>
      <c r="C1539" t="s">
        <v>346</v>
      </c>
      <c r="D1539" t="s">
        <v>395</v>
      </c>
      <c r="E1539" t="str">
        <f>TRIM(excelsalesdata[[#This Row],[Customer_Name]])</f>
        <v>Meera Gupta</v>
      </c>
      <c r="F1539" t="s">
        <v>44</v>
      </c>
      <c r="G1539">
        <v>20</v>
      </c>
      <c r="H1539" t="s">
        <v>60</v>
      </c>
      <c r="I1539" t="str">
        <f>TRIM(excelsalesdata[[#This Row],[City]])</f>
        <v>Chandigarh</v>
      </c>
      <c r="J1539" t="s">
        <v>60</v>
      </c>
      <c r="K1539" t="s">
        <v>61</v>
      </c>
      <c r="L1539" t="s">
        <v>27</v>
      </c>
      <c r="M1539" t="s">
        <v>123</v>
      </c>
      <c r="N1539" t="s">
        <v>123</v>
      </c>
      <c r="O1539">
        <v>2</v>
      </c>
      <c r="P1539">
        <v>2930</v>
      </c>
      <c r="Q1539">
        <v>0.15</v>
      </c>
      <c r="R1539">
        <v>1600</v>
      </c>
      <c r="S1539" t="s">
        <v>151</v>
      </c>
      <c r="T1539" t="s">
        <v>74</v>
      </c>
      <c r="U1539">
        <v>2</v>
      </c>
      <c r="V1539" t="s">
        <v>40</v>
      </c>
      <c r="W1539">
        <f>excelsalesdata[[#This Row],[Quantity]]*excelsalesdata[[#This Row],[Unit_Price]]</f>
        <v>5860</v>
      </c>
      <c r="X1539">
        <f>excelsalesdata[[#This Row],[Gross_sales]]*excelsalesdata[[#This Row],[Discount_%]]</f>
        <v>879</v>
      </c>
      <c r="Y1539">
        <f>excelsalesdata[[#This Row],[Gross_sales]]-excelsalesdata[[#This Row],[Discount_amt]]</f>
        <v>4981</v>
      </c>
      <c r="Z1539" s="4">
        <f>excelsalesdata[[#This Row],[Net_sales]]-excelsalesdata[[#This Row],[Cost]]</f>
        <v>3381</v>
      </c>
      <c r="AA1539" s="5">
        <f>excelsalesdata[[#This Row],[Profit]]/excelsalesdata[[#This Row],[Net_sales]]</f>
        <v>0.67877936157398111</v>
      </c>
      <c r="AB1539" s="4">
        <f>YEAR(excelsalesdata[[#This Row],[Order_Date]])</f>
        <v>2029</v>
      </c>
      <c r="AC1539" s="4" t="str">
        <f>TEXT(excelsalesdata[[#This Row],[Order_Date]],"mmm")</f>
        <v>Jun</v>
      </c>
      <c r="AD1539" s="4" t="str">
        <f>"Q"&amp;ROUNDUP(MONTH(excelsalesdata[[#This Row],[Order_Date]])/3,0)</f>
        <v>Q2</v>
      </c>
    </row>
    <row r="1540" spans="1:30" x14ac:dyDescent="0.35">
      <c r="A1540" t="s">
        <v>2370</v>
      </c>
      <c r="B1540" s="3">
        <v>47298</v>
      </c>
      <c r="C1540" t="s">
        <v>290</v>
      </c>
      <c r="D1540" t="s">
        <v>984</v>
      </c>
      <c r="E1540" t="str">
        <f>TRIM(excelsalesdata[[#This Row],[Customer_Name]])</f>
        <v>Ananya Singh</v>
      </c>
      <c r="F1540" t="s">
        <v>44</v>
      </c>
      <c r="G1540">
        <v>44</v>
      </c>
      <c r="H1540" t="s">
        <v>168</v>
      </c>
      <c r="I1540" t="str">
        <f>TRIM(excelsalesdata[[#This Row],[City]])</f>
        <v>Delhi</v>
      </c>
      <c r="J1540" t="s">
        <v>168</v>
      </c>
      <c r="K1540" t="s">
        <v>61</v>
      </c>
      <c r="L1540" t="s">
        <v>103</v>
      </c>
      <c r="M1540" t="s">
        <v>347</v>
      </c>
      <c r="N1540" t="s">
        <v>347</v>
      </c>
      <c r="O1540">
        <v>3</v>
      </c>
      <c r="P1540">
        <v>12030</v>
      </c>
      <c r="Q1540">
        <v>0.1</v>
      </c>
      <c r="R1540">
        <v>8500</v>
      </c>
      <c r="S1540" t="s">
        <v>80</v>
      </c>
      <c r="T1540" t="s">
        <v>30</v>
      </c>
      <c r="U1540">
        <v>2</v>
      </c>
      <c r="V1540" t="s">
        <v>40</v>
      </c>
      <c r="W1540">
        <f>excelsalesdata[[#This Row],[Quantity]]*excelsalesdata[[#This Row],[Unit_Price]]</f>
        <v>36090</v>
      </c>
      <c r="X1540">
        <f>excelsalesdata[[#This Row],[Gross_sales]]*excelsalesdata[[#This Row],[Discount_%]]</f>
        <v>3609</v>
      </c>
      <c r="Y1540">
        <f>excelsalesdata[[#This Row],[Gross_sales]]-excelsalesdata[[#This Row],[Discount_amt]]</f>
        <v>32481</v>
      </c>
      <c r="Z1540" s="4">
        <f>excelsalesdata[[#This Row],[Net_sales]]-excelsalesdata[[#This Row],[Cost]]</f>
        <v>23981</v>
      </c>
      <c r="AA1540" s="5">
        <f>excelsalesdata[[#This Row],[Profit]]/excelsalesdata[[#This Row],[Net_sales]]</f>
        <v>0.73830854961362025</v>
      </c>
      <c r="AB1540" s="4">
        <f>YEAR(excelsalesdata[[#This Row],[Order_Date]])</f>
        <v>2029</v>
      </c>
      <c r="AC1540" s="4" t="str">
        <f>TEXT(excelsalesdata[[#This Row],[Order_Date]],"mmm")</f>
        <v>Jun</v>
      </c>
      <c r="AD1540" s="4" t="str">
        <f>"Q"&amp;ROUNDUP(MONTH(excelsalesdata[[#This Row],[Order_Date]])/3,0)</f>
        <v>Q2</v>
      </c>
    </row>
    <row r="1541" spans="1:30" x14ac:dyDescent="0.35">
      <c r="A1541" t="s">
        <v>2371</v>
      </c>
      <c r="B1541" s="3">
        <v>47299</v>
      </c>
      <c r="C1541" t="s">
        <v>1053</v>
      </c>
      <c r="D1541" t="s">
        <v>250</v>
      </c>
      <c r="E1541" t="str">
        <f>TRIM(excelsalesdata[[#This Row],[Customer_Name]])</f>
        <v>Rohan Singh</v>
      </c>
      <c r="F1541" t="s">
        <v>44</v>
      </c>
      <c r="G1541">
        <v>21</v>
      </c>
      <c r="H1541" t="s">
        <v>71</v>
      </c>
      <c r="I1541" t="str">
        <f>TRIM(excelsalesdata[[#This Row],[City]])</f>
        <v>Bhubaneswar</v>
      </c>
      <c r="J1541" t="s">
        <v>72</v>
      </c>
      <c r="K1541" t="s">
        <v>37</v>
      </c>
      <c r="L1541" t="s">
        <v>103</v>
      </c>
      <c r="M1541" t="s">
        <v>238</v>
      </c>
      <c r="N1541" t="s">
        <v>238</v>
      </c>
      <c r="O1541">
        <v>2</v>
      </c>
      <c r="P1541">
        <v>4480</v>
      </c>
      <c r="Q1541">
        <v>0.15</v>
      </c>
      <c r="R1541">
        <v>2620</v>
      </c>
      <c r="S1541" t="s">
        <v>29</v>
      </c>
      <c r="T1541" t="s">
        <v>30</v>
      </c>
      <c r="U1541">
        <v>3</v>
      </c>
      <c r="V1541" t="s">
        <v>40</v>
      </c>
      <c r="W1541">
        <f>excelsalesdata[[#This Row],[Quantity]]*excelsalesdata[[#This Row],[Unit_Price]]</f>
        <v>8960</v>
      </c>
      <c r="X1541">
        <f>excelsalesdata[[#This Row],[Gross_sales]]*excelsalesdata[[#This Row],[Discount_%]]</f>
        <v>1344</v>
      </c>
      <c r="Y1541">
        <f>excelsalesdata[[#This Row],[Gross_sales]]-excelsalesdata[[#This Row],[Discount_amt]]</f>
        <v>7616</v>
      </c>
      <c r="Z1541" s="4">
        <f>excelsalesdata[[#This Row],[Net_sales]]-excelsalesdata[[#This Row],[Cost]]</f>
        <v>4996</v>
      </c>
      <c r="AA1541" s="5">
        <f>excelsalesdata[[#This Row],[Profit]]/excelsalesdata[[#This Row],[Net_sales]]</f>
        <v>0.65598739495798319</v>
      </c>
      <c r="AB1541" s="4">
        <f>YEAR(excelsalesdata[[#This Row],[Order_Date]])</f>
        <v>2029</v>
      </c>
      <c r="AC1541" s="4" t="str">
        <f>TEXT(excelsalesdata[[#This Row],[Order_Date]],"mmm")</f>
        <v>Jun</v>
      </c>
      <c r="AD1541" s="4" t="str">
        <f>"Q"&amp;ROUNDUP(MONTH(excelsalesdata[[#This Row],[Order_Date]])/3,0)</f>
        <v>Q2</v>
      </c>
    </row>
    <row r="1542" spans="1:30" x14ac:dyDescent="0.35">
      <c r="A1542" t="s">
        <v>2372</v>
      </c>
      <c r="B1542" s="3">
        <v>47300</v>
      </c>
      <c r="C1542" t="s">
        <v>1270</v>
      </c>
      <c r="D1542" t="s">
        <v>540</v>
      </c>
      <c r="E1542" t="str">
        <f>TRIM(excelsalesdata[[#This Row],[Customer_Name]])</f>
        <v>Priya Kumar</v>
      </c>
      <c r="F1542" t="s">
        <v>44</v>
      </c>
      <c r="G1542">
        <v>39</v>
      </c>
      <c r="H1542" t="s">
        <v>109</v>
      </c>
      <c r="I1542" t="str">
        <f>TRIM(excelsalesdata[[#This Row],[City]])</f>
        <v>Mysuru</v>
      </c>
      <c r="J1542" t="s">
        <v>53</v>
      </c>
      <c r="K1542" t="s">
        <v>47</v>
      </c>
      <c r="L1542" t="s">
        <v>103</v>
      </c>
      <c r="M1542" t="s">
        <v>238</v>
      </c>
      <c r="N1542" t="s">
        <v>238</v>
      </c>
      <c r="O1542">
        <v>1</v>
      </c>
      <c r="P1542">
        <v>4250</v>
      </c>
      <c r="Q1542">
        <v>0.05</v>
      </c>
      <c r="R1542">
        <v>2630</v>
      </c>
      <c r="S1542" t="s">
        <v>105</v>
      </c>
      <c r="T1542" t="s">
        <v>30</v>
      </c>
      <c r="U1542">
        <v>2</v>
      </c>
      <c r="V1542" t="s">
        <v>40</v>
      </c>
      <c r="W1542">
        <f>excelsalesdata[[#This Row],[Quantity]]*excelsalesdata[[#This Row],[Unit_Price]]</f>
        <v>4250</v>
      </c>
      <c r="X1542">
        <f>excelsalesdata[[#This Row],[Gross_sales]]*excelsalesdata[[#This Row],[Discount_%]]</f>
        <v>212.5</v>
      </c>
      <c r="Y1542">
        <f>excelsalesdata[[#This Row],[Gross_sales]]-excelsalesdata[[#This Row],[Discount_amt]]</f>
        <v>4037.5</v>
      </c>
      <c r="Z1542" s="4">
        <f>excelsalesdata[[#This Row],[Net_sales]]-excelsalesdata[[#This Row],[Cost]]</f>
        <v>1407.5</v>
      </c>
      <c r="AA1542" s="5">
        <f>excelsalesdata[[#This Row],[Profit]]/excelsalesdata[[#This Row],[Net_sales]]</f>
        <v>0.34860681114551084</v>
      </c>
      <c r="AB1542" s="4">
        <f>YEAR(excelsalesdata[[#This Row],[Order_Date]])</f>
        <v>2029</v>
      </c>
      <c r="AC1542" s="4" t="str">
        <f>TEXT(excelsalesdata[[#This Row],[Order_Date]],"mmm")</f>
        <v>Jul</v>
      </c>
      <c r="AD1542" s="4" t="str">
        <f>"Q"&amp;ROUNDUP(MONTH(excelsalesdata[[#This Row],[Order_Date]])/3,0)</f>
        <v>Q3</v>
      </c>
    </row>
    <row r="1543" spans="1:30" x14ac:dyDescent="0.35">
      <c r="A1543" t="s">
        <v>2373</v>
      </c>
      <c r="B1543" s="3">
        <v>47301</v>
      </c>
      <c r="C1543" t="s">
        <v>743</v>
      </c>
      <c r="D1543" t="s">
        <v>270</v>
      </c>
      <c r="E1543" t="str">
        <f>TRIM(excelsalesdata[[#This Row],[Customer_Name]])</f>
        <v>Ananya Das</v>
      </c>
      <c r="F1543" t="s">
        <v>23</v>
      </c>
      <c r="G1543">
        <v>30</v>
      </c>
      <c r="H1543" t="s">
        <v>52</v>
      </c>
      <c r="I1543" t="str">
        <f>TRIM(excelsalesdata[[#This Row],[City]])</f>
        <v>Bengaluru</v>
      </c>
      <c r="J1543" t="s">
        <v>53</v>
      </c>
      <c r="K1543" t="s">
        <v>47</v>
      </c>
      <c r="L1543" t="s">
        <v>85</v>
      </c>
      <c r="M1543" t="s">
        <v>202</v>
      </c>
      <c r="N1543" t="s">
        <v>202</v>
      </c>
      <c r="O1543">
        <v>4</v>
      </c>
      <c r="P1543">
        <v>960</v>
      </c>
      <c r="Q1543">
        <v>0.2</v>
      </c>
      <c r="R1543">
        <v>410</v>
      </c>
      <c r="S1543" t="s">
        <v>67</v>
      </c>
      <c r="T1543" t="s">
        <v>30</v>
      </c>
      <c r="U1543">
        <v>2</v>
      </c>
      <c r="V1543" t="s">
        <v>31</v>
      </c>
      <c r="W1543">
        <f>excelsalesdata[[#This Row],[Quantity]]*excelsalesdata[[#This Row],[Unit_Price]]</f>
        <v>3840</v>
      </c>
      <c r="X1543">
        <f>excelsalesdata[[#This Row],[Gross_sales]]*excelsalesdata[[#This Row],[Discount_%]]</f>
        <v>768</v>
      </c>
      <c r="Y1543">
        <f>excelsalesdata[[#This Row],[Gross_sales]]-excelsalesdata[[#This Row],[Discount_amt]]</f>
        <v>3072</v>
      </c>
      <c r="Z1543" s="4">
        <f>excelsalesdata[[#This Row],[Net_sales]]-excelsalesdata[[#This Row],[Cost]]</f>
        <v>2662</v>
      </c>
      <c r="AA1543" s="5">
        <f>excelsalesdata[[#This Row],[Profit]]/excelsalesdata[[#This Row],[Net_sales]]</f>
        <v>0.86653645833333337</v>
      </c>
      <c r="AB1543" s="4">
        <f>YEAR(excelsalesdata[[#This Row],[Order_Date]])</f>
        <v>2029</v>
      </c>
      <c r="AC1543" s="4" t="str">
        <f>TEXT(excelsalesdata[[#This Row],[Order_Date]],"mmm")</f>
        <v>Jul</v>
      </c>
      <c r="AD1543" s="4" t="str">
        <f>"Q"&amp;ROUNDUP(MONTH(excelsalesdata[[#This Row],[Order_Date]])/3,0)</f>
        <v>Q3</v>
      </c>
    </row>
    <row r="1544" spans="1:30" x14ac:dyDescent="0.35">
      <c r="A1544" t="s">
        <v>2374</v>
      </c>
      <c r="B1544" s="3">
        <v>47302</v>
      </c>
      <c r="C1544" t="s">
        <v>1673</v>
      </c>
      <c r="D1544" t="s">
        <v>97</v>
      </c>
      <c r="E1544" t="str">
        <f>TRIM(excelsalesdata[[#This Row],[Customer_Name]])</f>
        <v>Aditya Shah</v>
      </c>
      <c r="F1544" t="s">
        <v>23</v>
      </c>
      <c r="G1544">
        <v>37</v>
      </c>
      <c r="H1544" t="s">
        <v>155</v>
      </c>
      <c r="I1544" t="str">
        <f>TRIM(excelsalesdata[[#This Row],[City]])</f>
        <v>Chennai</v>
      </c>
      <c r="J1544" t="s">
        <v>156</v>
      </c>
      <c r="K1544" t="s">
        <v>47</v>
      </c>
      <c r="L1544" t="s">
        <v>103</v>
      </c>
      <c r="M1544" t="s">
        <v>312</v>
      </c>
      <c r="N1544" t="s">
        <v>312</v>
      </c>
      <c r="O1544">
        <v>1</v>
      </c>
      <c r="P1544">
        <v>6030</v>
      </c>
      <c r="Q1544">
        <v>0</v>
      </c>
      <c r="R1544">
        <v>4070</v>
      </c>
      <c r="S1544" t="s">
        <v>67</v>
      </c>
      <c r="T1544" t="s">
        <v>30</v>
      </c>
      <c r="U1544">
        <v>3</v>
      </c>
      <c r="V1544" t="s">
        <v>40</v>
      </c>
      <c r="W1544">
        <f>excelsalesdata[[#This Row],[Quantity]]*excelsalesdata[[#This Row],[Unit_Price]]</f>
        <v>6030</v>
      </c>
      <c r="X1544">
        <f>excelsalesdata[[#This Row],[Gross_sales]]*excelsalesdata[[#This Row],[Discount_%]]</f>
        <v>0</v>
      </c>
      <c r="Y1544">
        <f>excelsalesdata[[#This Row],[Gross_sales]]-excelsalesdata[[#This Row],[Discount_amt]]</f>
        <v>6030</v>
      </c>
      <c r="Z1544" s="4">
        <f>excelsalesdata[[#This Row],[Net_sales]]-excelsalesdata[[#This Row],[Cost]]</f>
        <v>1960</v>
      </c>
      <c r="AA1544" s="5">
        <f>excelsalesdata[[#This Row],[Profit]]/excelsalesdata[[#This Row],[Net_sales]]</f>
        <v>0.3250414593698176</v>
      </c>
      <c r="AB1544" s="4">
        <f>YEAR(excelsalesdata[[#This Row],[Order_Date]])</f>
        <v>2029</v>
      </c>
      <c r="AC1544" s="4" t="str">
        <f>TEXT(excelsalesdata[[#This Row],[Order_Date]],"mmm")</f>
        <v>Jul</v>
      </c>
      <c r="AD1544" s="4" t="str">
        <f>"Q"&amp;ROUNDUP(MONTH(excelsalesdata[[#This Row],[Order_Date]])/3,0)</f>
        <v>Q3</v>
      </c>
    </row>
    <row r="1545" spans="1:30" x14ac:dyDescent="0.35">
      <c r="A1545" t="s">
        <v>2375</v>
      </c>
      <c r="B1545" s="3">
        <v>47303</v>
      </c>
      <c r="C1545" t="s">
        <v>565</v>
      </c>
      <c r="D1545" t="s">
        <v>871</v>
      </c>
      <c r="E1545" t="str">
        <f>TRIM(excelsalesdata[[#This Row],[Customer_Name]])</f>
        <v>Rahul Iyer</v>
      </c>
      <c r="F1545" t="s">
        <v>23</v>
      </c>
      <c r="G1545">
        <v>46</v>
      </c>
      <c r="H1545" t="s">
        <v>133</v>
      </c>
      <c r="I1545" t="str">
        <f>TRIM(excelsalesdata[[#This Row],[City]])</f>
        <v>Jaipur</v>
      </c>
      <c r="J1545" t="s">
        <v>134</v>
      </c>
      <c r="K1545" t="s">
        <v>61</v>
      </c>
      <c r="L1545" t="s">
        <v>54</v>
      </c>
      <c r="M1545" t="s">
        <v>129</v>
      </c>
      <c r="N1545" t="s">
        <v>129</v>
      </c>
      <c r="O1545">
        <v>2</v>
      </c>
      <c r="P1545">
        <v>16620</v>
      </c>
      <c r="Q1545">
        <v>0.05</v>
      </c>
      <c r="R1545">
        <v>12800</v>
      </c>
      <c r="S1545" t="s">
        <v>151</v>
      </c>
      <c r="T1545" t="s">
        <v>99</v>
      </c>
      <c r="U1545">
        <v>2</v>
      </c>
      <c r="V1545" t="s">
        <v>31</v>
      </c>
      <c r="W1545">
        <f>excelsalesdata[[#This Row],[Quantity]]*excelsalesdata[[#This Row],[Unit_Price]]</f>
        <v>33240</v>
      </c>
      <c r="X1545">
        <f>excelsalesdata[[#This Row],[Gross_sales]]*excelsalesdata[[#This Row],[Discount_%]]</f>
        <v>1662</v>
      </c>
      <c r="Y1545">
        <f>excelsalesdata[[#This Row],[Gross_sales]]-excelsalesdata[[#This Row],[Discount_amt]]</f>
        <v>31578</v>
      </c>
      <c r="Z1545" s="4">
        <f>excelsalesdata[[#This Row],[Net_sales]]-excelsalesdata[[#This Row],[Cost]]</f>
        <v>18778</v>
      </c>
      <c r="AA1545" s="5">
        <f>excelsalesdata[[#This Row],[Profit]]/excelsalesdata[[#This Row],[Net_sales]]</f>
        <v>0.59465450630185568</v>
      </c>
      <c r="AB1545" s="4">
        <f>YEAR(excelsalesdata[[#This Row],[Order_Date]])</f>
        <v>2029</v>
      </c>
      <c r="AC1545" s="4" t="str">
        <f>TEXT(excelsalesdata[[#This Row],[Order_Date]],"mmm")</f>
        <v>Jul</v>
      </c>
      <c r="AD1545" s="4" t="str">
        <f>"Q"&amp;ROUNDUP(MONTH(excelsalesdata[[#This Row],[Order_Date]])/3,0)</f>
        <v>Q3</v>
      </c>
    </row>
    <row r="1546" spans="1:30" x14ac:dyDescent="0.35">
      <c r="A1546" t="s">
        <v>2376</v>
      </c>
      <c r="B1546" s="3">
        <v>47304</v>
      </c>
      <c r="C1546" t="s">
        <v>724</v>
      </c>
      <c r="D1546" t="s">
        <v>1051</v>
      </c>
      <c r="E1546" t="str">
        <f>TRIM(excelsalesdata[[#This Row],[Customer_Name]])</f>
        <v>Aarav Das</v>
      </c>
      <c r="F1546" t="s">
        <v>44</v>
      </c>
      <c r="G1546">
        <v>22</v>
      </c>
      <c r="H1546" t="s">
        <v>24</v>
      </c>
      <c r="I1546" t="str">
        <f>TRIM(excelsalesdata[[#This Row],[City]])</f>
        <v>Pune</v>
      </c>
      <c r="J1546" t="s">
        <v>25</v>
      </c>
      <c r="K1546" t="s">
        <v>26</v>
      </c>
      <c r="L1546" t="s">
        <v>103</v>
      </c>
      <c r="M1546" t="s">
        <v>238</v>
      </c>
      <c r="N1546" t="s">
        <v>238</v>
      </c>
      <c r="O1546">
        <v>2</v>
      </c>
      <c r="P1546">
        <v>4320</v>
      </c>
      <c r="Q1546">
        <v>0</v>
      </c>
      <c r="R1546">
        <v>2790</v>
      </c>
      <c r="S1546" t="s">
        <v>105</v>
      </c>
      <c r="T1546" t="s">
        <v>30</v>
      </c>
      <c r="U1546">
        <v>4</v>
      </c>
      <c r="V1546" t="s">
        <v>40</v>
      </c>
      <c r="W1546">
        <f>excelsalesdata[[#This Row],[Quantity]]*excelsalesdata[[#This Row],[Unit_Price]]</f>
        <v>8640</v>
      </c>
      <c r="X1546">
        <f>excelsalesdata[[#This Row],[Gross_sales]]*excelsalesdata[[#This Row],[Discount_%]]</f>
        <v>0</v>
      </c>
      <c r="Y1546">
        <f>excelsalesdata[[#This Row],[Gross_sales]]-excelsalesdata[[#This Row],[Discount_amt]]</f>
        <v>8640</v>
      </c>
      <c r="Z1546" s="4">
        <f>excelsalesdata[[#This Row],[Net_sales]]-excelsalesdata[[#This Row],[Cost]]</f>
        <v>5850</v>
      </c>
      <c r="AA1546" s="5">
        <f>excelsalesdata[[#This Row],[Profit]]/excelsalesdata[[#This Row],[Net_sales]]</f>
        <v>0.67708333333333337</v>
      </c>
      <c r="AB1546" s="4">
        <f>YEAR(excelsalesdata[[#This Row],[Order_Date]])</f>
        <v>2029</v>
      </c>
      <c r="AC1546" s="4" t="str">
        <f>TEXT(excelsalesdata[[#This Row],[Order_Date]],"mmm")</f>
        <v>Jul</v>
      </c>
      <c r="AD1546" s="4" t="str">
        <f>"Q"&amp;ROUNDUP(MONTH(excelsalesdata[[#This Row],[Order_Date]])/3,0)</f>
        <v>Q3</v>
      </c>
    </row>
    <row r="1547" spans="1:30" x14ac:dyDescent="0.35">
      <c r="A1547" t="s">
        <v>2377</v>
      </c>
      <c r="B1547" s="3">
        <v>47305</v>
      </c>
      <c r="C1547" t="s">
        <v>346</v>
      </c>
      <c r="D1547" t="s">
        <v>922</v>
      </c>
      <c r="E1547" t="str">
        <f>TRIM(excelsalesdata[[#This Row],[Customer_Name]])</f>
        <v>Arjun Kumar</v>
      </c>
      <c r="F1547" t="s">
        <v>44</v>
      </c>
      <c r="G1547">
        <v>44</v>
      </c>
      <c r="H1547" t="s">
        <v>168</v>
      </c>
      <c r="I1547" t="str">
        <f>TRIM(excelsalesdata[[#This Row],[City]])</f>
        <v>Delhi</v>
      </c>
      <c r="J1547" t="s">
        <v>168</v>
      </c>
      <c r="K1547" t="s">
        <v>61</v>
      </c>
      <c r="L1547" t="s">
        <v>54</v>
      </c>
      <c r="M1547" t="s">
        <v>129</v>
      </c>
      <c r="N1547" t="s">
        <v>129</v>
      </c>
      <c r="O1547">
        <v>2</v>
      </c>
      <c r="P1547">
        <v>17920</v>
      </c>
      <c r="Q1547">
        <v>0.15</v>
      </c>
      <c r="R1547">
        <v>13070</v>
      </c>
      <c r="S1547" t="s">
        <v>105</v>
      </c>
      <c r="T1547" t="s">
        <v>30</v>
      </c>
      <c r="U1547">
        <v>6</v>
      </c>
      <c r="V1547" t="s">
        <v>40</v>
      </c>
      <c r="W1547">
        <f>excelsalesdata[[#This Row],[Quantity]]*excelsalesdata[[#This Row],[Unit_Price]]</f>
        <v>35840</v>
      </c>
      <c r="X1547">
        <f>excelsalesdata[[#This Row],[Gross_sales]]*excelsalesdata[[#This Row],[Discount_%]]</f>
        <v>5376</v>
      </c>
      <c r="Y1547">
        <f>excelsalesdata[[#This Row],[Gross_sales]]-excelsalesdata[[#This Row],[Discount_amt]]</f>
        <v>30464</v>
      </c>
      <c r="Z1547" s="4">
        <f>excelsalesdata[[#This Row],[Net_sales]]-excelsalesdata[[#This Row],[Cost]]</f>
        <v>17394</v>
      </c>
      <c r="AA1547" s="5">
        <f>excelsalesdata[[#This Row],[Profit]]/excelsalesdata[[#This Row],[Net_sales]]</f>
        <v>0.57096901260504207</v>
      </c>
      <c r="AB1547" s="4">
        <f>YEAR(excelsalesdata[[#This Row],[Order_Date]])</f>
        <v>2029</v>
      </c>
      <c r="AC1547" s="4" t="str">
        <f>TEXT(excelsalesdata[[#This Row],[Order_Date]],"mmm")</f>
        <v>Jul</v>
      </c>
      <c r="AD1547" s="4" t="str">
        <f>"Q"&amp;ROUNDUP(MONTH(excelsalesdata[[#This Row],[Order_Date]])/3,0)</f>
        <v>Q3</v>
      </c>
    </row>
    <row r="1548" spans="1:30" x14ac:dyDescent="0.35">
      <c r="A1548" t="s">
        <v>2378</v>
      </c>
      <c r="B1548" s="3">
        <v>47306</v>
      </c>
      <c r="C1548" t="s">
        <v>1556</v>
      </c>
      <c r="D1548" t="s">
        <v>1070</v>
      </c>
      <c r="E1548" t="str">
        <f>TRIM(excelsalesdata[[#This Row],[Customer_Name]])</f>
        <v>Ishita Patel</v>
      </c>
      <c r="F1548" t="s">
        <v>44</v>
      </c>
      <c r="G1548">
        <v>45</v>
      </c>
      <c r="H1548" t="s">
        <v>155</v>
      </c>
      <c r="I1548" t="str">
        <f>TRIM(excelsalesdata[[#This Row],[City]])</f>
        <v>Chennai</v>
      </c>
      <c r="J1548" t="s">
        <v>156</v>
      </c>
      <c r="K1548" t="s">
        <v>47</v>
      </c>
      <c r="L1548" t="s">
        <v>103</v>
      </c>
      <c r="M1548" t="s">
        <v>104</v>
      </c>
      <c r="N1548" t="s">
        <v>104</v>
      </c>
      <c r="O1548">
        <v>2</v>
      </c>
      <c r="P1548">
        <v>9040</v>
      </c>
      <c r="Q1548">
        <v>0</v>
      </c>
      <c r="R1548">
        <v>5640</v>
      </c>
      <c r="S1548" t="s">
        <v>67</v>
      </c>
      <c r="T1548" t="s">
        <v>30</v>
      </c>
      <c r="U1548">
        <v>2</v>
      </c>
      <c r="V1548" t="s">
        <v>31</v>
      </c>
      <c r="W1548">
        <f>excelsalesdata[[#This Row],[Quantity]]*excelsalesdata[[#This Row],[Unit_Price]]</f>
        <v>18080</v>
      </c>
      <c r="X1548">
        <f>excelsalesdata[[#This Row],[Gross_sales]]*excelsalesdata[[#This Row],[Discount_%]]</f>
        <v>0</v>
      </c>
      <c r="Y1548">
        <f>excelsalesdata[[#This Row],[Gross_sales]]-excelsalesdata[[#This Row],[Discount_amt]]</f>
        <v>18080</v>
      </c>
      <c r="Z1548" s="4">
        <f>excelsalesdata[[#This Row],[Net_sales]]-excelsalesdata[[#This Row],[Cost]]</f>
        <v>12440</v>
      </c>
      <c r="AA1548" s="5">
        <f>excelsalesdata[[#This Row],[Profit]]/excelsalesdata[[#This Row],[Net_sales]]</f>
        <v>0.68805309734513276</v>
      </c>
      <c r="AB1548" s="4">
        <f>YEAR(excelsalesdata[[#This Row],[Order_Date]])</f>
        <v>2029</v>
      </c>
      <c r="AC1548" s="4" t="str">
        <f>TEXT(excelsalesdata[[#This Row],[Order_Date]],"mmm")</f>
        <v>Jul</v>
      </c>
      <c r="AD1548" s="4" t="str">
        <f>"Q"&amp;ROUNDUP(MONTH(excelsalesdata[[#This Row],[Order_Date]])/3,0)</f>
        <v>Q3</v>
      </c>
    </row>
    <row r="1549" spans="1:30" x14ac:dyDescent="0.35">
      <c r="A1549" t="s">
        <v>2379</v>
      </c>
      <c r="B1549" s="3">
        <v>47307</v>
      </c>
      <c r="C1549" t="s">
        <v>137</v>
      </c>
      <c r="D1549" t="s">
        <v>51</v>
      </c>
      <c r="E1549" t="str">
        <f>TRIM(excelsalesdata[[#This Row],[Customer_Name]])</f>
        <v>Sneha Iyer</v>
      </c>
      <c r="F1549" t="s">
        <v>44</v>
      </c>
      <c r="G1549">
        <v>39</v>
      </c>
      <c r="H1549" t="s">
        <v>71</v>
      </c>
      <c r="I1549" t="str">
        <f>TRIM(excelsalesdata[[#This Row],[City]])</f>
        <v>Bhubaneswar</v>
      </c>
      <c r="J1549" t="s">
        <v>72</v>
      </c>
      <c r="K1549" t="s">
        <v>37</v>
      </c>
      <c r="L1549" t="s">
        <v>54</v>
      </c>
      <c r="M1549" t="s">
        <v>62</v>
      </c>
      <c r="N1549" t="s">
        <v>62</v>
      </c>
      <c r="O1549">
        <v>3</v>
      </c>
      <c r="P1549">
        <v>21820</v>
      </c>
      <c r="Q1549">
        <v>0.1</v>
      </c>
      <c r="R1549">
        <v>16120</v>
      </c>
      <c r="S1549" t="s">
        <v>105</v>
      </c>
      <c r="T1549" t="s">
        <v>30</v>
      </c>
      <c r="U1549">
        <v>3</v>
      </c>
      <c r="V1549" t="s">
        <v>31</v>
      </c>
      <c r="W1549">
        <f>excelsalesdata[[#This Row],[Quantity]]*excelsalesdata[[#This Row],[Unit_Price]]</f>
        <v>65460</v>
      </c>
      <c r="X1549">
        <f>excelsalesdata[[#This Row],[Gross_sales]]*excelsalesdata[[#This Row],[Discount_%]]</f>
        <v>6546</v>
      </c>
      <c r="Y1549">
        <f>excelsalesdata[[#This Row],[Gross_sales]]-excelsalesdata[[#This Row],[Discount_amt]]</f>
        <v>58914</v>
      </c>
      <c r="Z1549" s="4">
        <f>excelsalesdata[[#This Row],[Net_sales]]-excelsalesdata[[#This Row],[Cost]]</f>
        <v>42794</v>
      </c>
      <c r="AA1549" s="5">
        <f>excelsalesdata[[#This Row],[Profit]]/excelsalesdata[[#This Row],[Net_sales]]</f>
        <v>0.72638082628916723</v>
      </c>
      <c r="AB1549" s="4">
        <f>YEAR(excelsalesdata[[#This Row],[Order_Date]])</f>
        <v>2029</v>
      </c>
      <c r="AC1549" s="4" t="str">
        <f>TEXT(excelsalesdata[[#This Row],[Order_Date]],"mmm")</f>
        <v>Jul</v>
      </c>
      <c r="AD1549" s="4" t="str">
        <f>"Q"&amp;ROUNDUP(MONTH(excelsalesdata[[#This Row],[Order_Date]])/3,0)</f>
        <v>Q3</v>
      </c>
    </row>
    <row r="1550" spans="1:30" x14ac:dyDescent="0.35">
      <c r="A1550" t="s">
        <v>2380</v>
      </c>
      <c r="B1550" s="3">
        <v>47308</v>
      </c>
      <c r="C1550" t="s">
        <v>885</v>
      </c>
      <c r="D1550" t="s">
        <v>311</v>
      </c>
      <c r="E1550" t="str">
        <f>TRIM(excelsalesdata[[#This Row],[Customer_Name]])</f>
        <v>Karan Verma</v>
      </c>
      <c r="F1550" t="s">
        <v>23</v>
      </c>
      <c r="G1550">
        <v>24</v>
      </c>
      <c r="H1550" t="s">
        <v>114</v>
      </c>
      <c r="I1550" t="str">
        <f>TRIM(excelsalesdata[[#This Row],[City]])</f>
        <v>Hyderabad</v>
      </c>
      <c r="J1550" t="s">
        <v>115</v>
      </c>
      <c r="K1550" t="s">
        <v>47</v>
      </c>
      <c r="L1550" t="s">
        <v>38</v>
      </c>
      <c r="M1550" t="s">
        <v>161</v>
      </c>
      <c r="N1550" t="s">
        <v>161</v>
      </c>
      <c r="O1550">
        <v>2</v>
      </c>
      <c r="P1550">
        <v>29530</v>
      </c>
      <c r="Q1550">
        <v>0.05</v>
      </c>
      <c r="R1550">
        <v>21440</v>
      </c>
      <c r="S1550" t="s">
        <v>29</v>
      </c>
      <c r="T1550" t="s">
        <v>30</v>
      </c>
      <c r="U1550">
        <v>6</v>
      </c>
      <c r="V1550" t="s">
        <v>40</v>
      </c>
      <c r="W1550">
        <f>excelsalesdata[[#This Row],[Quantity]]*excelsalesdata[[#This Row],[Unit_Price]]</f>
        <v>59060</v>
      </c>
      <c r="X1550">
        <f>excelsalesdata[[#This Row],[Gross_sales]]*excelsalesdata[[#This Row],[Discount_%]]</f>
        <v>2953</v>
      </c>
      <c r="Y1550">
        <f>excelsalesdata[[#This Row],[Gross_sales]]-excelsalesdata[[#This Row],[Discount_amt]]</f>
        <v>56107</v>
      </c>
      <c r="Z1550" s="4">
        <f>excelsalesdata[[#This Row],[Net_sales]]-excelsalesdata[[#This Row],[Cost]]</f>
        <v>34667</v>
      </c>
      <c r="AA1550" s="5">
        <f>excelsalesdata[[#This Row],[Profit]]/excelsalesdata[[#This Row],[Net_sales]]</f>
        <v>0.61787299267471085</v>
      </c>
      <c r="AB1550" s="4">
        <f>YEAR(excelsalesdata[[#This Row],[Order_Date]])</f>
        <v>2029</v>
      </c>
      <c r="AC1550" s="4" t="str">
        <f>TEXT(excelsalesdata[[#This Row],[Order_Date]],"mmm")</f>
        <v>Jul</v>
      </c>
      <c r="AD1550" s="4" t="str">
        <f>"Q"&amp;ROUNDUP(MONTH(excelsalesdata[[#This Row],[Order_Date]])/3,0)</f>
        <v>Q3</v>
      </c>
    </row>
    <row r="1551" spans="1:30" x14ac:dyDescent="0.35">
      <c r="A1551" t="s">
        <v>2381</v>
      </c>
      <c r="B1551" s="3">
        <v>47309</v>
      </c>
      <c r="C1551" t="s">
        <v>415</v>
      </c>
      <c r="D1551" t="s">
        <v>918</v>
      </c>
      <c r="E1551" t="str">
        <f>TRIM(excelsalesdata[[#This Row],[Customer_Name]])</f>
        <v>Vikram Naidu</v>
      </c>
      <c r="F1551" t="s">
        <v>23</v>
      </c>
      <c r="G1551">
        <v>45</v>
      </c>
      <c r="H1551" t="s">
        <v>155</v>
      </c>
      <c r="I1551" t="str">
        <f>TRIM(excelsalesdata[[#This Row],[City]])</f>
        <v>Chennai</v>
      </c>
      <c r="J1551" t="s">
        <v>156</v>
      </c>
      <c r="K1551" t="s">
        <v>47</v>
      </c>
      <c r="L1551" t="s">
        <v>85</v>
      </c>
      <c r="M1551" t="s">
        <v>172</v>
      </c>
      <c r="N1551" t="s">
        <v>172</v>
      </c>
      <c r="O1551">
        <v>2</v>
      </c>
      <c r="P1551">
        <v>4410</v>
      </c>
      <c r="Q1551">
        <v>0.1</v>
      </c>
      <c r="R1551">
        <v>2740</v>
      </c>
      <c r="S1551" t="s">
        <v>80</v>
      </c>
      <c r="T1551" t="s">
        <v>30</v>
      </c>
      <c r="U1551">
        <v>5</v>
      </c>
      <c r="V1551" t="s">
        <v>40</v>
      </c>
      <c r="W1551">
        <f>excelsalesdata[[#This Row],[Quantity]]*excelsalesdata[[#This Row],[Unit_Price]]</f>
        <v>8820</v>
      </c>
      <c r="X1551">
        <f>excelsalesdata[[#This Row],[Gross_sales]]*excelsalesdata[[#This Row],[Discount_%]]</f>
        <v>882</v>
      </c>
      <c r="Y1551">
        <f>excelsalesdata[[#This Row],[Gross_sales]]-excelsalesdata[[#This Row],[Discount_amt]]</f>
        <v>7938</v>
      </c>
      <c r="Z1551" s="4">
        <f>excelsalesdata[[#This Row],[Net_sales]]-excelsalesdata[[#This Row],[Cost]]</f>
        <v>5198</v>
      </c>
      <c r="AA1551" s="5">
        <f>excelsalesdata[[#This Row],[Profit]]/excelsalesdata[[#This Row],[Net_sales]]</f>
        <v>0.65482489292013102</v>
      </c>
      <c r="AB1551" s="4">
        <f>YEAR(excelsalesdata[[#This Row],[Order_Date]])</f>
        <v>2029</v>
      </c>
      <c r="AC1551" s="4" t="str">
        <f>TEXT(excelsalesdata[[#This Row],[Order_Date]],"mmm")</f>
        <v>Jul</v>
      </c>
      <c r="AD1551" s="4" t="str">
        <f>"Q"&amp;ROUNDUP(MONTH(excelsalesdata[[#This Row],[Order_Date]])/3,0)</f>
        <v>Q3</v>
      </c>
    </row>
    <row r="1552" spans="1:30" x14ac:dyDescent="0.35">
      <c r="A1552" t="s">
        <v>2382</v>
      </c>
      <c r="B1552" s="3">
        <v>47310</v>
      </c>
      <c r="C1552" t="s">
        <v>1431</v>
      </c>
      <c r="D1552" t="s">
        <v>395</v>
      </c>
      <c r="E1552" t="str">
        <f>TRIM(excelsalesdata[[#This Row],[Customer_Name]])</f>
        <v>Meera Gupta</v>
      </c>
      <c r="F1552" t="s">
        <v>23</v>
      </c>
      <c r="G1552">
        <v>23</v>
      </c>
      <c r="H1552" t="s">
        <v>24</v>
      </c>
      <c r="I1552" t="str">
        <f>TRIM(excelsalesdata[[#This Row],[City]])</f>
        <v>Pune</v>
      </c>
      <c r="J1552" t="s">
        <v>25</v>
      </c>
      <c r="K1552" t="s">
        <v>26</v>
      </c>
      <c r="L1552" t="s">
        <v>27</v>
      </c>
      <c r="M1552" t="s">
        <v>123</v>
      </c>
      <c r="N1552" t="s">
        <v>123</v>
      </c>
      <c r="O1552">
        <v>1</v>
      </c>
      <c r="P1552">
        <v>2960</v>
      </c>
      <c r="Q1552">
        <v>0.2</v>
      </c>
      <c r="R1552">
        <v>1520</v>
      </c>
      <c r="S1552" t="s">
        <v>80</v>
      </c>
      <c r="T1552" t="s">
        <v>81</v>
      </c>
      <c r="U1552">
        <v>0</v>
      </c>
      <c r="V1552" t="s">
        <v>40</v>
      </c>
      <c r="W1552">
        <f>excelsalesdata[[#This Row],[Quantity]]*excelsalesdata[[#This Row],[Unit_Price]]</f>
        <v>2960</v>
      </c>
      <c r="X1552">
        <f>excelsalesdata[[#This Row],[Gross_sales]]*excelsalesdata[[#This Row],[Discount_%]]</f>
        <v>592</v>
      </c>
      <c r="Y1552">
        <f>excelsalesdata[[#This Row],[Gross_sales]]-excelsalesdata[[#This Row],[Discount_amt]]</f>
        <v>2368</v>
      </c>
      <c r="Z1552" s="4">
        <f>excelsalesdata[[#This Row],[Net_sales]]-excelsalesdata[[#This Row],[Cost]]</f>
        <v>848</v>
      </c>
      <c r="AA1552" s="5">
        <f>excelsalesdata[[#This Row],[Profit]]/excelsalesdata[[#This Row],[Net_sales]]</f>
        <v>0.35810810810810811</v>
      </c>
      <c r="AB1552" s="4">
        <f>YEAR(excelsalesdata[[#This Row],[Order_Date]])</f>
        <v>2029</v>
      </c>
      <c r="AC1552" s="4" t="str">
        <f>TEXT(excelsalesdata[[#This Row],[Order_Date]],"mmm")</f>
        <v>Jul</v>
      </c>
      <c r="AD1552" s="4" t="str">
        <f>"Q"&amp;ROUNDUP(MONTH(excelsalesdata[[#This Row],[Order_Date]])/3,0)</f>
        <v>Q3</v>
      </c>
    </row>
    <row r="1553" spans="1:30" x14ac:dyDescent="0.35">
      <c r="A1553" t="s">
        <v>2383</v>
      </c>
      <c r="B1553" s="3">
        <v>47311</v>
      </c>
      <c r="C1553" t="s">
        <v>193</v>
      </c>
      <c r="D1553" t="s">
        <v>626</v>
      </c>
      <c r="E1553" t="str">
        <f>TRIM(excelsalesdata[[#This Row],[Customer_Name]])</f>
        <v>Aditya Rao</v>
      </c>
      <c r="F1553" t="s">
        <v>44</v>
      </c>
      <c r="G1553">
        <v>53</v>
      </c>
      <c r="H1553" t="s">
        <v>133</v>
      </c>
      <c r="I1553" t="str">
        <f>TRIM(excelsalesdata[[#This Row],[City]])</f>
        <v>Jaipur</v>
      </c>
      <c r="J1553" t="s">
        <v>134</v>
      </c>
      <c r="K1553" t="s">
        <v>61</v>
      </c>
      <c r="L1553" t="s">
        <v>38</v>
      </c>
      <c r="M1553" t="s">
        <v>161</v>
      </c>
      <c r="N1553" t="s">
        <v>161</v>
      </c>
      <c r="O1553">
        <v>1</v>
      </c>
      <c r="P1553">
        <v>27760</v>
      </c>
      <c r="Q1553">
        <v>0.1</v>
      </c>
      <c r="R1553">
        <v>19720</v>
      </c>
      <c r="S1553" t="s">
        <v>56</v>
      </c>
      <c r="T1553" t="s">
        <v>74</v>
      </c>
      <c r="U1553">
        <v>4</v>
      </c>
      <c r="V1553" t="s">
        <v>40</v>
      </c>
      <c r="W1553">
        <f>excelsalesdata[[#This Row],[Quantity]]*excelsalesdata[[#This Row],[Unit_Price]]</f>
        <v>27760</v>
      </c>
      <c r="X1553">
        <f>excelsalesdata[[#This Row],[Gross_sales]]*excelsalesdata[[#This Row],[Discount_%]]</f>
        <v>2776</v>
      </c>
      <c r="Y1553">
        <f>excelsalesdata[[#This Row],[Gross_sales]]-excelsalesdata[[#This Row],[Discount_amt]]</f>
        <v>24984</v>
      </c>
      <c r="Z1553" s="4">
        <f>excelsalesdata[[#This Row],[Net_sales]]-excelsalesdata[[#This Row],[Cost]]</f>
        <v>5264</v>
      </c>
      <c r="AA1553" s="5">
        <f>excelsalesdata[[#This Row],[Profit]]/excelsalesdata[[#This Row],[Net_sales]]</f>
        <v>0.2106948447006084</v>
      </c>
      <c r="AB1553" s="4">
        <f>YEAR(excelsalesdata[[#This Row],[Order_Date]])</f>
        <v>2029</v>
      </c>
      <c r="AC1553" s="4" t="str">
        <f>TEXT(excelsalesdata[[#This Row],[Order_Date]],"mmm")</f>
        <v>Jul</v>
      </c>
      <c r="AD1553" s="4" t="str">
        <f>"Q"&amp;ROUNDUP(MONTH(excelsalesdata[[#This Row],[Order_Date]])/3,0)</f>
        <v>Q3</v>
      </c>
    </row>
    <row r="1554" spans="1:30" x14ac:dyDescent="0.35">
      <c r="A1554" t="s">
        <v>2384</v>
      </c>
      <c r="B1554" s="3">
        <v>47312</v>
      </c>
      <c r="C1554" t="s">
        <v>761</v>
      </c>
      <c r="D1554" t="s">
        <v>677</v>
      </c>
      <c r="E1554" t="str">
        <f>TRIM(excelsalesdata[[#This Row],[Customer_Name]])</f>
        <v>Vivaan Shah</v>
      </c>
      <c r="F1554" t="s">
        <v>44</v>
      </c>
      <c r="G1554">
        <v>43</v>
      </c>
      <c r="H1554" t="s">
        <v>71</v>
      </c>
      <c r="I1554" t="str">
        <f>TRIM(excelsalesdata[[#This Row],[City]])</f>
        <v>Bhubaneswar</v>
      </c>
      <c r="J1554" t="s">
        <v>72</v>
      </c>
      <c r="K1554" t="s">
        <v>37</v>
      </c>
      <c r="L1554" t="s">
        <v>38</v>
      </c>
      <c r="M1554" t="s">
        <v>119</v>
      </c>
      <c r="N1554" t="s">
        <v>119</v>
      </c>
      <c r="O1554">
        <v>3</v>
      </c>
      <c r="P1554">
        <v>9170</v>
      </c>
      <c r="Q1554">
        <v>0.1</v>
      </c>
      <c r="R1554">
        <v>5570</v>
      </c>
      <c r="S1554" t="s">
        <v>151</v>
      </c>
      <c r="T1554" t="s">
        <v>81</v>
      </c>
      <c r="U1554">
        <v>0</v>
      </c>
      <c r="V1554" t="s">
        <v>31</v>
      </c>
      <c r="W1554">
        <f>excelsalesdata[[#This Row],[Quantity]]*excelsalesdata[[#This Row],[Unit_Price]]</f>
        <v>27510</v>
      </c>
      <c r="X1554">
        <f>excelsalesdata[[#This Row],[Gross_sales]]*excelsalesdata[[#This Row],[Discount_%]]</f>
        <v>2751</v>
      </c>
      <c r="Y1554">
        <f>excelsalesdata[[#This Row],[Gross_sales]]-excelsalesdata[[#This Row],[Discount_amt]]</f>
        <v>24759</v>
      </c>
      <c r="Z1554" s="4">
        <f>excelsalesdata[[#This Row],[Net_sales]]-excelsalesdata[[#This Row],[Cost]]</f>
        <v>19189</v>
      </c>
      <c r="AA1554" s="5">
        <f>excelsalesdata[[#This Row],[Profit]]/excelsalesdata[[#This Row],[Net_sales]]</f>
        <v>0.77503130174885904</v>
      </c>
      <c r="AB1554" s="4">
        <f>YEAR(excelsalesdata[[#This Row],[Order_Date]])</f>
        <v>2029</v>
      </c>
      <c r="AC1554" s="4" t="str">
        <f>TEXT(excelsalesdata[[#This Row],[Order_Date]],"mmm")</f>
        <v>Jul</v>
      </c>
      <c r="AD1554" s="4" t="str">
        <f>"Q"&amp;ROUNDUP(MONTH(excelsalesdata[[#This Row],[Order_Date]])/3,0)</f>
        <v>Q3</v>
      </c>
    </row>
    <row r="1555" spans="1:30" x14ac:dyDescent="0.35">
      <c r="A1555" t="s">
        <v>2385</v>
      </c>
      <c r="B1555" s="3">
        <v>47313</v>
      </c>
      <c r="C1555" t="s">
        <v>707</v>
      </c>
      <c r="D1555" t="s">
        <v>392</v>
      </c>
      <c r="E1555" t="str">
        <f>TRIM(excelsalesdata[[#This Row],[Customer_Name]])</f>
        <v>Meera Joshi</v>
      </c>
      <c r="F1555" t="s">
        <v>23</v>
      </c>
      <c r="G1555">
        <v>60</v>
      </c>
      <c r="H1555" t="s">
        <v>60</v>
      </c>
      <c r="I1555" t="str">
        <f>TRIM(excelsalesdata[[#This Row],[City]])</f>
        <v>Chandigarh</v>
      </c>
      <c r="J1555" t="s">
        <v>60</v>
      </c>
      <c r="K1555" t="s">
        <v>61</v>
      </c>
      <c r="L1555" t="s">
        <v>103</v>
      </c>
      <c r="M1555" t="s">
        <v>347</v>
      </c>
      <c r="N1555" t="s">
        <v>347</v>
      </c>
      <c r="O1555">
        <v>1</v>
      </c>
      <c r="P1555">
        <v>11370</v>
      </c>
      <c r="Q1555">
        <v>0.1</v>
      </c>
      <c r="R1555">
        <v>7930</v>
      </c>
      <c r="S1555" t="s">
        <v>105</v>
      </c>
      <c r="T1555" t="s">
        <v>30</v>
      </c>
      <c r="U1555">
        <v>2</v>
      </c>
      <c r="V1555" t="s">
        <v>40</v>
      </c>
      <c r="W1555">
        <f>excelsalesdata[[#This Row],[Quantity]]*excelsalesdata[[#This Row],[Unit_Price]]</f>
        <v>11370</v>
      </c>
      <c r="X1555">
        <f>excelsalesdata[[#This Row],[Gross_sales]]*excelsalesdata[[#This Row],[Discount_%]]</f>
        <v>1137</v>
      </c>
      <c r="Y1555">
        <f>excelsalesdata[[#This Row],[Gross_sales]]-excelsalesdata[[#This Row],[Discount_amt]]</f>
        <v>10233</v>
      </c>
      <c r="Z1555" s="4">
        <f>excelsalesdata[[#This Row],[Net_sales]]-excelsalesdata[[#This Row],[Cost]]</f>
        <v>2303</v>
      </c>
      <c r="AA1555" s="5">
        <f>excelsalesdata[[#This Row],[Profit]]/excelsalesdata[[#This Row],[Net_sales]]</f>
        <v>0.2250561907553992</v>
      </c>
      <c r="AB1555" s="4">
        <f>YEAR(excelsalesdata[[#This Row],[Order_Date]])</f>
        <v>2029</v>
      </c>
      <c r="AC1555" s="4" t="str">
        <f>TEXT(excelsalesdata[[#This Row],[Order_Date]],"mmm")</f>
        <v>Jul</v>
      </c>
      <c r="AD1555" s="4" t="str">
        <f>"Q"&amp;ROUNDUP(MONTH(excelsalesdata[[#This Row],[Order_Date]])/3,0)</f>
        <v>Q3</v>
      </c>
    </row>
    <row r="1556" spans="1:30" x14ac:dyDescent="0.35">
      <c r="A1556" t="s">
        <v>2386</v>
      </c>
      <c r="B1556" s="3">
        <v>47314</v>
      </c>
      <c r="C1556" t="s">
        <v>1487</v>
      </c>
      <c r="D1556" t="s">
        <v>1157</v>
      </c>
      <c r="E1556" t="str">
        <f>TRIM(excelsalesdata[[#This Row],[Customer_Name]])</f>
        <v>Kavya Shah</v>
      </c>
      <c r="F1556" t="s">
        <v>23</v>
      </c>
      <c r="G1556">
        <v>40</v>
      </c>
      <c r="H1556" t="s">
        <v>98</v>
      </c>
      <c r="I1556" t="str">
        <f>TRIM(excelsalesdata[[#This Row],[City]])</f>
        <v>Mumbai</v>
      </c>
      <c r="J1556" t="s">
        <v>25</v>
      </c>
      <c r="K1556" t="s">
        <v>26</v>
      </c>
      <c r="L1556" t="s">
        <v>54</v>
      </c>
      <c r="M1556" t="s">
        <v>157</v>
      </c>
      <c r="N1556" t="s">
        <v>157</v>
      </c>
      <c r="O1556">
        <v>3</v>
      </c>
      <c r="P1556">
        <v>51710</v>
      </c>
      <c r="Q1556">
        <v>0.1</v>
      </c>
      <c r="R1556">
        <v>41940</v>
      </c>
      <c r="S1556" t="s">
        <v>80</v>
      </c>
      <c r="T1556" t="s">
        <v>30</v>
      </c>
      <c r="U1556">
        <v>2</v>
      </c>
      <c r="V1556" t="s">
        <v>40</v>
      </c>
      <c r="W1556">
        <f>excelsalesdata[[#This Row],[Quantity]]*excelsalesdata[[#This Row],[Unit_Price]]</f>
        <v>155130</v>
      </c>
      <c r="X1556">
        <f>excelsalesdata[[#This Row],[Gross_sales]]*excelsalesdata[[#This Row],[Discount_%]]</f>
        <v>15513</v>
      </c>
      <c r="Y1556">
        <f>excelsalesdata[[#This Row],[Gross_sales]]-excelsalesdata[[#This Row],[Discount_amt]]</f>
        <v>139617</v>
      </c>
      <c r="Z1556" s="4">
        <f>excelsalesdata[[#This Row],[Net_sales]]-excelsalesdata[[#This Row],[Cost]]</f>
        <v>97677</v>
      </c>
      <c r="AA1556" s="5">
        <f>excelsalesdata[[#This Row],[Profit]]/excelsalesdata[[#This Row],[Net_sales]]</f>
        <v>0.69960678140914068</v>
      </c>
      <c r="AB1556" s="4">
        <f>YEAR(excelsalesdata[[#This Row],[Order_Date]])</f>
        <v>2029</v>
      </c>
      <c r="AC1556" s="4" t="str">
        <f>TEXT(excelsalesdata[[#This Row],[Order_Date]],"mmm")</f>
        <v>Jul</v>
      </c>
      <c r="AD1556" s="4" t="str">
        <f>"Q"&amp;ROUNDUP(MONTH(excelsalesdata[[#This Row],[Order_Date]])/3,0)</f>
        <v>Q3</v>
      </c>
    </row>
    <row r="1557" spans="1:30" x14ac:dyDescent="0.35">
      <c r="A1557" t="s">
        <v>2387</v>
      </c>
      <c r="B1557" s="3">
        <v>47315</v>
      </c>
      <c r="C1557" t="s">
        <v>2388</v>
      </c>
      <c r="D1557" t="s">
        <v>1815</v>
      </c>
      <c r="E1557" t="str">
        <f>TRIM(excelsalesdata[[#This Row],[Customer_Name]])</f>
        <v>Rahul Patel</v>
      </c>
      <c r="F1557" t="s">
        <v>44</v>
      </c>
      <c r="G1557">
        <v>19</v>
      </c>
      <c r="H1557" t="s">
        <v>45</v>
      </c>
      <c r="I1557" t="str">
        <f>TRIM(excelsalesdata[[#This Row],[City]])</f>
        <v>Kochi</v>
      </c>
      <c r="J1557" t="s">
        <v>46</v>
      </c>
      <c r="K1557" t="s">
        <v>47</v>
      </c>
      <c r="L1557" t="s">
        <v>93</v>
      </c>
      <c r="M1557" t="s">
        <v>375</v>
      </c>
      <c r="N1557" t="s">
        <v>375</v>
      </c>
      <c r="O1557">
        <v>1</v>
      </c>
      <c r="P1557">
        <v>2190</v>
      </c>
      <c r="Q1557">
        <v>0.05</v>
      </c>
      <c r="R1557">
        <v>1250</v>
      </c>
      <c r="S1557" t="s">
        <v>29</v>
      </c>
      <c r="T1557" t="s">
        <v>74</v>
      </c>
      <c r="U1557">
        <v>4</v>
      </c>
      <c r="V1557" t="s">
        <v>40</v>
      </c>
      <c r="W1557">
        <f>excelsalesdata[[#This Row],[Quantity]]*excelsalesdata[[#This Row],[Unit_Price]]</f>
        <v>2190</v>
      </c>
      <c r="X1557">
        <f>excelsalesdata[[#This Row],[Gross_sales]]*excelsalesdata[[#This Row],[Discount_%]]</f>
        <v>109.5</v>
      </c>
      <c r="Y1557">
        <f>excelsalesdata[[#This Row],[Gross_sales]]-excelsalesdata[[#This Row],[Discount_amt]]</f>
        <v>2080.5</v>
      </c>
      <c r="Z1557" s="4">
        <f>excelsalesdata[[#This Row],[Net_sales]]-excelsalesdata[[#This Row],[Cost]]</f>
        <v>830.5</v>
      </c>
      <c r="AA1557" s="5">
        <f>excelsalesdata[[#This Row],[Profit]]/excelsalesdata[[#This Row],[Net_sales]]</f>
        <v>0.39918288872867097</v>
      </c>
      <c r="AB1557" s="4">
        <f>YEAR(excelsalesdata[[#This Row],[Order_Date]])</f>
        <v>2029</v>
      </c>
      <c r="AC1557" s="4" t="str">
        <f>TEXT(excelsalesdata[[#This Row],[Order_Date]],"mmm")</f>
        <v>Jul</v>
      </c>
      <c r="AD1557" s="4" t="str">
        <f>"Q"&amp;ROUNDUP(MONTH(excelsalesdata[[#This Row],[Order_Date]])/3,0)</f>
        <v>Q3</v>
      </c>
    </row>
    <row r="1558" spans="1:30" x14ac:dyDescent="0.35">
      <c r="A1558" t="s">
        <v>2389</v>
      </c>
      <c r="B1558" s="3">
        <v>47316</v>
      </c>
      <c r="C1558" t="s">
        <v>1495</v>
      </c>
      <c r="D1558" t="s">
        <v>181</v>
      </c>
      <c r="E1558" t="str">
        <f>TRIM(excelsalesdata[[#This Row],[Customer_Name]])</f>
        <v>Ananya Patel</v>
      </c>
      <c r="F1558" t="s">
        <v>23</v>
      </c>
      <c r="G1558">
        <v>26</v>
      </c>
      <c r="H1558" t="s">
        <v>190</v>
      </c>
      <c r="I1558" t="str">
        <f>TRIM(excelsalesdata[[#This Row],[City]])</f>
        <v>Ahmedabad</v>
      </c>
      <c r="J1558" t="s">
        <v>191</v>
      </c>
      <c r="K1558" t="s">
        <v>26</v>
      </c>
      <c r="L1558" t="s">
        <v>85</v>
      </c>
      <c r="M1558" t="s">
        <v>251</v>
      </c>
      <c r="N1558" t="s">
        <v>251</v>
      </c>
      <c r="O1558">
        <v>1</v>
      </c>
      <c r="P1558">
        <v>3260</v>
      </c>
      <c r="Q1558">
        <v>0.05</v>
      </c>
      <c r="R1558">
        <v>1870</v>
      </c>
      <c r="S1558" t="s">
        <v>105</v>
      </c>
      <c r="T1558" t="s">
        <v>74</v>
      </c>
      <c r="U1558">
        <v>3</v>
      </c>
      <c r="V1558" t="s">
        <v>31</v>
      </c>
      <c r="W1558">
        <f>excelsalesdata[[#This Row],[Quantity]]*excelsalesdata[[#This Row],[Unit_Price]]</f>
        <v>3260</v>
      </c>
      <c r="X1558">
        <f>excelsalesdata[[#This Row],[Gross_sales]]*excelsalesdata[[#This Row],[Discount_%]]</f>
        <v>163</v>
      </c>
      <c r="Y1558">
        <f>excelsalesdata[[#This Row],[Gross_sales]]-excelsalesdata[[#This Row],[Discount_amt]]</f>
        <v>3097</v>
      </c>
      <c r="Z1558" s="4">
        <f>excelsalesdata[[#This Row],[Net_sales]]-excelsalesdata[[#This Row],[Cost]]</f>
        <v>1227</v>
      </c>
      <c r="AA1558" s="5">
        <f>excelsalesdata[[#This Row],[Profit]]/excelsalesdata[[#This Row],[Net_sales]]</f>
        <v>0.39618986115595739</v>
      </c>
      <c r="AB1558" s="4">
        <f>YEAR(excelsalesdata[[#This Row],[Order_Date]])</f>
        <v>2029</v>
      </c>
      <c r="AC1558" s="4" t="str">
        <f>TEXT(excelsalesdata[[#This Row],[Order_Date]],"mmm")</f>
        <v>Jul</v>
      </c>
      <c r="AD1558" s="4" t="str">
        <f>"Q"&amp;ROUNDUP(MONTH(excelsalesdata[[#This Row],[Order_Date]])/3,0)</f>
        <v>Q3</v>
      </c>
    </row>
    <row r="1559" spans="1:30" x14ac:dyDescent="0.35">
      <c r="A1559" t="s">
        <v>2390</v>
      </c>
      <c r="B1559" s="3">
        <v>47317</v>
      </c>
      <c r="C1559" t="s">
        <v>317</v>
      </c>
      <c r="D1559" t="s">
        <v>1016</v>
      </c>
      <c r="E1559" t="str">
        <f>TRIM(excelsalesdata[[#This Row],[Customer_Name]])</f>
        <v>Meera Reddy</v>
      </c>
      <c r="F1559" t="s">
        <v>44</v>
      </c>
      <c r="G1559">
        <v>38</v>
      </c>
      <c r="H1559" t="s">
        <v>133</v>
      </c>
      <c r="I1559" t="str">
        <f>TRIM(excelsalesdata[[#This Row],[City]])</f>
        <v>Jaipur</v>
      </c>
      <c r="J1559" t="s">
        <v>134</v>
      </c>
      <c r="K1559" t="s">
        <v>61</v>
      </c>
      <c r="L1559" t="s">
        <v>93</v>
      </c>
      <c r="M1559" t="s">
        <v>718</v>
      </c>
      <c r="N1559" t="s">
        <v>718</v>
      </c>
      <c r="O1559">
        <v>4</v>
      </c>
      <c r="P1559">
        <v>1930</v>
      </c>
      <c r="Q1559">
        <v>0.2</v>
      </c>
      <c r="R1559">
        <v>870</v>
      </c>
      <c r="S1559" t="s">
        <v>80</v>
      </c>
      <c r="T1559" t="s">
        <v>30</v>
      </c>
      <c r="U1559">
        <v>2</v>
      </c>
      <c r="V1559" t="s">
        <v>40</v>
      </c>
      <c r="W1559">
        <f>excelsalesdata[[#This Row],[Quantity]]*excelsalesdata[[#This Row],[Unit_Price]]</f>
        <v>7720</v>
      </c>
      <c r="X1559">
        <f>excelsalesdata[[#This Row],[Gross_sales]]*excelsalesdata[[#This Row],[Discount_%]]</f>
        <v>1544</v>
      </c>
      <c r="Y1559">
        <f>excelsalesdata[[#This Row],[Gross_sales]]-excelsalesdata[[#This Row],[Discount_amt]]</f>
        <v>6176</v>
      </c>
      <c r="Z1559" s="4">
        <f>excelsalesdata[[#This Row],[Net_sales]]-excelsalesdata[[#This Row],[Cost]]</f>
        <v>5306</v>
      </c>
      <c r="AA1559" s="5">
        <f>excelsalesdata[[#This Row],[Profit]]/excelsalesdata[[#This Row],[Net_sales]]</f>
        <v>0.85913212435233166</v>
      </c>
      <c r="AB1559" s="4">
        <f>YEAR(excelsalesdata[[#This Row],[Order_Date]])</f>
        <v>2029</v>
      </c>
      <c r="AC1559" s="4" t="str">
        <f>TEXT(excelsalesdata[[#This Row],[Order_Date]],"mmm")</f>
        <v>Jul</v>
      </c>
      <c r="AD1559" s="4" t="str">
        <f>"Q"&amp;ROUNDUP(MONTH(excelsalesdata[[#This Row],[Order_Date]])/3,0)</f>
        <v>Q3</v>
      </c>
    </row>
    <row r="1560" spans="1:30" x14ac:dyDescent="0.35">
      <c r="A1560" t="s">
        <v>2391</v>
      </c>
      <c r="B1560" s="3">
        <v>47318</v>
      </c>
      <c r="C1560" t="s">
        <v>408</v>
      </c>
      <c r="D1560" t="s">
        <v>22</v>
      </c>
      <c r="E1560" t="str">
        <f>TRIM(excelsalesdata[[#This Row],[Customer_Name]])</f>
        <v>Sneha Naidu</v>
      </c>
      <c r="F1560" t="s">
        <v>23</v>
      </c>
      <c r="G1560">
        <v>59</v>
      </c>
      <c r="H1560" t="s">
        <v>78</v>
      </c>
      <c r="I1560" t="str">
        <f>TRIM(excelsalesdata[[#This Row],[City]])</f>
        <v>Guwahati</v>
      </c>
      <c r="J1560" t="s">
        <v>79</v>
      </c>
      <c r="K1560" t="s">
        <v>37</v>
      </c>
      <c r="L1560" t="s">
        <v>38</v>
      </c>
      <c r="M1560" t="s">
        <v>39</v>
      </c>
      <c r="N1560" t="s">
        <v>39</v>
      </c>
      <c r="O1560">
        <v>2</v>
      </c>
      <c r="P1560">
        <v>6950</v>
      </c>
      <c r="Q1560">
        <v>0.05</v>
      </c>
      <c r="R1560">
        <v>4310</v>
      </c>
      <c r="S1560" t="s">
        <v>56</v>
      </c>
      <c r="T1560" t="s">
        <v>30</v>
      </c>
      <c r="U1560">
        <v>4</v>
      </c>
      <c r="V1560" t="s">
        <v>40</v>
      </c>
      <c r="W1560">
        <f>excelsalesdata[[#This Row],[Quantity]]*excelsalesdata[[#This Row],[Unit_Price]]</f>
        <v>13900</v>
      </c>
      <c r="X1560">
        <f>excelsalesdata[[#This Row],[Gross_sales]]*excelsalesdata[[#This Row],[Discount_%]]</f>
        <v>695</v>
      </c>
      <c r="Y1560">
        <f>excelsalesdata[[#This Row],[Gross_sales]]-excelsalesdata[[#This Row],[Discount_amt]]</f>
        <v>13205</v>
      </c>
      <c r="Z1560" s="4">
        <f>excelsalesdata[[#This Row],[Net_sales]]-excelsalesdata[[#This Row],[Cost]]</f>
        <v>8895</v>
      </c>
      <c r="AA1560" s="5">
        <f>excelsalesdata[[#This Row],[Profit]]/excelsalesdata[[#This Row],[Net_sales]]</f>
        <v>0.67360848163574405</v>
      </c>
      <c r="AB1560" s="4">
        <f>YEAR(excelsalesdata[[#This Row],[Order_Date]])</f>
        <v>2029</v>
      </c>
      <c r="AC1560" s="4" t="str">
        <f>TEXT(excelsalesdata[[#This Row],[Order_Date]],"mmm")</f>
        <v>Jul</v>
      </c>
      <c r="AD1560" s="4" t="str">
        <f>"Q"&amp;ROUNDUP(MONTH(excelsalesdata[[#This Row],[Order_Date]])/3,0)</f>
        <v>Q3</v>
      </c>
    </row>
    <row r="1561" spans="1:30" x14ac:dyDescent="0.35">
      <c r="A1561" t="s">
        <v>2392</v>
      </c>
      <c r="B1561" s="3">
        <v>47319</v>
      </c>
      <c r="C1561" t="s">
        <v>614</v>
      </c>
      <c r="D1561" t="s">
        <v>201</v>
      </c>
      <c r="E1561" t="str">
        <f>TRIM(excelsalesdata[[#This Row],[Customer_Name]])</f>
        <v>Nisha Verma</v>
      </c>
      <c r="F1561" t="s">
        <v>23</v>
      </c>
      <c r="G1561">
        <v>36</v>
      </c>
      <c r="H1561" t="s">
        <v>98</v>
      </c>
      <c r="I1561" t="str">
        <f>TRIM(excelsalesdata[[#This Row],[City]])</f>
        <v>Mumbai</v>
      </c>
      <c r="J1561" t="s">
        <v>25</v>
      </c>
      <c r="K1561" t="s">
        <v>26</v>
      </c>
      <c r="L1561" t="s">
        <v>103</v>
      </c>
      <c r="M1561" t="s">
        <v>238</v>
      </c>
      <c r="N1561" t="s">
        <v>238</v>
      </c>
      <c r="O1561">
        <v>2</v>
      </c>
      <c r="P1561">
        <v>4240</v>
      </c>
      <c r="Q1561">
        <v>0</v>
      </c>
      <c r="R1561">
        <v>2730</v>
      </c>
      <c r="S1561" t="s">
        <v>29</v>
      </c>
      <c r="T1561" t="s">
        <v>30</v>
      </c>
      <c r="U1561">
        <v>7</v>
      </c>
      <c r="V1561" t="s">
        <v>31</v>
      </c>
      <c r="W1561">
        <f>excelsalesdata[[#This Row],[Quantity]]*excelsalesdata[[#This Row],[Unit_Price]]</f>
        <v>8480</v>
      </c>
      <c r="X1561">
        <f>excelsalesdata[[#This Row],[Gross_sales]]*excelsalesdata[[#This Row],[Discount_%]]</f>
        <v>0</v>
      </c>
      <c r="Y1561">
        <f>excelsalesdata[[#This Row],[Gross_sales]]-excelsalesdata[[#This Row],[Discount_amt]]</f>
        <v>8480</v>
      </c>
      <c r="Z1561" s="4">
        <f>excelsalesdata[[#This Row],[Net_sales]]-excelsalesdata[[#This Row],[Cost]]</f>
        <v>5750</v>
      </c>
      <c r="AA1561" s="5">
        <f>excelsalesdata[[#This Row],[Profit]]/excelsalesdata[[#This Row],[Net_sales]]</f>
        <v>0.67806603773584906</v>
      </c>
      <c r="AB1561" s="4">
        <f>YEAR(excelsalesdata[[#This Row],[Order_Date]])</f>
        <v>2029</v>
      </c>
      <c r="AC1561" s="4" t="str">
        <f>TEXT(excelsalesdata[[#This Row],[Order_Date]],"mmm")</f>
        <v>Jul</v>
      </c>
      <c r="AD1561" s="4" t="str">
        <f>"Q"&amp;ROUNDUP(MONTH(excelsalesdata[[#This Row],[Order_Date]])/3,0)</f>
        <v>Q3</v>
      </c>
    </row>
    <row r="1562" spans="1:30" x14ac:dyDescent="0.35">
      <c r="A1562" t="s">
        <v>2393</v>
      </c>
      <c r="B1562" s="3">
        <v>47320</v>
      </c>
      <c r="C1562" t="s">
        <v>358</v>
      </c>
      <c r="D1562" t="s">
        <v>448</v>
      </c>
      <c r="E1562" t="str">
        <f>TRIM(excelsalesdata[[#This Row],[Customer_Name]])</f>
        <v>Nisha Mehta</v>
      </c>
      <c r="F1562" t="s">
        <v>44</v>
      </c>
      <c r="G1562">
        <v>58</v>
      </c>
      <c r="H1562" t="s">
        <v>190</v>
      </c>
      <c r="I1562" t="str">
        <f>TRIM(excelsalesdata[[#This Row],[City]])</f>
        <v>Ahmedabad</v>
      </c>
      <c r="J1562" t="s">
        <v>191</v>
      </c>
      <c r="K1562" t="s">
        <v>26</v>
      </c>
      <c r="L1562" t="s">
        <v>27</v>
      </c>
      <c r="M1562" t="s">
        <v>195</v>
      </c>
      <c r="N1562" t="s">
        <v>195</v>
      </c>
      <c r="O1562">
        <v>3</v>
      </c>
      <c r="P1562">
        <v>2040</v>
      </c>
      <c r="Q1562">
        <v>0.25</v>
      </c>
      <c r="R1562">
        <v>1160</v>
      </c>
      <c r="S1562" t="s">
        <v>67</v>
      </c>
      <c r="T1562" t="s">
        <v>30</v>
      </c>
      <c r="U1562">
        <v>5</v>
      </c>
      <c r="V1562" t="s">
        <v>40</v>
      </c>
      <c r="W1562">
        <f>excelsalesdata[[#This Row],[Quantity]]*excelsalesdata[[#This Row],[Unit_Price]]</f>
        <v>6120</v>
      </c>
      <c r="X1562">
        <f>excelsalesdata[[#This Row],[Gross_sales]]*excelsalesdata[[#This Row],[Discount_%]]</f>
        <v>1530</v>
      </c>
      <c r="Y1562">
        <f>excelsalesdata[[#This Row],[Gross_sales]]-excelsalesdata[[#This Row],[Discount_amt]]</f>
        <v>4590</v>
      </c>
      <c r="Z1562" s="4">
        <f>excelsalesdata[[#This Row],[Net_sales]]-excelsalesdata[[#This Row],[Cost]]</f>
        <v>3430</v>
      </c>
      <c r="AA1562" s="5">
        <f>excelsalesdata[[#This Row],[Profit]]/excelsalesdata[[#This Row],[Net_sales]]</f>
        <v>0.74727668845315909</v>
      </c>
      <c r="AB1562" s="4">
        <f>YEAR(excelsalesdata[[#This Row],[Order_Date]])</f>
        <v>2029</v>
      </c>
      <c r="AC1562" s="4" t="str">
        <f>TEXT(excelsalesdata[[#This Row],[Order_Date]],"mmm")</f>
        <v>Jul</v>
      </c>
      <c r="AD1562" s="4" t="str">
        <f>"Q"&amp;ROUNDUP(MONTH(excelsalesdata[[#This Row],[Order_Date]])/3,0)</f>
        <v>Q3</v>
      </c>
    </row>
    <row r="1563" spans="1:30" x14ac:dyDescent="0.35">
      <c r="A1563" t="s">
        <v>2394</v>
      </c>
      <c r="B1563" s="3">
        <v>47321</v>
      </c>
      <c r="C1563" t="s">
        <v>854</v>
      </c>
      <c r="D1563" t="s">
        <v>268</v>
      </c>
      <c r="E1563" t="str">
        <f>TRIM(excelsalesdata[[#This Row],[Customer_Name]])</f>
        <v>Diya Shah</v>
      </c>
      <c r="F1563" t="s">
        <v>23</v>
      </c>
      <c r="G1563">
        <v>34</v>
      </c>
      <c r="H1563" t="s">
        <v>52</v>
      </c>
      <c r="I1563" t="str">
        <f>TRIM(excelsalesdata[[#This Row],[City]])</f>
        <v>Bengaluru</v>
      </c>
      <c r="J1563" t="s">
        <v>53</v>
      </c>
      <c r="K1563" t="s">
        <v>47</v>
      </c>
      <c r="L1563" t="s">
        <v>54</v>
      </c>
      <c r="M1563" t="s">
        <v>55</v>
      </c>
      <c r="N1563" t="s">
        <v>55</v>
      </c>
      <c r="O1563">
        <v>2</v>
      </c>
      <c r="P1563">
        <v>7360</v>
      </c>
      <c r="Q1563">
        <v>0.2</v>
      </c>
      <c r="R1563">
        <v>4520</v>
      </c>
      <c r="S1563" t="s">
        <v>67</v>
      </c>
      <c r="T1563" t="s">
        <v>30</v>
      </c>
      <c r="U1563">
        <v>2</v>
      </c>
      <c r="V1563" t="s">
        <v>40</v>
      </c>
      <c r="W1563">
        <f>excelsalesdata[[#This Row],[Quantity]]*excelsalesdata[[#This Row],[Unit_Price]]</f>
        <v>14720</v>
      </c>
      <c r="X1563">
        <f>excelsalesdata[[#This Row],[Gross_sales]]*excelsalesdata[[#This Row],[Discount_%]]</f>
        <v>2944</v>
      </c>
      <c r="Y1563">
        <f>excelsalesdata[[#This Row],[Gross_sales]]-excelsalesdata[[#This Row],[Discount_amt]]</f>
        <v>11776</v>
      </c>
      <c r="Z1563" s="4">
        <f>excelsalesdata[[#This Row],[Net_sales]]-excelsalesdata[[#This Row],[Cost]]</f>
        <v>7256</v>
      </c>
      <c r="AA1563" s="5">
        <f>excelsalesdata[[#This Row],[Profit]]/excelsalesdata[[#This Row],[Net_sales]]</f>
        <v>0.61616847826086951</v>
      </c>
      <c r="AB1563" s="4">
        <f>YEAR(excelsalesdata[[#This Row],[Order_Date]])</f>
        <v>2029</v>
      </c>
      <c r="AC1563" s="4" t="str">
        <f>TEXT(excelsalesdata[[#This Row],[Order_Date]],"mmm")</f>
        <v>Jul</v>
      </c>
      <c r="AD1563" s="4" t="str">
        <f>"Q"&amp;ROUNDUP(MONTH(excelsalesdata[[#This Row],[Order_Date]])/3,0)</f>
        <v>Q3</v>
      </c>
    </row>
    <row r="1564" spans="1:30" x14ac:dyDescent="0.35">
      <c r="A1564" t="s">
        <v>2395</v>
      </c>
      <c r="B1564" s="3">
        <v>47322</v>
      </c>
      <c r="C1564" t="s">
        <v>1388</v>
      </c>
      <c r="D1564" t="s">
        <v>318</v>
      </c>
      <c r="E1564" t="str">
        <f>TRIM(excelsalesdata[[#This Row],[Customer_Name]])</f>
        <v>Kavya Joshi</v>
      </c>
      <c r="F1564" t="s">
        <v>23</v>
      </c>
      <c r="G1564">
        <v>47</v>
      </c>
      <c r="H1564" t="s">
        <v>190</v>
      </c>
      <c r="I1564" t="str">
        <f>TRIM(excelsalesdata[[#This Row],[City]])</f>
        <v>Ahmedabad</v>
      </c>
      <c r="J1564" t="s">
        <v>191</v>
      </c>
      <c r="K1564" t="s">
        <v>26</v>
      </c>
      <c r="L1564" t="s">
        <v>38</v>
      </c>
      <c r="M1564" t="s">
        <v>73</v>
      </c>
      <c r="N1564" t="s">
        <v>73</v>
      </c>
      <c r="O1564">
        <v>1</v>
      </c>
      <c r="P1564">
        <v>4970</v>
      </c>
      <c r="Q1564">
        <v>0.1</v>
      </c>
      <c r="R1564">
        <v>3070</v>
      </c>
      <c r="S1564" t="s">
        <v>29</v>
      </c>
      <c r="T1564" t="s">
        <v>30</v>
      </c>
      <c r="U1564">
        <v>4</v>
      </c>
      <c r="V1564" t="s">
        <v>31</v>
      </c>
      <c r="W1564">
        <f>excelsalesdata[[#This Row],[Quantity]]*excelsalesdata[[#This Row],[Unit_Price]]</f>
        <v>4970</v>
      </c>
      <c r="X1564">
        <f>excelsalesdata[[#This Row],[Gross_sales]]*excelsalesdata[[#This Row],[Discount_%]]</f>
        <v>497</v>
      </c>
      <c r="Y1564">
        <f>excelsalesdata[[#This Row],[Gross_sales]]-excelsalesdata[[#This Row],[Discount_amt]]</f>
        <v>4473</v>
      </c>
      <c r="Z1564" s="4">
        <f>excelsalesdata[[#This Row],[Net_sales]]-excelsalesdata[[#This Row],[Cost]]</f>
        <v>1403</v>
      </c>
      <c r="AA1564" s="5">
        <f>excelsalesdata[[#This Row],[Profit]]/excelsalesdata[[#This Row],[Net_sales]]</f>
        <v>0.31365973619494747</v>
      </c>
      <c r="AB1564" s="4">
        <f>YEAR(excelsalesdata[[#This Row],[Order_Date]])</f>
        <v>2029</v>
      </c>
      <c r="AC1564" s="4" t="str">
        <f>TEXT(excelsalesdata[[#This Row],[Order_Date]],"mmm")</f>
        <v>Jul</v>
      </c>
      <c r="AD1564" s="4" t="str">
        <f>"Q"&amp;ROUNDUP(MONTH(excelsalesdata[[#This Row],[Order_Date]])/3,0)</f>
        <v>Q3</v>
      </c>
    </row>
    <row r="1565" spans="1:30" x14ac:dyDescent="0.35">
      <c r="A1565" t="s">
        <v>2396</v>
      </c>
      <c r="B1565" s="3">
        <v>47323</v>
      </c>
      <c r="C1565" t="s">
        <v>468</v>
      </c>
      <c r="D1565" t="s">
        <v>1335</v>
      </c>
      <c r="E1565" t="str">
        <f>TRIM(excelsalesdata[[#This Row],[Customer_Name]])</f>
        <v>Kavya Patel</v>
      </c>
      <c r="F1565" t="s">
        <v>23</v>
      </c>
      <c r="G1565">
        <v>54</v>
      </c>
      <c r="H1565" t="s">
        <v>98</v>
      </c>
      <c r="I1565" t="str">
        <f>TRIM(excelsalesdata[[#This Row],[City]])</f>
        <v>Mumbai</v>
      </c>
      <c r="J1565" t="s">
        <v>25</v>
      </c>
      <c r="K1565" t="s">
        <v>26</v>
      </c>
      <c r="L1565" t="s">
        <v>54</v>
      </c>
      <c r="M1565" t="s">
        <v>55</v>
      </c>
      <c r="N1565" t="s">
        <v>55</v>
      </c>
      <c r="O1565">
        <v>2</v>
      </c>
      <c r="P1565">
        <v>6450</v>
      </c>
      <c r="Q1565">
        <v>0.05</v>
      </c>
      <c r="R1565">
        <v>4450</v>
      </c>
      <c r="S1565" t="s">
        <v>80</v>
      </c>
      <c r="T1565" t="s">
        <v>30</v>
      </c>
      <c r="U1565">
        <v>4</v>
      </c>
      <c r="V1565" t="s">
        <v>31</v>
      </c>
      <c r="W1565">
        <f>excelsalesdata[[#This Row],[Quantity]]*excelsalesdata[[#This Row],[Unit_Price]]</f>
        <v>12900</v>
      </c>
      <c r="X1565">
        <f>excelsalesdata[[#This Row],[Gross_sales]]*excelsalesdata[[#This Row],[Discount_%]]</f>
        <v>645</v>
      </c>
      <c r="Y1565">
        <f>excelsalesdata[[#This Row],[Gross_sales]]-excelsalesdata[[#This Row],[Discount_amt]]</f>
        <v>12255</v>
      </c>
      <c r="Z1565" s="4">
        <f>excelsalesdata[[#This Row],[Net_sales]]-excelsalesdata[[#This Row],[Cost]]</f>
        <v>7805</v>
      </c>
      <c r="AA1565" s="5">
        <f>excelsalesdata[[#This Row],[Profit]]/excelsalesdata[[#This Row],[Net_sales]]</f>
        <v>0.63688290493676047</v>
      </c>
      <c r="AB1565" s="4">
        <f>YEAR(excelsalesdata[[#This Row],[Order_Date]])</f>
        <v>2029</v>
      </c>
      <c r="AC1565" s="4" t="str">
        <f>TEXT(excelsalesdata[[#This Row],[Order_Date]],"mmm")</f>
        <v>Jul</v>
      </c>
      <c r="AD1565" s="4" t="str">
        <f>"Q"&amp;ROUNDUP(MONTH(excelsalesdata[[#This Row],[Order_Date]])/3,0)</f>
        <v>Q3</v>
      </c>
    </row>
    <row r="1566" spans="1:30" x14ac:dyDescent="0.35">
      <c r="A1566" t="s">
        <v>2397</v>
      </c>
      <c r="B1566" s="3">
        <v>47324</v>
      </c>
      <c r="C1566" t="s">
        <v>1285</v>
      </c>
      <c r="D1566" t="s">
        <v>944</v>
      </c>
      <c r="E1566" t="str">
        <f>TRIM(excelsalesdata[[#This Row],[Customer_Name]])</f>
        <v>Kavya Gupta</v>
      </c>
      <c r="F1566" t="s">
        <v>44</v>
      </c>
      <c r="G1566">
        <v>42</v>
      </c>
      <c r="H1566" t="s">
        <v>98</v>
      </c>
      <c r="I1566" t="str">
        <f>TRIM(excelsalesdata[[#This Row],[City]])</f>
        <v>Mumbai</v>
      </c>
      <c r="J1566" t="s">
        <v>25</v>
      </c>
      <c r="K1566" t="s">
        <v>26</v>
      </c>
      <c r="L1566" t="s">
        <v>103</v>
      </c>
      <c r="M1566" t="s">
        <v>178</v>
      </c>
      <c r="N1566" t="s">
        <v>178</v>
      </c>
      <c r="O1566">
        <v>1</v>
      </c>
      <c r="P1566">
        <v>1660</v>
      </c>
      <c r="Q1566">
        <v>0.3</v>
      </c>
      <c r="R1566">
        <v>990</v>
      </c>
      <c r="S1566" t="s">
        <v>105</v>
      </c>
      <c r="T1566" t="s">
        <v>99</v>
      </c>
      <c r="U1566">
        <v>5</v>
      </c>
      <c r="V1566" t="s">
        <v>31</v>
      </c>
      <c r="W1566">
        <f>excelsalesdata[[#This Row],[Quantity]]*excelsalesdata[[#This Row],[Unit_Price]]</f>
        <v>1660</v>
      </c>
      <c r="X1566">
        <f>excelsalesdata[[#This Row],[Gross_sales]]*excelsalesdata[[#This Row],[Discount_%]]</f>
        <v>498</v>
      </c>
      <c r="Y1566">
        <f>excelsalesdata[[#This Row],[Gross_sales]]-excelsalesdata[[#This Row],[Discount_amt]]</f>
        <v>1162</v>
      </c>
      <c r="Z1566" s="4">
        <f>excelsalesdata[[#This Row],[Net_sales]]-excelsalesdata[[#This Row],[Cost]]</f>
        <v>172</v>
      </c>
      <c r="AA1566" s="5">
        <f>excelsalesdata[[#This Row],[Profit]]/excelsalesdata[[#This Row],[Net_sales]]</f>
        <v>0.14802065404475043</v>
      </c>
      <c r="AB1566" s="4">
        <f>YEAR(excelsalesdata[[#This Row],[Order_Date]])</f>
        <v>2029</v>
      </c>
      <c r="AC1566" s="4" t="str">
        <f>TEXT(excelsalesdata[[#This Row],[Order_Date]],"mmm")</f>
        <v>Jul</v>
      </c>
      <c r="AD1566" s="4" t="str">
        <f>"Q"&amp;ROUNDUP(MONTH(excelsalesdata[[#This Row],[Order_Date]])/3,0)</f>
        <v>Q3</v>
      </c>
    </row>
    <row r="1567" spans="1:30" x14ac:dyDescent="0.35">
      <c r="A1567" t="s">
        <v>2398</v>
      </c>
      <c r="B1567" s="3">
        <v>47325</v>
      </c>
      <c r="C1567" t="s">
        <v>549</v>
      </c>
      <c r="D1567" t="s">
        <v>2400</v>
      </c>
      <c r="E1567" t="str">
        <f>TRIM(excelsalesdata[[#This Row],[Customer_Name]])</f>
        <v>Rohan Kumar</v>
      </c>
      <c r="F1567" t="s">
        <v>23</v>
      </c>
      <c r="G1567">
        <v>28</v>
      </c>
      <c r="H1567" t="s">
        <v>52</v>
      </c>
      <c r="I1567" t="str">
        <f>TRIM(excelsalesdata[[#This Row],[City]])</f>
        <v>Bengaluru</v>
      </c>
      <c r="J1567" t="s">
        <v>53</v>
      </c>
      <c r="K1567" t="s">
        <v>47</v>
      </c>
      <c r="L1567" t="s">
        <v>103</v>
      </c>
      <c r="M1567" t="s">
        <v>104</v>
      </c>
      <c r="N1567" t="s">
        <v>104</v>
      </c>
      <c r="O1567">
        <v>3</v>
      </c>
      <c r="P1567">
        <v>8680</v>
      </c>
      <c r="Q1567">
        <v>0.1</v>
      </c>
      <c r="R1567">
        <v>5860</v>
      </c>
      <c r="S1567" t="s">
        <v>105</v>
      </c>
      <c r="T1567" t="s">
        <v>81</v>
      </c>
      <c r="U1567">
        <v>0</v>
      </c>
      <c r="V1567" t="s">
        <v>40</v>
      </c>
      <c r="W1567">
        <f>excelsalesdata[[#This Row],[Quantity]]*excelsalesdata[[#This Row],[Unit_Price]]</f>
        <v>26040</v>
      </c>
      <c r="X1567">
        <f>excelsalesdata[[#This Row],[Gross_sales]]*excelsalesdata[[#This Row],[Discount_%]]</f>
        <v>2604</v>
      </c>
      <c r="Y1567">
        <f>excelsalesdata[[#This Row],[Gross_sales]]-excelsalesdata[[#This Row],[Discount_amt]]</f>
        <v>23436</v>
      </c>
      <c r="Z1567" s="4">
        <f>excelsalesdata[[#This Row],[Net_sales]]-excelsalesdata[[#This Row],[Cost]]</f>
        <v>17576</v>
      </c>
      <c r="AA1567" s="5">
        <f>excelsalesdata[[#This Row],[Profit]]/excelsalesdata[[#This Row],[Net_sales]]</f>
        <v>0.74995733060249192</v>
      </c>
      <c r="AB1567" s="4">
        <f>YEAR(excelsalesdata[[#This Row],[Order_Date]])</f>
        <v>2029</v>
      </c>
      <c r="AC1567" s="4" t="str">
        <f>TEXT(excelsalesdata[[#This Row],[Order_Date]],"mmm")</f>
        <v>Jul</v>
      </c>
      <c r="AD1567" s="4" t="str">
        <f>"Q"&amp;ROUNDUP(MONTH(excelsalesdata[[#This Row],[Order_Date]])/3,0)</f>
        <v>Q3</v>
      </c>
    </row>
    <row r="1568" spans="1:30" x14ac:dyDescent="0.35">
      <c r="A1568" t="s">
        <v>2399</v>
      </c>
      <c r="B1568" s="3">
        <v>47326</v>
      </c>
      <c r="C1568" t="s">
        <v>457</v>
      </c>
      <c r="D1568" t="s">
        <v>118</v>
      </c>
      <c r="E1568" t="str">
        <f>TRIM(excelsalesdata[[#This Row],[Customer_Name]])</f>
        <v>Nisha Shah</v>
      </c>
      <c r="F1568" t="s">
        <v>23</v>
      </c>
      <c r="G1568">
        <v>48</v>
      </c>
      <c r="H1568" t="s">
        <v>52</v>
      </c>
      <c r="I1568" t="str">
        <f>TRIM(excelsalesdata[[#This Row],[City]])</f>
        <v>Bengaluru</v>
      </c>
      <c r="J1568" t="s">
        <v>53</v>
      </c>
      <c r="K1568" t="s">
        <v>47</v>
      </c>
      <c r="L1568" t="s">
        <v>85</v>
      </c>
      <c r="M1568" t="s">
        <v>110</v>
      </c>
      <c r="N1568" t="s">
        <v>110</v>
      </c>
      <c r="O1568">
        <v>4</v>
      </c>
      <c r="P1568">
        <v>1190</v>
      </c>
      <c r="Q1568">
        <v>0.15</v>
      </c>
      <c r="R1568">
        <v>580</v>
      </c>
      <c r="S1568" t="s">
        <v>29</v>
      </c>
      <c r="T1568" t="s">
        <v>74</v>
      </c>
      <c r="U1568">
        <v>1</v>
      </c>
      <c r="V1568" t="s">
        <v>40</v>
      </c>
      <c r="W1568">
        <f>excelsalesdata[[#This Row],[Quantity]]*excelsalesdata[[#This Row],[Unit_Price]]</f>
        <v>4760</v>
      </c>
      <c r="X1568">
        <f>excelsalesdata[[#This Row],[Gross_sales]]*excelsalesdata[[#This Row],[Discount_%]]</f>
        <v>714</v>
      </c>
      <c r="Y1568">
        <f>excelsalesdata[[#This Row],[Gross_sales]]-excelsalesdata[[#This Row],[Discount_amt]]</f>
        <v>4046</v>
      </c>
      <c r="Z1568" s="4">
        <f>excelsalesdata[[#This Row],[Net_sales]]-excelsalesdata[[#This Row],[Cost]]</f>
        <v>3466</v>
      </c>
      <c r="AA1568" s="5">
        <f>excelsalesdata[[#This Row],[Profit]]/excelsalesdata[[#This Row],[Net_sales]]</f>
        <v>0.856648541769649</v>
      </c>
      <c r="AB1568" s="4">
        <f>YEAR(excelsalesdata[[#This Row],[Order_Date]])</f>
        <v>2029</v>
      </c>
      <c r="AC1568" s="4" t="str">
        <f>TEXT(excelsalesdata[[#This Row],[Order_Date]],"mmm")</f>
        <v>Jul</v>
      </c>
      <c r="AD1568" s="4" t="str">
        <f>"Q"&amp;ROUNDUP(MONTH(excelsalesdata[[#This Row],[Order_Date]])/3,0)</f>
        <v>Q3</v>
      </c>
    </row>
    <row r="1569" spans="1:30" x14ac:dyDescent="0.35">
      <c r="A1569" t="s">
        <v>2401</v>
      </c>
      <c r="B1569" s="3">
        <v>47327</v>
      </c>
      <c r="C1569" t="s">
        <v>913</v>
      </c>
      <c r="D1569" t="s">
        <v>629</v>
      </c>
      <c r="E1569" t="str">
        <f>TRIM(excelsalesdata[[#This Row],[Customer_Name]])</f>
        <v>Vikram Shah</v>
      </c>
      <c r="F1569" t="s">
        <v>44</v>
      </c>
      <c r="G1569">
        <v>45</v>
      </c>
      <c r="H1569" t="s">
        <v>190</v>
      </c>
      <c r="I1569" t="str">
        <f>TRIM(excelsalesdata[[#This Row],[City]])</f>
        <v>Ahmedabad</v>
      </c>
      <c r="J1569" t="s">
        <v>191</v>
      </c>
      <c r="K1569" t="s">
        <v>26</v>
      </c>
      <c r="L1569" t="s">
        <v>103</v>
      </c>
      <c r="M1569" t="s">
        <v>312</v>
      </c>
      <c r="N1569" t="s">
        <v>312</v>
      </c>
      <c r="O1569">
        <v>2</v>
      </c>
      <c r="P1569">
        <v>6410</v>
      </c>
      <c r="Q1569">
        <v>0</v>
      </c>
      <c r="R1569">
        <v>4120</v>
      </c>
      <c r="S1569" t="s">
        <v>2848</v>
      </c>
      <c r="T1569" t="s">
        <v>30</v>
      </c>
      <c r="U1569">
        <v>1</v>
      </c>
      <c r="V1569" t="s">
        <v>40</v>
      </c>
      <c r="W1569">
        <f>excelsalesdata[[#This Row],[Quantity]]*excelsalesdata[[#This Row],[Unit_Price]]</f>
        <v>12820</v>
      </c>
      <c r="X1569">
        <f>excelsalesdata[[#This Row],[Gross_sales]]*excelsalesdata[[#This Row],[Discount_%]]</f>
        <v>0</v>
      </c>
      <c r="Y1569">
        <f>excelsalesdata[[#This Row],[Gross_sales]]-excelsalesdata[[#This Row],[Discount_amt]]</f>
        <v>12820</v>
      </c>
      <c r="Z1569" s="4">
        <f>excelsalesdata[[#This Row],[Net_sales]]-excelsalesdata[[#This Row],[Cost]]</f>
        <v>8700</v>
      </c>
      <c r="AA1569" s="5">
        <f>excelsalesdata[[#This Row],[Profit]]/excelsalesdata[[#This Row],[Net_sales]]</f>
        <v>0.67862714508580346</v>
      </c>
      <c r="AB1569" s="4">
        <f>YEAR(excelsalesdata[[#This Row],[Order_Date]])</f>
        <v>2029</v>
      </c>
      <c r="AC1569" s="4" t="str">
        <f>TEXT(excelsalesdata[[#This Row],[Order_Date]],"mmm")</f>
        <v>Jul</v>
      </c>
      <c r="AD1569" s="4" t="str">
        <f>"Q"&amp;ROUNDUP(MONTH(excelsalesdata[[#This Row],[Order_Date]])/3,0)</f>
        <v>Q3</v>
      </c>
    </row>
    <row r="1570" spans="1:30" x14ac:dyDescent="0.35">
      <c r="A1570" t="s">
        <v>2402</v>
      </c>
      <c r="B1570" s="3">
        <v>47328</v>
      </c>
      <c r="C1570" t="s">
        <v>226</v>
      </c>
      <c r="D1570" t="s">
        <v>315</v>
      </c>
      <c r="E1570" t="str">
        <f>TRIM(excelsalesdata[[#This Row],[Customer_Name]])</f>
        <v>Diya Rao</v>
      </c>
      <c r="F1570" t="s">
        <v>23</v>
      </c>
      <c r="G1570">
        <v>59</v>
      </c>
      <c r="H1570" t="s">
        <v>71</v>
      </c>
      <c r="I1570" t="str">
        <f>TRIM(excelsalesdata[[#This Row],[City]])</f>
        <v>Bhubaneswar</v>
      </c>
      <c r="J1570" t="s">
        <v>72</v>
      </c>
      <c r="K1570" t="s">
        <v>37</v>
      </c>
      <c r="L1570" t="s">
        <v>93</v>
      </c>
      <c r="M1570" t="s">
        <v>718</v>
      </c>
      <c r="N1570" t="s">
        <v>718</v>
      </c>
      <c r="O1570">
        <v>2</v>
      </c>
      <c r="P1570">
        <v>1760</v>
      </c>
      <c r="Q1570">
        <v>0</v>
      </c>
      <c r="R1570">
        <v>890</v>
      </c>
      <c r="S1570" t="s">
        <v>80</v>
      </c>
      <c r="T1570" t="s">
        <v>30</v>
      </c>
      <c r="U1570">
        <v>6</v>
      </c>
      <c r="V1570" t="s">
        <v>40</v>
      </c>
      <c r="W1570">
        <f>excelsalesdata[[#This Row],[Quantity]]*excelsalesdata[[#This Row],[Unit_Price]]</f>
        <v>3520</v>
      </c>
      <c r="X1570">
        <f>excelsalesdata[[#This Row],[Gross_sales]]*excelsalesdata[[#This Row],[Discount_%]]</f>
        <v>0</v>
      </c>
      <c r="Y1570">
        <f>excelsalesdata[[#This Row],[Gross_sales]]-excelsalesdata[[#This Row],[Discount_amt]]</f>
        <v>3520</v>
      </c>
      <c r="Z1570" s="4">
        <f>excelsalesdata[[#This Row],[Net_sales]]-excelsalesdata[[#This Row],[Cost]]</f>
        <v>2630</v>
      </c>
      <c r="AA1570" s="5">
        <f>excelsalesdata[[#This Row],[Profit]]/excelsalesdata[[#This Row],[Net_sales]]</f>
        <v>0.74715909090909094</v>
      </c>
      <c r="AB1570" s="4">
        <f>YEAR(excelsalesdata[[#This Row],[Order_Date]])</f>
        <v>2029</v>
      </c>
      <c r="AC1570" s="4" t="str">
        <f>TEXT(excelsalesdata[[#This Row],[Order_Date]],"mmm")</f>
        <v>Jul</v>
      </c>
      <c r="AD1570" s="4" t="str">
        <f>"Q"&amp;ROUNDUP(MONTH(excelsalesdata[[#This Row],[Order_Date]])/3,0)</f>
        <v>Q3</v>
      </c>
    </row>
    <row r="1571" spans="1:30" x14ac:dyDescent="0.35">
      <c r="A1571" t="s">
        <v>2403</v>
      </c>
      <c r="B1571" s="3">
        <v>47329</v>
      </c>
      <c r="C1571" t="s">
        <v>854</v>
      </c>
      <c r="D1571" t="s">
        <v>1013</v>
      </c>
      <c r="E1571" t="str">
        <f>TRIM(excelsalesdata[[#This Row],[Customer_Name]])</f>
        <v>Aarav Mehta</v>
      </c>
      <c r="F1571" t="s">
        <v>23</v>
      </c>
      <c r="G1571">
        <v>22</v>
      </c>
      <c r="H1571" t="s">
        <v>45</v>
      </c>
      <c r="I1571" t="str">
        <f>TRIM(excelsalesdata[[#This Row],[City]])</f>
        <v>Kochi</v>
      </c>
      <c r="J1571" t="s">
        <v>46</v>
      </c>
      <c r="K1571" t="s">
        <v>47</v>
      </c>
      <c r="L1571" t="s">
        <v>54</v>
      </c>
      <c r="M1571" t="s">
        <v>66</v>
      </c>
      <c r="N1571" t="s">
        <v>66</v>
      </c>
      <c r="O1571">
        <v>4</v>
      </c>
      <c r="P1571">
        <v>2330</v>
      </c>
      <c r="Q1571">
        <v>0</v>
      </c>
      <c r="R1571">
        <v>1450</v>
      </c>
      <c r="S1571" t="s">
        <v>105</v>
      </c>
      <c r="T1571" t="s">
        <v>30</v>
      </c>
      <c r="U1571">
        <v>5</v>
      </c>
      <c r="V1571" t="s">
        <v>40</v>
      </c>
      <c r="W1571">
        <f>excelsalesdata[[#This Row],[Quantity]]*excelsalesdata[[#This Row],[Unit_Price]]</f>
        <v>9320</v>
      </c>
      <c r="X1571">
        <f>excelsalesdata[[#This Row],[Gross_sales]]*excelsalesdata[[#This Row],[Discount_%]]</f>
        <v>0</v>
      </c>
      <c r="Y1571">
        <f>excelsalesdata[[#This Row],[Gross_sales]]-excelsalesdata[[#This Row],[Discount_amt]]</f>
        <v>9320</v>
      </c>
      <c r="Z1571" s="4">
        <f>excelsalesdata[[#This Row],[Net_sales]]-excelsalesdata[[#This Row],[Cost]]</f>
        <v>7870</v>
      </c>
      <c r="AA1571" s="5">
        <f>excelsalesdata[[#This Row],[Profit]]/excelsalesdata[[#This Row],[Net_sales]]</f>
        <v>0.84442060085836912</v>
      </c>
      <c r="AB1571" s="4">
        <f>YEAR(excelsalesdata[[#This Row],[Order_Date]])</f>
        <v>2029</v>
      </c>
      <c r="AC1571" s="4" t="str">
        <f>TEXT(excelsalesdata[[#This Row],[Order_Date]],"mmm")</f>
        <v>Jul</v>
      </c>
      <c r="AD1571" s="4" t="str">
        <f>"Q"&amp;ROUNDUP(MONTH(excelsalesdata[[#This Row],[Order_Date]])/3,0)</f>
        <v>Q3</v>
      </c>
    </row>
    <row r="1572" spans="1:30" x14ac:dyDescent="0.35">
      <c r="A1572" t="s">
        <v>2404</v>
      </c>
      <c r="B1572" s="3">
        <v>47330</v>
      </c>
      <c r="C1572" t="s">
        <v>895</v>
      </c>
      <c r="D1572" t="s">
        <v>1374</v>
      </c>
      <c r="E1572" t="str">
        <f>TRIM(excelsalesdata[[#This Row],[Customer_Name]])</f>
        <v>Karan Joshi</v>
      </c>
      <c r="F1572" t="s">
        <v>44</v>
      </c>
      <c r="G1572">
        <v>34</v>
      </c>
      <c r="H1572" t="s">
        <v>35</v>
      </c>
      <c r="I1572" t="str">
        <f>TRIM(excelsalesdata[[#This Row],[City]])</f>
        <v>Kolkata</v>
      </c>
      <c r="J1572" t="s">
        <v>36</v>
      </c>
      <c r="K1572" t="s">
        <v>37</v>
      </c>
      <c r="L1572" t="s">
        <v>93</v>
      </c>
      <c r="M1572" t="s">
        <v>206</v>
      </c>
      <c r="N1572" t="s">
        <v>206</v>
      </c>
      <c r="O1572">
        <v>2</v>
      </c>
      <c r="P1572">
        <v>700</v>
      </c>
      <c r="Q1572">
        <v>0</v>
      </c>
      <c r="R1572">
        <v>290</v>
      </c>
      <c r="S1572" t="s">
        <v>67</v>
      </c>
      <c r="T1572" t="s">
        <v>74</v>
      </c>
      <c r="U1572">
        <v>2</v>
      </c>
      <c r="V1572" t="s">
        <v>40</v>
      </c>
      <c r="W1572">
        <f>excelsalesdata[[#This Row],[Quantity]]*excelsalesdata[[#This Row],[Unit_Price]]</f>
        <v>1400</v>
      </c>
      <c r="X1572">
        <f>excelsalesdata[[#This Row],[Gross_sales]]*excelsalesdata[[#This Row],[Discount_%]]</f>
        <v>0</v>
      </c>
      <c r="Y1572">
        <f>excelsalesdata[[#This Row],[Gross_sales]]-excelsalesdata[[#This Row],[Discount_amt]]</f>
        <v>1400</v>
      </c>
      <c r="Z1572" s="4">
        <f>excelsalesdata[[#This Row],[Net_sales]]-excelsalesdata[[#This Row],[Cost]]</f>
        <v>1110</v>
      </c>
      <c r="AA1572" s="5">
        <f>excelsalesdata[[#This Row],[Profit]]/excelsalesdata[[#This Row],[Net_sales]]</f>
        <v>0.79285714285714282</v>
      </c>
      <c r="AB1572" s="4">
        <f>YEAR(excelsalesdata[[#This Row],[Order_Date]])</f>
        <v>2029</v>
      </c>
      <c r="AC1572" s="4" t="str">
        <f>TEXT(excelsalesdata[[#This Row],[Order_Date]],"mmm")</f>
        <v>Jul</v>
      </c>
      <c r="AD1572" s="4" t="str">
        <f>"Q"&amp;ROUNDUP(MONTH(excelsalesdata[[#This Row],[Order_Date]])/3,0)</f>
        <v>Q3</v>
      </c>
    </row>
    <row r="1573" spans="1:30" x14ac:dyDescent="0.35">
      <c r="A1573" t="s">
        <v>2405</v>
      </c>
      <c r="B1573" s="3">
        <v>47331</v>
      </c>
      <c r="C1573" t="s">
        <v>646</v>
      </c>
      <c r="D1573" t="s">
        <v>270</v>
      </c>
      <c r="E1573" t="str">
        <f>TRIM(excelsalesdata[[#This Row],[Customer_Name]])</f>
        <v>Ananya Das</v>
      </c>
      <c r="F1573" t="s">
        <v>44</v>
      </c>
      <c r="G1573">
        <v>22</v>
      </c>
      <c r="H1573" t="s">
        <v>78</v>
      </c>
      <c r="I1573" t="str">
        <f>TRIM(excelsalesdata[[#This Row],[City]])</f>
        <v>Guwahati</v>
      </c>
      <c r="J1573" t="s">
        <v>79</v>
      </c>
      <c r="K1573" t="s">
        <v>37</v>
      </c>
      <c r="L1573" t="s">
        <v>93</v>
      </c>
      <c r="M1573" t="s">
        <v>375</v>
      </c>
      <c r="N1573" t="s">
        <v>375</v>
      </c>
      <c r="O1573">
        <v>1</v>
      </c>
      <c r="P1573">
        <v>2030</v>
      </c>
      <c r="Q1573">
        <v>0.05</v>
      </c>
      <c r="R1573">
        <v>1160</v>
      </c>
      <c r="S1573" t="s">
        <v>80</v>
      </c>
      <c r="T1573" t="s">
        <v>30</v>
      </c>
      <c r="U1573">
        <v>5</v>
      </c>
      <c r="V1573" t="s">
        <v>40</v>
      </c>
      <c r="W1573">
        <f>excelsalesdata[[#This Row],[Quantity]]*excelsalesdata[[#This Row],[Unit_Price]]</f>
        <v>2030</v>
      </c>
      <c r="X1573">
        <f>excelsalesdata[[#This Row],[Gross_sales]]*excelsalesdata[[#This Row],[Discount_%]]</f>
        <v>101.5</v>
      </c>
      <c r="Y1573">
        <f>excelsalesdata[[#This Row],[Gross_sales]]-excelsalesdata[[#This Row],[Discount_amt]]</f>
        <v>1928.5</v>
      </c>
      <c r="Z1573" s="4">
        <f>excelsalesdata[[#This Row],[Net_sales]]-excelsalesdata[[#This Row],[Cost]]</f>
        <v>768.5</v>
      </c>
      <c r="AA1573" s="5">
        <f>excelsalesdata[[#This Row],[Profit]]/excelsalesdata[[#This Row],[Net_sales]]</f>
        <v>0.39849624060150374</v>
      </c>
      <c r="AB1573" s="4">
        <f>YEAR(excelsalesdata[[#This Row],[Order_Date]])</f>
        <v>2029</v>
      </c>
      <c r="AC1573" s="4" t="str">
        <f>TEXT(excelsalesdata[[#This Row],[Order_Date]],"mmm")</f>
        <v>Aug</v>
      </c>
      <c r="AD1573" s="4" t="str">
        <f>"Q"&amp;ROUNDUP(MONTH(excelsalesdata[[#This Row],[Order_Date]])/3,0)</f>
        <v>Q3</v>
      </c>
    </row>
    <row r="1574" spans="1:30" x14ac:dyDescent="0.35">
      <c r="A1574" t="s">
        <v>2406</v>
      </c>
      <c r="B1574" s="3">
        <v>47332</v>
      </c>
      <c r="C1574" t="s">
        <v>1144</v>
      </c>
      <c r="D1574" t="s">
        <v>806</v>
      </c>
      <c r="E1574" t="str">
        <f>TRIM(excelsalesdata[[#This Row],[Customer_Name]])</f>
        <v>Karan Patel</v>
      </c>
      <c r="F1574" t="s">
        <v>44</v>
      </c>
      <c r="G1574">
        <v>57</v>
      </c>
      <c r="H1574" t="s">
        <v>114</v>
      </c>
      <c r="I1574" t="str">
        <f>TRIM(excelsalesdata[[#This Row],[City]])</f>
        <v>Hyderabad</v>
      </c>
      <c r="J1574" t="s">
        <v>115</v>
      </c>
      <c r="K1574" t="s">
        <v>47</v>
      </c>
      <c r="L1574" t="s">
        <v>103</v>
      </c>
      <c r="M1574" t="s">
        <v>312</v>
      </c>
      <c r="N1574" t="s">
        <v>312</v>
      </c>
      <c r="O1574">
        <v>1</v>
      </c>
      <c r="P1574">
        <v>6870</v>
      </c>
      <c r="Q1574">
        <v>0.2</v>
      </c>
      <c r="R1574">
        <v>4000</v>
      </c>
      <c r="S1574" t="s">
        <v>29</v>
      </c>
      <c r="T1574" t="s">
        <v>81</v>
      </c>
      <c r="U1574">
        <v>0</v>
      </c>
      <c r="V1574" t="s">
        <v>31</v>
      </c>
      <c r="W1574">
        <f>excelsalesdata[[#This Row],[Quantity]]*excelsalesdata[[#This Row],[Unit_Price]]</f>
        <v>6870</v>
      </c>
      <c r="X1574">
        <f>excelsalesdata[[#This Row],[Gross_sales]]*excelsalesdata[[#This Row],[Discount_%]]</f>
        <v>1374</v>
      </c>
      <c r="Y1574">
        <f>excelsalesdata[[#This Row],[Gross_sales]]-excelsalesdata[[#This Row],[Discount_amt]]</f>
        <v>5496</v>
      </c>
      <c r="Z1574" s="4">
        <f>excelsalesdata[[#This Row],[Net_sales]]-excelsalesdata[[#This Row],[Cost]]</f>
        <v>1496</v>
      </c>
      <c r="AA1574" s="5">
        <f>excelsalesdata[[#This Row],[Profit]]/excelsalesdata[[#This Row],[Net_sales]]</f>
        <v>0.27219796215429404</v>
      </c>
      <c r="AB1574" s="4">
        <f>YEAR(excelsalesdata[[#This Row],[Order_Date]])</f>
        <v>2029</v>
      </c>
      <c r="AC1574" s="4" t="str">
        <f>TEXT(excelsalesdata[[#This Row],[Order_Date]],"mmm")</f>
        <v>Aug</v>
      </c>
      <c r="AD1574" s="4" t="str">
        <f>"Q"&amp;ROUNDUP(MONTH(excelsalesdata[[#This Row],[Order_Date]])/3,0)</f>
        <v>Q3</v>
      </c>
    </row>
    <row r="1575" spans="1:30" x14ac:dyDescent="0.35">
      <c r="A1575" t="s">
        <v>2407</v>
      </c>
      <c r="B1575" s="3">
        <v>47333</v>
      </c>
      <c r="C1575" t="s">
        <v>322</v>
      </c>
      <c r="D1575" t="s">
        <v>258</v>
      </c>
      <c r="E1575" t="str">
        <f>TRIM(excelsalesdata[[#This Row],[Customer_Name]])</f>
        <v>Sneha Sharma</v>
      </c>
      <c r="F1575" t="s">
        <v>23</v>
      </c>
      <c r="G1575">
        <v>25</v>
      </c>
      <c r="H1575" t="s">
        <v>60</v>
      </c>
      <c r="I1575" t="str">
        <f>TRIM(excelsalesdata[[#This Row],[City]])</f>
        <v>Chandigarh</v>
      </c>
      <c r="J1575" t="s">
        <v>60</v>
      </c>
      <c r="K1575" t="s">
        <v>61</v>
      </c>
      <c r="L1575" t="s">
        <v>38</v>
      </c>
      <c r="M1575" t="s">
        <v>161</v>
      </c>
      <c r="N1575" t="s">
        <v>161</v>
      </c>
      <c r="O1575">
        <v>3</v>
      </c>
      <c r="P1575">
        <v>27190</v>
      </c>
      <c r="Q1575">
        <v>0.1</v>
      </c>
      <c r="R1575">
        <v>20440</v>
      </c>
      <c r="S1575" t="s">
        <v>29</v>
      </c>
      <c r="T1575" t="s">
        <v>30</v>
      </c>
      <c r="U1575">
        <v>4</v>
      </c>
      <c r="V1575" t="s">
        <v>31</v>
      </c>
      <c r="W1575">
        <f>excelsalesdata[[#This Row],[Quantity]]*excelsalesdata[[#This Row],[Unit_Price]]</f>
        <v>81570</v>
      </c>
      <c r="X1575">
        <f>excelsalesdata[[#This Row],[Gross_sales]]*excelsalesdata[[#This Row],[Discount_%]]</f>
        <v>8157</v>
      </c>
      <c r="Y1575">
        <f>excelsalesdata[[#This Row],[Gross_sales]]-excelsalesdata[[#This Row],[Discount_amt]]</f>
        <v>73413</v>
      </c>
      <c r="Z1575" s="4">
        <f>excelsalesdata[[#This Row],[Net_sales]]-excelsalesdata[[#This Row],[Cost]]</f>
        <v>52973</v>
      </c>
      <c r="AA1575" s="5">
        <f>excelsalesdata[[#This Row],[Profit]]/excelsalesdata[[#This Row],[Net_sales]]</f>
        <v>0.7215751978532412</v>
      </c>
      <c r="AB1575" s="4">
        <f>YEAR(excelsalesdata[[#This Row],[Order_Date]])</f>
        <v>2029</v>
      </c>
      <c r="AC1575" s="4" t="str">
        <f>TEXT(excelsalesdata[[#This Row],[Order_Date]],"mmm")</f>
        <v>Aug</v>
      </c>
      <c r="AD1575" s="4" t="str">
        <f>"Q"&amp;ROUNDUP(MONTH(excelsalesdata[[#This Row],[Order_Date]])/3,0)</f>
        <v>Q3</v>
      </c>
    </row>
    <row r="1576" spans="1:30" x14ac:dyDescent="0.35">
      <c r="A1576" t="s">
        <v>2408</v>
      </c>
      <c r="B1576" s="3">
        <v>47334</v>
      </c>
      <c r="C1576" t="s">
        <v>450</v>
      </c>
      <c r="D1576" t="s">
        <v>1374</v>
      </c>
      <c r="E1576" t="str">
        <f>TRIM(excelsalesdata[[#This Row],[Customer_Name]])</f>
        <v>Karan Joshi</v>
      </c>
      <c r="F1576" t="s">
        <v>44</v>
      </c>
      <c r="G1576">
        <v>42</v>
      </c>
      <c r="H1576" t="s">
        <v>45</v>
      </c>
      <c r="I1576" t="str">
        <f>TRIM(excelsalesdata[[#This Row],[City]])</f>
        <v>Kochi</v>
      </c>
      <c r="J1576" t="s">
        <v>46</v>
      </c>
      <c r="K1576" t="s">
        <v>47</v>
      </c>
      <c r="L1576" t="s">
        <v>54</v>
      </c>
      <c r="M1576" t="s">
        <v>62</v>
      </c>
      <c r="N1576" t="s">
        <v>62</v>
      </c>
      <c r="O1576">
        <v>1</v>
      </c>
      <c r="P1576">
        <v>21100</v>
      </c>
      <c r="Q1576">
        <v>0</v>
      </c>
      <c r="R1576">
        <v>15110</v>
      </c>
      <c r="S1576" t="s">
        <v>105</v>
      </c>
      <c r="T1576" t="s">
        <v>30</v>
      </c>
      <c r="U1576">
        <v>3</v>
      </c>
      <c r="V1576" t="s">
        <v>40</v>
      </c>
      <c r="W1576">
        <f>excelsalesdata[[#This Row],[Quantity]]*excelsalesdata[[#This Row],[Unit_Price]]</f>
        <v>21100</v>
      </c>
      <c r="X1576">
        <f>excelsalesdata[[#This Row],[Gross_sales]]*excelsalesdata[[#This Row],[Discount_%]]</f>
        <v>0</v>
      </c>
      <c r="Y1576">
        <f>excelsalesdata[[#This Row],[Gross_sales]]-excelsalesdata[[#This Row],[Discount_amt]]</f>
        <v>21100</v>
      </c>
      <c r="Z1576" s="4">
        <f>excelsalesdata[[#This Row],[Net_sales]]-excelsalesdata[[#This Row],[Cost]]</f>
        <v>5990</v>
      </c>
      <c r="AA1576" s="5">
        <f>excelsalesdata[[#This Row],[Profit]]/excelsalesdata[[#This Row],[Net_sales]]</f>
        <v>0.28388625592417061</v>
      </c>
      <c r="AB1576" s="4">
        <f>YEAR(excelsalesdata[[#This Row],[Order_Date]])</f>
        <v>2029</v>
      </c>
      <c r="AC1576" s="4" t="str">
        <f>TEXT(excelsalesdata[[#This Row],[Order_Date]],"mmm")</f>
        <v>Aug</v>
      </c>
      <c r="AD1576" s="4" t="str">
        <f>"Q"&amp;ROUNDUP(MONTH(excelsalesdata[[#This Row],[Order_Date]])/3,0)</f>
        <v>Q3</v>
      </c>
    </row>
    <row r="1577" spans="1:30" x14ac:dyDescent="0.35">
      <c r="A1577" t="s">
        <v>2409</v>
      </c>
      <c r="B1577" s="3">
        <v>47335</v>
      </c>
      <c r="C1577" t="s">
        <v>1532</v>
      </c>
      <c r="D1577" t="s">
        <v>1374</v>
      </c>
      <c r="E1577" t="str">
        <f>TRIM(excelsalesdata[[#This Row],[Customer_Name]])</f>
        <v>Karan Joshi</v>
      </c>
      <c r="F1577" t="s">
        <v>23</v>
      </c>
      <c r="G1577">
        <v>59</v>
      </c>
      <c r="H1577" t="s">
        <v>185</v>
      </c>
      <c r="I1577" t="str">
        <f>TRIM(excelsalesdata[[#This Row],[City]])</f>
        <v>Lucknow</v>
      </c>
      <c r="J1577" t="s">
        <v>186</v>
      </c>
      <c r="K1577" t="s">
        <v>61</v>
      </c>
      <c r="L1577" t="s">
        <v>54</v>
      </c>
      <c r="M1577" t="s">
        <v>129</v>
      </c>
      <c r="N1577" t="s">
        <v>129</v>
      </c>
      <c r="O1577">
        <v>3</v>
      </c>
      <c r="P1577">
        <v>17900</v>
      </c>
      <c r="Q1577">
        <v>0.15</v>
      </c>
      <c r="R1577">
        <v>12710</v>
      </c>
      <c r="S1577" t="s">
        <v>29</v>
      </c>
      <c r="T1577" t="s">
        <v>30</v>
      </c>
      <c r="U1577">
        <v>3</v>
      </c>
      <c r="V1577" t="s">
        <v>40</v>
      </c>
      <c r="W1577">
        <f>excelsalesdata[[#This Row],[Quantity]]*excelsalesdata[[#This Row],[Unit_Price]]</f>
        <v>53700</v>
      </c>
      <c r="X1577">
        <f>excelsalesdata[[#This Row],[Gross_sales]]*excelsalesdata[[#This Row],[Discount_%]]</f>
        <v>8055</v>
      </c>
      <c r="Y1577">
        <f>excelsalesdata[[#This Row],[Gross_sales]]-excelsalesdata[[#This Row],[Discount_amt]]</f>
        <v>45645</v>
      </c>
      <c r="Z1577" s="4">
        <f>excelsalesdata[[#This Row],[Net_sales]]-excelsalesdata[[#This Row],[Cost]]</f>
        <v>32935</v>
      </c>
      <c r="AA1577" s="5">
        <f>excelsalesdata[[#This Row],[Profit]]/excelsalesdata[[#This Row],[Net_sales]]</f>
        <v>0.72154671924635772</v>
      </c>
      <c r="AB1577" s="4">
        <f>YEAR(excelsalesdata[[#This Row],[Order_Date]])</f>
        <v>2029</v>
      </c>
      <c r="AC1577" s="4" t="str">
        <f>TEXT(excelsalesdata[[#This Row],[Order_Date]],"mmm")</f>
        <v>Aug</v>
      </c>
      <c r="AD1577" s="4" t="str">
        <f>"Q"&amp;ROUNDUP(MONTH(excelsalesdata[[#This Row],[Order_Date]])/3,0)</f>
        <v>Q3</v>
      </c>
    </row>
    <row r="1578" spans="1:30" x14ac:dyDescent="0.35">
      <c r="A1578" t="s">
        <v>2410</v>
      </c>
      <c r="B1578" s="3">
        <v>47336</v>
      </c>
      <c r="C1578" t="s">
        <v>726</v>
      </c>
      <c r="D1578" t="s">
        <v>333</v>
      </c>
      <c r="E1578" t="str">
        <f>TRIM(excelsalesdata[[#This Row],[Customer_Name]])</f>
        <v>Ishita Singh</v>
      </c>
      <c r="F1578" t="s">
        <v>23</v>
      </c>
      <c r="G1578">
        <v>19</v>
      </c>
      <c r="H1578" t="s">
        <v>155</v>
      </c>
      <c r="I1578" t="str">
        <f>TRIM(excelsalesdata[[#This Row],[City]])</f>
        <v>Chennai</v>
      </c>
      <c r="J1578" t="s">
        <v>156</v>
      </c>
      <c r="K1578" t="s">
        <v>47</v>
      </c>
      <c r="L1578" t="s">
        <v>38</v>
      </c>
      <c r="M1578" t="s">
        <v>255</v>
      </c>
      <c r="N1578" t="s">
        <v>255</v>
      </c>
      <c r="O1578">
        <v>1</v>
      </c>
      <c r="P1578">
        <v>4440</v>
      </c>
      <c r="Q1578">
        <v>0.1</v>
      </c>
      <c r="R1578">
        <v>2770</v>
      </c>
      <c r="S1578" t="s">
        <v>29</v>
      </c>
      <c r="T1578" t="s">
        <v>30</v>
      </c>
      <c r="U1578">
        <v>4</v>
      </c>
      <c r="V1578" t="s">
        <v>31</v>
      </c>
      <c r="W1578">
        <f>excelsalesdata[[#This Row],[Quantity]]*excelsalesdata[[#This Row],[Unit_Price]]</f>
        <v>4440</v>
      </c>
      <c r="X1578">
        <f>excelsalesdata[[#This Row],[Gross_sales]]*excelsalesdata[[#This Row],[Discount_%]]</f>
        <v>444</v>
      </c>
      <c r="Y1578">
        <f>excelsalesdata[[#This Row],[Gross_sales]]-excelsalesdata[[#This Row],[Discount_amt]]</f>
        <v>3996</v>
      </c>
      <c r="Z1578" s="4">
        <f>excelsalesdata[[#This Row],[Net_sales]]-excelsalesdata[[#This Row],[Cost]]</f>
        <v>1226</v>
      </c>
      <c r="AA1578" s="5">
        <f>excelsalesdata[[#This Row],[Profit]]/excelsalesdata[[#This Row],[Net_sales]]</f>
        <v>0.30680680680680683</v>
      </c>
      <c r="AB1578" s="4">
        <f>YEAR(excelsalesdata[[#This Row],[Order_Date]])</f>
        <v>2029</v>
      </c>
      <c r="AC1578" s="4" t="str">
        <f>TEXT(excelsalesdata[[#This Row],[Order_Date]],"mmm")</f>
        <v>Aug</v>
      </c>
      <c r="AD1578" s="4" t="str">
        <f>"Q"&amp;ROUNDUP(MONTH(excelsalesdata[[#This Row],[Order_Date]])/3,0)</f>
        <v>Q3</v>
      </c>
    </row>
    <row r="1579" spans="1:30" x14ac:dyDescent="0.35">
      <c r="A1579" t="s">
        <v>2411</v>
      </c>
      <c r="B1579" s="3">
        <v>47337</v>
      </c>
      <c r="C1579" t="s">
        <v>946</v>
      </c>
      <c r="D1579" t="s">
        <v>1029</v>
      </c>
      <c r="E1579" t="str">
        <f>TRIM(excelsalesdata[[#This Row],[Customer_Name]])</f>
        <v>Kavya Reddy</v>
      </c>
      <c r="F1579" t="s">
        <v>23</v>
      </c>
      <c r="G1579">
        <v>26</v>
      </c>
      <c r="H1579" t="s">
        <v>155</v>
      </c>
      <c r="I1579" t="str">
        <f>TRIM(excelsalesdata[[#This Row],[City]])</f>
        <v>Chennai</v>
      </c>
      <c r="J1579" t="s">
        <v>156</v>
      </c>
      <c r="K1579" t="s">
        <v>47</v>
      </c>
      <c r="L1579" t="s">
        <v>54</v>
      </c>
      <c r="M1579" t="s">
        <v>129</v>
      </c>
      <c r="N1579" t="s">
        <v>129</v>
      </c>
      <c r="O1579">
        <v>2</v>
      </c>
      <c r="P1579">
        <v>17080</v>
      </c>
      <c r="Q1579">
        <v>0.05</v>
      </c>
      <c r="R1579">
        <v>12650</v>
      </c>
      <c r="S1579" t="s">
        <v>29</v>
      </c>
      <c r="T1579" t="s">
        <v>30</v>
      </c>
      <c r="U1579">
        <v>5</v>
      </c>
      <c r="V1579" t="s">
        <v>31</v>
      </c>
      <c r="W1579">
        <f>excelsalesdata[[#This Row],[Quantity]]*excelsalesdata[[#This Row],[Unit_Price]]</f>
        <v>34160</v>
      </c>
      <c r="X1579">
        <f>excelsalesdata[[#This Row],[Gross_sales]]*excelsalesdata[[#This Row],[Discount_%]]</f>
        <v>1708</v>
      </c>
      <c r="Y1579">
        <f>excelsalesdata[[#This Row],[Gross_sales]]-excelsalesdata[[#This Row],[Discount_amt]]</f>
        <v>32452</v>
      </c>
      <c r="Z1579" s="4">
        <f>excelsalesdata[[#This Row],[Net_sales]]-excelsalesdata[[#This Row],[Cost]]</f>
        <v>19802</v>
      </c>
      <c r="AA1579" s="5">
        <f>excelsalesdata[[#This Row],[Profit]]/excelsalesdata[[#This Row],[Net_sales]]</f>
        <v>0.6101935165783311</v>
      </c>
      <c r="AB1579" s="4">
        <f>YEAR(excelsalesdata[[#This Row],[Order_Date]])</f>
        <v>2029</v>
      </c>
      <c r="AC1579" s="4" t="str">
        <f>TEXT(excelsalesdata[[#This Row],[Order_Date]],"mmm")</f>
        <v>Aug</v>
      </c>
      <c r="AD1579" s="4" t="str">
        <f>"Q"&amp;ROUNDUP(MONTH(excelsalesdata[[#This Row],[Order_Date]])/3,0)</f>
        <v>Q3</v>
      </c>
    </row>
    <row r="1580" spans="1:30" x14ac:dyDescent="0.35">
      <c r="A1580" t="s">
        <v>2412</v>
      </c>
      <c r="B1580" s="3">
        <v>47338</v>
      </c>
      <c r="C1580" t="s">
        <v>2413</v>
      </c>
      <c r="D1580" t="s">
        <v>1070</v>
      </c>
      <c r="E1580" t="str">
        <f>TRIM(excelsalesdata[[#This Row],[Customer_Name]])</f>
        <v>Ishita Patel</v>
      </c>
      <c r="F1580" t="s">
        <v>44</v>
      </c>
      <c r="G1580">
        <v>44</v>
      </c>
      <c r="H1580" t="s">
        <v>35</v>
      </c>
      <c r="I1580" t="str">
        <f>TRIM(excelsalesdata[[#This Row],[City]])</f>
        <v>Kolkata</v>
      </c>
      <c r="J1580" t="s">
        <v>36</v>
      </c>
      <c r="K1580" t="s">
        <v>37</v>
      </c>
      <c r="L1580" t="s">
        <v>38</v>
      </c>
      <c r="M1580" t="s">
        <v>73</v>
      </c>
      <c r="N1580" t="s">
        <v>73</v>
      </c>
      <c r="O1580">
        <v>1</v>
      </c>
      <c r="P1580">
        <v>5190</v>
      </c>
      <c r="Q1580">
        <v>0.25</v>
      </c>
      <c r="R1580">
        <v>3040</v>
      </c>
      <c r="S1580" t="s">
        <v>80</v>
      </c>
      <c r="T1580" t="s">
        <v>30</v>
      </c>
      <c r="U1580">
        <v>4</v>
      </c>
      <c r="V1580" t="s">
        <v>40</v>
      </c>
      <c r="W1580">
        <f>excelsalesdata[[#This Row],[Quantity]]*excelsalesdata[[#This Row],[Unit_Price]]</f>
        <v>5190</v>
      </c>
      <c r="X1580">
        <f>excelsalesdata[[#This Row],[Gross_sales]]*excelsalesdata[[#This Row],[Discount_%]]</f>
        <v>1297.5</v>
      </c>
      <c r="Y1580">
        <f>excelsalesdata[[#This Row],[Gross_sales]]-excelsalesdata[[#This Row],[Discount_amt]]</f>
        <v>3892.5</v>
      </c>
      <c r="Z1580" s="4">
        <f>excelsalesdata[[#This Row],[Net_sales]]-excelsalesdata[[#This Row],[Cost]]</f>
        <v>852.5</v>
      </c>
      <c r="AA1580" s="5">
        <f>excelsalesdata[[#This Row],[Profit]]/excelsalesdata[[#This Row],[Net_sales]]</f>
        <v>0.21901091843288376</v>
      </c>
      <c r="AB1580" s="4">
        <f>YEAR(excelsalesdata[[#This Row],[Order_Date]])</f>
        <v>2029</v>
      </c>
      <c r="AC1580" s="4" t="str">
        <f>TEXT(excelsalesdata[[#This Row],[Order_Date]],"mmm")</f>
        <v>Aug</v>
      </c>
      <c r="AD1580" s="4" t="str">
        <f>"Q"&amp;ROUNDUP(MONTH(excelsalesdata[[#This Row],[Order_Date]])/3,0)</f>
        <v>Q3</v>
      </c>
    </row>
    <row r="1581" spans="1:30" x14ac:dyDescent="0.35">
      <c r="A1581" t="s">
        <v>2414</v>
      </c>
      <c r="B1581" s="3">
        <v>47339</v>
      </c>
      <c r="C1581" t="s">
        <v>506</v>
      </c>
      <c r="D1581" t="s">
        <v>1202</v>
      </c>
      <c r="E1581" t="str">
        <f>TRIM(excelsalesdata[[#This Row],[Customer_Name]])</f>
        <v>Ishita Naidu</v>
      </c>
      <c r="F1581" t="s">
        <v>23</v>
      </c>
      <c r="G1581">
        <v>41</v>
      </c>
      <c r="H1581" t="s">
        <v>185</v>
      </c>
      <c r="I1581" t="str">
        <f>TRIM(excelsalesdata[[#This Row],[City]])</f>
        <v>Lucknow</v>
      </c>
      <c r="J1581" t="s">
        <v>186</v>
      </c>
      <c r="K1581" t="s">
        <v>61</v>
      </c>
      <c r="L1581" t="s">
        <v>54</v>
      </c>
      <c r="M1581" t="s">
        <v>66</v>
      </c>
      <c r="N1581" t="s">
        <v>66</v>
      </c>
      <c r="O1581">
        <v>1</v>
      </c>
      <c r="P1581">
        <v>2320</v>
      </c>
      <c r="Q1581">
        <v>0</v>
      </c>
      <c r="R1581">
        <v>1450</v>
      </c>
      <c r="S1581" t="s">
        <v>80</v>
      </c>
      <c r="T1581" t="s">
        <v>30</v>
      </c>
      <c r="U1581">
        <v>5</v>
      </c>
      <c r="V1581" t="s">
        <v>40</v>
      </c>
      <c r="W1581">
        <f>excelsalesdata[[#This Row],[Quantity]]*excelsalesdata[[#This Row],[Unit_Price]]</f>
        <v>2320</v>
      </c>
      <c r="X1581">
        <f>excelsalesdata[[#This Row],[Gross_sales]]*excelsalesdata[[#This Row],[Discount_%]]</f>
        <v>0</v>
      </c>
      <c r="Y1581">
        <f>excelsalesdata[[#This Row],[Gross_sales]]-excelsalesdata[[#This Row],[Discount_amt]]</f>
        <v>2320</v>
      </c>
      <c r="Z1581" s="4">
        <f>excelsalesdata[[#This Row],[Net_sales]]-excelsalesdata[[#This Row],[Cost]]</f>
        <v>870</v>
      </c>
      <c r="AA1581" s="5">
        <f>excelsalesdata[[#This Row],[Profit]]/excelsalesdata[[#This Row],[Net_sales]]</f>
        <v>0.375</v>
      </c>
      <c r="AB1581" s="4">
        <f>YEAR(excelsalesdata[[#This Row],[Order_Date]])</f>
        <v>2029</v>
      </c>
      <c r="AC1581" s="4" t="str">
        <f>TEXT(excelsalesdata[[#This Row],[Order_Date]],"mmm")</f>
        <v>Aug</v>
      </c>
      <c r="AD1581" s="4" t="str">
        <f>"Q"&amp;ROUNDUP(MONTH(excelsalesdata[[#This Row],[Order_Date]])/3,0)</f>
        <v>Q3</v>
      </c>
    </row>
    <row r="1582" spans="1:30" x14ac:dyDescent="0.35">
      <c r="A1582" t="s">
        <v>2415</v>
      </c>
      <c r="B1582" s="3">
        <v>47340</v>
      </c>
      <c r="C1582" t="s">
        <v>1170</v>
      </c>
      <c r="D1582" t="s">
        <v>770</v>
      </c>
      <c r="E1582" t="str">
        <f>TRIM(excelsalesdata[[#This Row],[Customer_Name]])</f>
        <v>Karan Naidu</v>
      </c>
      <c r="F1582" t="s">
        <v>44</v>
      </c>
      <c r="G1582">
        <v>24</v>
      </c>
      <c r="H1582" t="s">
        <v>45</v>
      </c>
      <c r="I1582" t="str">
        <f>TRIM(excelsalesdata[[#This Row],[City]])</f>
        <v>Kochi</v>
      </c>
      <c r="J1582" t="s">
        <v>46</v>
      </c>
      <c r="K1582" t="s">
        <v>47</v>
      </c>
      <c r="L1582" t="s">
        <v>54</v>
      </c>
      <c r="M1582" t="s">
        <v>55</v>
      </c>
      <c r="N1582" t="s">
        <v>55</v>
      </c>
      <c r="O1582">
        <v>2</v>
      </c>
      <c r="P1582">
        <v>6690</v>
      </c>
      <c r="Q1582">
        <v>0.1</v>
      </c>
      <c r="R1582">
        <v>4530</v>
      </c>
      <c r="S1582" t="s">
        <v>105</v>
      </c>
      <c r="T1582" t="s">
        <v>99</v>
      </c>
      <c r="U1582">
        <v>1</v>
      </c>
      <c r="V1582" t="s">
        <v>40</v>
      </c>
      <c r="W1582">
        <f>excelsalesdata[[#This Row],[Quantity]]*excelsalesdata[[#This Row],[Unit_Price]]</f>
        <v>13380</v>
      </c>
      <c r="X1582">
        <f>excelsalesdata[[#This Row],[Gross_sales]]*excelsalesdata[[#This Row],[Discount_%]]</f>
        <v>1338</v>
      </c>
      <c r="Y1582">
        <f>excelsalesdata[[#This Row],[Gross_sales]]-excelsalesdata[[#This Row],[Discount_amt]]</f>
        <v>12042</v>
      </c>
      <c r="Z1582" s="4">
        <f>excelsalesdata[[#This Row],[Net_sales]]-excelsalesdata[[#This Row],[Cost]]</f>
        <v>7512</v>
      </c>
      <c r="AA1582" s="5">
        <f>excelsalesdata[[#This Row],[Profit]]/excelsalesdata[[#This Row],[Net_sales]]</f>
        <v>0.62381664175386153</v>
      </c>
      <c r="AB1582" s="4">
        <f>YEAR(excelsalesdata[[#This Row],[Order_Date]])</f>
        <v>2029</v>
      </c>
      <c r="AC1582" s="4" t="str">
        <f>TEXT(excelsalesdata[[#This Row],[Order_Date]],"mmm")</f>
        <v>Aug</v>
      </c>
      <c r="AD1582" s="4" t="str">
        <f>"Q"&amp;ROUNDUP(MONTH(excelsalesdata[[#This Row],[Order_Date]])/3,0)</f>
        <v>Q3</v>
      </c>
    </row>
    <row r="1583" spans="1:30" x14ac:dyDescent="0.35">
      <c r="A1583" t="s">
        <v>2416</v>
      </c>
      <c r="B1583" s="3">
        <v>47341</v>
      </c>
      <c r="C1583" t="s">
        <v>159</v>
      </c>
      <c r="D1583" t="s">
        <v>752</v>
      </c>
      <c r="E1583" t="str">
        <f>TRIM(excelsalesdata[[#This Row],[Customer_Name]])</f>
        <v>Kavya Mehta</v>
      </c>
      <c r="F1583" t="s">
        <v>23</v>
      </c>
      <c r="G1583">
        <v>32</v>
      </c>
      <c r="H1583" t="s">
        <v>133</v>
      </c>
      <c r="I1583" t="str">
        <f>TRIM(excelsalesdata[[#This Row],[City]])</f>
        <v>Jaipur</v>
      </c>
      <c r="J1583" t="s">
        <v>134</v>
      </c>
      <c r="K1583" t="s">
        <v>61</v>
      </c>
      <c r="L1583" t="s">
        <v>27</v>
      </c>
      <c r="M1583" t="s">
        <v>123</v>
      </c>
      <c r="N1583" t="s">
        <v>123</v>
      </c>
      <c r="O1583">
        <v>1</v>
      </c>
      <c r="P1583">
        <v>2800</v>
      </c>
      <c r="Q1583">
        <v>0.05</v>
      </c>
      <c r="R1583">
        <v>1660</v>
      </c>
      <c r="S1583" t="s">
        <v>151</v>
      </c>
      <c r="T1583" t="s">
        <v>30</v>
      </c>
      <c r="U1583">
        <v>2</v>
      </c>
      <c r="V1583" t="s">
        <v>31</v>
      </c>
      <c r="W1583">
        <f>excelsalesdata[[#This Row],[Quantity]]*excelsalesdata[[#This Row],[Unit_Price]]</f>
        <v>2800</v>
      </c>
      <c r="X1583">
        <f>excelsalesdata[[#This Row],[Gross_sales]]*excelsalesdata[[#This Row],[Discount_%]]</f>
        <v>140</v>
      </c>
      <c r="Y1583">
        <f>excelsalesdata[[#This Row],[Gross_sales]]-excelsalesdata[[#This Row],[Discount_amt]]</f>
        <v>2660</v>
      </c>
      <c r="Z1583" s="4">
        <f>excelsalesdata[[#This Row],[Net_sales]]-excelsalesdata[[#This Row],[Cost]]</f>
        <v>1000</v>
      </c>
      <c r="AA1583" s="5">
        <f>excelsalesdata[[#This Row],[Profit]]/excelsalesdata[[#This Row],[Net_sales]]</f>
        <v>0.37593984962406013</v>
      </c>
      <c r="AB1583" s="4">
        <f>YEAR(excelsalesdata[[#This Row],[Order_Date]])</f>
        <v>2029</v>
      </c>
      <c r="AC1583" s="4" t="str">
        <f>TEXT(excelsalesdata[[#This Row],[Order_Date]],"mmm")</f>
        <v>Aug</v>
      </c>
      <c r="AD1583" s="4" t="str">
        <f>"Q"&amp;ROUNDUP(MONTH(excelsalesdata[[#This Row],[Order_Date]])/3,0)</f>
        <v>Q3</v>
      </c>
    </row>
    <row r="1584" spans="1:30" x14ac:dyDescent="0.35">
      <c r="A1584" t="s">
        <v>2417</v>
      </c>
      <c r="B1584" s="3">
        <v>47342</v>
      </c>
      <c r="C1584" t="s">
        <v>1456</v>
      </c>
      <c r="D1584" t="s">
        <v>933</v>
      </c>
      <c r="E1584" t="str">
        <f>TRIM(excelsalesdata[[#This Row],[Customer_Name]])</f>
        <v>Sneha Patel</v>
      </c>
      <c r="F1584" t="s">
        <v>23</v>
      </c>
      <c r="G1584">
        <v>19</v>
      </c>
      <c r="H1584" t="s">
        <v>190</v>
      </c>
      <c r="I1584" t="str">
        <f>TRIM(excelsalesdata[[#This Row],[City]])</f>
        <v>Ahmedabad</v>
      </c>
      <c r="J1584" t="s">
        <v>191</v>
      </c>
      <c r="K1584" t="s">
        <v>26</v>
      </c>
      <c r="L1584" t="s">
        <v>27</v>
      </c>
      <c r="M1584" t="s">
        <v>295</v>
      </c>
      <c r="N1584" t="s">
        <v>295</v>
      </c>
      <c r="O1584">
        <v>1</v>
      </c>
      <c r="P1584">
        <v>3970</v>
      </c>
      <c r="Q1584">
        <v>0.2</v>
      </c>
      <c r="R1584">
        <v>2490</v>
      </c>
      <c r="S1584" t="s">
        <v>29</v>
      </c>
      <c r="T1584" t="s">
        <v>30</v>
      </c>
      <c r="U1584">
        <v>2</v>
      </c>
      <c r="V1584" t="s">
        <v>40</v>
      </c>
      <c r="W1584">
        <f>excelsalesdata[[#This Row],[Quantity]]*excelsalesdata[[#This Row],[Unit_Price]]</f>
        <v>3970</v>
      </c>
      <c r="X1584">
        <f>excelsalesdata[[#This Row],[Gross_sales]]*excelsalesdata[[#This Row],[Discount_%]]</f>
        <v>794</v>
      </c>
      <c r="Y1584">
        <f>excelsalesdata[[#This Row],[Gross_sales]]-excelsalesdata[[#This Row],[Discount_amt]]</f>
        <v>3176</v>
      </c>
      <c r="Z1584" s="4">
        <f>excelsalesdata[[#This Row],[Net_sales]]-excelsalesdata[[#This Row],[Cost]]</f>
        <v>686</v>
      </c>
      <c r="AA1584" s="5">
        <f>excelsalesdata[[#This Row],[Profit]]/excelsalesdata[[#This Row],[Net_sales]]</f>
        <v>0.21599496221662468</v>
      </c>
      <c r="AB1584" s="4">
        <f>YEAR(excelsalesdata[[#This Row],[Order_Date]])</f>
        <v>2029</v>
      </c>
      <c r="AC1584" s="4" t="str">
        <f>TEXT(excelsalesdata[[#This Row],[Order_Date]],"mmm")</f>
        <v>Aug</v>
      </c>
      <c r="AD1584" s="4" t="str">
        <f>"Q"&amp;ROUNDUP(MONTH(excelsalesdata[[#This Row],[Order_Date]])/3,0)</f>
        <v>Q3</v>
      </c>
    </row>
    <row r="1585" spans="1:30" x14ac:dyDescent="0.35">
      <c r="A1585" t="s">
        <v>2418</v>
      </c>
      <c r="B1585" s="3">
        <v>47343</v>
      </c>
      <c r="C1585" t="s">
        <v>143</v>
      </c>
      <c r="D1585" t="s">
        <v>1032</v>
      </c>
      <c r="E1585" t="str">
        <f>TRIM(excelsalesdata[[#This Row],[Customer_Name]])</f>
        <v>Aarav Gupta</v>
      </c>
      <c r="F1585" t="s">
        <v>23</v>
      </c>
      <c r="G1585">
        <v>25</v>
      </c>
      <c r="H1585" t="s">
        <v>78</v>
      </c>
      <c r="I1585" t="str">
        <f>TRIM(excelsalesdata[[#This Row],[City]])</f>
        <v>Guwahati</v>
      </c>
      <c r="J1585" t="s">
        <v>79</v>
      </c>
      <c r="K1585" t="s">
        <v>37</v>
      </c>
      <c r="L1585" t="s">
        <v>54</v>
      </c>
      <c r="M1585" t="s">
        <v>62</v>
      </c>
      <c r="N1585" t="s">
        <v>62</v>
      </c>
      <c r="O1585">
        <v>2</v>
      </c>
      <c r="P1585">
        <v>22220</v>
      </c>
      <c r="Q1585">
        <v>0.2</v>
      </c>
      <c r="R1585">
        <v>15020</v>
      </c>
      <c r="S1585" t="s">
        <v>67</v>
      </c>
      <c r="T1585" t="s">
        <v>30</v>
      </c>
      <c r="U1585">
        <v>5</v>
      </c>
      <c r="V1585" t="s">
        <v>31</v>
      </c>
      <c r="W1585">
        <f>excelsalesdata[[#This Row],[Quantity]]*excelsalesdata[[#This Row],[Unit_Price]]</f>
        <v>44440</v>
      </c>
      <c r="X1585">
        <f>excelsalesdata[[#This Row],[Gross_sales]]*excelsalesdata[[#This Row],[Discount_%]]</f>
        <v>8888</v>
      </c>
      <c r="Y1585">
        <f>excelsalesdata[[#This Row],[Gross_sales]]-excelsalesdata[[#This Row],[Discount_amt]]</f>
        <v>35552</v>
      </c>
      <c r="Z1585" s="4">
        <f>excelsalesdata[[#This Row],[Net_sales]]-excelsalesdata[[#This Row],[Cost]]</f>
        <v>20532</v>
      </c>
      <c r="AA1585" s="5">
        <f>excelsalesdata[[#This Row],[Profit]]/excelsalesdata[[#This Row],[Net_sales]]</f>
        <v>0.57752025202520252</v>
      </c>
      <c r="AB1585" s="4">
        <f>YEAR(excelsalesdata[[#This Row],[Order_Date]])</f>
        <v>2029</v>
      </c>
      <c r="AC1585" s="4" t="str">
        <f>TEXT(excelsalesdata[[#This Row],[Order_Date]],"mmm")</f>
        <v>Aug</v>
      </c>
      <c r="AD1585" s="4" t="str">
        <f>"Q"&amp;ROUNDUP(MONTH(excelsalesdata[[#This Row],[Order_Date]])/3,0)</f>
        <v>Q3</v>
      </c>
    </row>
    <row r="1586" spans="1:30" x14ac:dyDescent="0.35">
      <c r="A1586" t="s">
        <v>2419</v>
      </c>
      <c r="B1586" s="3">
        <v>47344</v>
      </c>
      <c r="C1586" t="s">
        <v>561</v>
      </c>
      <c r="D1586" t="s">
        <v>677</v>
      </c>
      <c r="E1586" t="str">
        <f>TRIM(excelsalesdata[[#This Row],[Customer_Name]])</f>
        <v>Vivaan Shah</v>
      </c>
      <c r="F1586" t="s">
        <v>44</v>
      </c>
      <c r="G1586">
        <v>30</v>
      </c>
      <c r="H1586" t="s">
        <v>35</v>
      </c>
      <c r="I1586" t="str">
        <f>TRIM(excelsalesdata[[#This Row],[City]])</f>
        <v>Kolkata</v>
      </c>
      <c r="J1586" t="s">
        <v>36</v>
      </c>
      <c r="K1586" t="s">
        <v>37</v>
      </c>
      <c r="L1586" t="s">
        <v>54</v>
      </c>
      <c r="M1586" t="s">
        <v>66</v>
      </c>
      <c r="N1586" t="s">
        <v>66</v>
      </c>
      <c r="O1586">
        <v>2</v>
      </c>
      <c r="P1586">
        <v>2590</v>
      </c>
      <c r="Q1586">
        <v>0.05</v>
      </c>
      <c r="R1586">
        <v>1430</v>
      </c>
      <c r="S1586" t="s">
        <v>80</v>
      </c>
      <c r="T1586" t="s">
        <v>30</v>
      </c>
      <c r="U1586">
        <v>4</v>
      </c>
      <c r="V1586" t="s">
        <v>31</v>
      </c>
      <c r="W1586">
        <f>excelsalesdata[[#This Row],[Quantity]]*excelsalesdata[[#This Row],[Unit_Price]]</f>
        <v>5180</v>
      </c>
      <c r="X1586">
        <f>excelsalesdata[[#This Row],[Gross_sales]]*excelsalesdata[[#This Row],[Discount_%]]</f>
        <v>259</v>
      </c>
      <c r="Y1586">
        <f>excelsalesdata[[#This Row],[Gross_sales]]-excelsalesdata[[#This Row],[Discount_amt]]</f>
        <v>4921</v>
      </c>
      <c r="Z1586" s="4">
        <f>excelsalesdata[[#This Row],[Net_sales]]-excelsalesdata[[#This Row],[Cost]]</f>
        <v>3491</v>
      </c>
      <c r="AA1586" s="5">
        <f>excelsalesdata[[#This Row],[Profit]]/excelsalesdata[[#This Row],[Net_sales]]</f>
        <v>0.70940865677707787</v>
      </c>
      <c r="AB1586" s="4">
        <f>YEAR(excelsalesdata[[#This Row],[Order_Date]])</f>
        <v>2029</v>
      </c>
      <c r="AC1586" s="4" t="str">
        <f>TEXT(excelsalesdata[[#This Row],[Order_Date]],"mmm")</f>
        <v>Aug</v>
      </c>
      <c r="AD1586" s="4" t="str">
        <f>"Q"&amp;ROUNDUP(MONTH(excelsalesdata[[#This Row],[Order_Date]])/3,0)</f>
        <v>Q3</v>
      </c>
    </row>
    <row r="1587" spans="1:30" x14ac:dyDescent="0.35">
      <c r="A1587" t="s">
        <v>2420</v>
      </c>
      <c r="B1587" s="3">
        <v>47345</v>
      </c>
      <c r="C1587" t="s">
        <v>1276</v>
      </c>
      <c r="D1587" t="s">
        <v>1449</v>
      </c>
      <c r="E1587" t="str">
        <f>TRIM(excelsalesdata[[#This Row],[Customer_Name]])</f>
        <v>Ananya Nair</v>
      </c>
      <c r="F1587" t="s">
        <v>44</v>
      </c>
      <c r="G1587">
        <v>58</v>
      </c>
      <c r="H1587" t="s">
        <v>78</v>
      </c>
      <c r="I1587" t="str">
        <f>TRIM(excelsalesdata[[#This Row],[City]])</f>
        <v>Guwahati</v>
      </c>
      <c r="J1587" t="s">
        <v>79</v>
      </c>
      <c r="K1587" t="s">
        <v>37</v>
      </c>
      <c r="L1587" t="s">
        <v>85</v>
      </c>
      <c r="M1587" t="s">
        <v>202</v>
      </c>
      <c r="N1587" t="s">
        <v>202</v>
      </c>
      <c r="O1587">
        <v>2</v>
      </c>
      <c r="P1587">
        <v>910</v>
      </c>
      <c r="Q1587">
        <v>0.1</v>
      </c>
      <c r="R1587">
        <v>390</v>
      </c>
      <c r="S1587" t="s">
        <v>151</v>
      </c>
      <c r="T1587" t="s">
        <v>30</v>
      </c>
      <c r="U1587">
        <v>4</v>
      </c>
      <c r="V1587" t="s">
        <v>31</v>
      </c>
      <c r="W1587">
        <f>excelsalesdata[[#This Row],[Quantity]]*excelsalesdata[[#This Row],[Unit_Price]]</f>
        <v>1820</v>
      </c>
      <c r="X1587">
        <f>excelsalesdata[[#This Row],[Gross_sales]]*excelsalesdata[[#This Row],[Discount_%]]</f>
        <v>182</v>
      </c>
      <c r="Y1587">
        <f>excelsalesdata[[#This Row],[Gross_sales]]-excelsalesdata[[#This Row],[Discount_amt]]</f>
        <v>1638</v>
      </c>
      <c r="Z1587" s="4">
        <f>excelsalesdata[[#This Row],[Net_sales]]-excelsalesdata[[#This Row],[Cost]]</f>
        <v>1248</v>
      </c>
      <c r="AA1587" s="5">
        <f>excelsalesdata[[#This Row],[Profit]]/excelsalesdata[[#This Row],[Net_sales]]</f>
        <v>0.76190476190476186</v>
      </c>
      <c r="AB1587" s="4">
        <f>YEAR(excelsalesdata[[#This Row],[Order_Date]])</f>
        <v>2029</v>
      </c>
      <c r="AC1587" s="4" t="str">
        <f>TEXT(excelsalesdata[[#This Row],[Order_Date]],"mmm")</f>
        <v>Aug</v>
      </c>
      <c r="AD1587" s="4" t="str">
        <f>"Q"&amp;ROUNDUP(MONTH(excelsalesdata[[#This Row],[Order_Date]])/3,0)</f>
        <v>Q3</v>
      </c>
    </row>
    <row r="1588" spans="1:30" x14ac:dyDescent="0.35">
      <c r="A1588" t="s">
        <v>2421</v>
      </c>
      <c r="B1588" s="3">
        <v>47346</v>
      </c>
      <c r="C1588" t="s">
        <v>1718</v>
      </c>
      <c r="D1588" t="s">
        <v>925</v>
      </c>
      <c r="E1588" t="str">
        <f>TRIM(excelsalesdata[[#This Row],[Customer_Name]])</f>
        <v>Ananya Rao</v>
      </c>
      <c r="F1588" t="s">
        <v>44</v>
      </c>
      <c r="G1588">
        <v>41</v>
      </c>
      <c r="H1588" t="s">
        <v>24</v>
      </c>
      <c r="I1588" t="str">
        <f>TRIM(excelsalesdata[[#This Row],[City]])</f>
        <v>Pune</v>
      </c>
      <c r="J1588" t="s">
        <v>25</v>
      </c>
      <c r="K1588" t="s">
        <v>26</v>
      </c>
      <c r="L1588" t="s">
        <v>103</v>
      </c>
      <c r="M1588" t="s">
        <v>104</v>
      </c>
      <c r="N1588" t="s">
        <v>104</v>
      </c>
      <c r="O1588">
        <v>2</v>
      </c>
      <c r="P1588">
        <v>8100</v>
      </c>
      <c r="Q1588">
        <v>0.15</v>
      </c>
      <c r="R1588">
        <v>5330</v>
      </c>
      <c r="S1588" t="s">
        <v>80</v>
      </c>
      <c r="T1588" t="s">
        <v>30</v>
      </c>
      <c r="U1588">
        <v>5</v>
      </c>
      <c r="V1588" t="s">
        <v>31</v>
      </c>
      <c r="W1588">
        <f>excelsalesdata[[#This Row],[Quantity]]*excelsalesdata[[#This Row],[Unit_Price]]</f>
        <v>16200</v>
      </c>
      <c r="X1588">
        <f>excelsalesdata[[#This Row],[Gross_sales]]*excelsalesdata[[#This Row],[Discount_%]]</f>
        <v>2430</v>
      </c>
      <c r="Y1588">
        <f>excelsalesdata[[#This Row],[Gross_sales]]-excelsalesdata[[#This Row],[Discount_amt]]</f>
        <v>13770</v>
      </c>
      <c r="Z1588" s="4">
        <f>excelsalesdata[[#This Row],[Net_sales]]-excelsalesdata[[#This Row],[Cost]]</f>
        <v>8440</v>
      </c>
      <c r="AA1588" s="5">
        <f>excelsalesdata[[#This Row],[Profit]]/excelsalesdata[[#This Row],[Net_sales]]</f>
        <v>0.61292665214233844</v>
      </c>
      <c r="AB1588" s="4">
        <f>YEAR(excelsalesdata[[#This Row],[Order_Date]])</f>
        <v>2029</v>
      </c>
      <c r="AC1588" s="4" t="str">
        <f>TEXT(excelsalesdata[[#This Row],[Order_Date]],"mmm")</f>
        <v>Aug</v>
      </c>
      <c r="AD1588" s="4" t="str">
        <f>"Q"&amp;ROUNDUP(MONTH(excelsalesdata[[#This Row],[Order_Date]])/3,0)</f>
        <v>Q3</v>
      </c>
    </row>
    <row r="1589" spans="1:30" x14ac:dyDescent="0.35">
      <c r="A1589" t="s">
        <v>2422</v>
      </c>
      <c r="B1589" s="3">
        <v>47347</v>
      </c>
      <c r="C1589" t="s">
        <v>604</v>
      </c>
      <c r="D1589" t="s">
        <v>972</v>
      </c>
      <c r="E1589" t="str">
        <f>TRIM(excelsalesdata[[#This Row],[Customer_Name]])</f>
        <v>Ananya Reddy</v>
      </c>
      <c r="F1589" t="s">
        <v>23</v>
      </c>
      <c r="G1589">
        <v>40</v>
      </c>
      <c r="H1589" t="s">
        <v>35</v>
      </c>
      <c r="I1589" t="str">
        <f>TRIM(excelsalesdata[[#This Row],[City]])</f>
        <v>Kolkata</v>
      </c>
      <c r="J1589" t="s">
        <v>36</v>
      </c>
      <c r="K1589" t="s">
        <v>37</v>
      </c>
      <c r="L1589" t="s">
        <v>85</v>
      </c>
      <c r="M1589" t="s">
        <v>110</v>
      </c>
      <c r="N1589" t="s">
        <v>110</v>
      </c>
      <c r="O1589">
        <v>2</v>
      </c>
      <c r="P1589">
        <v>1140</v>
      </c>
      <c r="Q1589">
        <v>0.2</v>
      </c>
      <c r="R1589">
        <v>590</v>
      </c>
      <c r="S1589" t="s">
        <v>105</v>
      </c>
      <c r="T1589" t="s">
        <v>30</v>
      </c>
      <c r="U1589">
        <v>4</v>
      </c>
      <c r="V1589" t="s">
        <v>31</v>
      </c>
      <c r="W1589">
        <f>excelsalesdata[[#This Row],[Quantity]]*excelsalesdata[[#This Row],[Unit_Price]]</f>
        <v>2280</v>
      </c>
      <c r="X1589">
        <f>excelsalesdata[[#This Row],[Gross_sales]]*excelsalesdata[[#This Row],[Discount_%]]</f>
        <v>456</v>
      </c>
      <c r="Y1589">
        <f>excelsalesdata[[#This Row],[Gross_sales]]-excelsalesdata[[#This Row],[Discount_amt]]</f>
        <v>1824</v>
      </c>
      <c r="Z1589" s="4">
        <f>excelsalesdata[[#This Row],[Net_sales]]-excelsalesdata[[#This Row],[Cost]]</f>
        <v>1234</v>
      </c>
      <c r="AA1589" s="5">
        <f>excelsalesdata[[#This Row],[Profit]]/excelsalesdata[[#This Row],[Net_sales]]</f>
        <v>0.67653508771929827</v>
      </c>
      <c r="AB1589" s="4">
        <f>YEAR(excelsalesdata[[#This Row],[Order_Date]])</f>
        <v>2029</v>
      </c>
      <c r="AC1589" s="4" t="str">
        <f>TEXT(excelsalesdata[[#This Row],[Order_Date]],"mmm")</f>
        <v>Aug</v>
      </c>
      <c r="AD1589" s="4" t="str">
        <f>"Q"&amp;ROUNDUP(MONTH(excelsalesdata[[#This Row],[Order_Date]])/3,0)</f>
        <v>Q3</v>
      </c>
    </row>
    <row r="1590" spans="1:30" x14ac:dyDescent="0.35">
      <c r="A1590" t="s">
        <v>2423</v>
      </c>
      <c r="B1590" s="3">
        <v>47348</v>
      </c>
      <c r="C1590" t="s">
        <v>281</v>
      </c>
      <c r="D1590" t="s">
        <v>752</v>
      </c>
      <c r="E1590" t="str">
        <f>TRIM(excelsalesdata[[#This Row],[Customer_Name]])</f>
        <v>Kavya Mehta</v>
      </c>
      <c r="F1590" t="s">
        <v>44</v>
      </c>
      <c r="G1590">
        <v>26</v>
      </c>
      <c r="H1590" t="s">
        <v>35</v>
      </c>
      <c r="I1590" t="str">
        <f>TRIM(excelsalesdata[[#This Row],[City]])</f>
        <v>Kolkata</v>
      </c>
      <c r="J1590" t="s">
        <v>36</v>
      </c>
      <c r="K1590" t="s">
        <v>37</v>
      </c>
      <c r="L1590" t="s">
        <v>103</v>
      </c>
      <c r="M1590" t="s">
        <v>104</v>
      </c>
      <c r="N1590" t="s">
        <v>104</v>
      </c>
      <c r="O1590">
        <v>1</v>
      </c>
      <c r="P1590">
        <v>8330</v>
      </c>
      <c r="Q1590">
        <v>0.25</v>
      </c>
      <c r="R1590">
        <v>5810</v>
      </c>
      <c r="S1590" t="s">
        <v>80</v>
      </c>
      <c r="T1590" t="s">
        <v>30</v>
      </c>
      <c r="U1590">
        <v>2</v>
      </c>
      <c r="V1590" t="s">
        <v>40</v>
      </c>
      <c r="W1590">
        <f>excelsalesdata[[#This Row],[Quantity]]*excelsalesdata[[#This Row],[Unit_Price]]</f>
        <v>8330</v>
      </c>
      <c r="X1590">
        <f>excelsalesdata[[#This Row],[Gross_sales]]*excelsalesdata[[#This Row],[Discount_%]]</f>
        <v>2082.5</v>
      </c>
      <c r="Y1590">
        <f>excelsalesdata[[#This Row],[Gross_sales]]-excelsalesdata[[#This Row],[Discount_amt]]</f>
        <v>6247.5</v>
      </c>
      <c r="Z1590" s="4">
        <f>excelsalesdata[[#This Row],[Net_sales]]-excelsalesdata[[#This Row],[Cost]]</f>
        <v>437.5</v>
      </c>
      <c r="AA1590" s="5">
        <f>excelsalesdata[[#This Row],[Profit]]/excelsalesdata[[#This Row],[Net_sales]]</f>
        <v>7.0028011204481794E-2</v>
      </c>
      <c r="AB1590" s="4">
        <f>YEAR(excelsalesdata[[#This Row],[Order_Date]])</f>
        <v>2029</v>
      </c>
      <c r="AC1590" s="4" t="str">
        <f>TEXT(excelsalesdata[[#This Row],[Order_Date]],"mmm")</f>
        <v>Aug</v>
      </c>
      <c r="AD1590" s="4" t="str">
        <f>"Q"&amp;ROUNDUP(MONTH(excelsalesdata[[#This Row],[Order_Date]])/3,0)</f>
        <v>Q3</v>
      </c>
    </row>
    <row r="1591" spans="1:30" x14ac:dyDescent="0.35">
      <c r="A1591" t="s">
        <v>2424</v>
      </c>
      <c r="B1591" s="3">
        <v>47349</v>
      </c>
      <c r="C1591" t="s">
        <v>1023</v>
      </c>
      <c r="D1591" t="s">
        <v>426</v>
      </c>
      <c r="E1591" t="str">
        <f>TRIM(excelsalesdata[[#This Row],[Customer_Name]])</f>
        <v>Kavya Verma</v>
      </c>
      <c r="F1591" t="s">
        <v>44</v>
      </c>
      <c r="G1591">
        <v>25</v>
      </c>
      <c r="H1591" t="s">
        <v>98</v>
      </c>
      <c r="I1591" t="str">
        <f>TRIM(excelsalesdata[[#This Row],[City]])</f>
        <v>Mumbai</v>
      </c>
      <c r="J1591" t="s">
        <v>25</v>
      </c>
      <c r="K1591" t="s">
        <v>26</v>
      </c>
      <c r="L1591" t="s">
        <v>54</v>
      </c>
      <c r="M1591" t="s">
        <v>62</v>
      </c>
      <c r="N1591" t="s">
        <v>62</v>
      </c>
      <c r="O1591">
        <v>2</v>
      </c>
      <c r="P1591">
        <v>20330</v>
      </c>
      <c r="Q1591">
        <v>0.1</v>
      </c>
      <c r="R1591">
        <v>15650</v>
      </c>
      <c r="S1591" t="s">
        <v>29</v>
      </c>
      <c r="T1591" t="s">
        <v>30</v>
      </c>
      <c r="U1591">
        <v>3</v>
      </c>
      <c r="V1591" t="s">
        <v>40</v>
      </c>
      <c r="W1591">
        <f>excelsalesdata[[#This Row],[Quantity]]*excelsalesdata[[#This Row],[Unit_Price]]</f>
        <v>40660</v>
      </c>
      <c r="X1591">
        <f>excelsalesdata[[#This Row],[Gross_sales]]*excelsalesdata[[#This Row],[Discount_%]]</f>
        <v>4066</v>
      </c>
      <c r="Y1591">
        <f>excelsalesdata[[#This Row],[Gross_sales]]-excelsalesdata[[#This Row],[Discount_amt]]</f>
        <v>36594</v>
      </c>
      <c r="Z1591" s="4">
        <f>excelsalesdata[[#This Row],[Net_sales]]-excelsalesdata[[#This Row],[Cost]]</f>
        <v>20944</v>
      </c>
      <c r="AA1591" s="5">
        <f>excelsalesdata[[#This Row],[Profit]]/excelsalesdata[[#This Row],[Net_sales]]</f>
        <v>0.57233426244739571</v>
      </c>
      <c r="AB1591" s="4">
        <f>YEAR(excelsalesdata[[#This Row],[Order_Date]])</f>
        <v>2029</v>
      </c>
      <c r="AC1591" s="4" t="str">
        <f>TEXT(excelsalesdata[[#This Row],[Order_Date]],"mmm")</f>
        <v>Aug</v>
      </c>
      <c r="AD1591" s="4" t="str">
        <f>"Q"&amp;ROUNDUP(MONTH(excelsalesdata[[#This Row],[Order_Date]])/3,0)</f>
        <v>Q3</v>
      </c>
    </row>
    <row r="1592" spans="1:30" x14ac:dyDescent="0.35">
      <c r="A1592" t="s">
        <v>2425</v>
      </c>
      <c r="B1592" s="3">
        <v>47350</v>
      </c>
      <c r="C1592" t="s">
        <v>387</v>
      </c>
      <c r="D1592" t="s">
        <v>844</v>
      </c>
      <c r="E1592" t="str">
        <f>TRIM(excelsalesdata[[#This Row],[Customer_Name]])</f>
        <v>Vikram Gupta</v>
      </c>
      <c r="F1592" t="s">
        <v>23</v>
      </c>
      <c r="G1592">
        <v>38</v>
      </c>
      <c r="H1592" t="s">
        <v>190</v>
      </c>
      <c r="I1592" t="str">
        <f>TRIM(excelsalesdata[[#This Row],[City]])</f>
        <v>Ahmedabad</v>
      </c>
      <c r="J1592" t="s">
        <v>191</v>
      </c>
      <c r="K1592" t="s">
        <v>26</v>
      </c>
      <c r="L1592" t="s">
        <v>103</v>
      </c>
      <c r="M1592" t="s">
        <v>104</v>
      </c>
      <c r="N1592" t="s">
        <v>104</v>
      </c>
      <c r="O1592">
        <v>3</v>
      </c>
      <c r="P1592">
        <v>7840</v>
      </c>
      <c r="Q1592">
        <v>0.05</v>
      </c>
      <c r="R1592">
        <v>5510</v>
      </c>
      <c r="S1592" t="s">
        <v>29</v>
      </c>
      <c r="T1592" t="s">
        <v>30</v>
      </c>
      <c r="U1592">
        <v>4</v>
      </c>
      <c r="V1592" t="s">
        <v>40</v>
      </c>
      <c r="W1592">
        <f>excelsalesdata[[#This Row],[Quantity]]*excelsalesdata[[#This Row],[Unit_Price]]</f>
        <v>23520</v>
      </c>
      <c r="X1592">
        <f>excelsalesdata[[#This Row],[Gross_sales]]*excelsalesdata[[#This Row],[Discount_%]]</f>
        <v>1176</v>
      </c>
      <c r="Y1592">
        <f>excelsalesdata[[#This Row],[Gross_sales]]-excelsalesdata[[#This Row],[Discount_amt]]</f>
        <v>22344</v>
      </c>
      <c r="Z1592" s="4">
        <f>excelsalesdata[[#This Row],[Net_sales]]-excelsalesdata[[#This Row],[Cost]]</f>
        <v>16834</v>
      </c>
      <c r="AA1592" s="5">
        <f>excelsalesdata[[#This Row],[Profit]]/excelsalesdata[[#This Row],[Net_sales]]</f>
        <v>0.75340136054421769</v>
      </c>
      <c r="AB1592" s="4">
        <f>YEAR(excelsalesdata[[#This Row],[Order_Date]])</f>
        <v>2029</v>
      </c>
      <c r="AC1592" s="4" t="str">
        <f>TEXT(excelsalesdata[[#This Row],[Order_Date]],"mmm")</f>
        <v>Aug</v>
      </c>
      <c r="AD1592" s="4" t="str">
        <f>"Q"&amp;ROUNDUP(MONTH(excelsalesdata[[#This Row],[Order_Date]])/3,0)</f>
        <v>Q3</v>
      </c>
    </row>
    <row r="1593" spans="1:30" x14ac:dyDescent="0.35">
      <c r="A1593" t="s">
        <v>2426</v>
      </c>
      <c r="B1593" s="3">
        <v>47351</v>
      </c>
      <c r="C1593" t="s">
        <v>1314</v>
      </c>
      <c r="D1593" t="s">
        <v>2400</v>
      </c>
      <c r="E1593" t="str">
        <f>TRIM(excelsalesdata[[#This Row],[Customer_Name]])</f>
        <v>Rohan Kumar</v>
      </c>
      <c r="F1593" t="s">
        <v>23</v>
      </c>
      <c r="G1593">
        <v>49</v>
      </c>
      <c r="H1593" t="s">
        <v>114</v>
      </c>
      <c r="I1593" t="str">
        <f>TRIM(excelsalesdata[[#This Row],[City]])</f>
        <v>Hyderabad</v>
      </c>
      <c r="J1593" t="s">
        <v>115</v>
      </c>
      <c r="K1593" t="s">
        <v>47</v>
      </c>
      <c r="L1593" t="s">
        <v>38</v>
      </c>
      <c r="M1593" t="s">
        <v>119</v>
      </c>
      <c r="N1593" t="s">
        <v>119</v>
      </c>
      <c r="O1593">
        <v>1</v>
      </c>
      <c r="P1593">
        <v>8000</v>
      </c>
      <c r="Q1593">
        <v>0.15</v>
      </c>
      <c r="R1593">
        <v>5350</v>
      </c>
      <c r="S1593" t="s">
        <v>29</v>
      </c>
      <c r="T1593" t="s">
        <v>30</v>
      </c>
      <c r="U1593">
        <v>5</v>
      </c>
      <c r="V1593" t="s">
        <v>40</v>
      </c>
      <c r="W1593">
        <f>excelsalesdata[[#This Row],[Quantity]]*excelsalesdata[[#This Row],[Unit_Price]]</f>
        <v>8000</v>
      </c>
      <c r="X1593">
        <f>excelsalesdata[[#This Row],[Gross_sales]]*excelsalesdata[[#This Row],[Discount_%]]</f>
        <v>1200</v>
      </c>
      <c r="Y1593">
        <f>excelsalesdata[[#This Row],[Gross_sales]]-excelsalesdata[[#This Row],[Discount_amt]]</f>
        <v>6800</v>
      </c>
      <c r="Z1593" s="4">
        <f>excelsalesdata[[#This Row],[Net_sales]]-excelsalesdata[[#This Row],[Cost]]</f>
        <v>1450</v>
      </c>
      <c r="AA1593" s="5">
        <f>excelsalesdata[[#This Row],[Profit]]/excelsalesdata[[#This Row],[Net_sales]]</f>
        <v>0.21323529411764705</v>
      </c>
      <c r="AB1593" s="4">
        <f>YEAR(excelsalesdata[[#This Row],[Order_Date]])</f>
        <v>2029</v>
      </c>
      <c r="AC1593" s="4" t="str">
        <f>TEXT(excelsalesdata[[#This Row],[Order_Date]],"mmm")</f>
        <v>Aug</v>
      </c>
      <c r="AD1593" s="4" t="str">
        <f>"Q"&amp;ROUNDUP(MONTH(excelsalesdata[[#This Row],[Order_Date]])/3,0)</f>
        <v>Q3</v>
      </c>
    </row>
    <row r="1594" spans="1:30" x14ac:dyDescent="0.35">
      <c r="A1594" t="s">
        <v>2427</v>
      </c>
      <c r="B1594" s="3">
        <v>47352</v>
      </c>
      <c r="C1594" t="s">
        <v>1221</v>
      </c>
      <c r="D1594" t="s">
        <v>642</v>
      </c>
      <c r="E1594" t="str">
        <f>TRIM(excelsalesdata[[#This Row],[Customer_Name]])</f>
        <v>Kavya Singh</v>
      </c>
      <c r="F1594" t="s">
        <v>44</v>
      </c>
      <c r="G1594">
        <v>31</v>
      </c>
      <c r="H1594" t="s">
        <v>24</v>
      </c>
      <c r="I1594" t="str">
        <f>TRIM(excelsalesdata[[#This Row],[City]])</f>
        <v>Pune</v>
      </c>
      <c r="J1594" t="s">
        <v>25</v>
      </c>
      <c r="K1594" t="s">
        <v>26</v>
      </c>
      <c r="L1594" t="s">
        <v>85</v>
      </c>
      <c r="M1594" t="s">
        <v>110</v>
      </c>
      <c r="N1594" t="s">
        <v>110</v>
      </c>
      <c r="O1594">
        <v>3</v>
      </c>
      <c r="P1594">
        <v>1240</v>
      </c>
      <c r="Q1594">
        <v>0.2</v>
      </c>
      <c r="R1594">
        <v>620</v>
      </c>
      <c r="S1594" t="s">
        <v>29</v>
      </c>
      <c r="T1594" t="s">
        <v>30</v>
      </c>
      <c r="U1594">
        <v>8</v>
      </c>
      <c r="V1594" t="s">
        <v>40</v>
      </c>
      <c r="W1594">
        <f>excelsalesdata[[#This Row],[Quantity]]*excelsalesdata[[#This Row],[Unit_Price]]</f>
        <v>3720</v>
      </c>
      <c r="X1594">
        <f>excelsalesdata[[#This Row],[Gross_sales]]*excelsalesdata[[#This Row],[Discount_%]]</f>
        <v>744</v>
      </c>
      <c r="Y1594">
        <f>excelsalesdata[[#This Row],[Gross_sales]]-excelsalesdata[[#This Row],[Discount_amt]]</f>
        <v>2976</v>
      </c>
      <c r="Z1594" s="4">
        <f>excelsalesdata[[#This Row],[Net_sales]]-excelsalesdata[[#This Row],[Cost]]</f>
        <v>2356</v>
      </c>
      <c r="AA1594" s="5">
        <f>excelsalesdata[[#This Row],[Profit]]/excelsalesdata[[#This Row],[Net_sales]]</f>
        <v>0.79166666666666663</v>
      </c>
      <c r="AB1594" s="4">
        <f>YEAR(excelsalesdata[[#This Row],[Order_Date]])</f>
        <v>2029</v>
      </c>
      <c r="AC1594" s="4" t="str">
        <f>TEXT(excelsalesdata[[#This Row],[Order_Date]],"mmm")</f>
        <v>Aug</v>
      </c>
      <c r="AD1594" s="4" t="str">
        <f>"Q"&amp;ROUNDUP(MONTH(excelsalesdata[[#This Row],[Order_Date]])/3,0)</f>
        <v>Q3</v>
      </c>
    </row>
    <row r="1595" spans="1:30" x14ac:dyDescent="0.35">
      <c r="A1595" t="s">
        <v>2428</v>
      </c>
      <c r="B1595" s="3">
        <v>47353</v>
      </c>
      <c r="C1595" t="s">
        <v>552</v>
      </c>
      <c r="D1595" t="s">
        <v>619</v>
      </c>
      <c r="E1595" t="str">
        <f>TRIM(excelsalesdata[[#This Row],[Customer_Name]])</f>
        <v>Aarav Naidu</v>
      </c>
      <c r="F1595" t="s">
        <v>23</v>
      </c>
      <c r="G1595">
        <v>37</v>
      </c>
      <c r="H1595" t="s">
        <v>35</v>
      </c>
      <c r="I1595" t="str">
        <f>TRIM(excelsalesdata[[#This Row],[City]])</f>
        <v>Kolkata</v>
      </c>
      <c r="J1595" t="s">
        <v>36</v>
      </c>
      <c r="K1595" t="s">
        <v>37</v>
      </c>
      <c r="L1595" t="s">
        <v>27</v>
      </c>
      <c r="M1595" t="s">
        <v>123</v>
      </c>
      <c r="N1595" t="s">
        <v>123</v>
      </c>
      <c r="O1595">
        <v>4</v>
      </c>
      <c r="P1595">
        <v>2810</v>
      </c>
      <c r="Q1595">
        <v>0.2</v>
      </c>
      <c r="R1595">
        <v>1580</v>
      </c>
      <c r="S1595" t="s">
        <v>29</v>
      </c>
      <c r="T1595" t="s">
        <v>30</v>
      </c>
      <c r="U1595">
        <v>4</v>
      </c>
      <c r="V1595" t="s">
        <v>31</v>
      </c>
      <c r="W1595">
        <f>excelsalesdata[[#This Row],[Quantity]]*excelsalesdata[[#This Row],[Unit_Price]]</f>
        <v>11240</v>
      </c>
      <c r="X1595">
        <f>excelsalesdata[[#This Row],[Gross_sales]]*excelsalesdata[[#This Row],[Discount_%]]</f>
        <v>2248</v>
      </c>
      <c r="Y1595">
        <f>excelsalesdata[[#This Row],[Gross_sales]]-excelsalesdata[[#This Row],[Discount_amt]]</f>
        <v>8992</v>
      </c>
      <c r="Z1595" s="4">
        <f>excelsalesdata[[#This Row],[Net_sales]]-excelsalesdata[[#This Row],[Cost]]</f>
        <v>7412</v>
      </c>
      <c r="AA1595" s="5">
        <f>excelsalesdata[[#This Row],[Profit]]/excelsalesdata[[#This Row],[Net_sales]]</f>
        <v>0.82428825622775803</v>
      </c>
      <c r="AB1595" s="4">
        <f>YEAR(excelsalesdata[[#This Row],[Order_Date]])</f>
        <v>2029</v>
      </c>
      <c r="AC1595" s="4" t="str">
        <f>TEXT(excelsalesdata[[#This Row],[Order_Date]],"mmm")</f>
        <v>Aug</v>
      </c>
      <c r="AD1595" s="4" t="str">
        <f>"Q"&amp;ROUNDUP(MONTH(excelsalesdata[[#This Row],[Order_Date]])/3,0)</f>
        <v>Q3</v>
      </c>
    </row>
    <row r="1596" spans="1:30" x14ac:dyDescent="0.35">
      <c r="A1596" t="s">
        <v>2429</v>
      </c>
      <c r="B1596" s="3">
        <v>47354</v>
      </c>
      <c r="C1596" t="s">
        <v>112</v>
      </c>
      <c r="D1596" t="s">
        <v>1427</v>
      </c>
      <c r="E1596" t="str">
        <f>TRIM(excelsalesdata[[#This Row],[Customer_Name]])</f>
        <v>Diya Das</v>
      </c>
      <c r="F1596" t="s">
        <v>23</v>
      </c>
      <c r="G1596">
        <v>58</v>
      </c>
      <c r="H1596" t="s">
        <v>109</v>
      </c>
      <c r="I1596" t="str">
        <f>TRIM(excelsalesdata[[#This Row],[City]])</f>
        <v>Mysuru</v>
      </c>
      <c r="J1596" t="s">
        <v>53</v>
      </c>
      <c r="K1596" t="s">
        <v>47</v>
      </c>
      <c r="L1596" t="s">
        <v>54</v>
      </c>
      <c r="M1596" t="s">
        <v>66</v>
      </c>
      <c r="N1596" t="s">
        <v>66</v>
      </c>
      <c r="O1596">
        <v>2</v>
      </c>
      <c r="P1596">
        <v>2520</v>
      </c>
      <c r="Q1596">
        <v>0.1</v>
      </c>
      <c r="R1596">
        <v>1470</v>
      </c>
      <c r="S1596" t="s">
        <v>105</v>
      </c>
      <c r="T1596" t="s">
        <v>74</v>
      </c>
      <c r="U1596">
        <v>10</v>
      </c>
      <c r="V1596" t="s">
        <v>40</v>
      </c>
      <c r="W1596">
        <f>excelsalesdata[[#This Row],[Quantity]]*excelsalesdata[[#This Row],[Unit_Price]]</f>
        <v>5040</v>
      </c>
      <c r="X1596">
        <f>excelsalesdata[[#This Row],[Gross_sales]]*excelsalesdata[[#This Row],[Discount_%]]</f>
        <v>504</v>
      </c>
      <c r="Y1596">
        <f>excelsalesdata[[#This Row],[Gross_sales]]-excelsalesdata[[#This Row],[Discount_amt]]</f>
        <v>4536</v>
      </c>
      <c r="Z1596" s="4">
        <f>excelsalesdata[[#This Row],[Net_sales]]-excelsalesdata[[#This Row],[Cost]]</f>
        <v>3066</v>
      </c>
      <c r="AA1596" s="5">
        <f>excelsalesdata[[#This Row],[Profit]]/excelsalesdata[[#This Row],[Net_sales]]</f>
        <v>0.67592592592592593</v>
      </c>
      <c r="AB1596" s="4">
        <f>YEAR(excelsalesdata[[#This Row],[Order_Date]])</f>
        <v>2029</v>
      </c>
      <c r="AC1596" s="4" t="str">
        <f>TEXT(excelsalesdata[[#This Row],[Order_Date]],"mmm")</f>
        <v>Aug</v>
      </c>
      <c r="AD1596" s="4" t="str">
        <f>"Q"&amp;ROUNDUP(MONTH(excelsalesdata[[#This Row],[Order_Date]])/3,0)</f>
        <v>Q3</v>
      </c>
    </row>
    <row r="1597" spans="1:30" x14ac:dyDescent="0.35">
      <c r="A1597" t="s">
        <v>2430</v>
      </c>
      <c r="B1597" s="3">
        <v>47355</v>
      </c>
      <c r="C1597" t="s">
        <v>893</v>
      </c>
      <c r="D1597" t="s">
        <v>442</v>
      </c>
      <c r="E1597" t="str">
        <f>TRIM(excelsalesdata[[#This Row],[Customer_Name]])</f>
        <v>Arjun Rao</v>
      </c>
      <c r="F1597" t="s">
        <v>44</v>
      </c>
      <c r="G1597">
        <v>55</v>
      </c>
      <c r="H1597" t="s">
        <v>35</v>
      </c>
      <c r="I1597" t="str">
        <f>TRIM(excelsalesdata[[#This Row],[City]])</f>
        <v>Kolkata</v>
      </c>
      <c r="J1597" t="s">
        <v>36</v>
      </c>
      <c r="K1597" t="s">
        <v>37</v>
      </c>
      <c r="L1597" t="s">
        <v>93</v>
      </c>
      <c r="M1597" t="s">
        <v>375</v>
      </c>
      <c r="N1597" t="s">
        <v>375</v>
      </c>
      <c r="O1597">
        <v>2</v>
      </c>
      <c r="P1597">
        <v>2080</v>
      </c>
      <c r="Q1597">
        <v>0.05</v>
      </c>
      <c r="R1597">
        <v>1170</v>
      </c>
      <c r="S1597" t="s">
        <v>29</v>
      </c>
      <c r="T1597" t="s">
        <v>99</v>
      </c>
      <c r="U1597">
        <v>1</v>
      </c>
      <c r="V1597" t="s">
        <v>40</v>
      </c>
      <c r="W1597">
        <f>excelsalesdata[[#This Row],[Quantity]]*excelsalesdata[[#This Row],[Unit_Price]]</f>
        <v>4160</v>
      </c>
      <c r="X1597">
        <f>excelsalesdata[[#This Row],[Gross_sales]]*excelsalesdata[[#This Row],[Discount_%]]</f>
        <v>208</v>
      </c>
      <c r="Y1597">
        <f>excelsalesdata[[#This Row],[Gross_sales]]-excelsalesdata[[#This Row],[Discount_amt]]</f>
        <v>3952</v>
      </c>
      <c r="Z1597" s="4">
        <f>excelsalesdata[[#This Row],[Net_sales]]-excelsalesdata[[#This Row],[Cost]]</f>
        <v>2782</v>
      </c>
      <c r="AA1597" s="5">
        <f>excelsalesdata[[#This Row],[Profit]]/excelsalesdata[[#This Row],[Net_sales]]</f>
        <v>0.70394736842105265</v>
      </c>
      <c r="AB1597" s="4">
        <f>YEAR(excelsalesdata[[#This Row],[Order_Date]])</f>
        <v>2029</v>
      </c>
      <c r="AC1597" s="4" t="str">
        <f>TEXT(excelsalesdata[[#This Row],[Order_Date]],"mmm")</f>
        <v>Aug</v>
      </c>
      <c r="AD1597" s="4" t="str">
        <f>"Q"&amp;ROUNDUP(MONTH(excelsalesdata[[#This Row],[Order_Date]])/3,0)</f>
        <v>Q3</v>
      </c>
    </row>
    <row r="1598" spans="1:30" x14ac:dyDescent="0.35">
      <c r="A1598" t="s">
        <v>2431</v>
      </c>
      <c r="B1598" s="3">
        <v>47356</v>
      </c>
      <c r="C1598" t="s">
        <v>769</v>
      </c>
      <c r="D1598" t="s">
        <v>234</v>
      </c>
      <c r="E1598" t="str">
        <f>TRIM(excelsalesdata[[#This Row],[Customer_Name]])</f>
        <v>Rohan Gupta</v>
      </c>
      <c r="F1598" t="s">
        <v>44</v>
      </c>
      <c r="G1598">
        <v>37</v>
      </c>
      <c r="H1598" t="s">
        <v>133</v>
      </c>
      <c r="I1598" t="str">
        <f>TRIM(excelsalesdata[[#This Row],[City]])</f>
        <v>Jaipur</v>
      </c>
      <c r="J1598" t="s">
        <v>134</v>
      </c>
      <c r="K1598" t="s">
        <v>61</v>
      </c>
      <c r="L1598" t="s">
        <v>93</v>
      </c>
      <c r="M1598" t="s">
        <v>375</v>
      </c>
      <c r="N1598" t="s">
        <v>375</v>
      </c>
      <c r="O1598">
        <v>3</v>
      </c>
      <c r="P1598">
        <v>2260</v>
      </c>
      <c r="Q1598">
        <v>0.05</v>
      </c>
      <c r="R1598">
        <v>1200</v>
      </c>
      <c r="S1598" t="s">
        <v>67</v>
      </c>
      <c r="T1598" t="s">
        <v>30</v>
      </c>
      <c r="U1598">
        <v>1</v>
      </c>
      <c r="V1598" t="s">
        <v>40</v>
      </c>
      <c r="W1598">
        <f>excelsalesdata[[#This Row],[Quantity]]*excelsalesdata[[#This Row],[Unit_Price]]</f>
        <v>6780</v>
      </c>
      <c r="X1598">
        <f>excelsalesdata[[#This Row],[Gross_sales]]*excelsalesdata[[#This Row],[Discount_%]]</f>
        <v>339</v>
      </c>
      <c r="Y1598">
        <f>excelsalesdata[[#This Row],[Gross_sales]]-excelsalesdata[[#This Row],[Discount_amt]]</f>
        <v>6441</v>
      </c>
      <c r="Z1598" s="4">
        <f>excelsalesdata[[#This Row],[Net_sales]]-excelsalesdata[[#This Row],[Cost]]</f>
        <v>5241</v>
      </c>
      <c r="AA1598" s="5">
        <f>excelsalesdata[[#This Row],[Profit]]/excelsalesdata[[#This Row],[Net_sales]]</f>
        <v>0.8136935258500233</v>
      </c>
      <c r="AB1598" s="4">
        <f>YEAR(excelsalesdata[[#This Row],[Order_Date]])</f>
        <v>2029</v>
      </c>
      <c r="AC1598" s="4" t="str">
        <f>TEXT(excelsalesdata[[#This Row],[Order_Date]],"mmm")</f>
        <v>Aug</v>
      </c>
      <c r="AD1598" s="4" t="str">
        <f>"Q"&amp;ROUNDUP(MONTH(excelsalesdata[[#This Row],[Order_Date]])/3,0)</f>
        <v>Q3</v>
      </c>
    </row>
    <row r="1599" spans="1:30" x14ac:dyDescent="0.35">
      <c r="A1599" t="s">
        <v>2432</v>
      </c>
      <c r="B1599" s="3">
        <v>47357</v>
      </c>
      <c r="C1599" t="s">
        <v>358</v>
      </c>
      <c r="D1599" t="s">
        <v>1054</v>
      </c>
      <c r="E1599" t="str">
        <f>TRIM(excelsalesdata[[#This Row],[Customer_Name]])</f>
        <v>Rahul Reddy</v>
      </c>
      <c r="F1599" t="s">
        <v>44</v>
      </c>
      <c r="G1599">
        <v>32</v>
      </c>
      <c r="H1599" t="s">
        <v>190</v>
      </c>
      <c r="I1599" t="str">
        <f>TRIM(excelsalesdata[[#This Row],[City]])</f>
        <v>Ahmedabad</v>
      </c>
      <c r="J1599" t="s">
        <v>191</v>
      </c>
      <c r="K1599" t="s">
        <v>26</v>
      </c>
      <c r="L1599" t="s">
        <v>93</v>
      </c>
      <c r="M1599" t="s">
        <v>375</v>
      </c>
      <c r="N1599" t="s">
        <v>375</v>
      </c>
      <c r="O1599">
        <v>3</v>
      </c>
      <c r="P1599">
        <v>2060</v>
      </c>
      <c r="Q1599">
        <v>0.15</v>
      </c>
      <c r="R1599">
        <v>1210</v>
      </c>
      <c r="S1599" t="s">
        <v>67</v>
      </c>
      <c r="T1599" t="s">
        <v>30</v>
      </c>
      <c r="U1599">
        <v>3</v>
      </c>
      <c r="V1599" t="s">
        <v>40</v>
      </c>
      <c r="W1599">
        <f>excelsalesdata[[#This Row],[Quantity]]*excelsalesdata[[#This Row],[Unit_Price]]</f>
        <v>6180</v>
      </c>
      <c r="X1599">
        <f>excelsalesdata[[#This Row],[Gross_sales]]*excelsalesdata[[#This Row],[Discount_%]]</f>
        <v>927</v>
      </c>
      <c r="Y1599">
        <f>excelsalesdata[[#This Row],[Gross_sales]]-excelsalesdata[[#This Row],[Discount_amt]]</f>
        <v>5253</v>
      </c>
      <c r="Z1599" s="4">
        <f>excelsalesdata[[#This Row],[Net_sales]]-excelsalesdata[[#This Row],[Cost]]</f>
        <v>4043</v>
      </c>
      <c r="AA1599" s="5">
        <f>excelsalesdata[[#This Row],[Profit]]/excelsalesdata[[#This Row],[Net_sales]]</f>
        <v>0.76965543498952982</v>
      </c>
      <c r="AB1599" s="4">
        <f>YEAR(excelsalesdata[[#This Row],[Order_Date]])</f>
        <v>2029</v>
      </c>
      <c r="AC1599" s="4" t="str">
        <f>TEXT(excelsalesdata[[#This Row],[Order_Date]],"mmm")</f>
        <v>Aug</v>
      </c>
      <c r="AD1599" s="4" t="str">
        <f>"Q"&amp;ROUNDUP(MONTH(excelsalesdata[[#This Row],[Order_Date]])/3,0)</f>
        <v>Q3</v>
      </c>
    </row>
    <row r="1600" spans="1:30" x14ac:dyDescent="0.35">
      <c r="A1600" t="s">
        <v>2433</v>
      </c>
      <c r="B1600" s="3">
        <v>47358</v>
      </c>
      <c r="C1600" t="s">
        <v>301</v>
      </c>
      <c r="D1600" t="s">
        <v>1216</v>
      </c>
      <c r="E1600" t="str">
        <f>TRIM(excelsalesdata[[#This Row],[Customer_Name]])</f>
        <v>Diya Sharma</v>
      </c>
      <c r="F1600" t="s">
        <v>23</v>
      </c>
      <c r="G1600">
        <v>27</v>
      </c>
      <c r="H1600" t="s">
        <v>71</v>
      </c>
      <c r="I1600" t="str">
        <f>TRIM(excelsalesdata[[#This Row],[City]])</f>
        <v>Bhubaneswar</v>
      </c>
      <c r="J1600" t="s">
        <v>72</v>
      </c>
      <c r="K1600" t="s">
        <v>37</v>
      </c>
      <c r="L1600" t="s">
        <v>103</v>
      </c>
      <c r="M1600" t="s">
        <v>178</v>
      </c>
      <c r="N1600" t="s">
        <v>178</v>
      </c>
      <c r="O1600">
        <v>2</v>
      </c>
      <c r="P1600">
        <v>1920</v>
      </c>
      <c r="Q1600">
        <v>0</v>
      </c>
      <c r="R1600">
        <v>960</v>
      </c>
      <c r="S1600" t="s">
        <v>80</v>
      </c>
      <c r="T1600" t="s">
        <v>30</v>
      </c>
      <c r="U1600">
        <v>6</v>
      </c>
      <c r="V1600" t="s">
        <v>40</v>
      </c>
      <c r="W1600">
        <f>excelsalesdata[[#This Row],[Quantity]]*excelsalesdata[[#This Row],[Unit_Price]]</f>
        <v>3840</v>
      </c>
      <c r="X1600">
        <f>excelsalesdata[[#This Row],[Gross_sales]]*excelsalesdata[[#This Row],[Discount_%]]</f>
        <v>0</v>
      </c>
      <c r="Y1600">
        <f>excelsalesdata[[#This Row],[Gross_sales]]-excelsalesdata[[#This Row],[Discount_amt]]</f>
        <v>3840</v>
      </c>
      <c r="Z1600" s="4">
        <f>excelsalesdata[[#This Row],[Net_sales]]-excelsalesdata[[#This Row],[Cost]]</f>
        <v>2880</v>
      </c>
      <c r="AA1600" s="5">
        <f>excelsalesdata[[#This Row],[Profit]]/excelsalesdata[[#This Row],[Net_sales]]</f>
        <v>0.75</v>
      </c>
      <c r="AB1600" s="4">
        <f>YEAR(excelsalesdata[[#This Row],[Order_Date]])</f>
        <v>2029</v>
      </c>
      <c r="AC1600" s="4" t="str">
        <f>TEXT(excelsalesdata[[#This Row],[Order_Date]],"mmm")</f>
        <v>Aug</v>
      </c>
      <c r="AD1600" s="4" t="str">
        <f>"Q"&amp;ROUNDUP(MONTH(excelsalesdata[[#This Row],[Order_Date]])/3,0)</f>
        <v>Q3</v>
      </c>
    </row>
    <row r="1601" spans="1:30" x14ac:dyDescent="0.35">
      <c r="A1601" t="s">
        <v>2434</v>
      </c>
      <c r="B1601" s="3">
        <v>47359</v>
      </c>
      <c r="C1601" t="s">
        <v>2131</v>
      </c>
      <c r="D1601" t="s">
        <v>474</v>
      </c>
      <c r="E1601" t="str">
        <f>TRIM(excelsalesdata[[#This Row],[Customer_Name]])</f>
        <v>Arjun Gupta</v>
      </c>
      <c r="F1601" t="s">
        <v>23</v>
      </c>
      <c r="G1601">
        <v>46</v>
      </c>
      <c r="H1601" t="s">
        <v>35</v>
      </c>
      <c r="I1601" t="str">
        <f>TRIM(excelsalesdata[[#This Row],[City]])</f>
        <v>Kolkata</v>
      </c>
      <c r="J1601" t="s">
        <v>36</v>
      </c>
      <c r="K1601" t="s">
        <v>37</v>
      </c>
      <c r="L1601" t="s">
        <v>85</v>
      </c>
      <c r="M1601" t="s">
        <v>251</v>
      </c>
      <c r="N1601" t="s">
        <v>251</v>
      </c>
      <c r="O1601">
        <v>3</v>
      </c>
      <c r="P1601">
        <v>3320</v>
      </c>
      <c r="Q1601">
        <v>0.25</v>
      </c>
      <c r="R1601">
        <v>1870</v>
      </c>
      <c r="S1601" t="s">
        <v>67</v>
      </c>
      <c r="T1601" t="s">
        <v>30</v>
      </c>
      <c r="U1601">
        <v>5</v>
      </c>
      <c r="V1601" t="s">
        <v>40</v>
      </c>
      <c r="W1601">
        <f>excelsalesdata[[#This Row],[Quantity]]*excelsalesdata[[#This Row],[Unit_Price]]</f>
        <v>9960</v>
      </c>
      <c r="X1601">
        <f>excelsalesdata[[#This Row],[Gross_sales]]*excelsalesdata[[#This Row],[Discount_%]]</f>
        <v>2490</v>
      </c>
      <c r="Y1601">
        <f>excelsalesdata[[#This Row],[Gross_sales]]-excelsalesdata[[#This Row],[Discount_amt]]</f>
        <v>7470</v>
      </c>
      <c r="Z1601" s="4">
        <f>excelsalesdata[[#This Row],[Net_sales]]-excelsalesdata[[#This Row],[Cost]]</f>
        <v>5600</v>
      </c>
      <c r="AA1601" s="5">
        <f>excelsalesdata[[#This Row],[Profit]]/excelsalesdata[[#This Row],[Net_sales]]</f>
        <v>0.74966532797858099</v>
      </c>
      <c r="AB1601" s="4">
        <f>YEAR(excelsalesdata[[#This Row],[Order_Date]])</f>
        <v>2029</v>
      </c>
      <c r="AC1601" s="4" t="str">
        <f>TEXT(excelsalesdata[[#This Row],[Order_Date]],"mmm")</f>
        <v>Aug</v>
      </c>
      <c r="AD1601" s="4" t="str">
        <f>"Q"&amp;ROUNDUP(MONTH(excelsalesdata[[#This Row],[Order_Date]])/3,0)</f>
        <v>Q3</v>
      </c>
    </row>
    <row r="1602" spans="1:30" x14ac:dyDescent="0.35">
      <c r="A1602" t="s">
        <v>2435</v>
      </c>
      <c r="B1602" s="3">
        <v>47360</v>
      </c>
      <c r="C1602" t="s">
        <v>1502</v>
      </c>
      <c r="D1602" t="s">
        <v>426</v>
      </c>
      <c r="E1602" t="str">
        <f>TRIM(excelsalesdata[[#This Row],[Customer_Name]])</f>
        <v>Kavya Verma</v>
      </c>
      <c r="F1602" t="s">
        <v>44</v>
      </c>
      <c r="G1602">
        <v>58</v>
      </c>
      <c r="H1602" t="s">
        <v>78</v>
      </c>
      <c r="I1602" t="str">
        <f>TRIM(excelsalesdata[[#This Row],[City]])</f>
        <v>Guwahati</v>
      </c>
      <c r="J1602" t="s">
        <v>79</v>
      </c>
      <c r="K1602" t="s">
        <v>37</v>
      </c>
      <c r="L1602" t="s">
        <v>85</v>
      </c>
      <c r="M1602" t="s">
        <v>251</v>
      </c>
      <c r="N1602" t="s">
        <v>251</v>
      </c>
      <c r="O1602">
        <v>3</v>
      </c>
      <c r="P1602">
        <v>3020</v>
      </c>
      <c r="Q1602">
        <v>0.05</v>
      </c>
      <c r="R1602">
        <v>1890</v>
      </c>
      <c r="S1602" t="s">
        <v>29</v>
      </c>
      <c r="T1602" t="s">
        <v>30</v>
      </c>
      <c r="U1602">
        <v>2</v>
      </c>
      <c r="V1602" t="s">
        <v>31</v>
      </c>
      <c r="W1602">
        <f>excelsalesdata[[#This Row],[Quantity]]*excelsalesdata[[#This Row],[Unit_Price]]</f>
        <v>9060</v>
      </c>
      <c r="X1602">
        <f>excelsalesdata[[#This Row],[Gross_sales]]*excelsalesdata[[#This Row],[Discount_%]]</f>
        <v>453</v>
      </c>
      <c r="Y1602">
        <f>excelsalesdata[[#This Row],[Gross_sales]]-excelsalesdata[[#This Row],[Discount_amt]]</f>
        <v>8607</v>
      </c>
      <c r="Z1602" s="4">
        <f>excelsalesdata[[#This Row],[Net_sales]]-excelsalesdata[[#This Row],[Cost]]</f>
        <v>6717</v>
      </c>
      <c r="AA1602" s="5">
        <f>excelsalesdata[[#This Row],[Profit]]/excelsalesdata[[#This Row],[Net_sales]]</f>
        <v>0.780411293133496</v>
      </c>
      <c r="AB1602" s="4">
        <f>YEAR(excelsalesdata[[#This Row],[Order_Date]])</f>
        <v>2029</v>
      </c>
      <c r="AC1602" s="4" t="str">
        <f>TEXT(excelsalesdata[[#This Row],[Order_Date]],"mmm")</f>
        <v>Aug</v>
      </c>
      <c r="AD1602" s="4" t="str">
        <f>"Q"&amp;ROUNDUP(MONTH(excelsalesdata[[#This Row],[Order_Date]])/3,0)</f>
        <v>Q3</v>
      </c>
    </row>
    <row r="1603" spans="1:30" x14ac:dyDescent="0.35">
      <c r="A1603" t="s">
        <v>2436</v>
      </c>
      <c r="B1603" s="3">
        <v>47361</v>
      </c>
      <c r="C1603" t="s">
        <v>881</v>
      </c>
      <c r="D1603" t="s">
        <v>1959</v>
      </c>
      <c r="E1603" t="str">
        <f>TRIM(excelsalesdata[[#This Row],[Customer_Name]])</f>
        <v>Nisha Rao</v>
      </c>
      <c r="F1603" t="s">
        <v>23</v>
      </c>
      <c r="G1603">
        <v>32</v>
      </c>
      <c r="H1603" t="s">
        <v>71</v>
      </c>
      <c r="I1603" t="str">
        <f>TRIM(excelsalesdata[[#This Row],[City]])</f>
        <v>Bhubaneswar</v>
      </c>
      <c r="J1603" t="s">
        <v>72</v>
      </c>
      <c r="K1603" t="s">
        <v>37</v>
      </c>
      <c r="L1603" t="s">
        <v>85</v>
      </c>
      <c r="M1603" t="s">
        <v>86</v>
      </c>
      <c r="N1603" t="s">
        <v>86</v>
      </c>
      <c r="O1603">
        <v>3</v>
      </c>
      <c r="P1603">
        <v>2650</v>
      </c>
      <c r="Q1603">
        <v>0.1</v>
      </c>
      <c r="R1603">
        <v>1560</v>
      </c>
      <c r="S1603" t="s">
        <v>105</v>
      </c>
      <c r="T1603" t="s">
        <v>30</v>
      </c>
      <c r="U1603">
        <v>3</v>
      </c>
      <c r="V1603" t="s">
        <v>31</v>
      </c>
      <c r="W1603">
        <f>excelsalesdata[[#This Row],[Quantity]]*excelsalesdata[[#This Row],[Unit_Price]]</f>
        <v>7950</v>
      </c>
      <c r="X1603">
        <f>excelsalesdata[[#This Row],[Gross_sales]]*excelsalesdata[[#This Row],[Discount_%]]</f>
        <v>795</v>
      </c>
      <c r="Y1603">
        <f>excelsalesdata[[#This Row],[Gross_sales]]-excelsalesdata[[#This Row],[Discount_amt]]</f>
        <v>7155</v>
      </c>
      <c r="Z1603" s="4">
        <f>excelsalesdata[[#This Row],[Net_sales]]-excelsalesdata[[#This Row],[Cost]]</f>
        <v>5595</v>
      </c>
      <c r="AA1603" s="5">
        <f>excelsalesdata[[#This Row],[Profit]]/excelsalesdata[[#This Row],[Net_sales]]</f>
        <v>0.78197064989517817</v>
      </c>
      <c r="AB1603" s="4">
        <f>YEAR(excelsalesdata[[#This Row],[Order_Date]])</f>
        <v>2029</v>
      </c>
      <c r="AC1603" s="4" t="str">
        <f>TEXT(excelsalesdata[[#This Row],[Order_Date]],"mmm")</f>
        <v>Aug</v>
      </c>
      <c r="AD1603" s="4" t="str">
        <f>"Q"&amp;ROUNDUP(MONTH(excelsalesdata[[#This Row],[Order_Date]])/3,0)</f>
        <v>Q3</v>
      </c>
    </row>
    <row r="1604" spans="1:30" x14ac:dyDescent="0.35">
      <c r="A1604" t="s">
        <v>2437</v>
      </c>
      <c r="B1604" s="3">
        <v>47362</v>
      </c>
      <c r="C1604" t="s">
        <v>1759</v>
      </c>
      <c r="D1604" t="s">
        <v>635</v>
      </c>
      <c r="E1604" t="str">
        <f>TRIM(excelsalesdata[[#This Row],[Customer_Name]])</f>
        <v>Arjun Singh</v>
      </c>
      <c r="F1604" t="s">
        <v>44</v>
      </c>
      <c r="G1604">
        <v>30</v>
      </c>
      <c r="H1604" t="s">
        <v>45</v>
      </c>
      <c r="I1604" t="str">
        <f>TRIM(excelsalesdata[[#This Row],[City]])</f>
        <v>Kochi</v>
      </c>
      <c r="J1604" t="s">
        <v>46</v>
      </c>
      <c r="K1604" t="s">
        <v>47</v>
      </c>
      <c r="L1604" t="s">
        <v>27</v>
      </c>
      <c r="M1604" t="s">
        <v>123</v>
      </c>
      <c r="N1604" t="s">
        <v>123</v>
      </c>
      <c r="O1604">
        <v>4</v>
      </c>
      <c r="P1604">
        <v>2680</v>
      </c>
      <c r="Q1604">
        <v>0.1</v>
      </c>
      <c r="R1604">
        <v>1600</v>
      </c>
      <c r="S1604" t="s">
        <v>29</v>
      </c>
      <c r="T1604" t="s">
        <v>30</v>
      </c>
      <c r="U1604">
        <v>4</v>
      </c>
      <c r="V1604" t="s">
        <v>40</v>
      </c>
      <c r="W1604">
        <f>excelsalesdata[[#This Row],[Quantity]]*excelsalesdata[[#This Row],[Unit_Price]]</f>
        <v>10720</v>
      </c>
      <c r="X1604">
        <f>excelsalesdata[[#This Row],[Gross_sales]]*excelsalesdata[[#This Row],[Discount_%]]</f>
        <v>1072</v>
      </c>
      <c r="Y1604">
        <f>excelsalesdata[[#This Row],[Gross_sales]]-excelsalesdata[[#This Row],[Discount_amt]]</f>
        <v>9648</v>
      </c>
      <c r="Z1604" s="4">
        <f>excelsalesdata[[#This Row],[Net_sales]]-excelsalesdata[[#This Row],[Cost]]</f>
        <v>8048</v>
      </c>
      <c r="AA1604" s="5">
        <f>excelsalesdata[[#This Row],[Profit]]/excelsalesdata[[#This Row],[Net_sales]]</f>
        <v>0.83416252072968489</v>
      </c>
      <c r="AB1604" s="4">
        <f>YEAR(excelsalesdata[[#This Row],[Order_Date]])</f>
        <v>2029</v>
      </c>
      <c r="AC1604" s="4" t="str">
        <f>TEXT(excelsalesdata[[#This Row],[Order_Date]],"mmm")</f>
        <v>Sep</v>
      </c>
      <c r="AD1604" s="4" t="str">
        <f>"Q"&amp;ROUNDUP(MONTH(excelsalesdata[[#This Row],[Order_Date]])/3,0)</f>
        <v>Q3</v>
      </c>
    </row>
    <row r="1605" spans="1:30" x14ac:dyDescent="0.35">
      <c r="A1605" t="s">
        <v>2438</v>
      </c>
      <c r="B1605" s="3">
        <v>47363</v>
      </c>
      <c r="C1605" t="s">
        <v>1597</v>
      </c>
      <c r="D1605" t="s">
        <v>879</v>
      </c>
      <c r="E1605" t="str">
        <f>TRIM(excelsalesdata[[#This Row],[Customer_Name]])</f>
        <v>Ishita Das</v>
      </c>
      <c r="F1605" t="s">
        <v>44</v>
      </c>
      <c r="G1605">
        <v>20</v>
      </c>
      <c r="H1605" t="s">
        <v>52</v>
      </c>
      <c r="I1605" t="str">
        <f>TRIM(excelsalesdata[[#This Row],[City]])</f>
        <v>Bengaluru</v>
      </c>
      <c r="J1605" t="s">
        <v>53</v>
      </c>
      <c r="K1605" t="s">
        <v>47</v>
      </c>
      <c r="L1605" t="s">
        <v>27</v>
      </c>
      <c r="M1605" t="s">
        <v>195</v>
      </c>
      <c r="N1605" t="s">
        <v>195</v>
      </c>
      <c r="O1605">
        <v>3</v>
      </c>
      <c r="P1605">
        <v>2280</v>
      </c>
      <c r="Q1605">
        <v>0.15</v>
      </c>
      <c r="R1605">
        <v>1230</v>
      </c>
      <c r="S1605" t="s">
        <v>105</v>
      </c>
      <c r="T1605" t="s">
        <v>30</v>
      </c>
      <c r="U1605">
        <v>6</v>
      </c>
      <c r="V1605" t="s">
        <v>40</v>
      </c>
      <c r="W1605">
        <f>excelsalesdata[[#This Row],[Quantity]]*excelsalesdata[[#This Row],[Unit_Price]]</f>
        <v>6840</v>
      </c>
      <c r="X1605">
        <f>excelsalesdata[[#This Row],[Gross_sales]]*excelsalesdata[[#This Row],[Discount_%]]</f>
        <v>1026</v>
      </c>
      <c r="Y1605">
        <f>excelsalesdata[[#This Row],[Gross_sales]]-excelsalesdata[[#This Row],[Discount_amt]]</f>
        <v>5814</v>
      </c>
      <c r="Z1605" s="4">
        <f>excelsalesdata[[#This Row],[Net_sales]]-excelsalesdata[[#This Row],[Cost]]</f>
        <v>4584</v>
      </c>
      <c r="AA1605" s="5">
        <f>excelsalesdata[[#This Row],[Profit]]/excelsalesdata[[#This Row],[Net_sales]]</f>
        <v>0.78844169246646023</v>
      </c>
      <c r="AB1605" s="4">
        <f>YEAR(excelsalesdata[[#This Row],[Order_Date]])</f>
        <v>2029</v>
      </c>
      <c r="AC1605" s="4" t="str">
        <f>TEXT(excelsalesdata[[#This Row],[Order_Date]],"mmm")</f>
        <v>Sep</v>
      </c>
      <c r="AD1605" s="4" t="str">
        <f>"Q"&amp;ROUNDUP(MONTH(excelsalesdata[[#This Row],[Order_Date]])/3,0)</f>
        <v>Q3</v>
      </c>
    </row>
    <row r="1606" spans="1:30" x14ac:dyDescent="0.35">
      <c r="A1606" t="s">
        <v>2439</v>
      </c>
      <c r="B1606" s="3">
        <v>47364</v>
      </c>
      <c r="C1606" t="s">
        <v>2041</v>
      </c>
      <c r="D1606" t="s">
        <v>234</v>
      </c>
      <c r="E1606" t="str">
        <f>TRIM(excelsalesdata[[#This Row],[Customer_Name]])</f>
        <v>Rohan Gupta</v>
      </c>
      <c r="F1606" t="s">
        <v>23</v>
      </c>
      <c r="G1606">
        <v>21</v>
      </c>
      <c r="H1606" t="s">
        <v>35</v>
      </c>
      <c r="I1606" t="str">
        <f>TRIM(excelsalesdata[[#This Row],[City]])</f>
        <v>Kolkata</v>
      </c>
      <c r="J1606" t="s">
        <v>36</v>
      </c>
      <c r="K1606" t="s">
        <v>37</v>
      </c>
      <c r="L1606" t="s">
        <v>93</v>
      </c>
      <c r="M1606" t="s">
        <v>94</v>
      </c>
      <c r="N1606" t="s">
        <v>94</v>
      </c>
      <c r="O1606">
        <v>5</v>
      </c>
      <c r="P1606">
        <v>490</v>
      </c>
      <c r="Q1606">
        <v>0.1</v>
      </c>
      <c r="R1606">
        <v>240</v>
      </c>
      <c r="S1606" t="s">
        <v>67</v>
      </c>
      <c r="T1606" t="s">
        <v>30</v>
      </c>
      <c r="U1606">
        <v>4</v>
      </c>
      <c r="V1606" t="s">
        <v>31</v>
      </c>
      <c r="W1606">
        <f>excelsalesdata[[#This Row],[Quantity]]*excelsalesdata[[#This Row],[Unit_Price]]</f>
        <v>2450</v>
      </c>
      <c r="X1606">
        <f>excelsalesdata[[#This Row],[Gross_sales]]*excelsalesdata[[#This Row],[Discount_%]]</f>
        <v>245</v>
      </c>
      <c r="Y1606">
        <f>excelsalesdata[[#This Row],[Gross_sales]]-excelsalesdata[[#This Row],[Discount_amt]]</f>
        <v>2205</v>
      </c>
      <c r="Z1606" s="4">
        <f>excelsalesdata[[#This Row],[Net_sales]]-excelsalesdata[[#This Row],[Cost]]</f>
        <v>1965</v>
      </c>
      <c r="AA1606" s="5">
        <f>excelsalesdata[[#This Row],[Profit]]/excelsalesdata[[#This Row],[Net_sales]]</f>
        <v>0.891156462585034</v>
      </c>
      <c r="AB1606" s="4">
        <f>YEAR(excelsalesdata[[#This Row],[Order_Date]])</f>
        <v>2029</v>
      </c>
      <c r="AC1606" s="4" t="str">
        <f>TEXT(excelsalesdata[[#This Row],[Order_Date]],"mmm")</f>
        <v>Sep</v>
      </c>
      <c r="AD1606" s="4" t="str">
        <f>"Q"&amp;ROUNDUP(MONTH(excelsalesdata[[#This Row],[Order_Date]])/3,0)</f>
        <v>Q3</v>
      </c>
    </row>
    <row r="1607" spans="1:30" x14ac:dyDescent="0.35">
      <c r="A1607" t="s">
        <v>2440</v>
      </c>
      <c r="B1607" s="3">
        <v>47365</v>
      </c>
      <c r="C1607" t="s">
        <v>459</v>
      </c>
      <c r="D1607" t="s">
        <v>1226</v>
      </c>
      <c r="E1607" t="str">
        <f>TRIM(excelsalesdata[[#This Row],[Customer_Name]])</f>
        <v>Vikram Reddy</v>
      </c>
      <c r="F1607" t="s">
        <v>23</v>
      </c>
      <c r="G1607">
        <v>60</v>
      </c>
      <c r="H1607" t="s">
        <v>98</v>
      </c>
      <c r="I1607" t="str">
        <f>TRIM(excelsalesdata[[#This Row],[City]])</f>
        <v>Mumbai</v>
      </c>
      <c r="J1607" t="s">
        <v>25</v>
      </c>
      <c r="K1607" t="s">
        <v>26</v>
      </c>
      <c r="L1607" t="s">
        <v>85</v>
      </c>
      <c r="M1607" t="s">
        <v>172</v>
      </c>
      <c r="N1607" t="s">
        <v>172</v>
      </c>
      <c r="O1607">
        <v>1</v>
      </c>
      <c r="P1607">
        <v>4550</v>
      </c>
      <c r="Q1607">
        <v>0.25</v>
      </c>
      <c r="R1607">
        <v>2870</v>
      </c>
      <c r="S1607" t="s">
        <v>105</v>
      </c>
      <c r="T1607" t="s">
        <v>30</v>
      </c>
      <c r="U1607">
        <v>3</v>
      </c>
      <c r="V1607" t="s">
        <v>31</v>
      </c>
      <c r="W1607">
        <f>excelsalesdata[[#This Row],[Quantity]]*excelsalesdata[[#This Row],[Unit_Price]]</f>
        <v>4550</v>
      </c>
      <c r="X1607">
        <f>excelsalesdata[[#This Row],[Gross_sales]]*excelsalesdata[[#This Row],[Discount_%]]</f>
        <v>1137.5</v>
      </c>
      <c r="Y1607">
        <f>excelsalesdata[[#This Row],[Gross_sales]]-excelsalesdata[[#This Row],[Discount_amt]]</f>
        <v>3412.5</v>
      </c>
      <c r="Z1607" s="4">
        <f>excelsalesdata[[#This Row],[Net_sales]]-excelsalesdata[[#This Row],[Cost]]</f>
        <v>542.5</v>
      </c>
      <c r="AA1607" s="5">
        <f>excelsalesdata[[#This Row],[Profit]]/excelsalesdata[[#This Row],[Net_sales]]</f>
        <v>0.15897435897435896</v>
      </c>
      <c r="AB1607" s="4">
        <f>YEAR(excelsalesdata[[#This Row],[Order_Date]])</f>
        <v>2029</v>
      </c>
      <c r="AC1607" s="4" t="str">
        <f>TEXT(excelsalesdata[[#This Row],[Order_Date]],"mmm")</f>
        <v>Sep</v>
      </c>
      <c r="AD1607" s="4" t="str">
        <f>"Q"&amp;ROUNDUP(MONTH(excelsalesdata[[#This Row],[Order_Date]])/3,0)</f>
        <v>Q3</v>
      </c>
    </row>
    <row r="1608" spans="1:30" x14ac:dyDescent="0.35">
      <c r="A1608" t="s">
        <v>2441</v>
      </c>
      <c r="B1608" s="3">
        <v>47366</v>
      </c>
      <c r="C1608" t="s">
        <v>1444</v>
      </c>
      <c r="D1608" t="s">
        <v>891</v>
      </c>
      <c r="E1608" t="str">
        <f>TRIM(excelsalesdata[[#This Row],[Customer_Name]])</f>
        <v>Rahul Verma</v>
      </c>
      <c r="F1608" t="s">
        <v>23</v>
      </c>
      <c r="G1608">
        <v>43</v>
      </c>
      <c r="H1608" t="s">
        <v>45</v>
      </c>
      <c r="I1608" t="str">
        <f>TRIM(excelsalesdata[[#This Row],[City]])</f>
        <v>Kochi</v>
      </c>
      <c r="J1608" t="s">
        <v>46</v>
      </c>
      <c r="K1608" t="s">
        <v>47</v>
      </c>
      <c r="L1608" t="s">
        <v>38</v>
      </c>
      <c r="M1608" t="s">
        <v>39</v>
      </c>
      <c r="N1608" t="s">
        <v>39</v>
      </c>
      <c r="O1608">
        <v>1</v>
      </c>
      <c r="P1608">
        <v>6120</v>
      </c>
      <c r="Q1608">
        <v>0.2</v>
      </c>
      <c r="R1608">
        <v>3990</v>
      </c>
      <c r="S1608" t="s">
        <v>67</v>
      </c>
      <c r="T1608" t="s">
        <v>30</v>
      </c>
      <c r="U1608">
        <v>6</v>
      </c>
      <c r="V1608" t="s">
        <v>40</v>
      </c>
      <c r="W1608">
        <f>excelsalesdata[[#This Row],[Quantity]]*excelsalesdata[[#This Row],[Unit_Price]]</f>
        <v>6120</v>
      </c>
      <c r="X1608">
        <f>excelsalesdata[[#This Row],[Gross_sales]]*excelsalesdata[[#This Row],[Discount_%]]</f>
        <v>1224</v>
      </c>
      <c r="Y1608">
        <f>excelsalesdata[[#This Row],[Gross_sales]]-excelsalesdata[[#This Row],[Discount_amt]]</f>
        <v>4896</v>
      </c>
      <c r="Z1608" s="4">
        <f>excelsalesdata[[#This Row],[Net_sales]]-excelsalesdata[[#This Row],[Cost]]</f>
        <v>906</v>
      </c>
      <c r="AA1608" s="5">
        <f>excelsalesdata[[#This Row],[Profit]]/excelsalesdata[[#This Row],[Net_sales]]</f>
        <v>0.18504901960784315</v>
      </c>
      <c r="AB1608" s="4">
        <f>YEAR(excelsalesdata[[#This Row],[Order_Date]])</f>
        <v>2029</v>
      </c>
      <c r="AC1608" s="4" t="str">
        <f>TEXT(excelsalesdata[[#This Row],[Order_Date]],"mmm")</f>
        <v>Sep</v>
      </c>
      <c r="AD1608" s="4" t="str">
        <f>"Q"&amp;ROUNDUP(MONTH(excelsalesdata[[#This Row],[Order_Date]])/3,0)</f>
        <v>Q3</v>
      </c>
    </row>
    <row r="1609" spans="1:30" x14ac:dyDescent="0.35">
      <c r="A1609" t="s">
        <v>2442</v>
      </c>
      <c r="B1609" s="3">
        <v>47367</v>
      </c>
      <c r="C1609" t="s">
        <v>878</v>
      </c>
      <c r="D1609" t="s">
        <v>755</v>
      </c>
      <c r="E1609" t="str">
        <f>TRIM(excelsalesdata[[#This Row],[Customer_Name]])</f>
        <v>Rahul Singh</v>
      </c>
      <c r="F1609" t="s">
        <v>44</v>
      </c>
      <c r="G1609">
        <v>59</v>
      </c>
      <c r="H1609" t="s">
        <v>114</v>
      </c>
      <c r="I1609" t="str">
        <f>TRIM(excelsalesdata[[#This Row],[City]])</f>
        <v>Hyderabad</v>
      </c>
      <c r="J1609" t="s">
        <v>115</v>
      </c>
      <c r="K1609" t="s">
        <v>47</v>
      </c>
      <c r="L1609" t="s">
        <v>54</v>
      </c>
      <c r="M1609" t="s">
        <v>55</v>
      </c>
      <c r="N1609" t="s">
        <v>55</v>
      </c>
      <c r="O1609">
        <v>1</v>
      </c>
      <c r="P1609">
        <v>7430</v>
      </c>
      <c r="Q1609">
        <v>0</v>
      </c>
      <c r="R1609">
        <v>4320</v>
      </c>
      <c r="S1609" t="s">
        <v>67</v>
      </c>
      <c r="T1609" t="s">
        <v>30</v>
      </c>
      <c r="U1609">
        <v>2</v>
      </c>
      <c r="V1609" t="s">
        <v>40</v>
      </c>
      <c r="W1609">
        <f>excelsalesdata[[#This Row],[Quantity]]*excelsalesdata[[#This Row],[Unit_Price]]</f>
        <v>7430</v>
      </c>
      <c r="X1609">
        <f>excelsalesdata[[#This Row],[Gross_sales]]*excelsalesdata[[#This Row],[Discount_%]]</f>
        <v>0</v>
      </c>
      <c r="Y1609">
        <f>excelsalesdata[[#This Row],[Gross_sales]]-excelsalesdata[[#This Row],[Discount_amt]]</f>
        <v>7430</v>
      </c>
      <c r="Z1609" s="4">
        <f>excelsalesdata[[#This Row],[Net_sales]]-excelsalesdata[[#This Row],[Cost]]</f>
        <v>3110</v>
      </c>
      <c r="AA1609" s="5">
        <f>excelsalesdata[[#This Row],[Profit]]/excelsalesdata[[#This Row],[Net_sales]]</f>
        <v>0.41857335127860029</v>
      </c>
      <c r="AB1609" s="4">
        <f>YEAR(excelsalesdata[[#This Row],[Order_Date]])</f>
        <v>2029</v>
      </c>
      <c r="AC1609" s="4" t="str">
        <f>TEXT(excelsalesdata[[#This Row],[Order_Date]],"mmm")</f>
        <v>Sep</v>
      </c>
      <c r="AD1609" s="4" t="str">
        <f>"Q"&amp;ROUNDUP(MONTH(excelsalesdata[[#This Row],[Order_Date]])/3,0)</f>
        <v>Q3</v>
      </c>
    </row>
    <row r="1610" spans="1:30" x14ac:dyDescent="0.35">
      <c r="A1610" t="s">
        <v>2443</v>
      </c>
      <c r="B1610" s="3">
        <v>47368</v>
      </c>
      <c r="C1610" t="s">
        <v>587</v>
      </c>
      <c r="D1610" t="s">
        <v>147</v>
      </c>
      <c r="E1610" t="str">
        <f>TRIM(excelsalesdata[[#This Row],[Customer_Name]])</f>
        <v>Rohan Sharma</v>
      </c>
      <c r="F1610" t="s">
        <v>23</v>
      </c>
      <c r="G1610">
        <v>35</v>
      </c>
      <c r="H1610" t="s">
        <v>185</v>
      </c>
      <c r="I1610" t="str">
        <f>TRIM(excelsalesdata[[#This Row],[City]])</f>
        <v>Lucknow</v>
      </c>
      <c r="J1610" t="s">
        <v>186</v>
      </c>
      <c r="K1610" t="s">
        <v>61</v>
      </c>
      <c r="L1610" t="s">
        <v>27</v>
      </c>
      <c r="M1610" t="s">
        <v>28</v>
      </c>
      <c r="N1610" t="s">
        <v>28</v>
      </c>
      <c r="O1610">
        <v>2</v>
      </c>
      <c r="P1610">
        <v>3700</v>
      </c>
      <c r="Q1610">
        <v>0</v>
      </c>
      <c r="R1610">
        <v>2160</v>
      </c>
      <c r="S1610" t="s">
        <v>80</v>
      </c>
      <c r="T1610" t="s">
        <v>30</v>
      </c>
      <c r="U1610">
        <v>2</v>
      </c>
      <c r="V1610" t="s">
        <v>31</v>
      </c>
      <c r="W1610">
        <f>excelsalesdata[[#This Row],[Quantity]]*excelsalesdata[[#This Row],[Unit_Price]]</f>
        <v>7400</v>
      </c>
      <c r="X1610">
        <f>excelsalesdata[[#This Row],[Gross_sales]]*excelsalesdata[[#This Row],[Discount_%]]</f>
        <v>0</v>
      </c>
      <c r="Y1610">
        <f>excelsalesdata[[#This Row],[Gross_sales]]-excelsalesdata[[#This Row],[Discount_amt]]</f>
        <v>7400</v>
      </c>
      <c r="Z1610" s="4">
        <f>excelsalesdata[[#This Row],[Net_sales]]-excelsalesdata[[#This Row],[Cost]]</f>
        <v>5240</v>
      </c>
      <c r="AA1610" s="5">
        <f>excelsalesdata[[#This Row],[Profit]]/excelsalesdata[[#This Row],[Net_sales]]</f>
        <v>0.70810810810810809</v>
      </c>
      <c r="AB1610" s="4">
        <f>YEAR(excelsalesdata[[#This Row],[Order_Date]])</f>
        <v>2029</v>
      </c>
      <c r="AC1610" s="4" t="str">
        <f>TEXT(excelsalesdata[[#This Row],[Order_Date]],"mmm")</f>
        <v>Sep</v>
      </c>
      <c r="AD1610" s="4" t="str">
        <f>"Q"&amp;ROUNDUP(MONTH(excelsalesdata[[#This Row],[Order_Date]])/3,0)</f>
        <v>Q3</v>
      </c>
    </row>
    <row r="1611" spans="1:30" x14ac:dyDescent="0.35">
      <c r="A1611" t="s">
        <v>2444</v>
      </c>
      <c r="B1611" s="3">
        <v>47369</v>
      </c>
      <c r="C1611" t="s">
        <v>2261</v>
      </c>
      <c r="D1611" t="s">
        <v>546</v>
      </c>
      <c r="E1611" t="str">
        <f>TRIM(excelsalesdata[[#This Row],[Customer_Name]])</f>
        <v>Karan Nair</v>
      </c>
      <c r="F1611" t="s">
        <v>23</v>
      </c>
      <c r="G1611">
        <v>36</v>
      </c>
      <c r="H1611" t="s">
        <v>60</v>
      </c>
      <c r="I1611" t="str">
        <f>TRIM(excelsalesdata[[#This Row],[City]])</f>
        <v>Chandigarh</v>
      </c>
      <c r="J1611" t="s">
        <v>60</v>
      </c>
      <c r="K1611" t="s">
        <v>61</v>
      </c>
      <c r="L1611" t="s">
        <v>85</v>
      </c>
      <c r="M1611" t="s">
        <v>202</v>
      </c>
      <c r="N1611" t="s">
        <v>202</v>
      </c>
      <c r="O1611">
        <v>2</v>
      </c>
      <c r="P1611">
        <v>900</v>
      </c>
      <c r="Q1611">
        <v>0.2</v>
      </c>
      <c r="R1611">
        <v>380</v>
      </c>
      <c r="S1611" t="s">
        <v>67</v>
      </c>
      <c r="T1611" t="s">
        <v>74</v>
      </c>
      <c r="U1611">
        <v>4</v>
      </c>
      <c r="V1611" t="s">
        <v>40</v>
      </c>
      <c r="W1611">
        <f>excelsalesdata[[#This Row],[Quantity]]*excelsalesdata[[#This Row],[Unit_Price]]</f>
        <v>1800</v>
      </c>
      <c r="X1611">
        <f>excelsalesdata[[#This Row],[Gross_sales]]*excelsalesdata[[#This Row],[Discount_%]]</f>
        <v>360</v>
      </c>
      <c r="Y1611">
        <f>excelsalesdata[[#This Row],[Gross_sales]]-excelsalesdata[[#This Row],[Discount_amt]]</f>
        <v>1440</v>
      </c>
      <c r="Z1611" s="4">
        <f>excelsalesdata[[#This Row],[Net_sales]]-excelsalesdata[[#This Row],[Cost]]</f>
        <v>1060</v>
      </c>
      <c r="AA1611" s="5">
        <f>excelsalesdata[[#This Row],[Profit]]/excelsalesdata[[#This Row],[Net_sales]]</f>
        <v>0.73611111111111116</v>
      </c>
      <c r="AB1611" s="4">
        <f>YEAR(excelsalesdata[[#This Row],[Order_Date]])</f>
        <v>2029</v>
      </c>
      <c r="AC1611" s="4" t="str">
        <f>TEXT(excelsalesdata[[#This Row],[Order_Date]],"mmm")</f>
        <v>Sep</v>
      </c>
      <c r="AD1611" s="4" t="str">
        <f>"Q"&amp;ROUNDUP(MONTH(excelsalesdata[[#This Row],[Order_Date]])/3,0)</f>
        <v>Q3</v>
      </c>
    </row>
    <row r="1612" spans="1:30" x14ac:dyDescent="0.35">
      <c r="A1612" t="s">
        <v>2445</v>
      </c>
      <c r="B1612" s="3">
        <v>47370</v>
      </c>
      <c r="C1612" t="s">
        <v>2446</v>
      </c>
      <c r="D1612" t="s">
        <v>867</v>
      </c>
      <c r="E1612" t="str">
        <f>TRIM(excelsalesdata[[#This Row],[Customer_Name]])</f>
        <v>Sneha Nair</v>
      </c>
      <c r="F1612" t="s">
        <v>44</v>
      </c>
      <c r="G1612">
        <v>42</v>
      </c>
      <c r="H1612" t="s">
        <v>60</v>
      </c>
      <c r="I1612" t="str">
        <f>TRIM(excelsalesdata[[#This Row],[City]])</f>
        <v>Chandigarh</v>
      </c>
      <c r="J1612" t="s">
        <v>60</v>
      </c>
      <c r="K1612" t="s">
        <v>61</v>
      </c>
      <c r="L1612" t="s">
        <v>103</v>
      </c>
      <c r="M1612" t="s">
        <v>312</v>
      </c>
      <c r="N1612" t="s">
        <v>312</v>
      </c>
      <c r="O1612">
        <v>5</v>
      </c>
      <c r="P1612">
        <v>7020</v>
      </c>
      <c r="Q1612">
        <v>0.05</v>
      </c>
      <c r="R1612">
        <v>4370</v>
      </c>
      <c r="S1612" t="s">
        <v>29</v>
      </c>
      <c r="T1612" t="s">
        <v>30</v>
      </c>
      <c r="U1612">
        <v>2</v>
      </c>
      <c r="V1612" t="s">
        <v>40</v>
      </c>
      <c r="W1612">
        <f>excelsalesdata[[#This Row],[Quantity]]*excelsalesdata[[#This Row],[Unit_Price]]</f>
        <v>35100</v>
      </c>
      <c r="X1612">
        <f>excelsalesdata[[#This Row],[Gross_sales]]*excelsalesdata[[#This Row],[Discount_%]]</f>
        <v>1755</v>
      </c>
      <c r="Y1612">
        <f>excelsalesdata[[#This Row],[Gross_sales]]-excelsalesdata[[#This Row],[Discount_amt]]</f>
        <v>33345</v>
      </c>
      <c r="Z1612" s="4">
        <f>excelsalesdata[[#This Row],[Net_sales]]-excelsalesdata[[#This Row],[Cost]]</f>
        <v>28975</v>
      </c>
      <c r="AA1612" s="5">
        <f>excelsalesdata[[#This Row],[Profit]]/excelsalesdata[[#This Row],[Net_sales]]</f>
        <v>0.86894586894586889</v>
      </c>
      <c r="AB1612" s="4">
        <f>YEAR(excelsalesdata[[#This Row],[Order_Date]])</f>
        <v>2029</v>
      </c>
      <c r="AC1612" s="4" t="str">
        <f>TEXT(excelsalesdata[[#This Row],[Order_Date]],"mmm")</f>
        <v>Sep</v>
      </c>
      <c r="AD1612" s="4" t="str">
        <f>"Q"&amp;ROUNDUP(MONTH(excelsalesdata[[#This Row],[Order_Date]])/3,0)</f>
        <v>Q3</v>
      </c>
    </row>
    <row r="1613" spans="1:30" x14ac:dyDescent="0.35">
      <c r="A1613" t="s">
        <v>2447</v>
      </c>
      <c r="B1613" s="3">
        <v>47371</v>
      </c>
      <c r="C1613" t="s">
        <v>408</v>
      </c>
      <c r="D1613" t="s">
        <v>338</v>
      </c>
      <c r="E1613" t="str">
        <f>TRIM(excelsalesdata[[#This Row],[Customer_Name]])</f>
        <v>Karan Singh</v>
      </c>
      <c r="F1613" t="s">
        <v>44</v>
      </c>
      <c r="G1613">
        <v>41</v>
      </c>
      <c r="H1613" t="s">
        <v>114</v>
      </c>
      <c r="I1613" t="str">
        <f>TRIM(excelsalesdata[[#This Row],[City]])</f>
        <v>Hyderabad</v>
      </c>
      <c r="J1613" t="s">
        <v>115</v>
      </c>
      <c r="K1613" t="s">
        <v>47</v>
      </c>
      <c r="L1613" t="s">
        <v>54</v>
      </c>
      <c r="M1613" t="s">
        <v>129</v>
      </c>
      <c r="N1613" t="s">
        <v>129</v>
      </c>
      <c r="O1613">
        <v>2</v>
      </c>
      <c r="P1613">
        <v>17170</v>
      </c>
      <c r="Q1613">
        <v>0.1</v>
      </c>
      <c r="R1613">
        <v>12950</v>
      </c>
      <c r="S1613" t="s">
        <v>29</v>
      </c>
      <c r="T1613" t="s">
        <v>30</v>
      </c>
      <c r="U1613">
        <v>4</v>
      </c>
      <c r="V1613" t="s">
        <v>40</v>
      </c>
      <c r="W1613">
        <f>excelsalesdata[[#This Row],[Quantity]]*excelsalesdata[[#This Row],[Unit_Price]]</f>
        <v>34340</v>
      </c>
      <c r="X1613">
        <f>excelsalesdata[[#This Row],[Gross_sales]]*excelsalesdata[[#This Row],[Discount_%]]</f>
        <v>3434</v>
      </c>
      <c r="Y1613">
        <f>excelsalesdata[[#This Row],[Gross_sales]]-excelsalesdata[[#This Row],[Discount_amt]]</f>
        <v>30906</v>
      </c>
      <c r="Z1613" s="4">
        <f>excelsalesdata[[#This Row],[Net_sales]]-excelsalesdata[[#This Row],[Cost]]</f>
        <v>17956</v>
      </c>
      <c r="AA1613" s="5">
        <f>excelsalesdata[[#This Row],[Profit]]/excelsalesdata[[#This Row],[Net_sales]]</f>
        <v>0.58098751051575748</v>
      </c>
      <c r="AB1613" s="4">
        <f>YEAR(excelsalesdata[[#This Row],[Order_Date]])</f>
        <v>2029</v>
      </c>
      <c r="AC1613" s="4" t="str">
        <f>TEXT(excelsalesdata[[#This Row],[Order_Date]],"mmm")</f>
        <v>Sep</v>
      </c>
      <c r="AD1613" s="4" t="str">
        <f>"Q"&amp;ROUNDUP(MONTH(excelsalesdata[[#This Row],[Order_Date]])/3,0)</f>
        <v>Q3</v>
      </c>
    </row>
    <row r="1614" spans="1:30" x14ac:dyDescent="0.35">
      <c r="A1614" t="s">
        <v>2448</v>
      </c>
      <c r="B1614" s="3">
        <v>47372</v>
      </c>
      <c r="C1614" t="s">
        <v>58</v>
      </c>
      <c r="D1614" t="s">
        <v>413</v>
      </c>
      <c r="E1614" t="str">
        <f>TRIM(excelsalesdata[[#This Row],[Customer_Name]])</f>
        <v>Rahul Mehta</v>
      </c>
      <c r="F1614" t="s">
        <v>44</v>
      </c>
      <c r="G1614">
        <v>46</v>
      </c>
      <c r="H1614" t="s">
        <v>60</v>
      </c>
      <c r="I1614" t="str">
        <f>TRIM(excelsalesdata[[#This Row],[City]])</f>
        <v>Chandigarh</v>
      </c>
      <c r="J1614" t="s">
        <v>60</v>
      </c>
      <c r="K1614" t="s">
        <v>61</v>
      </c>
      <c r="L1614" t="s">
        <v>103</v>
      </c>
      <c r="M1614" t="s">
        <v>238</v>
      </c>
      <c r="N1614" t="s">
        <v>238</v>
      </c>
      <c r="O1614">
        <v>1</v>
      </c>
      <c r="P1614">
        <v>4520</v>
      </c>
      <c r="Q1614">
        <v>0.25</v>
      </c>
      <c r="R1614">
        <v>2800</v>
      </c>
      <c r="S1614" t="s">
        <v>80</v>
      </c>
      <c r="T1614" t="s">
        <v>74</v>
      </c>
      <c r="U1614">
        <v>2</v>
      </c>
      <c r="V1614" t="s">
        <v>31</v>
      </c>
      <c r="W1614">
        <f>excelsalesdata[[#This Row],[Quantity]]*excelsalesdata[[#This Row],[Unit_Price]]</f>
        <v>4520</v>
      </c>
      <c r="X1614">
        <f>excelsalesdata[[#This Row],[Gross_sales]]*excelsalesdata[[#This Row],[Discount_%]]</f>
        <v>1130</v>
      </c>
      <c r="Y1614">
        <f>excelsalesdata[[#This Row],[Gross_sales]]-excelsalesdata[[#This Row],[Discount_amt]]</f>
        <v>3390</v>
      </c>
      <c r="Z1614" s="4">
        <f>excelsalesdata[[#This Row],[Net_sales]]-excelsalesdata[[#This Row],[Cost]]</f>
        <v>590</v>
      </c>
      <c r="AA1614" s="5">
        <f>excelsalesdata[[#This Row],[Profit]]/excelsalesdata[[#This Row],[Net_sales]]</f>
        <v>0.17404129793510326</v>
      </c>
      <c r="AB1614" s="4">
        <f>YEAR(excelsalesdata[[#This Row],[Order_Date]])</f>
        <v>2029</v>
      </c>
      <c r="AC1614" s="4" t="str">
        <f>TEXT(excelsalesdata[[#This Row],[Order_Date]],"mmm")</f>
        <v>Sep</v>
      </c>
      <c r="AD1614" s="4" t="str">
        <f>"Q"&amp;ROUNDUP(MONTH(excelsalesdata[[#This Row],[Order_Date]])/3,0)</f>
        <v>Q3</v>
      </c>
    </row>
    <row r="1615" spans="1:30" x14ac:dyDescent="0.35">
      <c r="A1615" t="s">
        <v>2449</v>
      </c>
      <c r="B1615" s="3">
        <v>47373</v>
      </c>
      <c r="C1615" t="s">
        <v>314</v>
      </c>
      <c r="D1615" t="s">
        <v>244</v>
      </c>
      <c r="E1615" t="str">
        <f>TRIM(excelsalesdata[[#This Row],[Customer_Name]])</f>
        <v>Karan Das</v>
      </c>
      <c r="F1615" t="s">
        <v>23</v>
      </c>
      <c r="G1615">
        <v>29</v>
      </c>
      <c r="H1615" t="s">
        <v>133</v>
      </c>
      <c r="I1615" t="str">
        <f>TRIM(excelsalesdata[[#This Row],[City]])</f>
        <v>Jaipur</v>
      </c>
      <c r="J1615" t="s">
        <v>134</v>
      </c>
      <c r="K1615" t="s">
        <v>61</v>
      </c>
      <c r="L1615" t="s">
        <v>54</v>
      </c>
      <c r="M1615" t="s">
        <v>129</v>
      </c>
      <c r="N1615" t="s">
        <v>129</v>
      </c>
      <c r="O1615">
        <v>2</v>
      </c>
      <c r="P1615">
        <v>18450</v>
      </c>
      <c r="Q1615">
        <v>0.05</v>
      </c>
      <c r="R1615">
        <v>12960</v>
      </c>
      <c r="S1615" t="s">
        <v>80</v>
      </c>
      <c r="T1615" t="s">
        <v>30</v>
      </c>
      <c r="U1615">
        <v>4</v>
      </c>
      <c r="V1615" t="s">
        <v>31</v>
      </c>
      <c r="W1615">
        <f>excelsalesdata[[#This Row],[Quantity]]*excelsalesdata[[#This Row],[Unit_Price]]</f>
        <v>36900</v>
      </c>
      <c r="X1615">
        <f>excelsalesdata[[#This Row],[Gross_sales]]*excelsalesdata[[#This Row],[Discount_%]]</f>
        <v>1845</v>
      </c>
      <c r="Y1615">
        <f>excelsalesdata[[#This Row],[Gross_sales]]-excelsalesdata[[#This Row],[Discount_amt]]</f>
        <v>35055</v>
      </c>
      <c r="Z1615" s="4">
        <f>excelsalesdata[[#This Row],[Net_sales]]-excelsalesdata[[#This Row],[Cost]]</f>
        <v>22095</v>
      </c>
      <c r="AA1615" s="5">
        <f>excelsalesdata[[#This Row],[Profit]]/excelsalesdata[[#This Row],[Net_sales]]</f>
        <v>0.63029525032092426</v>
      </c>
      <c r="AB1615" s="4">
        <f>YEAR(excelsalesdata[[#This Row],[Order_Date]])</f>
        <v>2029</v>
      </c>
      <c r="AC1615" s="4" t="str">
        <f>TEXT(excelsalesdata[[#This Row],[Order_Date]],"mmm")</f>
        <v>Sep</v>
      </c>
      <c r="AD1615" s="4" t="str">
        <f>"Q"&amp;ROUNDUP(MONTH(excelsalesdata[[#This Row],[Order_Date]])/3,0)</f>
        <v>Q3</v>
      </c>
    </row>
    <row r="1616" spans="1:30" x14ac:dyDescent="0.35">
      <c r="A1616" t="s">
        <v>2450</v>
      </c>
      <c r="B1616" s="3">
        <v>47374</v>
      </c>
      <c r="C1616" t="s">
        <v>1063</v>
      </c>
      <c r="D1616" t="s">
        <v>305</v>
      </c>
      <c r="E1616" t="str">
        <f>TRIM(excelsalesdata[[#This Row],[Customer_Name]])</f>
        <v>Priya Reddy</v>
      </c>
      <c r="F1616" t="s">
        <v>44</v>
      </c>
      <c r="G1616">
        <v>43</v>
      </c>
      <c r="H1616" t="s">
        <v>155</v>
      </c>
      <c r="I1616" t="str">
        <f>TRIM(excelsalesdata[[#This Row],[City]])</f>
        <v>Chennai</v>
      </c>
      <c r="J1616" t="s">
        <v>156</v>
      </c>
      <c r="K1616" t="s">
        <v>47</v>
      </c>
      <c r="L1616" t="s">
        <v>103</v>
      </c>
      <c r="M1616" t="s">
        <v>104</v>
      </c>
      <c r="N1616" t="s">
        <v>104</v>
      </c>
      <c r="O1616">
        <v>3</v>
      </c>
      <c r="P1616">
        <v>8350</v>
      </c>
      <c r="Q1616">
        <v>0.05</v>
      </c>
      <c r="R1616">
        <v>5610</v>
      </c>
      <c r="S1616" t="s">
        <v>67</v>
      </c>
      <c r="T1616" t="s">
        <v>30</v>
      </c>
      <c r="U1616">
        <v>5</v>
      </c>
      <c r="V1616" t="s">
        <v>40</v>
      </c>
      <c r="W1616">
        <f>excelsalesdata[[#This Row],[Quantity]]*excelsalesdata[[#This Row],[Unit_Price]]</f>
        <v>25050</v>
      </c>
      <c r="X1616">
        <f>excelsalesdata[[#This Row],[Gross_sales]]*excelsalesdata[[#This Row],[Discount_%]]</f>
        <v>1252.5</v>
      </c>
      <c r="Y1616">
        <f>excelsalesdata[[#This Row],[Gross_sales]]-excelsalesdata[[#This Row],[Discount_amt]]</f>
        <v>23797.5</v>
      </c>
      <c r="Z1616" s="4">
        <f>excelsalesdata[[#This Row],[Net_sales]]-excelsalesdata[[#This Row],[Cost]]</f>
        <v>18187.5</v>
      </c>
      <c r="AA1616" s="5">
        <f>excelsalesdata[[#This Row],[Profit]]/excelsalesdata[[#This Row],[Net_sales]]</f>
        <v>0.76426095178064923</v>
      </c>
      <c r="AB1616" s="4">
        <f>YEAR(excelsalesdata[[#This Row],[Order_Date]])</f>
        <v>2029</v>
      </c>
      <c r="AC1616" s="4" t="str">
        <f>TEXT(excelsalesdata[[#This Row],[Order_Date]],"mmm")</f>
        <v>Sep</v>
      </c>
      <c r="AD1616" s="4" t="str">
        <f>"Q"&amp;ROUNDUP(MONTH(excelsalesdata[[#This Row],[Order_Date]])/3,0)</f>
        <v>Q3</v>
      </c>
    </row>
    <row r="1617" spans="1:30" x14ac:dyDescent="0.35">
      <c r="A1617" t="s">
        <v>2451</v>
      </c>
      <c r="B1617" s="3">
        <v>47375</v>
      </c>
      <c r="C1617" t="s">
        <v>322</v>
      </c>
      <c r="D1617" t="s">
        <v>792</v>
      </c>
      <c r="E1617" t="str">
        <f>TRIM(excelsalesdata[[#This Row],[Customer_Name]])</f>
        <v>Nisha Das</v>
      </c>
      <c r="F1617" t="s">
        <v>44</v>
      </c>
      <c r="G1617">
        <v>20</v>
      </c>
      <c r="H1617" t="s">
        <v>24</v>
      </c>
      <c r="I1617" t="str">
        <f>TRIM(excelsalesdata[[#This Row],[City]])</f>
        <v>Pune</v>
      </c>
      <c r="J1617" t="s">
        <v>25</v>
      </c>
      <c r="K1617" t="s">
        <v>26</v>
      </c>
      <c r="L1617" t="s">
        <v>54</v>
      </c>
      <c r="M1617" t="s">
        <v>129</v>
      </c>
      <c r="N1617" t="s">
        <v>129</v>
      </c>
      <c r="O1617">
        <v>3</v>
      </c>
      <c r="P1617">
        <v>18480</v>
      </c>
      <c r="Q1617">
        <v>0.05</v>
      </c>
      <c r="R1617">
        <v>12020</v>
      </c>
      <c r="S1617" t="s">
        <v>67</v>
      </c>
      <c r="T1617" t="s">
        <v>30</v>
      </c>
      <c r="U1617">
        <v>1</v>
      </c>
      <c r="V1617" t="s">
        <v>31</v>
      </c>
      <c r="W1617">
        <f>excelsalesdata[[#This Row],[Quantity]]*excelsalesdata[[#This Row],[Unit_Price]]</f>
        <v>55440</v>
      </c>
      <c r="X1617">
        <f>excelsalesdata[[#This Row],[Gross_sales]]*excelsalesdata[[#This Row],[Discount_%]]</f>
        <v>2772</v>
      </c>
      <c r="Y1617">
        <f>excelsalesdata[[#This Row],[Gross_sales]]-excelsalesdata[[#This Row],[Discount_amt]]</f>
        <v>52668</v>
      </c>
      <c r="Z1617" s="4">
        <f>excelsalesdata[[#This Row],[Net_sales]]-excelsalesdata[[#This Row],[Cost]]</f>
        <v>40648</v>
      </c>
      <c r="AA1617" s="5">
        <f>excelsalesdata[[#This Row],[Profit]]/excelsalesdata[[#This Row],[Net_sales]]</f>
        <v>0.77177792967266656</v>
      </c>
      <c r="AB1617" s="4">
        <f>YEAR(excelsalesdata[[#This Row],[Order_Date]])</f>
        <v>2029</v>
      </c>
      <c r="AC1617" s="4" t="str">
        <f>TEXT(excelsalesdata[[#This Row],[Order_Date]],"mmm")</f>
        <v>Sep</v>
      </c>
      <c r="AD1617" s="4" t="str">
        <f>"Q"&amp;ROUNDUP(MONTH(excelsalesdata[[#This Row],[Order_Date]])/3,0)</f>
        <v>Q3</v>
      </c>
    </row>
    <row r="1618" spans="1:30" x14ac:dyDescent="0.35">
      <c r="A1618" t="s">
        <v>2452</v>
      </c>
      <c r="B1618" s="3">
        <v>47376</v>
      </c>
      <c r="C1618" t="s">
        <v>542</v>
      </c>
      <c r="D1618" t="s">
        <v>254</v>
      </c>
      <c r="E1618" t="str">
        <f>TRIM(excelsalesdata[[#This Row],[Customer_Name]])</f>
        <v>Meera Sharma</v>
      </c>
      <c r="F1618" t="s">
        <v>23</v>
      </c>
      <c r="G1618">
        <v>46</v>
      </c>
      <c r="H1618" t="s">
        <v>98</v>
      </c>
      <c r="I1618" t="str">
        <f>TRIM(excelsalesdata[[#This Row],[City]])</f>
        <v>Mumbai</v>
      </c>
      <c r="J1618" t="s">
        <v>25</v>
      </c>
      <c r="K1618" t="s">
        <v>26</v>
      </c>
      <c r="L1618" t="s">
        <v>27</v>
      </c>
      <c r="M1618" t="s">
        <v>28</v>
      </c>
      <c r="N1618" t="s">
        <v>28</v>
      </c>
      <c r="O1618">
        <v>1</v>
      </c>
      <c r="P1618">
        <v>3260</v>
      </c>
      <c r="Q1618">
        <v>0</v>
      </c>
      <c r="R1618">
        <v>2030</v>
      </c>
      <c r="S1618" t="s">
        <v>67</v>
      </c>
      <c r="T1618" t="s">
        <v>30</v>
      </c>
      <c r="U1618">
        <v>8</v>
      </c>
      <c r="V1618" t="s">
        <v>40</v>
      </c>
      <c r="W1618">
        <f>excelsalesdata[[#This Row],[Quantity]]*excelsalesdata[[#This Row],[Unit_Price]]</f>
        <v>3260</v>
      </c>
      <c r="X1618">
        <f>excelsalesdata[[#This Row],[Gross_sales]]*excelsalesdata[[#This Row],[Discount_%]]</f>
        <v>0</v>
      </c>
      <c r="Y1618">
        <f>excelsalesdata[[#This Row],[Gross_sales]]-excelsalesdata[[#This Row],[Discount_amt]]</f>
        <v>3260</v>
      </c>
      <c r="Z1618" s="4">
        <f>excelsalesdata[[#This Row],[Net_sales]]-excelsalesdata[[#This Row],[Cost]]</f>
        <v>1230</v>
      </c>
      <c r="AA1618" s="5">
        <f>excelsalesdata[[#This Row],[Profit]]/excelsalesdata[[#This Row],[Net_sales]]</f>
        <v>0.3773006134969325</v>
      </c>
      <c r="AB1618" s="4">
        <f>YEAR(excelsalesdata[[#This Row],[Order_Date]])</f>
        <v>2029</v>
      </c>
      <c r="AC1618" s="4" t="str">
        <f>TEXT(excelsalesdata[[#This Row],[Order_Date]],"mmm")</f>
        <v>Sep</v>
      </c>
      <c r="AD1618" s="4" t="str">
        <f>"Q"&amp;ROUNDUP(MONTH(excelsalesdata[[#This Row],[Order_Date]])/3,0)</f>
        <v>Q3</v>
      </c>
    </row>
    <row r="1619" spans="1:30" x14ac:dyDescent="0.35">
      <c r="A1619" t="s">
        <v>2453</v>
      </c>
      <c r="B1619" s="3">
        <v>47377</v>
      </c>
      <c r="C1619" t="s">
        <v>322</v>
      </c>
      <c r="D1619" t="s">
        <v>770</v>
      </c>
      <c r="E1619" t="str">
        <f>TRIM(excelsalesdata[[#This Row],[Customer_Name]])</f>
        <v>Karan Naidu</v>
      </c>
      <c r="F1619" t="s">
        <v>44</v>
      </c>
      <c r="G1619">
        <v>54</v>
      </c>
      <c r="H1619" t="s">
        <v>35</v>
      </c>
      <c r="I1619" t="str">
        <f>TRIM(excelsalesdata[[#This Row],[City]])</f>
        <v>Kolkata</v>
      </c>
      <c r="J1619" t="s">
        <v>36</v>
      </c>
      <c r="K1619" t="s">
        <v>37</v>
      </c>
      <c r="L1619" t="s">
        <v>85</v>
      </c>
      <c r="M1619" t="s">
        <v>110</v>
      </c>
      <c r="N1619" t="s">
        <v>110</v>
      </c>
      <c r="O1619">
        <v>1</v>
      </c>
      <c r="P1619">
        <v>1220</v>
      </c>
      <c r="Q1619">
        <v>0.1</v>
      </c>
      <c r="R1619">
        <v>600</v>
      </c>
      <c r="S1619" t="s">
        <v>80</v>
      </c>
      <c r="T1619" t="s">
        <v>30</v>
      </c>
      <c r="U1619">
        <v>4</v>
      </c>
      <c r="V1619" t="s">
        <v>31</v>
      </c>
      <c r="W1619">
        <f>excelsalesdata[[#This Row],[Quantity]]*excelsalesdata[[#This Row],[Unit_Price]]</f>
        <v>1220</v>
      </c>
      <c r="X1619">
        <f>excelsalesdata[[#This Row],[Gross_sales]]*excelsalesdata[[#This Row],[Discount_%]]</f>
        <v>122</v>
      </c>
      <c r="Y1619">
        <f>excelsalesdata[[#This Row],[Gross_sales]]-excelsalesdata[[#This Row],[Discount_amt]]</f>
        <v>1098</v>
      </c>
      <c r="Z1619" s="4">
        <f>excelsalesdata[[#This Row],[Net_sales]]-excelsalesdata[[#This Row],[Cost]]</f>
        <v>498</v>
      </c>
      <c r="AA1619" s="5">
        <f>excelsalesdata[[#This Row],[Profit]]/excelsalesdata[[#This Row],[Net_sales]]</f>
        <v>0.45355191256830601</v>
      </c>
      <c r="AB1619" s="4">
        <f>YEAR(excelsalesdata[[#This Row],[Order_Date]])</f>
        <v>2029</v>
      </c>
      <c r="AC1619" s="4" t="str">
        <f>TEXT(excelsalesdata[[#This Row],[Order_Date]],"mmm")</f>
        <v>Sep</v>
      </c>
      <c r="AD1619" s="4" t="str">
        <f>"Q"&amp;ROUNDUP(MONTH(excelsalesdata[[#This Row],[Order_Date]])/3,0)</f>
        <v>Q3</v>
      </c>
    </row>
    <row r="1620" spans="1:30" x14ac:dyDescent="0.35">
      <c r="A1620" t="s">
        <v>2454</v>
      </c>
      <c r="B1620" s="3">
        <v>47378</v>
      </c>
      <c r="C1620" t="s">
        <v>2388</v>
      </c>
      <c r="D1620" t="s">
        <v>189</v>
      </c>
      <c r="E1620" t="str">
        <f>TRIM(excelsalesdata[[#This Row],[Customer_Name]])</f>
        <v>Aarav Reddy</v>
      </c>
      <c r="F1620" t="s">
        <v>23</v>
      </c>
      <c r="G1620">
        <v>57</v>
      </c>
      <c r="H1620" t="s">
        <v>109</v>
      </c>
      <c r="I1620" t="str">
        <f>TRIM(excelsalesdata[[#This Row],[City]])</f>
        <v>Mysuru</v>
      </c>
      <c r="J1620" t="s">
        <v>53</v>
      </c>
      <c r="K1620" t="s">
        <v>47</v>
      </c>
      <c r="L1620" t="s">
        <v>38</v>
      </c>
      <c r="M1620" t="s">
        <v>161</v>
      </c>
      <c r="N1620" t="s">
        <v>161</v>
      </c>
      <c r="O1620">
        <v>3</v>
      </c>
      <c r="P1620">
        <v>27370</v>
      </c>
      <c r="Q1620">
        <v>0.1</v>
      </c>
      <c r="R1620">
        <v>20050</v>
      </c>
      <c r="S1620" t="s">
        <v>56</v>
      </c>
      <c r="T1620" t="s">
        <v>81</v>
      </c>
      <c r="U1620">
        <v>0</v>
      </c>
      <c r="V1620" t="s">
        <v>40</v>
      </c>
      <c r="W1620">
        <f>excelsalesdata[[#This Row],[Quantity]]*excelsalesdata[[#This Row],[Unit_Price]]</f>
        <v>82110</v>
      </c>
      <c r="X1620">
        <f>excelsalesdata[[#This Row],[Gross_sales]]*excelsalesdata[[#This Row],[Discount_%]]</f>
        <v>8211</v>
      </c>
      <c r="Y1620">
        <f>excelsalesdata[[#This Row],[Gross_sales]]-excelsalesdata[[#This Row],[Discount_amt]]</f>
        <v>73899</v>
      </c>
      <c r="Z1620" s="4">
        <f>excelsalesdata[[#This Row],[Net_sales]]-excelsalesdata[[#This Row],[Cost]]</f>
        <v>53849</v>
      </c>
      <c r="AA1620" s="5">
        <f>excelsalesdata[[#This Row],[Profit]]/excelsalesdata[[#This Row],[Net_sales]]</f>
        <v>0.72868374402901259</v>
      </c>
      <c r="AB1620" s="4">
        <f>YEAR(excelsalesdata[[#This Row],[Order_Date]])</f>
        <v>2029</v>
      </c>
      <c r="AC1620" s="4" t="str">
        <f>TEXT(excelsalesdata[[#This Row],[Order_Date]],"mmm")</f>
        <v>Sep</v>
      </c>
      <c r="AD1620" s="4" t="str">
        <f>"Q"&amp;ROUNDUP(MONTH(excelsalesdata[[#This Row],[Order_Date]])/3,0)</f>
        <v>Q3</v>
      </c>
    </row>
    <row r="1621" spans="1:30" x14ac:dyDescent="0.35">
      <c r="A1621" t="s">
        <v>2455</v>
      </c>
      <c r="B1621" s="3">
        <v>47379</v>
      </c>
      <c r="C1621" t="s">
        <v>2027</v>
      </c>
      <c r="D1621" t="s">
        <v>1982</v>
      </c>
      <c r="E1621" t="str">
        <f>TRIM(excelsalesdata[[#This Row],[Customer_Name]])</f>
        <v>Kavya Nair</v>
      </c>
      <c r="F1621" t="s">
        <v>23</v>
      </c>
      <c r="G1621">
        <v>32</v>
      </c>
      <c r="H1621" t="s">
        <v>78</v>
      </c>
      <c r="I1621" t="str">
        <f>TRIM(excelsalesdata[[#This Row],[City]])</f>
        <v>Guwahati</v>
      </c>
      <c r="J1621" t="s">
        <v>79</v>
      </c>
      <c r="K1621" t="s">
        <v>37</v>
      </c>
      <c r="L1621" t="s">
        <v>27</v>
      </c>
      <c r="M1621" t="s">
        <v>295</v>
      </c>
      <c r="N1621" t="s">
        <v>295</v>
      </c>
      <c r="O1621">
        <v>1</v>
      </c>
      <c r="P1621">
        <v>4020</v>
      </c>
      <c r="Q1621">
        <v>0</v>
      </c>
      <c r="R1621">
        <v>2540</v>
      </c>
      <c r="S1621" t="s">
        <v>80</v>
      </c>
      <c r="T1621" t="s">
        <v>74</v>
      </c>
      <c r="U1621">
        <v>3</v>
      </c>
      <c r="V1621" t="s">
        <v>31</v>
      </c>
      <c r="W1621">
        <f>excelsalesdata[[#This Row],[Quantity]]*excelsalesdata[[#This Row],[Unit_Price]]</f>
        <v>4020</v>
      </c>
      <c r="X1621">
        <f>excelsalesdata[[#This Row],[Gross_sales]]*excelsalesdata[[#This Row],[Discount_%]]</f>
        <v>0</v>
      </c>
      <c r="Y1621">
        <f>excelsalesdata[[#This Row],[Gross_sales]]-excelsalesdata[[#This Row],[Discount_amt]]</f>
        <v>4020</v>
      </c>
      <c r="Z1621" s="4">
        <f>excelsalesdata[[#This Row],[Net_sales]]-excelsalesdata[[#This Row],[Cost]]</f>
        <v>1480</v>
      </c>
      <c r="AA1621" s="5">
        <f>excelsalesdata[[#This Row],[Profit]]/excelsalesdata[[#This Row],[Net_sales]]</f>
        <v>0.36815920398009949</v>
      </c>
      <c r="AB1621" s="4">
        <f>YEAR(excelsalesdata[[#This Row],[Order_Date]])</f>
        <v>2029</v>
      </c>
      <c r="AC1621" s="4" t="str">
        <f>TEXT(excelsalesdata[[#This Row],[Order_Date]],"mmm")</f>
        <v>Sep</v>
      </c>
      <c r="AD1621" s="4" t="str">
        <f>"Q"&amp;ROUNDUP(MONTH(excelsalesdata[[#This Row],[Order_Date]])/3,0)</f>
        <v>Q3</v>
      </c>
    </row>
    <row r="1622" spans="1:30" x14ac:dyDescent="0.35">
      <c r="A1622" t="s">
        <v>2456</v>
      </c>
      <c r="B1622" s="3">
        <v>47380</v>
      </c>
      <c r="C1622" t="s">
        <v>459</v>
      </c>
      <c r="D1622" t="s">
        <v>385</v>
      </c>
      <c r="E1622" t="str">
        <f>TRIM(excelsalesdata[[#This Row],[Customer_Name]])</f>
        <v>Diya Verma</v>
      </c>
      <c r="F1622" t="s">
        <v>44</v>
      </c>
      <c r="G1622">
        <v>43</v>
      </c>
      <c r="H1622" t="s">
        <v>190</v>
      </c>
      <c r="I1622" t="str">
        <f>TRIM(excelsalesdata[[#This Row],[City]])</f>
        <v>Ahmedabad</v>
      </c>
      <c r="J1622" t="s">
        <v>191</v>
      </c>
      <c r="K1622" t="s">
        <v>26</v>
      </c>
      <c r="L1622" t="s">
        <v>54</v>
      </c>
      <c r="M1622" t="s">
        <v>129</v>
      </c>
      <c r="N1622" t="s">
        <v>129</v>
      </c>
      <c r="O1622">
        <v>4</v>
      </c>
      <c r="P1622">
        <v>18440</v>
      </c>
      <c r="Q1622">
        <v>0.05</v>
      </c>
      <c r="R1622">
        <v>13040</v>
      </c>
      <c r="S1622" t="s">
        <v>151</v>
      </c>
      <c r="T1622" t="s">
        <v>30</v>
      </c>
      <c r="U1622">
        <v>3</v>
      </c>
      <c r="V1622" t="s">
        <v>31</v>
      </c>
      <c r="W1622">
        <f>excelsalesdata[[#This Row],[Quantity]]*excelsalesdata[[#This Row],[Unit_Price]]</f>
        <v>73760</v>
      </c>
      <c r="X1622">
        <f>excelsalesdata[[#This Row],[Gross_sales]]*excelsalesdata[[#This Row],[Discount_%]]</f>
        <v>3688</v>
      </c>
      <c r="Y1622">
        <f>excelsalesdata[[#This Row],[Gross_sales]]-excelsalesdata[[#This Row],[Discount_amt]]</f>
        <v>70072</v>
      </c>
      <c r="Z1622" s="4">
        <f>excelsalesdata[[#This Row],[Net_sales]]-excelsalesdata[[#This Row],[Cost]]</f>
        <v>57032</v>
      </c>
      <c r="AA1622" s="5">
        <f>excelsalesdata[[#This Row],[Profit]]/excelsalesdata[[#This Row],[Net_sales]]</f>
        <v>0.81390569699737414</v>
      </c>
      <c r="AB1622" s="4">
        <f>YEAR(excelsalesdata[[#This Row],[Order_Date]])</f>
        <v>2029</v>
      </c>
      <c r="AC1622" s="4" t="str">
        <f>TEXT(excelsalesdata[[#This Row],[Order_Date]],"mmm")</f>
        <v>Sep</v>
      </c>
      <c r="AD1622" s="4" t="str">
        <f>"Q"&amp;ROUNDUP(MONTH(excelsalesdata[[#This Row],[Order_Date]])/3,0)</f>
        <v>Q3</v>
      </c>
    </row>
    <row r="1623" spans="1:30" x14ac:dyDescent="0.35">
      <c r="A1623" t="s">
        <v>2457</v>
      </c>
      <c r="B1623" s="3">
        <v>47381</v>
      </c>
      <c r="C1623" t="s">
        <v>188</v>
      </c>
      <c r="D1623" t="s">
        <v>927</v>
      </c>
      <c r="E1623" t="str">
        <f>TRIM(excelsalesdata[[#This Row],[Customer_Name]])</f>
        <v>Priya Verma</v>
      </c>
      <c r="F1623" t="s">
        <v>44</v>
      </c>
      <c r="G1623">
        <v>20</v>
      </c>
      <c r="H1623" t="s">
        <v>109</v>
      </c>
      <c r="I1623" t="str">
        <f>TRIM(excelsalesdata[[#This Row],[City]])</f>
        <v>Mysuru</v>
      </c>
      <c r="J1623" t="s">
        <v>53</v>
      </c>
      <c r="K1623" t="s">
        <v>47</v>
      </c>
      <c r="L1623" t="s">
        <v>38</v>
      </c>
      <c r="M1623" t="s">
        <v>255</v>
      </c>
      <c r="N1623" t="s">
        <v>255</v>
      </c>
      <c r="O1623">
        <v>1</v>
      </c>
      <c r="P1623">
        <v>4400</v>
      </c>
      <c r="Q1623">
        <v>0</v>
      </c>
      <c r="R1623">
        <v>2930</v>
      </c>
      <c r="S1623" t="s">
        <v>29</v>
      </c>
      <c r="T1623" t="s">
        <v>74</v>
      </c>
      <c r="U1623">
        <v>5</v>
      </c>
      <c r="V1623" t="s">
        <v>31</v>
      </c>
      <c r="W1623">
        <f>excelsalesdata[[#This Row],[Quantity]]*excelsalesdata[[#This Row],[Unit_Price]]</f>
        <v>4400</v>
      </c>
      <c r="X1623">
        <f>excelsalesdata[[#This Row],[Gross_sales]]*excelsalesdata[[#This Row],[Discount_%]]</f>
        <v>0</v>
      </c>
      <c r="Y1623">
        <f>excelsalesdata[[#This Row],[Gross_sales]]-excelsalesdata[[#This Row],[Discount_amt]]</f>
        <v>4400</v>
      </c>
      <c r="Z1623" s="4">
        <f>excelsalesdata[[#This Row],[Net_sales]]-excelsalesdata[[#This Row],[Cost]]</f>
        <v>1470</v>
      </c>
      <c r="AA1623" s="5">
        <f>excelsalesdata[[#This Row],[Profit]]/excelsalesdata[[#This Row],[Net_sales]]</f>
        <v>0.33409090909090911</v>
      </c>
      <c r="AB1623" s="4">
        <f>YEAR(excelsalesdata[[#This Row],[Order_Date]])</f>
        <v>2029</v>
      </c>
      <c r="AC1623" s="4" t="str">
        <f>TEXT(excelsalesdata[[#This Row],[Order_Date]],"mmm")</f>
        <v>Sep</v>
      </c>
      <c r="AD1623" s="4" t="str">
        <f>"Q"&amp;ROUNDUP(MONTH(excelsalesdata[[#This Row],[Order_Date]])/3,0)</f>
        <v>Q3</v>
      </c>
    </row>
    <row r="1624" spans="1:30" x14ac:dyDescent="0.35">
      <c r="A1624" t="s">
        <v>2458</v>
      </c>
      <c r="B1624" s="3">
        <v>47382</v>
      </c>
      <c r="C1624" t="s">
        <v>942</v>
      </c>
      <c r="D1624" t="s">
        <v>626</v>
      </c>
      <c r="E1624" t="str">
        <f>TRIM(excelsalesdata[[#This Row],[Customer_Name]])</f>
        <v>Aditya Rao</v>
      </c>
      <c r="F1624" t="s">
        <v>44</v>
      </c>
      <c r="G1624">
        <v>52</v>
      </c>
      <c r="H1624" t="s">
        <v>60</v>
      </c>
      <c r="I1624" t="str">
        <f>TRIM(excelsalesdata[[#This Row],[City]])</f>
        <v>Chandigarh</v>
      </c>
      <c r="J1624" t="s">
        <v>60</v>
      </c>
      <c r="K1624" t="s">
        <v>61</v>
      </c>
      <c r="L1624" t="s">
        <v>38</v>
      </c>
      <c r="M1624" t="s">
        <v>39</v>
      </c>
      <c r="N1624" t="s">
        <v>39</v>
      </c>
      <c r="O1624">
        <v>3</v>
      </c>
      <c r="P1624">
        <v>6030</v>
      </c>
      <c r="Q1624">
        <v>0.15</v>
      </c>
      <c r="R1624">
        <v>4080</v>
      </c>
      <c r="S1624" t="s">
        <v>29</v>
      </c>
      <c r="T1624" t="s">
        <v>30</v>
      </c>
      <c r="U1624">
        <v>3</v>
      </c>
      <c r="V1624" t="s">
        <v>40</v>
      </c>
      <c r="W1624">
        <f>excelsalesdata[[#This Row],[Quantity]]*excelsalesdata[[#This Row],[Unit_Price]]</f>
        <v>18090</v>
      </c>
      <c r="X1624">
        <f>excelsalesdata[[#This Row],[Gross_sales]]*excelsalesdata[[#This Row],[Discount_%]]</f>
        <v>2713.5</v>
      </c>
      <c r="Y1624">
        <f>excelsalesdata[[#This Row],[Gross_sales]]-excelsalesdata[[#This Row],[Discount_amt]]</f>
        <v>15376.5</v>
      </c>
      <c r="Z1624" s="4">
        <f>excelsalesdata[[#This Row],[Net_sales]]-excelsalesdata[[#This Row],[Cost]]</f>
        <v>11296.5</v>
      </c>
      <c r="AA1624" s="5">
        <f>excelsalesdata[[#This Row],[Profit]]/excelsalesdata[[#This Row],[Net_sales]]</f>
        <v>0.73466003316749584</v>
      </c>
      <c r="AB1624" s="4">
        <f>YEAR(excelsalesdata[[#This Row],[Order_Date]])</f>
        <v>2029</v>
      </c>
      <c r="AC1624" s="4" t="str">
        <f>TEXT(excelsalesdata[[#This Row],[Order_Date]],"mmm")</f>
        <v>Sep</v>
      </c>
      <c r="AD1624" s="4" t="str">
        <f>"Q"&amp;ROUNDUP(MONTH(excelsalesdata[[#This Row],[Order_Date]])/3,0)</f>
        <v>Q3</v>
      </c>
    </row>
    <row r="1625" spans="1:30" x14ac:dyDescent="0.35">
      <c r="A1625" t="s">
        <v>2459</v>
      </c>
      <c r="B1625" s="3">
        <v>47383</v>
      </c>
      <c r="C1625" t="s">
        <v>1323</v>
      </c>
      <c r="D1625" t="s">
        <v>299</v>
      </c>
      <c r="E1625" t="str">
        <f>TRIM(excelsalesdata[[#This Row],[Customer_Name]])</f>
        <v>Aarav Joshi</v>
      </c>
      <c r="F1625" t="s">
        <v>44</v>
      </c>
      <c r="G1625">
        <v>30</v>
      </c>
      <c r="H1625" t="s">
        <v>190</v>
      </c>
      <c r="I1625" t="str">
        <f>TRIM(excelsalesdata[[#This Row],[City]])</f>
        <v>Ahmedabad</v>
      </c>
      <c r="J1625" t="s">
        <v>191</v>
      </c>
      <c r="K1625" t="s">
        <v>26</v>
      </c>
      <c r="L1625" t="s">
        <v>103</v>
      </c>
      <c r="M1625" t="s">
        <v>347</v>
      </c>
      <c r="N1625" t="s">
        <v>347</v>
      </c>
      <c r="O1625">
        <v>2</v>
      </c>
      <c r="P1625">
        <v>12280</v>
      </c>
      <c r="Q1625">
        <v>0.2</v>
      </c>
      <c r="R1625">
        <v>8370</v>
      </c>
      <c r="S1625" t="s">
        <v>29</v>
      </c>
      <c r="T1625" t="s">
        <v>74</v>
      </c>
      <c r="U1625">
        <v>8</v>
      </c>
      <c r="V1625" t="s">
        <v>31</v>
      </c>
      <c r="W1625">
        <f>excelsalesdata[[#This Row],[Quantity]]*excelsalesdata[[#This Row],[Unit_Price]]</f>
        <v>24560</v>
      </c>
      <c r="X1625">
        <f>excelsalesdata[[#This Row],[Gross_sales]]*excelsalesdata[[#This Row],[Discount_%]]</f>
        <v>4912</v>
      </c>
      <c r="Y1625">
        <f>excelsalesdata[[#This Row],[Gross_sales]]-excelsalesdata[[#This Row],[Discount_amt]]</f>
        <v>19648</v>
      </c>
      <c r="Z1625" s="4">
        <f>excelsalesdata[[#This Row],[Net_sales]]-excelsalesdata[[#This Row],[Cost]]</f>
        <v>11278</v>
      </c>
      <c r="AA1625" s="5">
        <f>excelsalesdata[[#This Row],[Profit]]/excelsalesdata[[#This Row],[Net_sales]]</f>
        <v>0.57400244299674263</v>
      </c>
      <c r="AB1625" s="4">
        <f>YEAR(excelsalesdata[[#This Row],[Order_Date]])</f>
        <v>2029</v>
      </c>
      <c r="AC1625" s="4" t="str">
        <f>TEXT(excelsalesdata[[#This Row],[Order_Date]],"mmm")</f>
        <v>Sep</v>
      </c>
      <c r="AD1625" s="4" t="str">
        <f>"Q"&amp;ROUNDUP(MONTH(excelsalesdata[[#This Row],[Order_Date]])/3,0)</f>
        <v>Q3</v>
      </c>
    </row>
    <row r="1626" spans="1:30" x14ac:dyDescent="0.35">
      <c r="A1626" t="s">
        <v>2460</v>
      </c>
      <c r="B1626" s="3">
        <v>47384</v>
      </c>
      <c r="C1626" t="s">
        <v>846</v>
      </c>
      <c r="D1626" t="s">
        <v>553</v>
      </c>
      <c r="E1626" t="str">
        <f>TRIM(excelsalesdata[[#This Row],[Customer_Name]])</f>
        <v>Vivaan Reddy</v>
      </c>
      <c r="F1626" t="s">
        <v>44</v>
      </c>
      <c r="G1626">
        <v>46</v>
      </c>
      <c r="H1626" t="s">
        <v>24</v>
      </c>
      <c r="I1626" t="str">
        <f>TRIM(excelsalesdata[[#This Row],[City]])</f>
        <v>Pune</v>
      </c>
      <c r="J1626" t="s">
        <v>25</v>
      </c>
      <c r="K1626" t="s">
        <v>26</v>
      </c>
      <c r="L1626" t="s">
        <v>93</v>
      </c>
      <c r="M1626" t="s">
        <v>375</v>
      </c>
      <c r="N1626" t="s">
        <v>375</v>
      </c>
      <c r="O1626">
        <v>1</v>
      </c>
      <c r="P1626">
        <v>2030</v>
      </c>
      <c r="Q1626">
        <v>0.05</v>
      </c>
      <c r="R1626">
        <v>1190</v>
      </c>
      <c r="S1626" t="s">
        <v>105</v>
      </c>
      <c r="T1626" t="s">
        <v>30</v>
      </c>
      <c r="U1626">
        <v>8</v>
      </c>
      <c r="V1626" t="s">
        <v>40</v>
      </c>
      <c r="W1626">
        <f>excelsalesdata[[#This Row],[Quantity]]*excelsalesdata[[#This Row],[Unit_Price]]</f>
        <v>2030</v>
      </c>
      <c r="X1626">
        <f>excelsalesdata[[#This Row],[Gross_sales]]*excelsalesdata[[#This Row],[Discount_%]]</f>
        <v>101.5</v>
      </c>
      <c r="Y1626">
        <f>excelsalesdata[[#This Row],[Gross_sales]]-excelsalesdata[[#This Row],[Discount_amt]]</f>
        <v>1928.5</v>
      </c>
      <c r="Z1626" s="4">
        <f>excelsalesdata[[#This Row],[Net_sales]]-excelsalesdata[[#This Row],[Cost]]</f>
        <v>738.5</v>
      </c>
      <c r="AA1626" s="5">
        <f>excelsalesdata[[#This Row],[Profit]]/excelsalesdata[[#This Row],[Net_sales]]</f>
        <v>0.38294010889292196</v>
      </c>
      <c r="AB1626" s="4">
        <f>YEAR(excelsalesdata[[#This Row],[Order_Date]])</f>
        <v>2029</v>
      </c>
      <c r="AC1626" s="4" t="str">
        <f>TEXT(excelsalesdata[[#This Row],[Order_Date]],"mmm")</f>
        <v>Sep</v>
      </c>
      <c r="AD1626" s="4" t="str">
        <f>"Q"&amp;ROUNDUP(MONTH(excelsalesdata[[#This Row],[Order_Date]])/3,0)</f>
        <v>Q3</v>
      </c>
    </row>
    <row r="1627" spans="1:30" x14ac:dyDescent="0.35">
      <c r="A1627" t="s">
        <v>2461</v>
      </c>
      <c r="B1627" s="3">
        <v>47385</v>
      </c>
      <c r="C1627" t="s">
        <v>492</v>
      </c>
      <c r="D1627" t="s">
        <v>1216</v>
      </c>
      <c r="E1627" t="str">
        <f>TRIM(excelsalesdata[[#This Row],[Customer_Name]])</f>
        <v>Diya Sharma</v>
      </c>
      <c r="F1627" t="s">
        <v>44</v>
      </c>
      <c r="G1627">
        <v>58</v>
      </c>
      <c r="H1627" t="s">
        <v>98</v>
      </c>
      <c r="I1627" t="str">
        <f>TRIM(excelsalesdata[[#This Row],[City]])</f>
        <v>Mumbai</v>
      </c>
      <c r="J1627" t="s">
        <v>25</v>
      </c>
      <c r="K1627" t="s">
        <v>26</v>
      </c>
      <c r="L1627" t="s">
        <v>27</v>
      </c>
      <c r="M1627" t="s">
        <v>123</v>
      </c>
      <c r="N1627" t="s">
        <v>123</v>
      </c>
      <c r="O1627">
        <v>1</v>
      </c>
      <c r="P1627">
        <v>2740</v>
      </c>
      <c r="Q1627">
        <v>0</v>
      </c>
      <c r="R1627">
        <v>1650</v>
      </c>
      <c r="S1627" t="s">
        <v>151</v>
      </c>
      <c r="T1627" t="s">
        <v>30</v>
      </c>
      <c r="U1627">
        <v>3</v>
      </c>
      <c r="V1627" t="s">
        <v>31</v>
      </c>
      <c r="W1627">
        <f>excelsalesdata[[#This Row],[Quantity]]*excelsalesdata[[#This Row],[Unit_Price]]</f>
        <v>2740</v>
      </c>
      <c r="X1627">
        <f>excelsalesdata[[#This Row],[Gross_sales]]*excelsalesdata[[#This Row],[Discount_%]]</f>
        <v>0</v>
      </c>
      <c r="Y1627">
        <f>excelsalesdata[[#This Row],[Gross_sales]]-excelsalesdata[[#This Row],[Discount_amt]]</f>
        <v>2740</v>
      </c>
      <c r="Z1627" s="4">
        <f>excelsalesdata[[#This Row],[Net_sales]]-excelsalesdata[[#This Row],[Cost]]</f>
        <v>1090</v>
      </c>
      <c r="AA1627" s="5">
        <f>excelsalesdata[[#This Row],[Profit]]/excelsalesdata[[#This Row],[Net_sales]]</f>
        <v>0.3978102189781022</v>
      </c>
      <c r="AB1627" s="4">
        <f>YEAR(excelsalesdata[[#This Row],[Order_Date]])</f>
        <v>2029</v>
      </c>
      <c r="AC1627" s="4" t="str">
        <f>TEXT(excelsalesdata[[#This Row],[Order_Date]],"mmm")</f>
        <v>Sep</v>
      </c>
      <c r="AD1627" s="4" t="str">
        <f>"Q"&amp;ROUNDUP(MONTH(excelsalesdata[[#This Row],[Order_Date]])/3,0)</f>
        <v>Q3</v>
      </c>
    </row>
    <row r="1628" spans="1:30" x14ac:dyDescent="0.35">
      <c r="A1628" t="s">
        <v>2462</v>
      </c>
      <c r="B1628" s="3">
        <v>47386</v>
      </c>
      <c r="C1628" t="s">
        <v>561</v>
      </c>
      <c r="D1628" t="s">
        <v>563</v>
      </c>
      <c r="E1628" t="str">
        <f>TRIM(excelsalesdata[[#This Row],[Customer_Name]])</f>
        <v>Sneha Verma</v>
      </c>
      <c r="F1628" t="s">
        <v>23</v>
      </c>
      <c r="G1628">
        <v>54</v>
      </c>
      <c r="H1628" t="s">
        <v>24</v>
      </c>
      <c r="I1628" t="str">
        <f>TRIM(excelsalesdata[[#This Row],[City]])</f>
        <v>Pune</v>
      </c>
      <c r="J1628" t="s">
        <v>25</v>
      </c>
      <c r="K1628" t="s">
        <v>26</v>
      </c>
      <c r="L1628" t="s">
        <v>27</v>
      </c>
      <c r="M1628" t="s">
        <v>48</v>
      </c>
      <c r="N1628" t="s">
        <v>48</v>
      </c>
      <c r="O1628">
        <v>5</v>
      </c>
      <c r="P1628">
        <v>940</v>
      </c>
      <c r="Q1628">
        <v>0.1</v>
      </c>
      <c r="R1628">
        <v>450</v>
      </c>
      <c r="S1628" t="s">
        <v>80</v>
      </c>
      <c r="T1628" t="s">
        <v>99</v>
      </c>
      <c r="U1628">
        <v>4</v>
      </c>
      <c r="V1628" t="s">
        <v>31</v>
      </c>
      <c r="W1628">
        <f>excelsalesdata[[#This Row],[Quantity]]*excelsalesdata[[#This Row],[Unit_Price]]</f>
        <v>4700</v>
      </c>
      <c r="X1628">
        <f>excelsalesdata[[#This Row],[Gross_sales]]*excelsalesdata[[#This Row],[Discount_%]]</f>
        <v>470</v>
      </c>
      <c r="Y1628">
        <f>excelsalesdata[[#This Row],[Gross_sales]]-excelsalesdata[[#This Row],[Discount_amt]]</f>
        <v>4230</v>
      </c>
      <c r="Z1628" s="4">
        <f>excelsalesdata[[#This Row],[Net_sales]]-excelsalesdata[[#This Row],[Cost]]</f>
        <v>3780</v>
      </c>
      <c r="AA1628" s="5">
        <f>excelsalesdata[[#This Row],[Profit]]/excelsalesdata[[#This Row],[Net_sales]]</f>
        <v>0.8936170212765957</v>
      </c>
      <c r="AB1628" s="4">
        <f>YEAR(excelsalesdata[[#This Row],[Order_Date]])</f>
        <v>2029</v>
      </c>
      <c r="AC1628" s="4" t="str">
        <f>TEXT(excelsalesdata[[#This Row],[Order_Date]],"mmm")</f>
        <v>Sep</v>
      </c>
      <c r="AD1628" s="4" t="str">
        <f>"Q"&amp;ROUNDUP(MONTH(excelsalesdata[[#This Row],[Order_Date]])/3,0)</f>
        <v>Q3</v>
      </c>
    </row>
    <row r="1629" spans="1:30" x14ac:dyDescent="0.35">
      <c r="A1629" t="s">
        <v>2463</v>
      </c>
      <c r="B1629" s="3">
        <v>47387</v>
      </c>
      <c r="C1629" t="s">
        <v>646</v>
      </c>
      <c r="D1629" t="s">
        <v>442</v>
      </c>
      <c r="E1629" t="str">
        <f>TRIM(excelsalesdata[[#This Row],[Customer_Name]])</f>
        <v>Arjun Rao</v>
      </c>
      <c r="F1629" t="s">
        <v>44</v>
      </c>
      <c r="G1629">
        <v>58</v>
      </c>
      <c r="H1629" t="s">
        <v>109</v>
      </c>
      <c r="I1629" t="str">
        <f>TRIM(excelsalesdata[[#This Row],[City]])</f>
        <v>Mysuru</v>
      </c>
      <c r="J1629" t="s">
        <v>53</v>
      </c>
      <c r="K1629" t="s">
        <v>47</v>
      </c>
      <c r="L1629" t="s">
        <v>103</v>
      </c>
      <c r="M1629" t="s">
        <v>238</v>
      </c>
      <c r="N1629" t="s">
        <v>238</v>
      </c>
      <c r="O1629">
        <v>1</v>
      </c>
      <c r="P1629">
        <v>4100</v>
      </c>
      <c r="Q1629">
        <v>0.25</v>
      </c>
      <c r="R1629">
        <v>2830</v>
      </c>
      <c r="S1629" t="s">
        <v>67</v>
      </c>
      <c r="T1629" t="s">
        <v>30</v>
      </c>
      <c r="U1629">
        <v>4</v>
      </c>
      <c r="V1629" t="s">
        <v>40</v>
      </c>
      <c r="W1629">
        <f>excelsalesdata[[#This Row],[Quantity]]*excelsalesdata[[#This Row],[Unit_Price]]</f>
        <v>4100</v>
      </c>
      <c r="X1629">
        <f>excelsalesdata[[#This Row],[Gross_sales]]*excelsalesdata[[#This Row],[Discount_%]]</f>
        <v>1025</v>
      </c>
      <c r="Y1629">
        <f>excelsalesdata[[#This Row],[Gross_sales]]-excelsalesdata[[#This Row],[Discount_amt]]</f>
        <v>3075</v>
      </c>
      <c r="Z1629" s="4">
        <f>excelsalesdata[[#This Row],[Net_sales]]-excelsalesdata[[#This Row],[Cost]]</f>
        <v>245</v>
      </c>
      <c r="AA1629" s="5">
        <f>excelsalesdata[[#This Row],[Profit]]/excelsalesdata[[#This Row],[Net_sales]]</f>
        <v>7.9674796747967486E-2</v>
      </c>
      <c r="AB1629" s="4">
        <f>YEAR(excelsalesdata[[#This Row],[Order_Date]])</f>
        <v>2029</v>
      </c>
      <c r="AC1629" s="4" t="str">
        <f>TEXT(excelsalesdata[[#This Row],[Order_Date]],"mmm")</f>
        <v>Sep</v>
      </c>
      <c r="AD1629" s="4" t="str">
        <f>"Q"&amp;ROUNDUP(MONTH(excelsalesdata[[#This Row],[Order_Date]])/3,0)</f>
        <v>Q3</v>
      </c>
    </row>
    <row r="1630" spans="1:30" x14ac:dyDescent="0.35">
      <c r="A1630" t="s">
        <v>2464</v>
      </c>
      <c r="B1630" s="3">
        <v>47388</v>
      </c>
      <c r="C1630" t="s">
        <v>854</v>
      </c>
      <c r="D1630" t="s">
        <v>344</v>
      </c>
      <c r="E1630" t="str">
        <f>TRIM(excelsalesdata[[#This Row],[Customer_Name]])</f>
        <v>Meera Verma</v>
      </c>
      <c r="F1630" t="s">
        <v>23</v>
      </c>
      <c r="G1630">
        <v>39</v>
      </c>
      <c r="H1630" t="s">
        <v>78</v>
      </c>
      <c r="I1630" t="str">
        <f>TRIM(excelsalesdata[[#This Row],[City]])</f>
        <v>Guwahati</v>
      </c>
      <c r="J1630" t="s">
        <v>79</v>
      </c>
      <c r="K1630" t="s">
        <v>37</v>
      </c>
      <c r="L1630" t="s">
        <v>93</v>
      </c>
      <c r="M1630" t="s">
        <v>94</v>
      </c>
      <c r="N1630" t="s">
        <v>94</v>
      </c>
      <c r="O1630">
        <v>3</v>
      </c>
      <c r="P1630">
        <v>490</v>
      </c>
      <c r="Q1630">
        <v>0.1</v>
      </c>
      <c r="R1630">
        <v>220</v>
      </c>
      <c r="S1630" t="s">
        <v>29</v>
      </c>
      <c r="T1630" t="s">
        <v>30</v>
      </c>
      <c r="U1630">
        <v>4</v>
      </c>
      <c r="V1630" t="s">
        <v>40</v>
      </c>
      <c r="W1630">
        <f>excelsalesdata[[#This Row],[Quantity]]*excelsalesdata[[#This Row],[Unit_Price]]</f>
        <v>1470</v>
      </c>
      <c r="X1630">
        <f>excelsalesdata[[#This Row],[Gross_sales]]*excelsalesdata[[#This Row],[Discount_%]]</f>
        <v>147</v>
      </c>
      <c r="Y1630">
        <f>excelsalesdata[[#This Row],[Gross_sales]]-excelsalesdata[[#This Row],[Discount_amt]]</f>
        <v>1323</v>
      </c>
      <c r="Z1630" s="4">
        <f>excelsalesdata[[#This Row],[Net_sales]]-excelsalesdata[[#This Row],[Cost]]</f>
        <v>1103</v>
      </c>
      <c r="AA1630" s="5">
        <f>excelsalesdata[[#This Row],[Profit]]/excelsalesdata[[#This Row],[Net_sales]]</f>
        <v>0.83371126228269088</v>
      </c>
      <c r="AB1630" s="4">
        <f>YEAR(excelsalesdata[[#This Row],[Order_Date]])</f>
        <v>2029</v>
      </c>
      <c r="AC1630" s="4" t="str">
        <f>TEXT(excelsalesdata[[#This Row],[Order_Date]],"mmm")</f>
        <v>Sep</v>
      </c>
      <c r="AD1630" s="4" t="str">
        <f>"Q"&amp;ROUNDUP(MONTH(excelsalesdata[[#This Row],[Order_Date]])/3,0)</f>
        <v>Q3</v>
      </c>
    </row>
    <row r="1631" spans="1:30" x14ac:dyDescent="0.35">
      <c r="A1631" t="s">
        <v>2465</v>
      </c>
      <c r="B1631" s="3">
        <v>47389</v>
      </c>
      <c r="C1631" t="s">
        <v>2179</v>
      </c>
      <c r="D1631" t="s">
        <v>262</v>
      </c>
      <c r="E1631" t="str">
        <f>TRIM(excelsalesdata[[#This Row],[Customer_Name]])</f>
        <v>Arjun Joshi</v>
      </c>
      <c r="F1631" t="s">
        <v>44</v>
      </c>
      <c r="G1631">
        <v>51</v>
      </c>
      <c r="H1631" t="s">
        <v>52</v>
      </c>
      <c r="I1631" t="str">
        <f>TRIM(excelsalesdata[[#This Row],[City]])</f>
        <v>Bengaluru</v>
      </c>
      <c r="J1631" t="s">
        <v>53</v>
      </c>
      <c r="K1631" t="s">
        <v>47</v>
      </c>
      <c r="L1631" t="s">
        <v>54</v>
      </c>
      <c r="M1631" t="s">
        <v>62</v>
      </c>
      <c r="N1631" t="s">
        <v>62</v>
      </c>
      <c r="O1631">
        <v>1</v>
      </c>
      <c r="P1631">
        <v>21350</v>
      </c>
      <c r="Q1631">
        <v>0</v>
      </c>
      <c r="R1631">
        <v>15070</v>
      </c>
      <c r="S1631" t="s">
        <v>29</v>
      </c>
      <c r="T1631" t="s">
        <v>30</v>
      </c>
      <c r="U1631">
        <v>3</v>
      </c>
      <c r="V1631" t="s">
        <v>31</v>
      </c>
      <c r="W1631">
        <f>excelsalesdata[[#This Row],[Quantity]]*excelsalesdata[[#This Row],[Unit_Price]]</f>
        <v>21350</v>
      </c>
      <c r="X1631">
        <f>excelsalesdata[[#This Row],[Gross_sales]]*excelsalesdata[[#This Row],[Discount_%]]</f>
        <v>0</v>
      </c>
      <c r="Y1631">
        <f>excelsalesdata[[#This Row],[Gross_sales]]-excelsalesdata[[#This Row],[Discount_amt]]</f>
        <v>21350</v>
      </c>
      <c r="Z1631" s="4">
        <f>excelsalesdata[[#This Row],[Net_sales]]-excelsalesdata[[#This Row],[Cost]]</f>
        <v>6280</v>
      </c>
      <c r="AA1631" s="5">
        <f>excelsalesdata[[#This Row],[Profit]]/excelsalesdata[[#This Row],[Net_sales]]</f>
        <v>0.29414519906323183</v>
      </c>
      <c r="AB1631" s="4">
        <f>YEAR(excelsalesdata[[#This Row],[Order_Date]])</f>
        <v>2029</v>
      </c>
      <c r="AC1631" s="4" t="str">
        <f>TEXT(excelsalesdata[[#This Row],[Order_Date]],"mmm")</f>
        <v>Sep</v>
      </c>
      <c r="AD1631" s="4" t="str">
        <f>"Q"&amp;ROUNDUP(MONTH(excelsalesdata[[#This Row],[Order_Date]])/3,0)</f>
        <v>Q3</v>
      </c>
    </row>
    <row r="1632" spans="1:30" x14ac:dyDescent="0.35">
      <c r="A1632" t="s">
        <v>2466</v>
      </c>
      <c r="B1632" s="3">
        <v>47390</v>
      </c>
      <c r="C1632" t="s">
        <v>818</v>
      </c>
      <c r="D1632" t="s">
        <v>374</v>
      </c>
      <c r="E1632" t="str">
        <f>TRIM(excelsalesdata[[#This Row],[Customer_Name]])</f>
        <v>Priya Sharma</v>
      </c>
      <c r="F1632" t="s">
        <v>44</v>
      </c>
      <c r="G1632">
        <v>19</v>
      </c>
      <c r="H1632" t="s">
        <v>190</v>
      </c>
      <c r="I1632" t="str">
        <f>TRIM(excelsalesdata[[#This Row],[City]])</f>
        <v>Ahmedabad</v>
      </c>
      <c r="J1632" t="s">
        <v>191</v>
      </c>
      <c r="K1632" t="s">
        <v>26</v>
      </c>
      <c r="L1632" t="s">
        <v>27</v>
      </c>
      <c r="M1632" t="s">
        <v>295</v>
      </c>
      <c r="N1632" t="s">
        <v>295</v>
      </c>
      <c r="O1632">
        <v>1</v>
      </c>
      <c r="P1632">
        <v>4310</v>
      </c>
      <c r="Q1632">
        <v>0.2</v>
      </c>
      <c r="R1632">
        <v>2670</v>
      </c>
      <c r="S1632" t="s">
        <v>80</v>
      </c>
      <c r="T1632" t="s">
        <v>30</v>
      </c>
      <c r="U1632">
        <v>2</v>
      </c>
      <c r="V1632" t="s">
        <v>40</v>
      </c>
      <c r="W1632">
        <f>excelsalesdata[[#This Row],[Quantity]]*excelsalesdata[[#This Row],[Unit_Price]]</f>
        <v>4310</v>
      </c>
      <c r="X1632">
        <f>excelsalesdata[[#This Row],[Gross_sales]]*excelsalesdata[[#This Row],[Discount_%]]</f>
        <v>862</v>
      </c>
      <c r="Y1632">
        <f>excelsalesdata[[#This Row],[Gross_sales]]-excelsalesdata[[#This Row],[Discount_amt]]</f>
        <v>3448</v>
      </c>
      <c r="Z1632" s="4">
        <f>excelsalesdata[[#This Row],[Net_sales]]-excelsalesdata[[#This Row],[Cost]]</f>
        <v>778</v>
      </c>
      <c r="AA1632" s="5">
        <f>excelsalesdata[[#This Row],[Profit]]/excelsalesdata[[#This Row],[Net_sales]]</f>
        <v>0.22563805104408352</v>
      </c>
      <c r="AB1632" s="4">
        <f>YEAR(excelsalesdata[[#This Row],[Order_Date]])</f>
        <v>2029</v>
      </c>
      <c r="AC1632" s="4" t="str">
        <f>TEXT(excelsalesdata[[#This Row],[Order_Date]],"mmm")</f>
        <v>Sep</v>
      </c>
      <c r="AD1632" s="4" t="str">
        <f>"Q"&amp;ROUNDUP(MONTH(excelsalesdata[[#This Row],[Order_Date]])/3,0)</f>
        <v>Q3</v>
      </c>
    </row>
    <row r="1633" spans="1:30" x14ac:dyDescent="0.35">
      <c r="A1633" t="s">
        <v>2467</v>
      </c>
      <c r="B1633" s="3">
        <v>47391</v>
      </c>
      <c r="C1633" t="s">
        <v>233</v>
      </c>
      <c r="D1633" t="s">
        <v>1292</v>
      </c>
      <c r="E1633" t="str">
        <f>TRIM(excelsalesdata[[#This Row],[Customer_Name]])</f>
        <v>Sneha Mehta</v>
      </c>
      <c r="F1633" t="s">
        <v>44</v>
      </c>
      <c r="G1633">
        <v>37</v>
      </c>
      <c r="H1633" t="s">
        <v>133</v>
      </c>
      <c r="I1633" t="str">
        <f>TRIM(excelsalesdata[[#This Row],[City]])</f>
        <v>Jaipur</v>
      </c>
      <c r="J1633" t="s">
        <v>134</v>
      </c>
      <c r="K1633" t="s">
        <v>61</v>
      </c>
      <c r="L1633" t="s">
        <v>103</v>
      </c>
      <c r="M1633" t="s">
        <v>312</v>
      </c>
      <c r="N1633" t="s">
        <v>312</v>
      </c>
      <c r="O1633">
        <v>1</v>
      </c>
      <c r="P1633">
        <v>6570</v>
      </c>
      <c r="Q1633">
        <v>0.15</v>
      </c>
      <c r="R1633">
        <v>4020</v>
      </c>
      <c r="S1633" t="s">
        <v>105</v>
      </c>
      <c r="T1633" t="s">
        <v>30</v>
      </c>
      <c r="U1633">
        <v>5</v>
      </c>
      <c r="V1633" t="s">
        <v>40</v>
      </c>
      <c r="W1633">
        <f>excelsalesdata[[#This Row],[Quantity]]*excelsalesdata[[#This Row],[Unit_Price]]</f>
        <v>6570</v>
      </c>
      <c r="X1633">
        <f>excelsalesdata[[#This Row],[Gross_sales]]*excelsalesdata[[#This Row],[Discount_%]]</f>
        <v>985.5</v>
      </c>
      <c r="Y1633">
        <f>excelsalesdata[[#This Row],[Gross_sales]]-excelsalesdata[[#This Row],[Discount_amt]]</f>
        <v>5584.5</v>
      </c>
      <c r="Z1633" s="4">
        <f>excelsalesdata[[#This Row],[Net_sales]]-excelsalesdata[[#This Row],[Cost]]</f>
        <v>1564.5</v>
      </c>
      <c r="AA1633" s="5">
        <f>excelsalesdata[[#This Row],[Profit]]/excelsalesdata[[#This Row],[Net_sales]]</f>
        <v>0.28015041633091592</v>
      </c>
      <c r="AB1633" s="4">
        <f>YEAR(excelsalesdata[[#This Row],[Order_Date]])</f>
        <v>2029</v>
      </c>
      <c r="AC1633" s="4" t="str">
        <f>TEXT(excelsalesdata[[#This Row],[Order_Date]],"mmm")</f>
        <v>Sep</v>
      </c>
      <c r="AD1633" s="4" t="str">
        <f>"Q"&amp;ROUNDUP(MONTH(excelsalesdata[[#This Row],[Order_Date]])/3,0)</f>
        <v>Q3</v>
      </c>
    </row>
    <row r="1634" spans="1:30" x14ac:dyDescent="0.35">
      <c r="A1634" t="s">
        <v>2468</v>
      </c>
      <c r="B1634" s="3">
        <v>47392</v>
      </c>
      <c r="C1634" t="s">
        <v>1466</v>
      </c>
      <c r="D1634" t="s">
        <v>305</v>
      </c>
      <c r="E1634" t="str">
        <f>TRIM(excelsalesdata[[#This Row],[Customer_Name]])</f>
        <v>Priya Reddy</v>
      </c>
      <c r="F1634" t="s">
        <v>44</v>
      </c>
      <c r="G1634">
        <v>41</v>
      </c>
      <c r="H1634" t="s">
        <v>45</v>
      </c>
      <c r="I1634" t="str">
        <f>TRIM(excelsalesdata[[#This Row],[City]])</f>
        <v>Kochi</v>
      </c>
      <c r="J1634" t="s">
        <v>46</v>
      </c>
      <c r="K1634" t="s">
        <v>47</v>
      </c>
      <c r="L1634" t="s">
        <v>103</v>
      </c>
      <c r="M1634" t="s">
        <v>347</v>
      </c>
      <c r="N1634" t="s">
        <v>347</v>
      </c>
      <c r="O1634">
        <v>1</v>
      </c>
      <c r="P1634">
        <v>11540</v>
      </c>
      <c r="Q1634">
        <v>0.25</v>
      </c>
      <c r="R1634">
        <v>8190</v>
      </c>
      <c r="S1634" t="s">
        <v>29</v>
      </c>
      <c r="T1634" t="s">
        <v>30</v>
      </c>
      <c r="U1634">
        <v>6</v>
      </c>
      <c r="V1634" t="s">
        <v>31</v>
      </c>
      <c r="W1634">
        <f>excelsalesdata[[#This Row],[Quantity]]*excelsalesdata[[#This Row],[Unit_Price]]</f>
        <v>11540</v>
      </c>
      <c r="X1634">
        <f>excelsalesdata[[#This Row],[Gross_sales]]*excelsalesdata[[#This Row],[Discount_%]]</f>
        <v>2885</v>
      </c>
      <c r="Y1634">
        <f>excelsalesdata[[#This Row],[Gross_sales]]-excelsalesdata[[#This Row],[Discount_amt]]</f>
        <v>8655</v>
      </c>
      <c r="Z1634" s="4">
        <f>excelsalesdata[[#This Row],[Net_sales]]-excelsalesdata[[#This Row],[Cost]]</f>
        <v>465</v>
      </c>
      <c r="AA1634" s="5">
        <f>excelsalesdata[[#This Row],[Profit]]/excelsalesdata[[#This Row],[Net_sales]]</f>
        <v>5.3726169844020795E-2</v>
      </c>
      <c r="AB1634" s="4">
        <f>YEAR(excelsalesdata[[#This Row],[Order_Date]])</f>
        <v>2029</v>
      </c>
      <c r="AC1634" s="4" t="str">
        <f>TEXT(excelsalesdata[[#This Row],[Order_Date]],"mmm")</f>
        <v>Oct</v>
      </c>
      <c r="AD1634" s="4" t="str">
        <f>"Q"&amp;ROUNDUP(MONTH(excelsalesdata[[#This Row],[Order_Date]])/3,0)</f>
        <v>Q4</v>
      </c>
    </row>
    <row r="1635" spans="1:30" x14ac:dyDescent="0.35">
      <c r="A1635" t="s">
        <v>2469</v>
      </c>
      <c r="B1635" s="3">
        <v>47393</v>
      </c>
      <c r="C1635" t="s">
        <v>1945</v>
      </c>
      <c r="D1635" t="s">
        <v>305</v>
      </c>
      <c r="E1635" t="str">
        <f>TRIM(excelsalesdata[[#This Row],[Customer_Name]])</f>
        <v>Priya Reddy</v>
      </c>
      <c r="F1635" t="s">
        <v>23</v>
      </c>
      <c r="G1635">
        <v>51</v>
      </c>
      <c r="H1635" t="s">
        <v>71</v>
      </c>
      <c r="I1635" t="str">
        <f>TRIM(excelsalesdata[[#This Row],[City]])</f>
        <v>Bhubaneswar</v>
      </c>
      <c r="J1635" t="s">
        <v>72</v>
      </c>
      <c r="K1635" t="s">
        <v>37</v>
      </c>
      <c r="L1635" t="s">
        <v>54</v>
      </c>
      <c r="M1635" t="s">
        <v>66</v>
      </c>
      <c r="N1635" t="s">
        <v>66</v>
      </c>
      <c r="O1635">
        <v>1</v>
      </c>
      <c r="P1635">
        <v>2540</v>
      </c>
      <c r="Q1635">
        <v>0.2</v>
      </c>
      <c r="R1635">
        <v>1450</v>
      </c>
      <c r="S1635" t="s">
        <v>67</v>
      </c>
      <c r="T1635" t="s">
        <v>30</v>
      </c>
      <c r="U1635">
        <v>3</v>
      </c>
      <c r="V1635" t="s">
        <v>40</v>
      </c>
      <c r="W1635">
        <f>excelsalesdata[[#This Row],[Quantity]]*excelsalesdata[[#This Row],[Unit_Price]]</f>
        <v>2540</v>
      </c>
      <c r="X1635">
        <f>excelsalesdata[[#This Row],[Gross_sales]]*excelsalesdata[[#This Row],[Discount_%]]</f>
        <v>508</v>
      </c>
      <c r="Y1635">
        <f>excelsalesdata[[#This Row],[Gross_sales]]-excelsalesdata[[#This Row],[Discount_amt]]</f>
        <v>2032</v>
      </c>
      <c r="Z1635" s="4">
        <f>excelsalesdata[[#This Row],[Net_sales]]-excelsalesdata[[#This Row],[Cost]]</f>
        <v>582</v>
      </c>
      <c r="AA1635" s="5">
        <f>excelsalesdata[[#This Row],[Profit]]/excelsalesdata[[#This Row],[Net_sales]]</f>
        <v>0.28641732283464566</v>
      </c>
      <c r="AB1635" s="4">
        <f>YEAR(excelsalesdata[[#This Row],[Order_Date]])</f>
        <v>2029</v>
      </c>
      <c r="AC1635" s="4" t="str">
        <f>TEXT(excelsalesdata[[#This Row],[Order_Date]],"mmm")</f>
        <v>Oct</v>
      </c>
      <c r="AD1635" s="4" t="str">
        <f>"Q"&amp;ROUNDUP(MONTH(excelsalesdata[[#This Row],[Order_Date]])/3,0)</f>
        <v>Q4</v>
      </c>
    </row>
    <row r="1636" spans="1:30" x14ac:dyDescent="0.35">
      <c r="A1636" t="s">
        <v>2470</v>
      </c>
      <c r="B1636" s="3">
        <v>47394</v>
      </c>
      <c r="C1636" t="s">
        <v>1078</v>
      </c>
      <c r="D1636" t="s">
        <v>113</v>
      </c>
      <c r="E1636" t="str">
        <f>TRIM(excelsalesdata[[#This Row],[Customer_Name]])</f>
        <v>Nisha Joshi</v>
      </c>
      <c r="F1636" t="s">
        <v>23</v>
      </c>
      <c r="G1636">
        <v>54</v>
      </c>
      <c r="H1636" t="s">
        <v>155</v>
      </c>
      <c r="I1636" t="str">
        <f>TRIM(excelsalesdata[[#This Row],[City]])</f>
        <v>Chennai</v>
      </c>
      <c r="J1636" t="s">
        <v>156</v>
      </c>
      <c r="K1636" t="s">
        <v>47</v>
      </c>
      <c r="L1636" t="s">
        <v>27</v>
      </c>
      <c r="M1636" t="s">
        <v>123</v>
      </c>
      <c r="N1636" t="s">
        <v>123</v>
      </c>
      <c r="O1636">
        <v>1</v>
      </c>
      <c r="P1636">
        <v>2920</v>
      </c>
      <c r="Q1636">
        <v>0.15</v>
      </c>
      <c r="R1636">
        <v>1670</v>
      </c>
      <c r="S1636" t="s">
        <v>80</v>
      </c>
      <c r="T1636" t="s">
        <v>99</v>
      </c>
      <c r="U1636">
        <v>5</v>
      </c>
      <c r="V1636" t="s">
        <v>40</v>
      </c>
      <c r="W1636">
        <f>excelsalesdata[[#This Row],[Quantity]]*excelsalesdata[[#This Row],[Unit_Price]]</f>
        <v>2920</v>
      </c>
      <c r="X1636">
        <f>excelsalesdata[[#This Row],[Gross_sales]]*excelsalesdata[[#This Row],[Discount_%]]</f>
        <v>438</v>
      </c>
      <c r="Y1636">
        <f>excelsalesdata[[#This Row],[Gross_sales]]-excelsalesdata[[#This Row],[Discount_amt]]</f>
        <v>2482</v>
      </c>
      <c r="Z1636" s="4">
        <f>excelsalesdata[[#This Row],[Net_sales]]-excelsalesdata[[#This Row],[Cost]]</f>
        <v>812</v>
      </c>
      <c r="AA1636" s="5">
        <f>excelsalesdata[[#This Row],[Profit]]/excelsalesdata[[#This Row],[Net_sales]]</f>
        <v>0.32715551974214341</v>
      </c>
      <c r="AB1636" s="4">
        <f>YEAR(excelsalesdata[[#This Row],[Order_Date]])</f>
        <v>2029</v>
      </c>
      <c r="AC1636" s="4" t="str">
        <f>TEXT(excelsalesdata[[#This Row],[Order_Date]],"mmm")</f>
        <v>Oct</v>
      </c>
      <c r="AD1636" s="4" t="str">
        <f>"Q"&amp;ROUNDUP(MONTH(excelsalesdata[[#This Row],[Order_Date]])/3,0)</f>
        <v>Q4</v>
      </c>
    </row>
    <row r="1637" spans="1:30" x14ac:dyDescent="0.35">
      <c r="A1637" t="s">
        <v>2471</v>
      </c>
      <c r="B1637" s="3">
        <v>47395</v>
      </c>
      <c r="C1637" t="s">
        <v>1001</v>
      </c>
      <c r="D1637" t="s">
        <v>1392</v>
      </c>
      <c r="E1637" t="str">
        <f>TRIM(excelsalesdata[[#This Row],[Customer_Name]])</f>
        <v>Rohan Das</v>
      </c>
      <c r="F1637" t="s">
        <v>23</v>
      </c>
      <c r="G1637">
        <v>44</v>
      </c>
      <c r="H1637" t="s">
        <v>52</v>
      </c>
      <c r="I1637" t="str">
        <f>TRIM(excelsalesdata[[#This Row],[City]])</f>
        <v>Bengaluru</v>
      </c>
      <c r="J1637" t="s">
        <v>53</v>
      </c>
      <c r="K1637" t="s">
        <v>47</v>
      </c>
      <c r="L1637" t="s">
        <v>38</v>
      </c>
      <c r="M1637" t="s">
        <v>255</v>
      </c>
      <c r="N1637" t="s">
        <v>255</v>
      </c>
      <c r="O1637">
        <v>4</v>
      </c>
      <c r="P1637">
        <v>4450</v>
      </c>
      <c r="Q1637">
        <v>0.05</v>
      </c>
      <c r="R1637">
        <v>2900</v>
      </c>
      <c r="S1637" t="s">
        <v>29</v>
      </c>
      <c r="T1637" t="s">
        <v>30</v>
      </c>
      <c r="U1637">
        <v>4</v>
      </c>
      <c r="V1637" t="s">
        <v>31</v>
      </c>
      <c r="W1637">
        <f>excelsalesdata[[#This Row],[Quantity]]*excelsalesdata[[#This Row],[Unit_Price]]</f>
        <v>17800</v>
      </c>
      <c r="X1637">
        <f>excelsalesdata[[#This Row],[Gross_sales]]*excelsalesdata[[#This Row],[Discount_%]]</f>
        <v>890</v>
      </c>
      <c r="Y1637">
        <f>excelsalesdata[[#This Row],[Gross_sales]]-excelsalesdata[[#This Row],[Discount_amt]]</f>
        <v>16910</v>
      </c>
      <c r="Z1637" s="4">
        <f>excelsalesdata[[#This Row],[Net_sales]]-excelsalesdata[[#This Row],[Cost]]</f>
        <v>14010</v>
      </c>
      <c r="AA1637" s="5">
        <f>excelsalesdata[[#This Row],[Profit]]/excelsalesdata[[#This Row],[Net_sales]]</f>
        <v>0.82850384387936138</v>
      </c>
      <c r="AB1637" s="4">
        <f>YEAR(excelsalesdata[[#This Row],[Order_Date]])</f>
        <v>2029</v>
      </c>
      <c r="AC1637" s="4" t="str">
        <f>TEXT(excelsalesdata[[#This Row],[Order_Date]],"mmm")</f>
        <v>Oct</v>
      </c>
      <c r="AD1637" s="4" t="str">
        <f>"Q"&amp;ROUNDUP(MONTH(excelsalesdata[[#This Row],[Order_Date]])/3,0)</f>
        <v>Q4</v>
      </c>
    </row>
    <row r="1638" spans="1:30" x14ac:dyDescent="0.35">
      <c r="A1638" t="s">
        <v>2472</v>
      </c>
      <c r="B1638" s="3">
        <v>47396</v>
      </c>
      <c r="C1638" t="s">
        <v>402</v>
      </c>
      <c r="D1638" t="s">
        <v>208</v>
      </c>
      <c r="E1638" t="str">
        <f>TRIM(excelsalesdata[[#This Row],[Customer_Name]])</f>
        <v>Aarav Singh</v>
      </c>
      <c r="F1638" t="s">
        <v>23</v>
      </c>
      <c r="G1638">
        <v>40</v>
      </c>
      <c r="H1638" t="s">
        <v>24</v>
      </c>
      <c r="I1638" t="str">
        <f>TRIM(excelsalesdata[[#This Row],[City]])</f>
        <v>Pune</v>
      </c>
      <c r="J1638" t="s">
        <v>25</v>
      </c>
      <c r="K1638" t="s">
        <v>26</v>
      </c>
      <c r="L1638" t="s">
        <v>54</v>
      </c>
      <c r="M1638" t="s">
        <v>129</v>
      </c>
      <c r="N1638" t="s">
        <v>129</v>
      </c>
      <c r="O1638">
        <v>2</v>
      </c>
      <c r="P1638">
        <v>17890</v>
      </c>
      <c r="Q1638">
        <v>0.05</v>
      </c>
      <c r="R1638">
        <v>12430</v>
      </c>
      <c r="S1638" t="s">
        <v>56</v>
      </c>
      <c r="T1638" t="s">
        <v>30</v>
      </c>
      <c r="U1638">
        <v>2</v>
      </c>
      <c r="V1638" t="s">
        <v>40</v>
      </c>
      <c r="W1638">
        <f>excelsalesdata[[#This Row],[Quantity]]*excelsalesdata[[#This Row],[Unit_Price]]</f>
        <v>35780</v>
      </c>
      <c r="X1638">
        <f>excelsalesdata[[#This Row],[Gross_sales]]*excelsalesdata[[#This Row],[Discount_%]]</f>
        <v>1789</v>
      </c>
      <c r="Y1638">
        <f>excelsalesdata[[#This Row],[Gross_sales]]-excelsalesdata[[#This Row],[Discount_amt]]</f>
        <v>33991</v>
      </c>
      <c r="Z1638" s="4">
        <f>excelsalesdata[[#This Row],[Net_sales]]-excelsalesdata[[#This Row],[Cost]]</f>
        <v>21561</v>
      </c>
      <c r="AA1638" s="5">
        <f>excelsalesdata[[#This Row],[Profit]]/excelsalesdata[[#This Row],[Net_sales]]</f>
        <v>0.6343149657262217</v>
      </c>
      <c r="AB1638" s="4">
        <f>YEAR(excelsalesdata[[#This Row],[Order_Date]])</f>
        <v>2029</v>
      </c>
      <c r="AC1638" s="4" t="str">
        <f>TEXT(excelsalesdata[[#This Row],[Order_Date]],"mmm")</f>
        <v>Oct</v>
      </c>
      <c r="AD1638" s="4" t="str">
        <f>"Q"&amp;ROUNDUP(MONTH(excelsalesdata[[#This Row],[Order_Date]])/3,0)</f>
        <v>Q4</v>
      </c>
    </row>
    <row r="1639" spans="1:30" x14ac:dyDescent="0.35">
      <c r="A1639" t="s">
        <v>2473</v>
      </c>
      <c r="B1639" s="3">
        <v>47397</v>
      </c>
      <c r="C1639" t="s">
        <v>748</v>
      </c>
      <c r="D1639" t="s">
        <v>371</v>
      </c>
      <c r="E1639" t="str">
        <f>TRIM(excelsalesdata[[#This Row],[Customer_Name]])</f>
        <v>Karan Bhat</v>
      </c>
      <c r="F1639" t="s">
        <v>23</v>
      </c>
      <c r="G1639">
        <v>48</v>
      </c>
      <c r="H1639" t="s">
        <v>35</v>
      </c>
      <c r="I1639" t="str">
        <f>TRIM(excelsalesdata[[#This Row],[City]])</f>
        <v>Kolkata</v>
      </c>
      <c r="J1639" t="s">
        <v>36</v>
      </c>
      <c r="K1639" t="s">
        <v>37</v>
      </c>
      <c r="L1639" t="s">
        <v>27</v>
      </c>
      <c r="M1639" t="s">
        <v>195</v>
      </c>
      <c r="N1639" t="s">
        <v>195</v>
      </c>
      <c r="O1639">
        <v>2</v>
      </c>
      <c r="P1639">
        <v>2280</v>
      </c>
      <c r="Q1639">
        <v>0.25</v>
      </c>
      <c r="R1639">
        <v>1230</v>
      </c>
      <c r="S1639" t="s">
        <v>80</v>
      </c>
      <c r="T1639" t="s">
        <v>30</v>
      </c>
      <c r="U1639">
        <v>5</v>
      </c>
      <c r="V1639" t="s">
        <v>31</v>
      </c>
      <c r="W1639">
        <f>excelsalesdata[[#This Row],[Quantity]]*excelsalesdata[[#This Row],[Unit_Price]]</f>
        <v>4560</v>
      </c>
      <c r="X1639">
        <f>excelsalesdata[[#This Row],[Gross_sales]]*excelsalesdata[[#This Row],[Discount_%]]</f>
        <v>1140</v>
      </c>
      <c r="Y1639">
        <f>excelsalesdata[[#This Row],[Gross_sales]]-excelsalesdata[[#This Row],[Discount_amt]]</f>
        <v>3420</v>
      </c>
      <c r="Z1639" s="4">
        <f>excelsalesdata[[#This Row],[Net_sales]]-excelsalesdata[[#This Row],[Cost]]</f>
        <v>2190</v>
      </c>
      <c r="AA1639" s="5">
        <f>excelsalesdata[[#This Row],[Profit]]/excelsalesdata[[#This Row],[Net_sales]]</f>
        <v>0.64035087719298245</v>
      </c>
      <c r="AB1639" s="4">
        <f>YEAR(excelsalesdata[[#This Row],[Order_Date]])</f>
        <v>2029</v>
      </c>
      <c r="AC1639" s="4" t="str">
        <f>TEXT(excelsalesdata[[#This Row],[Order_Date]],"mmm")</f>
        <v>Oct</v>
      </c>
      <c r="AD1639" s="4" t="str">
        <f>"Q"&amp;ROUNDUP(MONTH(excelsalesdata[[#This Row],[Order_Date]])/3,0)</f>
        <v>Q4</v>
      </c>
    </row>
    <row r="1640" spans="1:30" x14ac:dyDescent="0.35">
      <c r="A1640" t="s">
        <v>2474</v>
      </c>
      <c r="B1640" s="3">
        <v>47398</v>
      </c>
      <c r="C1640" t="s">
        <v>278</v>
      </c>
      <c r="D1640" t="s">
        <v>550</v>
      </c>
      <c r="E1640" t="str">
        <f>TRIM(excelsalesdata[[#This Row],[Customer_Name]])</f>
        <v>Rohan Reddy</v>
      </c>
      <c r="F1640" t="s">
        <v>23</v>
      </c>
      <c r="G1640">
        <v>36</v>
      </c>
      <c r="H1640" t="s">
        <v>168</v>
      </c>
      <c r="I1640" t="str">
        <f>TRIM(excelsalesdata[[#This Row],[City]])</f>
        <v>Delhi</v>
      </c>
      <c r="J1640" t="s">
        <v>168</v>
      </c>
      <c r="K1640" t="s">
        <v>61</v>
      </c>
      <c r="L1640" t="s">
        <v>54</v>
      </c>
      <c r="M1640" t="s">
        <v>66</v>
      </c>
      <c r="N1640" t="s">
        <v>66</v>
      </c>
      <c r="O1640">
        <v>5</v>
      </c>
      <c r="P1640">
        <v>2390</v>
      </c>
      <c r="Q1640">
        <v>0.05</v>
      </c>
      <c r="R1640">
        <v>1480</v>
      </c>
      <c r="S1640" t="s">
        <v>67</v>
      </c>
      <c r="T1640" t="s">
        <v>30</v>
      </c>
      <c r="U1640">
        <v>7</v>
      </c>
      <c r="V1640" t="s">
        <v>40</v>
      </c>
      <c r="W1640">
        <f>excelsalesdata[[#This Row],[Quantity]]*excelsalesdata[[#This Row],[Unit_Price]]</f>
        <v>11950</v>
      </c>
      <c r="X1640">
        <f>excelsalesdata[[#This Row],[Gross_sales]]*excelsalesdata[[#This Row],[Discount_%]]</f>
        <v>597.5</v>
      </c>
      <c r="Y1640">
        <f>excelsalesdata[[#This Row],[Gross_sales]]-excelsalesdata[[#This Row],[Discount_amt]]</f>
        <v>11352.5</v>
      </c>
      <c r="Z1640" s="4">
        <f>excelsalesdata[[#This Row],[Net_sales]]-excelsalesdata[[#This Row],[Cost]]</f>
        <v>9872.5</v>
      </c>
      <c r="AA1640" s="5">
        <f>excelsalesdata[[#This Row],[Profit]]/excelsalesdata[[#This Row],[Net_sales]]</f>
        <v>0.86963223959480296</v>
      </c>
      <c r="AB1640" s="4">
        <f>YEAR(excelsalesdata[[#This Row],[Order_Date]])</f>
        <v>2029</v>
      </c>
      <c r="AC1640" s="4" t="str">
        <f>TEXT(excelsalesdata[[#This Row],[Order_Date]],"mmm")</f>
        <v>Oct</v>
      </c>
      <c r="AD1640" s="4" t="str">
        <f>"Q"&amp;ROUNDUP(MONTH(excelsalesdata[[#This Row],[Order_Date]])/3,0)</f>
        <v>Q4</v>
      </c>
    </row>
    <row r="1641" spans="1:30" x14ac:dyDescent="0.35">
      <c r="A1641" t="s">
        <v>2475</v>
      </c>
      <c r="B1641" s="3">
        <v>47399</v>
      </c>
      <c r="C1641" t="s">
        <v>301</v>
      </c>
      <c r="D1641" t="s">
        <v>328</v>
      </c>
      <c r="E1641" t="str">
        <f>TRIM(excelsalesdata[[#This Row],[Customer_Name]])</f>
        <v>Aarav Verma</v>
      </c>
      <c r="F1641" t="s">
        <v>44</v>
      </c>
      <c r="G1641">
        <v>22</v>
      </c>
      <c r="H1641" t="s">
        <v>78</v>
      </c>
      <c r="I1641" t="str">
        <f>TRIM(excelsalesdata[[#This Row],[City]])</f>
        <v>Guwahati</v>
      </c>
      <c r="J1641" t="s">
        <v>79</v>
      </c>
      <c r="K1641" t="s">
        <v>37</v>
      </c>
      <c r="L1641" t="s">
        <v>38</v>
      </c>
      <c r="M1641" t="s">
        <v>119</v>
      </c>
      <c r="N1641" t="s">
        <v>119</v>
      </c>
      <c r="O1641">
        <v>3</v>
      </c>
      <c r="P1641">
        <v>8290</v>
      </c>
      <c r="Q1641">
        <v>0.15</v>
      </c>
      <c r="R1641">
        <v>5320</v>
      </c>
      <c r="S1641" t="s">
        <v>67</v>
      </c>
      <c r="T1641" t="s">
        <v>30</v>
      </c>
      <c r="U1641">
        <v>4</v>
      </c>
      <c r="V1641" t="s">
        <v>40</v>
      </c>
      <c r="W1641">
        <f>excelsalesdata[[#This Row],[Quantity]]*excelsalesdata[[#This Row],[Unit_Price]]</f>
        <v>24870</v>
      </c>
      <c r="X1641">
        <f>excelsalesdata[[#This Row],[Gross_sales]]*excelsalesdata[[#This Row],[Discount_%]]</f>
        <v>3730.5</v>
      </c>
      <c r="Y1641">
        <f>excelsalesdata[[#This Row],[Gross_sales]]-excelsalesdata[[#This Row],[Discount_amt]]</f>
        <v>21139.5</v>
      </c>
      <c r="Z1641" s="4">
        <f>excelsalesdata[[#This Row],[Net_sales]]-excelsalesdata[[#This Row],[Cost]]</f>
        <v>15819.5</v>
      </c>
      <c r="AA1641" s="5">
        <f>excelsalesdata[[#This Row],[Profit]]/excelsalesdata[[#This Row],[Net_sales]]</f>
        <v>0.74833841860025074</v>
      </c>
      <c r="AB1641" s="4">
        <f>YEAR(excelsalesdata[[#This Row],[Order_Date]])</f>
        <v>2029</v>
      </c>
      <c r="AC1641" s="4" t="str">
        <f>TEXT(excelsalesdata[[#This Row],[Order_Date]],"mmm")</f>
        <v>Oct</v>
      </c>
      <c r="AD1641" s="4" t="str">
        <f>"Q"&amp;ROUNDUP(MONTH(excelsalesdata[[#This Row],[Order_Date]])/3,0)</f>
        <v>Q4</v>
      </c>
    </row>
    <row r="1642" spans="1:30" x14ac:dyDescent="0.35">
      <c r="A1642" t="s">
        <v>2476</v>
      </c>
      <c r="B1642" s="3">
        <v>47400</v>
      </c>
      <c r="C1642" t="s">
        <v>272</v>
      </c>
      <c r="D1642" t="s">
        <v>588</v>
      </c>
      <c r="E1642" t="str">
        <f>TRIM(excelsalesdata[[#This Row],[Customer_Name]])</f>
        <v>Karan Rao</v>
      </c>
      <c r="F1642" t="s">
        <v>44</v>
      </c>
      <c r="G1642">
        <v>57</v>
      </c>
      <c r="H1642" t="s">
        <v>71</v>
      </c>
      <c r="I1642" t="str">
        <f>TRIM(excelsalesdata[[#This Row],[City]])</f>
        <v>Bhubaneswar</v>
      </c>
      <c r="J1642" t="s">
        <v>72</v>
      </c>
      <c r="K1642" t="s">
        <v>37</v>
      </c>
      <c r="L1642" t="s">
        <v>27</v>
      </c>
      <c r="M1642" t="s">
        <v>195</v>
      </c>
      <c r="N1642" t="s">
        <v>195</v>
      </c>
      <c r="O1642">
        <v>2</v>
      </c>
      <c r="P1642">
        <v>2250</v>
      </c>
      <c r="Q1642">
        <v>0.05</v>
      </c>
      <c r="R1642">
        <v>1160</v>
      </c>
      <c r="S1642" t="s">
        <v>80</v>
      </c>
      <c r="T1642" t="s">
        <v>30</v>
      </c>
      <c r="U1642">
        <v>8</v>
      </c>
      <c r="V1642" t="s">
        <v>31</v>
      </c>
      <c r="W1642">
        <f>excelsalesdata[[#This Row],[Quantity]]*excelsalesdata[[#This Row],[Unit_Price]]</f>
        <v>4500</v>
      </c>
      <c r="X1642">
        <f>excelsalesdata[[#This Row],[Gross_sales]]*excelsalesdata[[#This Row],[Discount_%]]</f>
        <v>225</v>
      </c>
      <c r="Y1642">
        <f>excelsalesdata[[#This Row],[Gross_sales]]-excelsalesdata[[#This Row],[Discount_amt]]</f>
        <v>4275</v>
      </c>
      <c r="Z1642" s="4">
        <f>excelsalesdata[[#This Row],[Net_sales]]-excelsalesdata[[#This Row],[Cost]]</f>
        <v>3115</v>
      </c>
      <c r="AA1642" s="5">
        <f>excelsalesdata[[#This Row],[Profit]]/excelsalesdata[[#This Row],[Net_sales]]</f>
        <v>0.72865497076023389</v>
      </c>
      <c r="AB1642" s="4">
        <f>YEAR(excelsalesdata[[#This Row],[Order_Date]])</f>
        <v>2029</v>
      </c>
      <c r="AC1642" s="4" t="str">
        <f>TEXT(excelsalesdata[[#This Row],[Order_Date]],"mmm")</f>
        <v>Oct</v>
      </c>
      <c r="AD1642" s="4" t="str">
        <f>"Q"&amp;ROUNDUP(MONTH(excelsalesdata[[#This Row],[Order_Date]])/3,0)</f>
        <v>Q4</v>
      </c>
    </row>
    <row r="1643" spans="1:30" x14ac:dyDescent="0.35">
      <c r="A1643" t="s">
        <v>2477</v>
      </c>
      <c r="B1643" s="3">
        <v>47401</v>
      </c>
      <c r="C1643" t="s">
        <v>381</v>
      </c>
      <c r="D1643" t="s">
        <v>1982</v>
      </c>
      <c r="E1643" t="str">
        <f>TRIM(excelsalesdata[[#This Row],[Customer_Name]])</f>
        <v>Kavya Nair</v>
      </c>
      <c r="F1643" t="s">
        <v>44</v>
      </c>
      <c r="G1643">
        <v>39</v>
      </c>
      <c r="H1643" t="s">
        <v>60</v>
      </c>
      <c r="I1643" t="str">
        <f>TRIM(excelsalesdata[[#This Row],[City]])</f>
        <v>Chandigarh</v>
      </c>
      <c r="J1643" t="s">
        <v>60</v>
      </c>
      <c r="K1643" t="s">
        <v>61</v>
      </c>
      <c r="L1643" t="s">
        <v>27</v>
      </c>
      <c r="M1643" t="s">
        <v>195</v>
      </c>
      <c r="N1643" t="s">
        <v>195</v>
      </c>
      <c r="O1643">
        <v>4</v>
      </c>
      <c r="P1643">
        <v>2260</v>
      </c>
      <c r="Q1643">
        <v>0.05</v>
      </c>
      <c r="R1643">
        <v>1210</v>
      </c>
      <c r="S1643" t="s">
        <v>56</v>
      </c>
      <c r="T1643" t="s">
        <v>99</v>
      </c>
      <c r="U1643">
        <v>4</v>
      </c>
      <c r="V1643" t="s">
        <v>40</v>
      </c>
      <c r="W1643">
        <f>excelsalesdata[[#This Row],[Quantity]]*excelsalesdata[[#This Row],[Unit_Price]]</f>
        <v>9040</v>
      </c>
      <c r="X1643">
        <f>excelsalesdata[[#This Row],[Gross_sales]]*excelsalesdata[[#This Row],[Discount_%]]</f>
        <v>452</v>
      </c>
      <c r="Y1643">
        <f>excelsalesdata[[#This Row],[Gross_sales]]-excelsalesdata[[#This Row],[Discount_amt]]</f>
        <v>8588</v>
      </c>
      <c r="Z1643" s="4">
        <f>excelsalesdata[[#This Row],[Net_sales]]-excelsalesdata[[#This Row],[Cost]]</f>
        <v>7378</v>
      </c>
      <c r="AA1643" s="5">
        <f>excelsalesdata[[#This Row],[Profit]]/excelsalesdata[[#This Row],[Net_sales]]</f>
        <v>0.8591057289240801</v>
      </c>
      <c r="AB1643" s="4">
        <f>YEAR(excelsalesdata[[#This Row],[Order_Date]])</f>
        <v>2029</v>
      </c>
      <c r="AC1643" s="4" t="str">
        <f>TEXT(excelsalesdata[[#This Row],[Order_Date]],"mmm")</f>
        <v>Oct</v>
      </c>
      <c r="AD1643" s="4" t="str">
        <f>"Q"&amp;ROUNDUP(MONTH(excelsalesdata[[#This Row],[Order_Date]])/3,0)</f>
        <v>Q4</v>
      </c>
    </row>
    <row r="1644" spans="1:30" x14ac:dyDescent="0.35">
      <c r="A1644" t="s">
        <v>2478</v>
      </c>
      <c r="B1644" s="3">
        <v>47402</v>
      </c>
      <c r="C1644" t="s">
        <v>1178</v>
      </c>
      <c r="D1644" t="s">
        <v>368</v>
      </c>
      <c r="E1644" t="str">
        <f>TRIM(excelsalesdata[[#This Row],[Customer_Name]])</f>
        <v>Aditya Naidu</v>
      </c>
      <c r="F1644" t="s">
        <v>44</v>
      </c>
      <c r="G1644">
        <v>20</v>
      </c>
      <c r="H1644" t="s">
        <v>190</v>
      </c>
      <c r="I1644" t="str">
        <f>TRIM(excelsalesdata[[#This Row],[City]])</f>
        <v>Ahmedabad</v>
      </c>
      <c r="J1644" t="s">
        <v>191</v>
      </c>
      <c r="K1644" t="s">
        <v>26</v>
      </c>
      <c r="L1644" t="s">
        <v>54</v>
      </c>
      <c r="M1644" t="s">
        <v>55</v>
      </c>
      <c r="N1644" t="s">
        <v>55</v>
      </c>
      <c r="O1644">
        <v>1</v>
      </c>
      <c r="P1644">
        <v>7020</v>
      </c>
      <c r="Q1644">
        <v>0.15</v>
      </c>
      <c r="R1644">
        <v>4500</v>
      </c>
      <c r="S1644" t="s">
        <v>80</v>
      </c>
      <c r="T1644" t="s">
        <v>30</v>
      </c>
      <c r="U1644">
        <v>7</v>
      </c>
      <c r="V1644" t="s">
        <v>31</v>
      </c>
      <c r="W1644">
        <f>excelsalesdata[[#This Row],[Quantity]]*excelsalesdata[[#This Row],[Unit_Price]]</f>
        <v>7020</v>
      </c>
      <c r="X1644">
        <f>excelsalesdata[[#This Row],[Gross_sales]]*excelsalesdata[[#This Row],[Discount_%]]</f>
        <v>1053</v>
      </c>
      <c r="Y1644">
        <f>excelsalesdata[[#This Row],[Gross_sales]]-excelsalesdata[[#This Row],[Discount_amt]]</f>
        <v>5967</v>
      </c>
      <c r="Z1644" s="4">
        <f>excelsalesdata[[#This Row],[Net_sales]]-excelsalesdata[[#This Row],[Cost]]</f>
        <v>1467</v>
      </c>
      <c r="AA1644" s="5">
        <f>excelsalesdata[[#This Row],[Profit]]/excelsalesdata[[#This Row],[Net_sales]]</f>
        <v>0.2458521870286576</v>
      </c>
      <c r="AB1644" s="4">
        <f>YEAR(excelsalesdata[[#This Row],[Order_Date]])</f>
        <v>2029</v>
      </c>
      <c r="AC1644" s="4" t="str">
        <f>TEXT(excelsalesdata[[#This Row],[Order_Date]],"mmm")</f>
        <v>Oct</v>
      </c>
      <c r="AD1644" s="4" t="str">
        <f>"Q"&amp;ROUNDUP(MONTH(excelsalesdata[[#This Row],[Order_Date]])/3,0)</f>
        <v>Q4</v>
      </c>
    </row>
    <row r="1645" spans="1:30" x14ac:dyDescent="0.35">
      <c r="A1645" t="s">
        <v>2479</v>
      </c>
      <c r="B1645" s="3">
        <v>47403</v>
      </c>
      <c r="C1645" t="s">
        <v>565</v>
      </c>
      <c r="D1645" t="s">
        <v>550</v>
      </c>
      <c r="E1645" t="str">
        <f>TRIM(excelsalesdata[[#This Row],[Customer_Name]])</f>
        <v>Rohan Reddy</v>
      </c>
      <c r="F1645" t="s">
        <v>44</v>
      </c>
      <c r="G1645">
        <v>45</v>
      </c>
      <c r="H1645" t="s">
        <v>114</v>
      </c>
      <c r="I1645" t="str">
        <f>TRIM(excelsalesdata[[#This Row],[City]])</f>
        <v>Hyderabad</v>
      </c>
      <c r="J1645" t="s">
        <v>115</v>
      </c>
      <c r="K1645" t="s">
        <v>47</v>
      </c>
      <c r="L1645" t="s">
        <v>103</v>
      </c>
      <c r="M1645" t="s">
        <v>104</v>
      </c>
      <c r="N1645" t="s">
        <v>104</v>
      </c>
      <c r="O1645">
        <v>2</v>
      </c>
      <c r="P1645">
        <v>8830</v>
      </c>
      <c r="Q1645">
        <v>0.15</v>
      </c>
      <c r="R1645">
        <v>5530</v>
      </c>
      <c r="S1645" t="s">
        <v>151</v>
      </c>
      <c r="T1645" t="s">
        <v>30</v>
      </c>
      <c r="U1645">
        <v>3</v>
      </c>
      <c r="V1645" t="s">
        <v>31</v>
      </c>
      <c r="W1645">
        <f>excelsalesdata[[#This Row],[Quantity]]*excelsalesdata[[#This Row],[Unit_Price]]</f>
        <v>17660</v>
      </c>
      <c r="X1645">
        <f>excelsalesdata[[#This Row],[Gross_sales]]*excelsalesdata[[#This Row],[Discount_%]]</f>
        <v>2649</v>
      </c>
      <c r="Y1645">
        <f>excelsalesdata[[#This Row],[Gross_sales]]-excelsalesdata[[#This Row],[Discount_amt]]</f>
        <v>15011</v>
      </c>
      <c r="Z1645" s="4">
        <f>excelsalesdata[[#This Row],[Net_sales]]-excelsalesdata[[#This Row],[Cost]]</f>
        <v>9481</v>
      </c>
      <c r="AA1645" s="5">
        <f>excelsalesdata[[#This Row],[Profit]]/excelsalesdata[[#This Row],[Net_sales]]</f>
        <v>0.63160349077343281</v>
      </c>
      <c r="AB1645" s="4">
        <f>YEAR(excelsalesdata[[#This Row],[Order_Date]])</f>
        <v>2029</v>
      </c>
      <c r="AC1645" s="4" t="str">
        <f>TEXT(excelsalesdata[[#This Row],[Order_Date]],"mmm")</f>
        <v>Oct</v>
      </c>
      <c r="AD1645" s="4" t="str">
        <f>"Q"&amp;ROUNDUP(MONTH(excelsalesdata[[#This Row],[Order_Date]])/3,0)</f>
        <v>Q4</v>
      </c>
    </row>
    <row r="1646" spans="1:30" x14ac:dyDescent="0.35">
      <c r="A1646" t="s">
        <v>2480</v>
      </c>
      <c r="B1646" s="3">
        <v>47404</v>
      </c>
      <c r="C1646" t="s">
        <v>1278</v>
      </c>
      <c r="D1646" t="s">
        <v>211</v>
      </c>
      <c r="E1646" t="str">
        <f>TRIM(excelsalesdata[[#This Row],[Customer_Name]])</f>
        <v>Aarav Iyer</v>
      </c>
      <c r="F1646" t="s">
        <v>44</v>
      </c>
      <c r="G1646">
        <v>53</v>
      </c>
      <c r="H1646" t="s">
        <v>60</v>
      </c>
      <c r="I1646" t="str">
        <f>TRIM(excelsalesdata[[#This Row],[City]])</f>
        <v>Chandigarh</v>
      </c>
      <c r="J1646" t="s">
        <v>60</v>
      </c>
      <c r="K1646" t="s">
        <v>61</v>
      </c>
      <c r="L1646" t="s">
        <v>27</v>
      </c>
      <c r="M1646" t="s">
        <v>295</v>
      </c>
      <c r="N1646" t="s">
        <v>295</v>
      </c>
      <c r="O1646">
        <v>5</v>
      </c>
      <c r="P1646">
        <v>4340</v>
      </c>
      <c r="Q1646">
        <v>0.1</v>
      </c>
      <c r="R1646">
        <v>2480</v>
      </c>
      <c r="S1646" t="s">
        <v>80</v>
      </c>
      <c r="T1646" t="s">
        <v>30</v>
      </c>
      <c r="U1646">
        <v>5</v>
      </c>
      <c r="V1646" t="s">
        <v>40</v>
      </c>
      <c r="W1646">
        <f>excelsalesdata[[#This Row],[Quantity]]*excelsalesdata[[#This Row],[Unit_Price]]</f>
        <v>21700</v>
      </c>
      <c r="X1646">
        <f>excelsalesdata[[#This Row],[Gross_sales]]*excelsalesdata[[#This Row],[Discount_%]]</f>
        <v>2170</v>
      </c>
      <c r="Y1646">
        <f>excelsalesdata[[#This Row],[Gross_sales]]-excelsalesdata[[#This Row],[Discount_amt]]</f>
        <v>19530</v>
      </c>
      <c r="Z1646" s="4">
        <f>excelsalesdata[[#This Row],[Net_sales]]-excelsalesdata[[#This Row],[Cost]]</f>
        <v>17050</v>
      </c>
      <c r="AA1646" s="5">
        <f>excelsalesdata[[#This Row],[Profit]]/excelsalesdata[[#This Row],[Net_sales]]</f>
        <v>0.87301587301587302</v>
      </c>
      <c r="AB1646" s="4">
        <f>YEAR(excelsalesdata[[#This Row],[Order_Date]])</f>
        <v>2029</v>
      </c>
      <c r="AC1646" s="4" t="str">
        <f>TEXT(excelsalesdata[[#This Row],[Order_Date]],"mmm")</f>
        <v>Oct</v>
      </c>
      <c r="AD1646" s="4" t="str">
        <f>"Q"&amp;ROUNDUP(MONTH(excelsalesdata[[#This Row],[Order_Date]])/3,0)</f>
        <v>Q4</v>
      </c>
    </row>
    <row r="1647" spans="1:30" x14ac:dyDescent="0.35">
      <c r="A1647" t="s">
        <v>2481</v>
      </c>
      <c r="B1647" s="3">
        <v>47405</v>
      </c>
      <c r="C1647" t="s">
        <v>561</v>
      </c>
      <c r="D1647" t="s">
        <v>258</v>
      </c>
      <c r="E1647" t="str">
        <f>TRIM(excelsalesdata[[#This Row],[Customer_Name]])</f>
        <v>Sneha Sharma</v>
      </c>
      <c r="F1647" t="s">
        <v>23</v>
      </c>
      <c r="G1647">
        <v>24</v>
      </c>
      <c r="H1647" t="s">
        <v>133</v>
      </c>
      <c r="I1647" t="str">
        <f>TRIM(excelsalesdata[[#This Row],[City]])</f>
        <v>Jaipur</v>
      </c>
      <c r="J1647" t="s">
        <v>134</v>
      </c>
      <c r="K1647" t="s">
        <v>61</v>
      </c>
      <c r="L1647" t="s">
        <v>27</v>
      </c>
      <c r="M1647" t="s">
        <v>28</v>
      </c>
      <c r="N1647" t="s">
        <v>28</v>
      </c>
      <c r="O1647">
        <v>1</v>
      </c>
      <c r="P1647">
        <v>3510</v>
      </c>
      <c r="Q1647">
        <v>0.1</v>
      </c>
      <c r="R1647">
        <v>2160</v>
      </c>
      <c r="S1647" t="s">
        <v>56</v>
      </c>
      <c r="T1647" t="s">
        <v>30</v>
      </c>
      <c r="U1647">
        <v>4</v>
      </c>
      <c r="V1647" t="s">
        <v>31</v>
      </c>
      <c r="W1647">
        <f>excelsalesdata[[#This Row],[Quantity]]*excelsalesdata[[#This Row],[Unit_Price]]</f>
        <v>3510</v>
      </c>
      <c r="X1647">
        <f>excelsalesdata[[#This Row],[Gross_sales]]*excelsalesdata[[#This Row],[Discount_%]]</f>
        <v>351</v>
      </c>
      <c r="Y1647">
        <f>excelsalesdata[[#This Row],[Gross_sales]]-excelsalesdata[[#This Row],[Discount_amt]]</f>
        <v>3159</v>
      </c>
      <c r="Z1647" s="4">
        <f>excelsalesdata[[#This Row],[Net_sales]]-excelsalesdata[[#This Row],[Cost]]</f>
        <v>999</v>
      </c>
      <c r="AA1647" s="5">
        <f>excelsalesdata[[#This Row],[Profit]]/excelsalesdata[[#This Row],[Net_sales]]</f>
        <v>0.31623931623931623</v>
      </c>
      <c r="AB1647" s="4">
        <f>YEAR(excelsalesdata[[#This Row],[Order_Date]])</f>
        <v>2029</v>
      </c>
      <c r="AC1647" s="4" t="str">
        <f>TEXT(excelsalesdata[[#This Row],[Order_Date]],"mmm")</f>
        <v>Oct</v>
      </c>
      <c r="AD1647" s="4" t="str">
        <f>"Q"&amp;ROUNDUP(MONTH(excelsalesdata[[#This Row],[Order_Date]])/3,0)</f>
        <v>Q4</v>
      </c>
    </row>
    <row r="1648" spans="1:30" x14ac:dyDescent="0.35">
      <c r="A1648" t="s">
        <v>2482</v>
      </c>
      <c r="B1648" s="3">
        <v>47406</v>
      </c>
      <c r="C1648" t="s">
        <v>668</v>
      </c>
      <c r="D1648" t="s">
        <v>335</v>
      </c>
      <c r="E1648" t="str">
        <f>TRIM(excelsalesdata[[#This Row],[Customer_Name]])</f>
        <v>Vikram Joshi</v>
      </c>
      <c r="F1648" t="s">
        <v>23</v>
      </c>
      <c r="G1648">
        <v>23</v>
      </c>
      <c r="H1648" t="s">
        <v>168</v>
      </c>
      <c r="I1648" t="str">
        <f>TRIM(excelsalesdata[[#This Row],[City]])</f>
        <v>Delhi</v>
      </c>
      <c r="J1648" t="s">
        <v>168</v>
      </c>
      <c r="K1648" t="s">
        <v>61</v>
      </c>
      <c r="L1648" t="s">
        <v>27</v>
      </c>
      <c r="M1648" t="s">
        <v>195</v>
      </c>
      <c r="N1648" t="s">
        <v>195</v>
      </c>
      <c r="O1648">
        <v>1</v>
      </c>
      <c r="P1648">
        <v>2050</v>
      </c>
      <c r="Q1648">
        <v>0.1</v>
      </c>
      <c r="R1648">
        <v>1260</v>
      </c>
      <c r="S1648" t="s">
        <v>56</v>
      </c>
      <c r="T1648" t="s">
        <v>30</v>
      </c>
      <c r="U1648">
        <v>5</v>
      </c>
      <c r="V1648" t="s">
        <v>40</v>
      </c>
      <c r="W1648">
        <f>excelsalesdata[[#This Row],[Quantity]]*excelsalesdata[[#This Row],[Unit_Price]]</f>
        <v>2050</v>
      </c>
      <c r="X1648">
        <f>excelsalesdata[[#This Row],[Gross_sales]]*excelsalesdata[[#This Row],[Discount_%]]</f>
        <v>205</v>
      </c>
      <c r="Y1648">
        <f>excelsalesdata[[#This Row],[Gross_sales]]-excelsalesdata[[#This Row],[Discount_amt]]</f>
        <v>1845</v>
      </c>
      <c r="Z1648" s="4">
        <f>excelsalesdata[[#This Row],[Net_sales]]-excelsalesdata[[#This Row],[Cost]]</f>
        <v>585</v>
      </c>
      <c r="AA1648" s="5">
        <f>excelsalesdata[[#This Row],[Profit]]/excelsalesdata[[#This Row],[Net_sales]]</f>
        <v>0.31707317073170732</v>
      </c>
      <c r="AB1648" s="4">
        <f>YEAR(excelsalesdata[[#This Row],[Order_Date]])</f>
        <v>2029</v>
      </c>
      <c r="AC1648" s="4" t="str">
        <f>TEXT(excelsalesdata[[#This Row],[Order_Date]],"mmm")</f>
        <v>Oct</v>
      </c>
      <c r="AD1648" s="4" t="str">
        <f>"Q"&amp;ROUNDUP(MONTH(excelsalesdata[[#This Row],[Order_Date]])/3,0)</f>
        <v>Q4</v>
      </c>
    </row>
    <row r="1649" spans="1:30" x14ac:dyDescent="0.35">
      <c r="A1649" t="s">
        <v>2483</v>
      </c>
      <c r="B1649" s="3">
        <v>47407</v>
      </c>
      <c r="C1649" t="s">
        <v>832</v>
      </c>
      <c r="D1649" t="s">
        <v>619</v>
      </c>
      <c r="E1649" t="str">
        <f>TRIM(excelsalesdata[[#This Row],[Customer_Name]])</f>
        <v>Aarav Naidu</v>
      </c>
      <c r="F1649" t="s">
        <v>23</v>
      </c>
      <c r="G1649">
        <v>45</v>
      </c>
      <c r="H1649" t="s">
        <v>155</v>
      </c>
      <c r="I1649" t="str">
        <f>TRIM(excelsalesdata[[#This Row],[City]])</f>
        <v>Chennai</v>
      </c>
      <c r="J1649" t="s">
        <v>156</v>
      </c>
      <c r="K1649" t="s">
        <v>47</v>
      </c>
      <c r="L1649" t="s">
        <v>54</v>
      </c>
      <c r="M1649" t="s">
        <v>55</v>
      </c>
      <c r="N1649" t="s">
        <v>55</v>
      </c>
      <c r="O1649">
        <v>4</v>
      </c>
      <c r="P1649">
        <v>7100</v>
      </c>
      <c r="Q1649">
        <v>0.05</v>
      </c>
      <c r="R1649">
        <v>4400</v>
      </c>
      <c r="S1649" t="s">
        <v>67</v>
      </c>
      <c r="T1649" t="s">
        <v>30</v>
      </c>
      <c r="U1649">
        <v>4</v>
      </c>
      <c r="V1649" t="s">
        <v>40</v>
      </c>
      <c r="W1649">
        <f>excelsalesdata[[#This Row],[Quantity]]*excelsalesdata[[#This Row],[Unit_Price]]</f>
        <v>28400</v>
      </c>
      <c r="X1649">
        <f>excelsalesdata[[#This Row],[Gross_sales]]*excelsalesdata[[#This Row],[Discount_%]]</f>
        <v>1420</v>
      </c>
      <c r="Y1649">
        <f>excelsalesdata[[#This Row],[Gross_sales]]-excelsalesdata[[#This Row],[Discount_amt]]</f>
        <v>26980</v>
      </c>
      <c r="Z1649" s="4">
        <f>excelsalesdata[[#This Row],[Net_sales]]-excelsalesdata[[#This Row],[Cost]]</f>
        <v>22580</v>
      </c>
      <c r="AA1649" s="5">
        <f>excelsalesdata[[#This Row],[Profit]]/excelsalesdata[[#This Row],[Net_sales]]</f>
        <v>0.83691623424759076</v>
      </c>
      <c r="AB1649" s="4">
        <f>YEAR(excelsalesdata[[#This Row],[Order_Date]])</f>
        <v>2029</v>
      </c>
      <c r="AC1649" s="4" t="str">
        <f>TEXT(excelsalesdata[[#This Row],[Order_Date]],"mmm")</f>
        <v>Oct</v>
      </c>
      <c r="AD1649" s="4" t="str">
        <f>"Q"&amp;ROUNDUP(MONTH(excelsalesdata[[#This Row],[Order_Date]])/3,0)</f>
        <v>Q4</v>
      </c>
    </row>
    <row r="1650" spans="1:30" x14ac:dyDescent="0.35">
      <c r="A1650" t="s">
        <v>2484</v>
      </c>
      <c r="B1650" s="3">
        <v>47408</v>
      </c>
      <c r="C1650" t="s">
        <v>459</v>
      </c>
      <c r="D1650" t="s">
        <v>1292</v>
      </c>
      <c r="E1650" t="str">
        <f>TRIM(excelsalesdata[[#This Row],[Customer_Name]])</f>
        <v>Sneha Mehta</v>
      </c>
      <c r="F1650" t="s">
        <v>44</v>
      </c>
      <c r="G1650">
        <v>45</v>
      </c>
      <c r="H1650" t="s">
        <v>45</v>
      </c>
      <c r="I1650" t="str">
        <f>TRIM(excelsalesdata[[#This Row],[City]])</f>
        <v>Kochi</v>
      </c>
      <c r="J1650" t="s">
        <v>46</v>
      </c>
      <c r="K1650" t="s">
        <v>47</v>
      </c>
      <c r="L1650" t="s">
        <v>93</v>
      </c>
      <c r="M1650" t="s">
        <v>94</v>
      </c>
      <c r="N1650" t="s">
        <v>94</v>
      </c>
      <c r="O1650">
        <v>2</v>
      </c>
      <c r="P1650">
        <v>520</v>
      </c>
      <c r="Q1650">
        <v>0</v>
      </c>
      <c r="R1650">
        <v>230</v>
      </c>
      <c r="S1650" t="s">
        <v>67</v>
      </c>
      <c r="T1650" t="s">
        <v>30</v>
      </c>
      <c r="U1650">
        <v>4</v>
      </c>
      <c r="V1650" t="s">
        <v>31</v>
      </c>
      <c r="W1650">
        <f>excelsalesdata[[#This Row],[Quantity]]*excelsalesdata[[#This Row],[Unit_Price]]</f>
        <v>1040</v>
      </c>
      <c r="X1650">
        <f>excelsalesdata[[#This Row],[Gross_sales]]*excelsalesdata[[#This Row],[Discount_%]]</f>
        <v>0</v>
      </c>
      <c r="Y1650">
        <f>excelsalesdata[[#This Row],[Gross_sales]]-excelsalesdata[[#This Row],[Discount_amt]]</f>
        <v>1040</v>
      </c>
      <c r="Z1650" s="4">
        <f>excelsalesdata[[#This Row],[Net_sales]]-excelsalesdata[[#This Row],[Cost]]</f>
        <v>810</v>
      </c>
      <c r="AA1650" s="5">
        <f>excelsalesdata[[#This Row],[Profit]]/excelsalesdata[[#This Row],[Net_sales]]</f>
        <v>0.77884615384615385</v>
      </c>
      <c r="AB1650" s="4">
        <f>YEAR(excelsalesdata[[#This Row],[Order_Date]])</f>
        <v>2029</v>
      </c>
      <c r="AC1650" s="4" t="str">
        <f>TEXT(excelsalesdata[[#This Row],[Order_Date]],"mmm")</f>
        <v>Oct</v>
      </c>
      <c r="AD1650" s="4" t="str">
        <f>"Q"&amp;ROUNDUP(MONTH(excelsalesdata[[#This Row],[Order_Date]])/3,0)</f>
        <v>Q4</v>
      </c>
    </row>
    <row r="1651" spans="1:30" x14ac:dyDescent="0.35">
      <c r="A1651" t="s">
        <v>2485</v>
      </c>
      <c r="B1651" s="3">
        <v>47409</v>
      </c>
      <c r="C1651" t="s">
        <v>1091</v>
      </c>
      <c r="D1651" t="s">
        <v>1959</v>
      </c>
      <c r="E1651" t="str">
        <f>TRIM(excelsalesdata[[#This Row],[Customer_Name]])</f>
        <v>Nisha Rao</v>
      </c>
      <c r="F1651" t="s">
        <v>44</v>
      </c>
      <c r="G1651">
        <v>38</v>
      </c>
      <c r="H1651" t="s">
        <v>71</v>
      </c>
      <c r="I1651" t="str">
        <f>TRIM(excelsalesdata[[#This Row],[City]])</f>
        <v>Bhubaneswar</v>
      </c>
      <c r="J1651" t="s">
        <v>72</v>
      </c>
      <c r="K1651" t="s">
        <v>37</v>
      </c>
      <c r="L1651" t="s">
        <v>103</v>
      </c>
      <c r="M1651" t="s">
        <v>312</v>
      </c>
      <c r="N1651" t="s">
        <v>312</v>
      </c>
      <c r="O1651">
        <v>1</v>
      </c>
      <c r="P1651">
        <v>6910</v>
      </c>
      <c r="Q1651">
        <v>0.15</v>
      </c>
      <c r="R1651">
        <v>4210</v>
      </c>
      <c r="S1651" t="s">
        <v>80</v>
      </c>
      <c r="T1651" t="s">
        <v>30</v>
      </c>
      <c r="U1651">
        <v>4</v>
      </c>
      <c r="V1651" t="s">
        <v>31</v>
      </c>
      <c r="W1651">
        <f>excelsalesdata[[#This Row],[Quantity]]*excelsalesdata[[#This Row],[Unit_Price]]</f>
        <v>6910</v>
      </c>
      <c r="X1651">
        <f>excelsalesdata[[#This Row],[Gross_sales]]*excelsalesdata[[#This Row],[Discount_%]]</f>
        <v>1036.5</v>
      </c>
      <c r="Y1651">
        <f>excelsalesdata[[#This Row],[Gross_sales]]-excelsalesdata[[#This Row],[Discount_amt]]</f>
        <v>5873.5</v>
      </c>
      <c r="Z1651" s="4">
        <f>excelsalesdata[[#This Row],[Net_sales]]-excelsalesdata[[#This Row],[Cost]]</f>
        <v>1663.5</v>
      </c>
      <c r="AA1651" s="5">
        <f>excelsalesdata[[#This Row],[Profit]]/excelsalesdata[[#This Row],[Net_sales]]</f>
        <v>0.28322124797820719</v>
      </c>
      <c r="AB1651" s="4">
        <f>YEAR(excelsalesdata[[#This Row],[Order_Date]])</f>
        <v>2029</v>
      </c>
      <c r="AC1651" s="4" t="str">
        <f>TEXT(excelsalesdata[[#This Row],[Order_Date]],"mmm")</f>
        <v>Oct</v>
      </c>
      <c r="AD1651" s="4" t="str">
        <f>"Q"&amp;ROUNDUP(MONTH(excelsalesdata[[#This Row],[Order_Date]])/3,0)</f>
        <v>Q4</v>
      </c>
    </row>
    <row r="1652" spans="1:30" x14ac:dyDescent="0.35">
      <c r="A1652" t="s">
        <v>2486</v>
      </c>
      <c r="B1652" s="3">
        <v>47410</v>
      </c>
      <c r="C1652" t="s">
        <v>1466</v>
      </c>
      <c r="D1652" t="s">
        <v>591</v>
      </c>
      <c r="E1652" t="str">
        <f>TRIM(excelsalesdata[[#This Row],[Customer_Name]])</f>
        <v>Ishita Rao</v>
      </c>
      <c r="F1652" t="s">
        <v>23</v>
      </c>
      <c r="G1652">
        <v>50</v>
      </c>
      <c r="H1652" t="s">
        <v>98</v>
      </c>
      <c r="I1652" t="str">
        <f>TRIM(excelsalesdata[[#This Row],[City]])</f>
        <v>Mumbai</v>
      </c>
      <c r="J1652" t="s">
        <v>25</v>
      </c>
      <c r="K1652" t="s">
        <v>26</v>
      </c>
      <c r="L1652" t="s">
        <v>54</v>
      </c>
      <c r="M1652" t="s">
        <v>55</v>
      </c>
      <c r="N1652" t="s">
        <v>55</v>
      </c>
      <c r="O1652">
        <v>2</v>
      </c>
      <c r="P1652">
        <v>7100</v>
      </c>
      <c r="Q1652">
        <v>0.15</v>
      </c>
      <c r="R1652">
        <v>4600</v>
      </c>
      <c r="S1652" t="s">
        <v>80</v>
      </c>
      <c r="T1652" t="s">
        <v>30</v>
      </c>
      <c r="U1652">
        <v>5</v>
      </c>
      <c r="V1652" t="s">
        <v>31</v>
      </c>
      <c r="W1652">
        <f>excelsalesdata[[#This Row],[Quantity]]*excelsalesdata[[#This Row],[Unit_Price]]</f>
        <v>14200</v>
      </c>
      <c r="X1652">
        <f>excelsalesdata[[#This Row],[Gross_sales]]*excelsalesdata[[#This Row],[Discount_%]]</f>
        <v>2130</v>
      </c>
      <c r="Y1652">
        <f>excelsalesdata[[#This Row],[Gross_sales]]-excelsalesdata[[#This Row],[Discount_amt]]</f>
        <v>12070</v>
      </c>
      <c r="Z1652" s="4">
        <f>excelsalesdata[[#This Row],[Net_sales]]-excelsalesdata[[#This Row],[Cost]]</f>
        <v>7470</v>
      </c>
      <c r="AA1652" s="5">
        <f>excelsalesdata[[#This Row],[Profit]]/excelsalesdata[[#This Row],[Net_sales]]</f>
        <v>0.61888980944490468</v>
      </c>
      <c r="AB1652" s="4">
        <f>YEAR(excelsalesdata[[#This Row],[Order_Date]])</f>
        <v>2029</v>
      </c>
      <c r="AC1652" s="4" t="str">
        <f>TEXT(excelsalesdata[[#This Row],[Order_Date]],"mmm")</f>
        <v>Oct</v>
      </c>
      <c r="AD1652" s="4" t="str">
        <f>"Q"&amp;ROUNDUP(MONTH(excelsalesdata[[#This Row],[Order_Date]])/3,0)</f>
        <v>Q4</v>
      </c>
    </row>
    <row r="1653" spans="1:30" x14ac:dyDescent="0.35">
      <c r="A1653" t="s">
        <v>2487</v>
      </c>
      <c r="B1653" s="3">
        <v>47411</v>
      </c>
      <c r="C1653" t="s">
        <v>2488</v>
      </c>
      <c r="D1653" t="s">
        <v>132</v>
      </c>
      <c r="E1653" t="str">
        <f>TRIM(excelsalesdata[[#This Row],[Customer_Name]])</f>
        <v>Vivaan Das</v>
      </c>
      <c r="F1653" t="s">
        <v>44</v>
      </c>
      <c r="G1653">
        <v>47</v>
      </c>
      <c r="H1653" t="s">
        <v>185</v>
      </c>
      <c r="I1653" t="str">
        <f>TRIM(excelsalesdata[[#This Row],[City]])</f>
        <v>Lucknow</v>
      </c>
      <c r="J1653" t="s">
        <v>186</v>
      </c>
      <c r="K1653" t="s">
        <v>61</v>
      </c>
      <c r="L1653" t="s">
        <v>103</v>
      </c>
      <c r="M1653" t="s">
        <v>238</v>
      </c>
      <c r="N1653" t="s">
        <v>238</v>
      </c>
      <c r="O1653">
        <v>2</v>
      </c>
      <c r="P1653">
        <v>4340</v>
      </c>
      <c r="Q1653">
        <v>0.1</v>
      </c>
      <c r="R1653">
        <v>2830</v>
      </c>
      <c r="S1653" t="s">
        <v>29</v>
      </c>
      <c r="T1653" t="s">
        <v>30</v>
      </c>
      <c r="U1653">
        <v>6</v>
      </c>
      <c r="V1653" t="s">
        <v>31</v>
      </c>
      <c r="W1653">
        <f>excelsalesdata[[#This Row],[Quantity]]*excelsalesdata[[#This Row],[Unit_Price]]</f>
        <v>8680</v>
      </c>
      <c r="X1653">
        <f>excelsalesdata[[#This Row],[Gross_sales]]*excelsalesdata[[#This Row],[Discount_%]]</f>
        <v>868</v>
      </c>
      <c r="Y1653">
        <f>excelsalesdata[[#This Row],[Gross_sales]]-excelsalesdata[[#This Row],[Discount_amt]]</f>
        <v>7812</v>
      </c>
      <c r="Z1653" s="4">
        <f>excelsalesdata[[#This Row],[Net_sales]]-excelsalesdata[[#This Row],[Cost]]</f>
        <v>4982</v>
      </c>
      <c r="AA1653" s="5">
        <f>excelsalesdata[[#This Row],[Profit]]/excelsalesdata[[#This Row],[Net_sales]]</f>
        <v>0.63773681515616998</v>
      </c>
      <c r="AB1653" s="4">
        <f>YEAR(excelsalesdata[[#This Row],[Order_Date]])</f>
        <v>2029</v>
      </c>
      <c r="AC1653" s="4" t="str">
        <f>TEXT(excelsalesdata[[#This Row],[Order_Date]],"mmm")</f>
        <v>Oct</v>
      </c>
      <c r="AD1653" s="4" t="str">
        <f>"Q"&amp;ROUNDUP(MONTH(excelsalesdata[[#This Row],[Order_Date]])/3,0)</f>
        <v>Q4</v>
      </c>
    </row>
    <row r="1654" spans="1:30" x14ac:dyDescent="0.35">
      <c r="A1654" t="s">
        <v>2489</v>
      </c>
      <c r="B1654" s="3">
        <v>47412</v>
      </c>
      <c r="C1654" t="s">
        <v>1086</v>
      </c>
      <c r="D1654" t="s">
        <v>1092</v>
      </c>
      <c r="E1654" t="str">
        <f>TRIM(excelsalesdata[[#This Row],[Customer_Name]])</f>
        <v>Rahul Shah</v>
      </c>
      <c r="F1654" t="s">
        <v>44</v>
      </c>
      <c r="G1654">
        <v>34</v>
      </c>
      <c r="H1654" t="s">
        <v>98</v>
      </c>
      <c r="I1654" t="str">
        <f>TRIM(excelsalesdata[[#This Row],[City]])</f>
        <v>Mumbai</v>
      </c>
      <c r="J1654" t="s">
        <v>25</v>
      </c>
      <c r="K1654" t="s">
        <v>26</v>
      </c>
      <c r="L1654" t="s">
        <v>27</v>
      </c>
      <c r="M1654" t="s">
        <v>195</v>
      </c>
      <c r="N1654" t="s">
        <v>195</v>
      </c>
      <c r="O1654">
        <v>1</v>
      </c>
      <c r="P1654">
        <v>2030</v>
      </c>
      <c r="Q1654">
        <v>0.1</v>
      </c>
      <c r="R1654">
        <v>1160</v>
      </c>
      <c r="S1654" t="s">
        <v>29</v>
      </c>
      <c r="T1654" t="s">
        <v>30</v>
      </c>
      <c r="U1654">
        <v>3</v>
      </c>
      <c r="V1654" t="s">
        <v>40</v>
      </c>
      <c r="W1654">
        <f>excelsalesdata[[#This Row],[Quantity]]*excelsalesdata[[#This Row],[Unit_Price]]</f>
        <v>2030</v>
      </c>
      <c r="X1654">
        <f>excelsalesdata[[#This Row],[Gross_sales]]*excelsalesdata[[#This Row],[Discount_%]]</f>
        <v>203</v>
      </c>
      <c r="Y1654">
        <f>excelsalesdata[[#This Row],[Gross_sales]]-excelsalesdata[[#This Row],[Discount_amt]]</f>
        <v>1827</v>
      </c>
      <c r="Z1654" s="4">
        <f>excelsalesdata[[#This Row],[Net_sales]]-excelsalesdata[[#This Row],[Cost]]</f>
        <v>667</v>
      </c>
      <c r="AA1654" s="5">
        <f>excelsalesdata[[#This Row],[Profit]]/excelsalesdata[[#This Row],[Net_sales]]</f>
        <v>0.36507936507936506</v>
      </c>
      <c r="AB1654" s="4">
        <f>YEAR(excelsalesdata[[#This Row],[Order_Date]])</f>
        <v>2029</v>
      </c>
      <c r="AC1654" s="4" t="str">
        <f>TEXT(excelsalesdata[[#This Row],[Order_Date]],"mmm")</f>
        <v>Oct</v>
      </c>
      <c r="AD1654" s="4" t="str">
        <f>"Q"&amp;ROUNDUP(MONTH(excelsalesdata[[#This Row],[Order_Date]])/3,0)</f>
        <v>Q4</v>
      </c>
    </row>
    <row r="1655" spans="1:30" x14ac:dyDescent="0.35">
      <c r="A1655" t="s">
        <v>2490</v>
      </c>
      <c r="B1655" s="3">
        <v>47413</v>
      </c>
      <c r="C1655" t="s">
        <v>327</v>
      </c>
      <c r="D1655" t="s">
        <v>925</v>
      </c>
      <c r="E1655" t="str">
        <f>TRIM(excelsalesdata[[#This Row],[Customer_Name]])</f>
        <v>Ananya Rao</v>
      </c>
      <c r="F1655" t="s">
        <v>44</v>
      </c>
      <c r="G1655">
        <v>36</v>
      </c>
      <c r="H1655" t="s">
        <v>98</v>
      </c>
      <c r="I1655" t="str">
        <f>TRIM(excelsalesdata[[#This Row],[City]])</f>
        <v>Mumbai</v>
      </c>
      <c r="J1655" t="s">
        <v>25</v>
      </c>
      <c r="K1655" t="s">
        <v>26</v>
      </c>
      <c r="L1655" t="s">
        <v>38</v>
      </c>
      <c r="M1655" t="s">
        <v>73</v>
      </c>
      <c r="N1655" t="s">
        <v>73</v>
      </c>
      <c r="O1655">
        <v>1</v>
      </c>
      <c r="P1655">
        <v>4740</v>
      </c>
      <c r="Q1655">
        <v>0.15</v>
      </c>
      <c r="R1655">
        <v>3330</v>
      </c>
      <c r="S1655" t="s">
        <v>80</v>
      </c>
      <c r="T1655" t="s">
        <v>30</v>
      </c>
      <c r="U1655">
        <v>2</v>
      </c>
      <c r="V1655" t="s">
        <v>31</v>
      </c>
      <c r="W1655">
        <f>excelsalesdata[[#This Row],[Quantity]]*excelsalesdata[[#This Row],[Unit_Price]]</f>
        <v>4740</v>
      </c>
      <c r="X1655">
        <f>excelsalesdata[[#This Row],[Gross_sales]]*excelsalesdata[[#This Row],[Discount_%]]</f>
        <v>711</v>
      </c>
      <c r="Y1655">
        <f>excelsalesdata[[#This Row],[Gross_sales]]-excelsalesdata[[#This Row],[Discount_amt]]</f>
        <v>4029</v>
      </c>
      <c r="Z1655" s="4">
        <f>excelsalesdata[[#This Row],[Net_sales]]-excelsalesdata[[#This Row],[Cost]]</f>
        <v>699</v>
      </c>
      <c r="AA1655" s="5">
        <f>excelsalesdata[[#This Row],[Profit]]/excelsalesdata[[#This Row],[Net_sales]]</f>
        <v>0.1734921816827997</v>
      </c>
      <c r="AB1655" s="4">
        <f>YEAR(excelsalesdata[[#This Row],[Order_Date]])</f>
        <v>2029</v>
      </c>
      <c r="AC1655" s="4" t="str">
        <f>TEXT(excelsalesdata[[#This Row],[Order_Date]],"mmm")</f>
        <v>Oct</v>
      </c>
      <c r="AD1655" s="4" t="str">
        <f>"Q"&amp;ROUNDUP(MONTH(excelsalesdata[[#This Row],[Order_Date]])/3,0)</f>
        <v>Q4</v>
      </c>
    </row>
    <row r="1656" spans="1:30" x14ac:dyDescent="0.35">
      <c r="A1656" t="s">
        <v>2491</v>
      </c>
      <c r="B1656" s="3">
        <v>47414</v>
      </c>
      <c r="C1656" t="s">
        <v>839</v>
      </c>
      <c r="D1656" t="s">
        <v>184</v>
      </c>
      <c r="E1656" t="str">
        <f>TRIM(excelsalesdata[[#This Row],[Customer_Name]])</f>
        <v>Aditya Verma</v>
      </c>
      <c r="F1656" t="s">
        <v>23</v>
      </c>
      <c r="G1656">
        <v>19</v>
      </c>
      <c r="H1656" t="s">
        <v>98</v>
      </c>
      <c r="I1656" t="str">
        <f>TRIM(excelsalesdata[[#This Row],[City]])</f>
        <v>Mumbai</v>
      </c>
      <c r="J1656" t="s">
        <v>25</v>
      </c>
      <c r="K1656" t="s">
        <v>26</v>
      </c>
      <c r="L1656" t="s">
        <v>27</v>
      </c>
      <c r="M1656" t="s">
        <v>48</v>
      </c>
      <c r="N1656" t="s">
        <v>48</v>
      </c>
      <c r="O1656">
        <v>2</v>
      </c>
      <c r="P1656">
        <v>920</v>
      </c>
      <c r="Q1656">
        <v>0.15</v>
      </c>
      <c r="R1656">
        <v>470</v>
      </c>
      <c r="S1656" t="s">
        <v>29</v>
      </c>
      <c r="T1656" t="s">
        <v>99</v>
      </c>
      <c r="U1656">
        <v>3</v>
      </c>
      <c r="V1656" t="s">
        <v>40</v>
      </c>
      <c r="W1656">
        <f>excelsalesdata[[#This Row],[Quantity]]*excelsalesdata[[#This Row],[Unit_Price]]</f>
        <v>1840</v>
      </c>
      <c r="X1656">
        <f>excelsalesdata[[#This Row],[Gross_sales]]*excelsalesdata[[#This Row],[Discount_%]]</f>
        <v>276</v>
      </c>
      <c r="Y1656">
        <f>excelsalesdata[[#This Row],[Gross_sales]]-excelsalesdata[[#This Row],[Discount_amt]]</f>
        <v>1564</v>
      </c>
      <c r="Z1656" s="4">
        <f>excelsalesdata[[#This Row],[Net_sales]]-excelsalesdata[[#This Row],[Cost]]</f>
        <v>1094</v>
      </c>
      <c r="AA1656" s="5">
        <f>excelsalesdata[[#This Row],[Profit]]/excelsalesdata[[#This Row],[Net_sales]]</f>
        <v>0.69948849104859334</v>
      </c>
      <c r="AB1656" s="4">
        <f>YEAR(excelsalesdata[[#This Row],[Order_Date]])</f>
        <v>2029</v>
      </c>
      <c r="AC1656" s="4" t="str">
        <f>TEXT(excelsalesdata[[#This Row],[Order_Date]],"mmm")</f>
        <v>Oct</v>
      </c>
      <c r="AD1656" s="4" t="str">
        <f>"Q"&amp;ROUNDUP(MONTH(excelsalesdata[[#This Row],[Order_Date]])/3,0)</f>
        <v>Q4</v>
      </c>
    </row>
    <row r="1657" spans="1:30" x14ac:dyDescent="0.35">
      <c r="A1657" t="s">
        <v>2492</v>
      </c>
      <c r="B1657" s="3">
        <v>47415</v>
      </c>
      <c r="C1657" t="s">
        <v>1880</v>
      </c>
      <c r="D1657" t="s">
        <v>844</v>
      </c>
      <c r="E1657" t="str">
        <f>TRIM(excelsalesdata[[#This Row],[Customer_Name]])</f>
        <v>Vikram Gupta</v>
      </c>
      <c r="F1657" t="s">
        <v>44</v>
      </c>
      <c r="G1657">
        <v>52</v>
      </c>
      <c r="H1657" t="s">
        <v>24</v>
      </c>
      <c r="I1657" t="str">
        <f>TRIM(excelsalesdata[[#This Row],[City]])</f>
        <v>Pune</v>
      </c>
      <c r="J1657" t="s">
        <v>25</v>
      </c>
      <c r="K1657" t="s">
        <v>26</v>
      </c>
      <c r="L1657" t="s">
        <v>38</v>
      </c>
      <c r="M1657" t="s">
        <v>39</v>
      </c>
      <c r="N1657" t="s">
        <v>39</v>
      </c>
      <c r="O1657">
        <v>2</v>
      </c>
      <c r="P1657">
        <v>6520</v>
      </c>
      <c r="Q1657">
        <v>0.05</v>
      </c>
      <c r="R1657">
        <v>4380</v>
      </c>
      <c r="S1657" t="s">
        <v>29</v>
      </c>
      <c r="T1657" t="s">
        <v>30</v>
      </c>
      <c r="U1657">
        <v>2</v>
      </c>
      <c r="V1657" t="s">
        <v>40</v>
      </c>
      <c r="W1657">
        <f>excelsalesdata[[#This Row],[Quantity]]*excelsalesdata[[#This Row],[Unit_Price]]</f>
        <v>13040</v>
      </c>
      <c r="X1657">
        <f>excelsalesdata[[#This Row],[Gross_sales]]*excelsalesdata[[#This Row],[Discount_%]]</f>
        <v>652</v>
      </c>
      <c r="Y1657">
        <f>excelsalesdata[[#This Row],[Gross_sales]]-excelsalesdata[[#This Row],[Discount_amt]]</f>
        <v>12388</v>
      </c>
      <c r="Z1657" s="4">
        <f>excelsalesdata[[#This Row],[Net_sales]]-excelsalesdata[[#This Row],[Cost]]</f>
        <v>8008</v>
      </c>
      <c r="AA1657" s="5">
        <f>excelsalesdata[[#This Row],[Profit]]/excelsalesdata[[#This Row],[Net_sales]]</f>
        <v>0.64643203099773971</v>
      </c>
      <c r="AB1657" s="4">
        <f>YEAR(excelsalesdata[[#This Row],[Order_Date]])</f>
        <v>2029</v>
      </c>
      <c r="AC1657" s="4" t="str">
        <f>TEXT(excelsalesdata[[#This Row],[Order_Date]],"mmm")</f>
        <v>Oct</v>
      </c>
      <c r="AD1657" s="4" t="str">
        <f>"Q"&amp;ROUNDUP(MONTH(excelsalesdata[[#This Row],[Order_Date]])/3,0)</f>
        <v>Q4</v>
      </c>
    </row>
    <row r="1658" spans="1:30" x14ac:dyDescent="0.35">
      <c r="A1658" t="s">
        <v>2493</v>
      </c>
      <c r="B1658" s="3">
        <v>47416</v>
      </c>
      <c r="C1658" t="s">
        <v>1249</v>
      </c>
      <c r="D1658" t="s">
        <v>299</v>
      </c>
      <c r="E1658" t="str">
        <f>TRIM(excelsalesdata[[#This Row],[Customer_Name]])</f>
        <v>Aarav Joshi</v>
      </c>
      <c r="F1658" t="s">
        <v>44</v>
      </c>
      <c r="G1658">
        <v>34</v>
      </c>
      <c r="H1658" t="s">
        <v>168</v>
      </c>
      <c r="I1658" t="str">
        <f>TRIM(excelsalesdata[[#This Row],[City]])</f>
        <v>Delhi</v>
      </c>
      <c r="J1658" t="s">
        <v>168</v>
      </c>
      <c r="K1658" t="s">
        <v>61</v>
      </c>
      <c r="L1658" t="s">
        <v>54</v>
      </c>
      <c r="M1658" t="s">
        <v>66</v>
      </c>
      <c r="N1658" t="s">
        <v>66</v>
      </c>
      <c r="O1658">
        <v>2</v>
      </c>
      <c r="P1658">
        <v>2490</v>
      </c>
      <c r="Q1658">
        <v>0.05</v>
      </c>
      <c r="R1658">
        <v>1560</v>
      </c>
      <c r="S1658" t="s">
        <v>80</v>
      </c>
      <c r="T1658" t="s">
        <v>30</v>
      </c>
      <c r="U1658">
        <v>6</v>
      </c>
      <c r="V1658" t="s">
        <v>31</v>
      </c>
      <c r="W1658">
        <f>excelsalesdata[[#This Row],[Quantity]]*excelsalesdata[[#This Row],[Unit_Price]]</f>
        <v>4980</v>
      </c>
      <c r="X1658">
        <f>excelsalesdata[[#This Row],[Gross_sales]]*excelsalesdata[[#This Row],[Discount_%]]</f>
        <v>249</v>
      </c>
      <c r="Y1658">
        <f>excelsalesdata[[#This Row],[Gross_sales]]-excelsalesdata[[#This Row],[Discount_amt]]</f>
        <v>4731</v>
      </c>
      <c r="Z1658" s="4">
        <f>excelsalesdata[[#This Row],[Net_sales]]-excelsalesdata[[#This Row],[Cost]]</f>
        <v>3171</v>
      </c>
      <c r="AA1658" s="5">
        <f>excelsalesdata[[#This Row],[Profit]]/excelsalesdata[[#This Row],[Net_sales]]</f>
        <v>0.67025998731769187</v>
      </c>
      <c r="AB1658" s="4">
        <f>YEAR(excelsalesdata[[#This Row],[Order_Date]])</f>
        <v>2029</v>
      </c>
      <c r="AC1658" s="4" t="str">
        <f>TEXT(excelsalesdata[[#This Row],[Order_Date]],"mmm")</f>
        <v>Oct</v>
      </c>
      <c r="AD1658" s="4" t="str">
        <f>"Q"&amp;ROUNDUP(MONTH(excelsalesdata[[#This Row],[Order_Date]])/3,0)</f>
        <v>Q4</v>
      </c>
    </row>
    <row r="1659" spans="1:30" x14ac:dyDescent="0.35">
      <c r="A1659" t="s">
        <v>2494</v>
      </c>
      <c r="B1659" s="3">
        <v>47417</v>
      </c>
      <c r="C1659" t="s">
        <v>743</v>
      </c>
      <c r="D1659" t="s">
        <v>626</v>
      </c>
      <c r="E1659" t="str">
        <f>TRIM(excelsalesdata[[#This Row],[Customer_Name]])</f>
        <v>Aditya Rao</v>
      </c>
      <c r="F1659" t="s">
        <v>23</v>
      </c>
      <c r="G1659">
        <v>58</v>
      </c>
      <c r="H1659" t="s">
        <v>190</v>
      </c>
      <c r="I1659" t="str">
        <f>TRIM(excelsalesdata[[#This Row],[City]])</f>
        <v>Ahmedabad</v>
      </c>
      <c r="J1659" t="s">
        <v>191</v>
      </c>
      <c r="K1659" t="s">
        <v>26</v>
      </c>
      <c r="L1659" t="s">
        <v>54</v>
      </c>
      <c r="M1659" t="s">
        <v>62</v>
      </c>
      <c r="N1659" t="s">
        <v>62</v>
      </c>
      <c r="O1659">
        <v>4</v>
      </c>
      <c r="P1659">
        <v>22680</v>
      </c>
      <c r="Q1659">
        <v>0.05</v>
      </c>
      <c r="R1659">
        <v>15010</v>
      </c>
      <c r="S1659" t="s">
        <v>29</v>
      </c>
      <c r="T1659" t="s">
        <v>30</v>
      </c>
      <c r="U1659">
        <v>2</v>
      </c>
      <c r="V1659" t="s">
        <v>31</v>
      </c>
      <c r="W1659">
        <f>excelsalesdata[[#This Row],[Quantity]]*excelsalesdata[[#This Row],[Unit_Price]]</f>
        <v>90720</v>
      </c>
      <c r="X1659">
        <f>excelsalesdata[[#This Row],[Gross_sales]]*excelsalesdata[[#This Row],[Discount_%]]</f>
        <v>4536</v>
      </c>
      <c r="Y1659">
        <f>excelsalesdata[[#This Row],[Gross_sales]]-excelsalesdata[[#This Row],[Discount_amt]]</f>
        <v>86184</v>
      </c>
      <c r="Z1659" s="4">
        <f>excelsalesdata[[#This Row],[Net_sales]]-excelsalesdata[[#This Row],[Cost]]</f>
        <v>71174</v>
      </c>
      <c r="AA1659" s="5">
        <f>excelsalesdata[[#This Row],[Profit]]/excelsalesdata[[#This Row],[Net_sales]]</f>
        <v>0.82583774250440922</v>
      </c>
      <c r="AB1659" s="4">
        <f>YEAR(excelsalesdata[[#This Row],[Order_Date]])</f>
        <v>2029</v>
      </c>
      <c r="AC1659" s="4" t="str">
        <f>TEXT(excelsalesdata[[#This Row],[Order_Date]],"mmm")</f>
        <v>Oct</v>
      </c>
      <c r="AD1659" s="4" t="str">
        <f>"Q"&amp;ROUNDUP(MONTH(excelsalesdata[[#This Row],[Order_Date]])/3,0)</f>
        <v>Q4</v>
      </c>
    </row>
    <row r="1660" spans="1:30" x14ac:dyDescent="0.35">
      <c r="A1660" t="s">
        <v>2495</v>
      </c>
      <c r="B1660" s="3">
        <v>47418</v>
      </c>
      <c r="C1660" t="s">
        <v>1351</v>
      </c>
      <c r="D1660" t="s">
        <v>713</v>
      </c>
      <c r="E1660" t="str">
        <f>TRIM(excelsalesdata[[#This Row],[Customer_Name]])</f>
        <v>Meera Singh</v>
      </c>
      <c r="F1660" t="s">
        <v>44</v>
      </c>
      <c r="G1660">
        <v>34</v>
      </c>
      <c r="H1660" t="s">
        <v>133</v>
      </c>
      <c r="I1660" t="str">
        <f>TRIM(excelsalesdata[[#This Row],[City]])</f>
        <v>Jaipur</v>
      </c>
      <c r="J1660" t="s">
        <v>134</v>
      </c>
      <c r="K1660" t="s">
        <v>61</v>
      </c>
      <c r="L1660" t="s">
        <v>38</v>
      </c>
      <c r="M1660" t="s">
        <v>39</v>
      </c>
      <c r="N1660" t="s">
        <v>39</v>
      </c>
      <c r="O1660">
        <v>2</v>
      </c>
      <c r="P1660">
        <v>6000</v>
      </c>
      <c r="Q1660">
        <v>0.1</v>
      </c>
      <c r="R1660">
        <v>4310</v>
      </c>
      <c r="S1660" t="s">
        <v>29</v>
      </c>
      <c r="T1660" t="s">
        <v>30</v>
      </c>
      <c r="U1660">
        <v>3</v>
      </c>
      <c r="V1660" t="s">
        <v>40</v>
      </c>
      <c r="W1660">
        <f>excelsalesdata[[#This Row],[Quantity]]*excelsalesdata[[#This Row],[Unit_Price]]</f>
        <v>12000</v>
      </c>
      <c r="X1660">
        <f>excelsalesdata[[#This Row],[Gross_sales]]*excelsalesdata[[#This Row],[Discount_%]]</f>
        <v>1200</v>
      </c>
      <c r="Y1660">
        <f>excelsalesdata[[#This Row],[Gross_sales]]-excelsalesdata[[#This Row],[Discount_amt]]</f>
        <v>10800</v>
      </c>
      <c r="Z1660" s="4">
        <f>excelsalesdata[[#This Row],[Net_sales]]-excelsalesdata[[#This Row],[Cost]]</f>
        <v>6490</v>
      </c>
      <c r="AA1660" s="5">
        <f>excelsalesdata[[#This Row],[Profit]]/excelsalesdata[[#This Row],[Net_sales]]</f>
        <v>0.60092592592592597</v>
      </c>
      <c r="AB1660" s="4">
        <f>YEAR(excelsalesdata[[#This Row],[Order_Date]])</f>
        <v>2029</v>
      </c>
      <c r="AC1660" s="4" t="str">
        <f>TEXT(excelsalesdata[[#This Row],[Order_Date]],"mmm")</f>
        <v>Oct</v>
      </c>
      <c r="AD1660" s="4" t="str">
        <f>"Q"&amp;ROUNDUP(MONTH(excelsalesdata[[#This Row],[Order_Date]])/3,0)</f>
        <v>Q4</v>
      </c>
    </row>
    <row r="1661" spans="1:30" x14ac:dyDescent="0.35">
      <c r="A1661" t="s">
        <v>2496</v>
      </c>
      <c r="B1661" s="3">
        <v>47419</v>
      </c>
      <c r="C1661" t="s">
        <v>854</v>
      </c>
      <c r="D1661" t="s">
        <v>867</v>
      </c>
      <c r="E1661" t="str">
        <f>TRIM(excelsalesdata[[#This Row],[Customer_Name]])</f>
        <v>Sneha Nair</v>
      </c>
      <c r="F1661" t="s">
        <v>44</v>
      </c>
      <c r="G1661">
        <v>22</v>
      </c>
      <c r="H1661" t="s">
        <v>35</v>
      </c>
      <c r="I1661" t="str">
        <f>TRIM(excelsalesdata[[#This Row],[City]])</f>
        <v>Kolkata</v>
      </c>
      <c r="J1661" t="s">
        <v>36</v>
      </c>
      <c r="K1661" t="s">
        <v>37</v>
      </c>
      <c r="L1661" t="s">
        <v>38</v>
      </c>
      <c r="M1661" t="s">
        <v>161</v>
      </c>
      <c r="N1661" t="s">
        <v>161</v>
      </c>
      <c r="O1661">
        <v>4</v>
      </c>
      <c r="P1661">
        <v>26020</v>
      </c>
      <c r="Q1661">
        <v>0.15</v>
      </c>
      <c r="R1661">
        <v>20960</v>
      </c>
      <c r="S1661" t="s">
        <v>67</v>
      </c>
      <c r="T1661" t="s">
        <v>30</v>
      </c>
      <c r="U1661">
        <v>5</v>
      </c>
      <c r="V1661" t="s">
        <v>40</v>
      </c>
      <c r="W1661">
        <f>excelsalesdata[[#This Row],[Quantity]]*excelsalesdata[[#This Row],[Unit_Price]]</f>
        <v>104080</v>
      </c>
      <c r="X1661">
        <f>excelsalesdata[[#This Row],[Gross_sales]]*excelsalesdata[[#This Row],[Discount_%]]</f>
        <v>15612</v>
      </c>
      <c r="Y1661">
        <f>excelsalesdata[[#This Row],[Gross_sales]]-excelsalesdata[[#This Row],[Discount_amt]]</f>
        <v>88468</v>
      </c>
      <c r="Z1661" s="4">
        <f>excelsalesdata[[#This Row],[Net_sales]]-excelsalesdata[[#This Row],[Cost]]</f>
        <v>67508</v>
      </c>
      <c r="AA1661" s="5">
        <f>excelsalesdata[[#This Row],[Profit]]/excelsalesdata[[#This Row],[Net_sales]]</f>
        <v>0.7630781751593797</v>
      </c>
      <c r="AB1661" s="4">
        <f>YEAR(excelsalesdata[[#This Row],[Order_Date]])</f>
        <v>2029</v>
      </c>
      <c r="AC1661" s="4" t="str">
        <f>TEXT(excelsalesdata[[#This Row],[Order_Date]],"mmm")</f>
        <v>Oct</v>
      </c>
      <c r="AD1661" s="4" t="str">
        <f>"Q"&amp;ROUNDUP(MONTH(excelsalesdata[[#This Row],[Order_Date]])/3,0)</f>
        <v>Q4</v>
      </c>
    </row>
    <row r="1662" spans="1:30" x14ac:dyDescent="0.35">
      <c r="A1662" t="s">
        <v>2497</v>
      </c>
      <c r="B1662" s="3">
        <v>47420</v>
      </c>
      <c r="C1662" t="s">
        <v>197</v>
      </c>
      <c r="D1662" t="s">
        <v>1271</v>
      </c>
      <c r="E1662" t="str">
        <f>TRIM(excelsalesdata[[#This Row],[Customer_Name]])</f>
        <v>Arjun Sharma</v>
      </c>
      <c r="F1662" t="s">
        <v>44</v>
      </c>
      <c r="G1662">
        <v>44</v>
      </c>
      <c r="H1662" t="s">
        <v>35</v>
      </c>
      <c r="I1662" t="str">
        <f>TRIM(excelsalesdata[[#This Row],[City]])</f>
        <v>Kolkata</v>
      </c>
      <c r="J1662" t="s">
        <v>36</v>
      </c>
      <c r="K1662" t="s">
        <v>37</v>
      </c>
      <c r="L1662" t="s">
        <v>103</v>
      </c>
      <c r="M1662" t="s">
        <v>104</v>
      </c>
      <c r="N1662" t="s">
        <v>104</v>
      </c>
      <c r="O1662">
        <v>2</v>
      </c>
      <c r="P1662">
        <v>7980</v>
      </c>
      <c r="Q1662">
        <v>0.1</v>
      </c>
      <c r="R1662">
        <v>5520</v>
      </c>
      <c r="S1662" t="s">
        <v>29</v>
      </c>
      <c r="T1662" t="s">
        <v>74</v>
      </c>
      <c r="U1662">
        <v>2</v>
      </c>
      <c r="V1662" t="s">
        <v>40</v>
      </c>
      <c r="W1662">
        <f>excelsalesdata[[#This Row],[Quantity]]*excelsalesdata[[#This Row],[Unit_Price]]</f>
        <v>15960</v>
      </c>
      <c r="X1662">
        <f>excelsalesdata[[#This Row],[Gross_sales]]*excelsalesdata[[#This Row],[Discount_%]]</f>
        <v>1596</v>
      </c>
      <c r="Y1662">
        <f>excelsalesdata[[#This Row],[Gross_sales]]-excelsalesdata[[#This Row],[Discount_amt]]</f>
        <v>14364</v>
      </c>
      <c r="Z1662" s="4">
        <f>excelsalesdata[[#This Row],[Net_sales]]-excelsalesdata[[#This Row],[Cost]]</f>
        <v>8844</v>
      </c>
      <c r="AA1662" s="5">
        <f>excelsalesdata[[#This Row],[Profit]]/excelsalesdata[[#This Row],[Net_sales]]</f>
        <v>0.6157059314954052</v>
      </c>
      <c r="AB1662" s="4">
        <f>YEAR(excelsalesdata[[#This Row],[Order_Date]])</f>
        <v>2029</v>
      </c>
      <c r="AC1662" s="4" t="str">
        <f>TEXT(excelsalesdata[[#This Row],[Order_Date]],"mmm")</f>
        <v>Oct</v>
      </c>
      <c r="AD1662" s="4" t="str">
        <f>"Q"&amp;ROUNDUP(MONTH(excelsalesdata[[#This Row],[Order_Date]])/3,0)</f>
        <v>Q4</v>
      </c>
    </row>
    <row r="1663" spans="1:30" x14ac:dyDescent="0.35">
      <c r="A1663" t="s">
        <v>2498</v>
      </c>
      <c r="B1663" s="3">
        <v>47421</v>
      </c>
      <c r="C1663" t="s">
        <v>1487</v>
      </c>
      <c r="D1663" t="s">
        <v>189</v>
      </c>
      <c r="E1663" t="str">
        <f>TRIM(excelsalesdata[[#This Row],[Customer_Name]])</f>
        <v>Aarav Reddy</v>
      </c>
      <c r="F1663" t="s">
        <v>23</v>
      </c>
      <c r="G1663">
        <v>37</v>
      </c>
      <c r="H1663" t="s">
        <v>52</v>
      </c>
      <c r="I1663" t="str">
        <f>TRIM(excelsalesdata[[#This Row],[City]])</f>
        <v>Bengaluru</v>
      </c>
      <c r="J1663" t="s">
        <v>53</v>
      </c>
      <c r="K1663" t="s">
        <v>47</v>
      </c>
      <c r="L1663" t="s">
        <v>54</v>
      </c>
      <c r="M1663" t="s">
        <v>157</v>
      </c>
      <c r="N1663" t="s">
        <v>157</v>
      </c>
      <c r="O1663">
        <v>2</v>
      </c>
      <c r="P1663">
        <v>57350</v>
      </c>
      <c r="Q1663">
        <v>0.1</v>
      </c>
      <c r="R1663">
        <v>41310</v>
      </c>
      <c r="S1663" t="s">
        <v>67</v>
      </c>
      <c r="T1663" t="s">
        <v>30</v>
      </c>
      <c r="U1663">
        <v>3</v>
      </c>
      <c r="V1663" t="s">
        <v>40</v>
      </c>
      <c r="W1663">
        <f>excelsalesdata[[#This Row],[Quantity]]*excelsalesdata[[#This Row],[Unit_Price]]</f>
        <v>114700</v>
      </c>
      <c r="X1663">
        <f>excelsalesdata[[#This Row],[Gross_sales]]*excelsalesdata[[#This Row],[Discount_%]]</f>
        <v>11470</v>
      </c>
      <c r="Y1663">
        <f>excelsalesdata[[#This Row],[Gross_sales]]-excelsalesdata[[#This Row],[Discount_amt]]</f>
        <v>103230</v>
      </c>
      <c r="Z1663" s="4">
        <f>excelsalesdata[[#This Row],[Net_sales]]-excelsalesdata[[#This Row],[Cost]]</f>
        <v>61920</v>
      </c>
      <c r="AA1663" s="5">
        <f>excelsalesdata[[#This Row],[Profit]]/excelsalesdata[[#This Row],[Net_sales]]</f>
        <v>0.59982563208369655</v>
      </c>
      <c r="AB1663" s="4">
        <f>YEAR(excelsalesdata[[#This Row],[Order_Date]])</f>
        <v>2029</v>
      </c>
      <c r="AC1663" s="4" t="str">
        <f>TEXT(excelsalesdata[[#This Row],[Order_Date]],"mmm")</f>
        <v>Oct</v>
      </c>
      <c r="AD1663" s="4" t="str">
        <f>"Q"&amp;ROUNDUP(MONTH(excelsalesdata[[#This Row],[Order_Date]])/3,0)</f>
        <v>Q4</v>
      </c>
    </row>
    <row r="1664" spans="1:30" x14ac:dyDescent="0.35">
      <c r="A1664" t="s">
        <v>2499</v>
      </c>
      <c r="B1664" s="3">
        <v>47422</v>
      </c>
      <c r="C1664" t="s">
        <v>734</v>
      </c>
      <c r="D1664" t="s">
        <v>693</v>
      </c>
      <c r="E1664" t="str">
        <f>TRIM(excelsalesdata[[#This Row],[Customer_Name]])</f>
        <v>Ishita Shah</v>
      </c>
      <c r="F1664" t="s">
        <v>44</v>
      </c>
      <c r="G1664">
        <v>22</v>
      </c>
      <c r="H1664" t="s">
        <v>133</v>
      </c>
      <c r="I1664" t="str">
        <f>TRIM(excelsalesdata[[#This Row],[City]])</f>
        <v>Jaipur</v>
      </c>
      <c r="J1664" t="s">
        <v>134</v>
      </c>
      <c r="K1664" t="s">
        <v>61</v>
      </c>
      <c r="L1664" t="s">
        <v>27</v>
      </c>
      <c r="M1664" t="s">
        <v>123</v>
      </c>
      <c r="N1664" t="s">
        <v>123</v>
      </c>
      <c r="O1664">
        <v>1</v>
      </c>
      <c r="P1664">
        <v>2930</v>
      </c>
      <c r="Q1664">
        <v>0.1</v>
      </c>
      <c r="R1664">
        <v>1540</v>
      </c>
      <c r="S1664" t="s">
        <v>151</v>
      </c>
      <c r="T1664" t="s">
        <v>74</v>
      </c>
      <c r="U1664">
        <v>4</v>
      </c>
      <c r="V1664" t="s">
        <v>40</v>
      </c>
      <c r="W1664">
        <f>excelsalesdata[[#This Row],[Quantity]]*excelsalesdata[[#This Row],[Unit_Price]]</f>
        <v>2930</v>
      </c>
      <c r="X1664">
        <f>excelsalesdata[[#This Row],[Gross_sales]]*excelsalesdata[[#This Row],[Discount_%]]</f>
        <v>293</v>
      </c>
      <c r="Y1664">
        <f>excelsalesdata[[#This Row],[Gross_sales]]-excelsalesdata[[#This Row],[Discount_amt]]</f>
        <v>2637</v>
      </c>
      <c r="Z1664" s="4">
        <f>excelsalesdata[[#This Row],[Net_sales]]-excelsalesdata[[#This Row],[Cost]]</f>
        <v>1097</v>
      </c>
      <c r="AA1664" s="5">
        <f>excelsalesdata[[#This Row],[Profit]]/excelsalesdata[[#This Row],[Net_sales]]</f>
        <v>0.41600303375047404</v>
      </c>
      <c r="AB1664" s="4">
        <f>YEAR(excelsalesdata[[#This Row],[Order_Date]])</f>
        <v>2029</v>
      </c>
      <c r="AC1664" s="4" t="str">
        <f>TEXT(excelsalesdata[[#This Row],[Order_Date]],"mmm")</f>
        <v>Oct</v>
      </c>
      <c r="AD1664" s="4" t="str">
        <f>"Q"&amp;ROUNDUP(MONTH(excelsalesdata[[#This Row],[Order_Date]])/3,0)</f>
        <v>Q4</v>
      </c>
    </row>
    <row r="1665" spans="1:30" x14ac:dyDescent="0.35">
      <c r="A1665" t="s">
        <v>2500</v>
      </c>
      <c r="B1665" s="3">
        <v>47423</v>
      </c>
      <c r="C1665" t="s">
        <v>982</v>
      </c>
      <c r="D1665" t="s">
        <v>65</v>
      </c>
      <c r="E1665" t="str">
        <f>TRIM(excelsalesdata[[#This Row],[Customer_Name]])</f>
        <v>Aarav Nair</v>
      </c>
      <c r="F1665" t="s">
        <v>23</v>
      </c>
      <c r="G1665">
        <v>26</v>
      </c>
      <c r="H1665" t="s">
        <v>133</v>
      </c>
      <c r="I1665" t="str">
        <f>TRIM(excelsalesdata[[#This Row],[City]])</f>
        <v>Jaipur</v>
      </c>
      <c r="J1665" t="s">
        <v>134</v>
      </c>
      <c r="K1665" t="s">
        <v>61</v>
      </c>
      <c r="L1665" t="s">
        <v>93</v>
      </c>
      <c r="M1665" t="s">
        <v>206</v>
      </c>
      <c r="N1665" t="s">
        <v>206</v>
      </c>
      <c r="O1665">
        <v>2</v>
      </c>
      <c r="P1665">
        <v>610</v>
      </c>
      <c r="Q1665">
        <v>0.25</v>
      </c>
      <c r="R1665">
        <v>300</v>
      </c>
      <c r="S1665" t="s">
        <v>105</v>
      </c>
      <c r="T1665" t="s">
        <v>81</v>
      </c>
      <c r="U1665">
        <v>0</v>
      </c>
      <c r="V1665" t="s">
        <v>40</v>
      </c>
      <c r="W1665">
        <f>excelsalesdata[[#This Row],[Quantity]]*excelsalesdata[[#This Row],[Unit_Price]]</f>
        <v>1220</v>
      </c>
      <c r="X1665">
        <f>excelsalesdata[[#This Row],[Gross_sales]]*excelsalesdata[[#This Row],[Discount_%]]</f>
        <v>305</v>
      </c>
      <c r="Y1665">
        <f>excelsalesdata[[#This Row],[Gross_sales]]-excelsalesdata[[#This Row],[Discount_amt]]</f>
        <v>915</v>
      </c>
      <c r="Z1665" s="4">
        <f>excelsalesdata[[#This Row],[Net_sales]]-excelsalesdata[[#This Row],[Cost]]</f>
        <v>615</v>
      </c>
      <c r="AA1665" s="5">
        <f>excelsalesdata[[#This Row],[Profit]]/excelsalesdata[[#This Row],[Net_sales]]</f>
        <v>0.67213114754098358</v>
      </c>
      <c r="AB1665" s="4">
        <f>YEAR(excelsalesdata[[#This Row],[Order_Date]])</f>
        <v>2029</v>
      </c>
      <c r="AC1665" s="4" t="str">
        <f>TEXT(excelsalesdata[[#This Row],[Order_Date]],"mmm")</f>
        <v>Nov</v>
      </c>
      <c r="AD1665" s="4" t="str">
        <f>"Q"&amp;ROUNDUP(MONTH(excelsalesdata[[#This Row],[Order_Date]])/3,0)</f>
        <v>Q4</v>
      </c>
    </row>
    <row r="1666" spans="1:30" x14ac:dyDescent="0.35">
      <c r="A1666" t="s">
        <v>2501</v>
      </c>
      <c r="B1666" s="3">
        <v>47424</v>
      </c>
      <c r="C1666" t="s">
        <v>2089</v>
      </c>
      <c r="D1666" t="s">
        <v>650</v>
      </c>
      <c r="E1666" t="str">
        <f>TRIM(excelsalesdata[[#This Row],[Customer_Name]])</f>
        <v>Sneha Shah</v>
      </c>
      <c r="F1666" t="s">
        <v>44</v>
      </c>
      <c r="G1666">
        <v>29</v>
      </c>
      <c r="H1666" t="s">
        <v>190</v>
      </c>
      <c r="I1666" t="str">
        <f>TRIM(excelsalesdata[[#This Row],[City]])</f>
        <v>Ahmedabad</v>
      </c>
      <c r="J1666" t="s">
        <v>191</v>
      </c>
      <c r="K1666" t="s">
        <v>26</v>
      </c>
      <c r="L1666" t="s">
        <v>103</v>
      </c>
      <c r="M1666" t="s">
        <v>238</v>
      </c>
      <c r="N1666" t="s">
        <v>238</v>
      </c>
      <c r="O1666">
        <v>1</v>
      </c>
      <c r="P1666">
        <v>4460</v>
      </c>
      <c r="Q1666">
        <v>0.1</v>
      </c>
      <c r="R1666">
        <v>2790</v>
      </c>
      <c r="S1666" t="s">
        <v>67</v>
      </c>
      <c r="T1666" t="s">
        <v>74</v>
      </c>
      <c r="U1666">
        <v>5</v>
      </c>
      <c r="V1666" t="s">
        <v>31</v>
      </c>
      <c r="W1666">
        <f>excelsalesdata[[#This Row],[Quantity]]*excelsalesdata[[#This Row],[Unit_Price]]</f>
        <v>4460</v>
      </c>
      <c r="X1666">
        <f>excelsalesdata[[#This Row],[Gross_sales]]*excelsalesdata[[#This Row],[Discount_%]]</f>
        <v>446</v>
      </c>
      <c r="Y1666">
        <f>excelsalesdata[[#This Row],[Gross_sales]]-excelsalesdata[[#This Row],[Discount_amt]]</f>
        <v>4014</v>
      </c>
      <c r="Z1666" s="4">
        <f>excelsalesdata[[#This Row],[Net_sales]]-excelsalesdata[[#This Row],[Cost]]</f>
        <v>1224</v>
      </c>
      <c r="AA1666" s="5">
        <f>excelsalesdata[[#This Row],[Profit]]/excelsalesdata[[#This Row],[Net_sales]]</f>
        <v>0.30493273542600896</v>
      </c>
      <c r="AB1666" s="4">
        <f>YEAR(excelsalesdata[[#This Row],[Order_Date]])</f>
        <v>2029</v>
      </c>
      <c r="AC1666" s="4" t="str">
        <f>TEXT(excelsalesdata[[#This Row],[Order_Date]],"mmm")</f>
        <v>Nov</v>
      </c>
      <c r="AD1666" s="4" t="str">
        <f>"Q"&amp;ROUNDUP(MONTH(excelsalesdata[[#This Row],[Order_Date]])/3,0)</f>
        <v>Q4</v>
      </c>
    </row>
    <row r="1667" spans="1:30" x14ac:dyDescent="0.35">
      <c r="A1667" t="s">
        <v>2502</v>
      </c>
      <c r="B1667" s="3">
        <v>47425</v>
      </c>
      <c r="C1667" t="s">
        <v>2231</v>
      </c>
      <c r="D1667" t="s">
        <v>368</v>
      </c>
      <c r="E1667" t="str">
        <f>TRIM(excelsalesdata[[#This Row],[Customer_Name]])</f>
        <v>Aditya Naidu</v>
      </c>
      <c r="F1667" t="s">
        <v>44</v>
      </c>
      <c r="G1667">
        <v>53</v>
      </c>
      <c r="H1667" t="s">
        <v>114</v>
      </c>
      <c r="I1667" t="str">
        <f>TRIM(excelsalesdata[[#This Row],[City]])</f>
        <v>Hyderabad</v>
      </c>
      <c r="J1667" t="s">
        <v>115</v>
      </c>
      <c r="K1667" t="s">
        <v>47</v>
      </c>
      <c r="L1667" t="s">
        <v>27</v>
      </c>
      <c r="M1667" t="s">
        <v>195</v>
      </c>
      <c r="N1667" t="s">
        <v>195</v>
      </c>
      <c r="O1667">
        <v>2</v>
      </c>
      <c r="P1667">
        <v>2280</v>
      </c>
      <c r="Q1667">
        <v>0.05</v>
      </c>
      <c r="R1667">
        <v>1220</v>
      </c>
      <c r="S1667" t="s">
        <v>105</v>
      </c>
      <c r="T1667" t="s">
        <v>30</v>
      </c>
      <c r="U1667">
        <v>8</v>
      </c>
      <c r="V1667" t="s">
        <v>40</v>
      </c>
      <c r="W1667">
        <f>excelsalesdata[[#This Row],[Quantity]]*excelsalesdata[[#This Row],[Unit_Price]]</f>
        <v>4560</v>
      </c>
      <c r="X1667">
        <f>excelsalesdata[[#This Row],[Gross_sales]]*excelsalesdata[[#This Row],[Discount_%]]</f>
        <v>228</v>
      </c>
      <c r="Y1667">
        <f>excelsalesdata[[#This Row],[Gross_sales]]-excelsalesdata[[#This Row],[Discount_amt]]</f>
        <v>4332</v>
      </c>
      <c r="Z1667" s="4">
        <f>excelsalesdata[[#This Row],[Net_sales]]-excelsalesdata[[#This Row],[Cost]]</f>
        <v>3112</v>
      </c>
      <c r="AA1667" s="5">
        <f>excelsalesdata[[#This Row],[Profit]]/excelsalesdata[[#This Row],[Net_sales]]</f>
        <v>0.71837488457987075</v>
      </c>
      <c r="AB1667" s="4">
        <f>YEAR(excelsalesdata[[#This Row],[Order_Date]])</f>
        <v>2029</v>
      </c>
      <c r="AC1667" s="4" t="str">
        <f>TEXT(excelsalesdata[[#This Row],[Order_Date]],"mmm")</f>
        <v>Nov</v>
      </c>
      <c r="AD1667" s="4" t="str">
        <f>"Q"&amp;ROUNDUP(MONTH(excelsalesdata[[#This Row],[Order_Date]])/3,0)</f>
        <v>Q4</v>
      </c>
    </row>
    <row r="1668" spans="1:30" x14ac:dyDescent="0.35">
      <c r="A1668" t="s">
        <v>2503</v>
      </c>
      <c r="B1668" s="3">
        <v>47426</v>
      </c>
      <c r="C1668" t="s">
        <v>602</v>
      </c>
      <c r="D1668" t="s">
        <v>524</v>
      </c>
      <c r="E1668" t="str">
        <f>TRIM(excelsalesdata[[#This Row],[Customer_Name]])</f>
        <v>Arjun Das</v>
      </c>
      <c r="F1668" t="s">
        <v>23</v>
      </c>
      <c r="G1668">
        <v>28</v>
      </c>
      <c r="H1668" t="s">
        <v>78</v>
      </c>
      <c r="I1668" t="str">
        <f>TRIM(excelsalesdata[[#This Row],[City]])</f>
        <v>Guwahati</v>
      </c>
      <c r="J1668" t="s">
        <v>79</v>
      </c>
      <c r="K1668" t="s">
        <v>37</v>
      </c>
      <c r="L1668" t="s">
        <v>103</v>
      </c>
      <c r="M1668" t="s">
        <v>312</v>
      </c>
      <c r="N1668" t="s">
        <v>312</v>
      </c>
      <c r="O1668">
        <v>1</v>
      </c>
      <c r="P1668">
        <v>6460</v>
      </c>
      <c r="Q1668">
        <v>0.15</v>
      </c>
      <c r="R1668">
        <v>4310</v>
      </c>
      <c r="S1668" t="s">
        <v>29</v>
      </c>
      <c r="T1668" t="s">
        <v>99</v>
      </c>
      <c r="U1668">
        <v>4</v>
      </c>
      <c r="V1668" t="s">
        <v>40</v>
      </c>
      <c r="W1668">
        <f>excelsalesdata[[#This Row],[Quantity]]*excelsalesdata[[#This Row],[Unit_Price]]</f>
        <v>6460</v>
      </c>
      <c r="X1668">
        <f>excelsalesdata[[#This Row],[Gross_sales]]*excelsalesdata[[#This Row],[Discount_%]]</f>
        <v>969</v>
      </c>
      <c r="Y1668">
        <f>excelsalesdata[[#This Row],[Gross_sales]]-excelsalesdata[[#This Row],[Discount_amt]]</f>
        <v>5491</v>
      </c>
      <c r="Z1668" s="4">
        <f>excelsalesdata[[#This Row],[Net_sales]]-excelsalesdata[[#This Row],[Cost]]</f>
        <v>1181</v>
      </c>
      <c r="AA1668" s="5">
        <f>excelsalesdata[[#This Row],[Profit]]/excelsalesdata[[#This Row],[Net_sales]]</f>
        <v>0.21507922054270626</v>
      </c>
      <c r="AB1668" s="4">
        <f>YEAR(excelsalesdata[[#This Row],[Order_Date]])</f>
        <v>2029</v>
      </c>
      <c r="AC1668" s="4" t="str">
        <f>TEXT(excelsalesdata[[#This Row],[Order_Date]],"mmm")</f>
        <v>Nov</v>
      </c>
      <c r="AD1668" s="4" t="str">
        <f>"Q"&amp;ROUNDUP(MONTH(excelsalesdata[[#This Row],[Order_Date]])/3,0)</f>
        <v>Q4</v>
      </c>
    </row>
    <row r="1669" spans="1:30" x14ac:dyDescent="0.35">
      <c r="A1669" t="s">
        <v>2504</v>
      </c>
      <c r="B1669" s="3">
        <v>47427</v>
      </c>
      <c r="C1669" t="s">
        <v>253</v>
      </c>
      <c r="D1669" t="s">
        <v>406</v>
      </c>
      <c r="E1669" t="str">
        <f>TRIM(excelsalesdata[[#This Row],[Customer_Name]])</f>
        <v>Ishita Joshi</v>
      </c>
      <c r="F1669" t="s">
        <v>44</v>
      </c>
      <c r="G1669">
        <v>39</v>
      </c>
      <c r="H1669" t="s">
        <v>35</v>
      </c>
      <c r="I1669" t="str">
        <f>TRIM(excelsalesdata[[#This Row],[City]])</f>
        <v>Kolkata</v>
      </c>
      <c r="J1669" t="s">
        <v>36</v>
      </c>
      <c r="K1669" t="s">
        <v>37</v>
      </c>
      <c r="L1669" t="s">
        <v>38</v>
      </c>
      <c r="M1669" t="s">
        <v>119</v>
      </c>
      <c r="N1669" t="s">
        <v>119</v>
      </c>
      <c r="O1669">
        <v>2</v>
      </c>
      <c r="P1669">
        <v>9150</v>
      </c>
      <c r="Q1669">
        <v>0.05</v>
      </c>
      <c r="R1669">
        <v>5680</v>
      </c>
      <c r="S1669" t="s">
        <v>105</v>
      </c>
      <c r="T1669" t="s">
        <v>30</v>
      </c>
      <c r="U1669">
        <v>4</v>
      </c>
      <c r="V1669" t="s">
        <v>40</v>
      </c>
      <c r="W1669">
        <f>excelsalesdata[[#This Row],[Quantity]]*excelsalesdata[[#This Row],[Unit_Price]]</f>
        <v>18300</v>
      </c>
      <c r="X1669">
        <f>excelsalesdata[[#This Row],[Gross_sales]]*excelsalesdata[[#This Row],[Discount_%]]</f>
        <v>915</v>
      </c>
      <c r="Y1669">
        <f>excelsalesdata[[#This Row],[Gross_sales]]-excelsalesdata[[#This Row],[Discount_amt]]</f>
        <v>17385</v>
      </c>
      <c r="Z1669" s="4">
        <f>excelsalesdata[[#This Row],[Net_sales]]-excelsalesdata[[#This Row],[Cost]]</f>
        <v>11705</v>
      </c>
      <c r="AA1669" s="5">
        <f>excelsalesdata[[#This Row],[Profit]]/excelsalesdata[[#This Row],[Net_sales]]</f>
        <v>0.6732815645671556</v>
      </c>
      <c r="AB1669" s="4">
        <f>YEAR(excelsalesdata[[#This Row],[Order_Date]])</f>
        <v>2029</v>
      </c>
      <c r="AC1669" s="4" t="str">
        <f>TEXT(excelsalesdata[[#This Row],[Order_Date]],"mmm")</f>
        <v>Nov</v>
      </c>
      <c r="AD1669" s="4" t="str">
        <f>"Q"&amp;ROUNDUP(MONTH(excelsalesdata[[#This Row],[Order_Date]])/3,0)</f>
        <v>Q4</v>
      </c>
    </row>
    <row r="1670" spans="1:30" x14ac:dyDescent="0.35">
      <c r="A1670" t="s">
        <v>2505</v>
      </c>
      <c r="B1670" s="3">
        <v>47428</v>
      </c>
      <c r="C1670" t="s">
        <v>590</v>
      </c>
      <c r="D1670" t="s">
        <v>642</v>
      </c>
      <c r="E1670" t="str">
        <f>TRIM(excelsalesdata[[#This Row],[Customer_Name]])</f>
        <v>Kavya Singh</v>
      </c>
      <c r="F1670" t="s">
        <v>44</v>
      </c>
      <c r="G1670">
        <v>42</v>
      </c>
      <c r="H1670" t="s">
        <v>78</v>
      </c>
      <c r="I1670" t="str">
        <f>TRIM(excelsalesdata[[#This Row],[City]])</f>
        <v>Guwahati</v>
      </c>
      <c r="J1670" t="s">
        <v>79</v>
      </c>
      <c r="K1670" t="s">
        <v>37</v>
      </c>
      <c r="L1670" t="s">
        <v>38</v>
      </c>
      <c r="M1670" t="s">
        <v>119</v>
      </c>
      <c r="N1670" t="s">
        <v>119</v>
      </c>
      <c r="O1670">
        <v>3</v>
      </c>
      <c r="P1670">
        <v>9150</v>
      </c>
      <c r="Q1670">
        <v>0.25</v>
      </c>
      <c r="R1670">
        <v>5820</v>
      </c>
      <c r="S1670" t="s">
        <v>29</v>
      </c>
      <c r="T1670" t="s">
        <v>81</v>
      </c>
      <c r="U1670">
        <v>0</v>
      </c>
      <c r="V1670" t="s">
        <v>40</v>
      </c>
      <c r="W1670">
        <f>excelsalesdata[[#This Row],[Quantity]]*excelsalesdata[[#This Row],[Unit_Price]]</f>
        <v>27450</v>
      </c>
      <c r="X1670">
        <f>excelsalesdata[[#This Row],[Gross_sales]]*excelsalesdata[[#This Row],[Discount_%]]</f>
        <v>6862.5</v>
      </c>
      <c r="Y1670">
        <f>excelsalesdata[[#This Row],[Gross_sales]]-excelsalesdata[[#This Row],[Discount_amt]]</f>
        <v>20587.5</v>
      </c>
      <c r="Z1670" s="4">
        <f>excelsalesdata[[#This Row],[Net_sales]]-excelsalesdata[[#This Row],[Cost]]</f>
        <v>14767.5</v>
      </c>
      <c r="AA1670" s="5">
        <f>excelsalesdata[[#This Row],[Profit]]/excelsalesdata[[#This Row],[Net_sales]]</f>
        <v>0.71730418943533703</v>
      </c>
      <c r="AB1670" s="4">
        <f>YEAR(excelsalesdata[[#This Row],[Order_Date]])</f>
        <v>2029</v>
      </c>
      <c r="AC1670" s="4" t="str">
        <f>TEXT(excelsalesdata[[#This Row],[Order_Date]],"mmm")</f>
        <v>Nov</v>
      </c>
      <c r="AD1670" s="4" t="str">
        <f>"Q"&amp;ROUNDUP(MONTH(excelsalesdata[[#This Row],[Order_Date]])/3,0)</f>
        <v>Q4</v>
      </c>
    </row>
    <row r="1671" spans="1:30" x14ac:dyDescent="0.35">
      <c r="A1671" t="s">
        <v>2506</v>
      </c>
      <c r="B1671" s="3">
        <v>47429</v>
      </c>
      <c r="C1671" t="s">
        <v>1253</v>
      </c>
      <c r="D1671" t="s">
        <v>1051</v>
      </c>
      <c r="E1671" t="str">
        <f>TRIM(excelsalesdata[[#This Row],[Customer_Name]])</f>
        <v>Aarav Das</v>
      </c>
      <c r="F1671" t="s">
        <v>44</v>
      </c>
      <c r="G1671">
        <v>44</v>
      </c>
      <c r="H1671" t="s">
        <v>60</v>
      </c>
      <c r="I1671" t="str">
        <f>TRIM(excelsalesdata[[#This Row],[City]])</f>
        <v>Chandigarh</v>
      </c>
      <c r="J1671" t="s">
        <v>60</v>
      </c>
      <c r="K1671" t="s">
        <v>61</v>
      </c>
      <c r="L1671" t="s">
        <v>54</v>
      </c>
      <c r="M1671" t="s">
        <v>55</v>
      </c>
      <c r="N1671" t="s">
        <v>55</v>
      </c>
      <c r="O1671">
        <v>1</v>
      </c>
      <c r="P1671">
        <v>6930</v>
      </c>
      <c r="Q1671">
        <v>0.05</v>
      </c>
      <c r="R1671">
        <v>4620</v>
      </c>
      <c r="S1671" t="s">
        <v>29</v>
      </c>
      <c r="T1671" t="s">
        <v>81</v>
      </c>
      <c r="U1671">
        <v>0</v>
      </c>
      <c r="V1671" t="s">
        <v>40</v>
      </c>
      <c r="W1671">
        <f>excelsalesdata[[#This Row],[Quantity]]*excelsalesdata[[#This Row],[Unit_Price]]</f>
        <v>6930</v>
      </c>
      <c r="X1671">
        <f>excelsalesdata[[#This Row],[Gross_sales]]*excelsalesdata[[#This Row],[Discount_%]]</f>
        <v>346.5</v>
      </c>
      <c r="Y1671">
        <f>excelsalesdata[[#This Row],[Gross_sales]]-excelsalesdata[[#This Row],[Discount_amt]]</f>
        <v>6583.5</v>
      </c>
      <c r="Z1671" s="4">
        <f>excelsalesdata[[#This Row],[Net_sales]]-excelsalesdata[[#This Row],[Cost]]</f>
        <v>1963.5</v>
      </c>
      <c r="AA1671" s="5">
        <f>excelsalesdata[[#This Row],[Profit]]/excelsalesdata[[#This Row],[Net_sales]]</f>
        <v>0.2982456140350877</v>
      </c>
      <c r="AB1671" s="4">
        <f>YEAR(excelsalesdata[[#This Row],[Order_Date]])</f>
        <v>2029</v>
      </c>
      <c r="AC1671" s="4" t="str">
        <f>TEXT(excelsalesdata[[#This Row],[Order_Date]],"mmm")</f>
        <v>Nov</v>
      </c>
      <c r="AD1671" s="4" t="str">
        <f>"Q"&amp;ROUNDUP(MONTH(excelsalesdata[[#This Row],[Order_Date]])/3,0)</f>
        <v>Q4</v>
      </c>
    </row>
    <row r="1672" spans="1:30" x14ac:dyDescent="0.35">
      <c r="A1672" t="s">
        <v>2507</v>
      </c>
      <c r="B1672" s="3">
        <v>47430</v>
      </c>
      <c r="C1672" t="s">
        <v>2041</v>
      </c>
      <c r="D1672" t="s">
        <v>546</v>
      </c>
      <c r="E1672" t="str">
        <f>TRIM(excelsalesdata[[#This Row],[Customer_Name]])</f>
        <v>Karan Nair</v>
      </c>
      <c r="F1672" t="s">
        <v>44</v>
      </c>
      <c r="G1672">
        <v>39</v>
      </c>
      <c r="H1672" t="s">
        <v>109</v>
      </c>
      <c r="I1672" t="str">
        <f>TRIM(excelsalesdata[[#This Row],[City]])</f>
        <v>Mysuru</v>
      </c>
      <c r="J1672" t="s">
        <v>53</v>
      </c>
      <c r="K1672" t="s">
        <v>47</v>
      </c>
      <c r="L1672" t="s">
        <v>27</v>
      </c>
      <c r="M1672" t="s">
        <v>48</v>
      </c>
      <c r="N1672" t="s">
        <v>48</v>
      </c>
      <c r="O1672">
        <v>1</v>
      </c>
      <c r="P1672">
        <v>910</v>
      </c>
      <c r="Q1672">
        <v>0.15</v>
      </c>
      <c r="R1672">
        <v>470</v>
      </c>
      <c r="S1672" t="s">
        <v>151</v>
      </c>
      <c r="T1672" t="s">
        <v>30</v>
      </c>
      <c r="U1672">
        <v>3</v>
      </c>
      <c r="V1672" t="s">
        <v>31</v>
      </c>
      <c r="W1672">
        <f>excelsalesdata[[#This Row],[Quantity]]*excelsalesdata[[#This Row],[Unit_Price]]</f>
        <v>910</v>
      </c>
      <c r="X1672">
        <f>excelsalesdata[[#This Row],[Gross_sales]]*excelsalesdata[[#This Row],[Discount_%]]</f>
        <v>136.5</v>
      </c>
      <c r="Y1672">
        <f>excelsalesdata[[#This Row],[Gross_sales]]-excelsalesdata[[#This Row],[Discount_amt]]</f>
        <v>773.5</v>
      </c>
      <c r="Z1672" s="4">
        <f>excelsalesdata[[#This Row],[Net_sales]]-excelsalesdata[[#This Row],[Cost]]</f>
        <v>303.5</v>
      </c>
      <c r="AA1672" s="5">
        <f>excelsalesdata[[#This Row],[Profit]]/excelsalesdata[[#This Row],[Net_sales]]</f>
        <v>0.39237233354880413</v>
      </c>
      <c r="AB1672" s="4">
        <f>YEAR(excelsalesdata[[#This Row],[Order_Date]])</f>
        <v>2029</v>
      </c>
      <c r="AC1672" s="4" t="str">
        <f>TEXT(excelsalesdata[[#This Row],[Order_Date]],"mmm")</f>
        <v>Nov</v>
      </c>
      <c r="AD1672" s="4" t="str">
        <f>"Q"&amp;ROUNDUP(MONTH(excelsalesdata[[#This Row],[Order_Date]])/3,0)</f>
        <v>Q4</v>
      </c>
    </row>
    <row r="1673" spans="1:30" x14ac:dyDescent="0.35">
      <c r="A1673" t="s">
        <v>2508</v>
      </c>
      <c r="B1673" s="3">
        <v>47431</v>
      </c>
      <c r="C1673" t="s">
        <v>1063</v>
      </c>
      <c r="D1673" t="s">
        <v>265</v>
      </c>
      <c r="E1673" t="str">
        <f>TRIM(excelsalesdata[[#This Row],[Customer_Name]])</f>
        <v>Arjun Bhat</v>
      </c>
      <c r="F1673" t="s">
        <v>23</v>
      </c>
      <c r="G1673">
        <v>39</v>
      </c>
      <c r="H1673" t="s">
        <v>52</v>
      </c>
      <c r="I1673" t="str">
        <f>TRIM(excelsalesdata[[#This Row],[City]])</f>
        <v>Bengaluru</v>
      </c>
      <c r="J1673" t="s">
        <v>53</v>
      </c>
      <c r="K1673" t="s">
        <v>47</v>
      </c>
      <c r="L1673" t="s">
        <v>54</v>
      </c>
      <c r="M1673" t="s">
        <v>62</v>
      </c>
      <c r="N1673" t="s">
        <v>62</v>
      </c>
      <c r="O1673">
        <v>2</v>
      </c>
      <c r="P1673">
        <v>23300</v>
      </c>
      <c r="Q1673">
        <v>0.2</v>
      </c>
      <c r="R1673">
        <v>15990</v>
      </c>
      <c r="S1673" t="s">
        <v>29</v>
      </c>
      <c r="T1673" t="s">
        <v>30</v>
      </c>
      <c r="U1673">
        <v>6</v>
      </c>
      <c r="V1673" t="s">
        <v>40</v>
      </c>
      <c r="W1673">
        <f>excelsalesdata[[#This Row],[Quantity]]*excelsalesdata[[#This Row],[Unit_Price]]</f>
        <v>46600</v>
      </c>
      <c r="X1673">
        <f>excelsalesdata[[#This Row],[Gross_sales]]*excelsalesdata[[#This Row],[Discount_%]]</f>
        <v>9320</v>
      </c>
      <c r="Y1673">
        <f>excelsalesdata[[#This Row],[Gross_sales]]-excelsalesdata[[#This Row],[Discount_amt]]</f>
        <v>37280</v>
      </c>
      <c r="Z1673" s="4">
        <f>excelsalesdata[[#This Row],[Net_sales]]-excelsalesdata[[#This Row],[Cost]]</f>
        <v>21290</v>
      </c>
      <c r="AA1673" s="5">
        <f>excelsalesdata[[#This Row],[Profit]]/excelsalesdata[[#This Row],[Net_sales]]</f>
        <v>0.57108369098712441</v>
      </c>
      <c r="AB1673" s="4">
        <f>YEAR(excelsalesdata[[#This Row],[Order_Date]])</f>
        <v>2029</v>
      </c>
      <c r="AC1673" s="4" t="str">
        <f>TEXT(excelsalesdata[[#This Row],[Order_Date]],"mmm")</f>
        <v>Nov</v>
      </c>
      <c r="AD1673" s="4" t="str">
        <f>"Q"&amp;ROUNDUP(MONTH(excelsalesdata[[#This Row],[Order_Date]])/3,0)</f>
        <v>Q4</v>
      </c>
    </row>
    <row r="1674" spans="1:30" x14ac:dyDescent="0.35">
      <c r="A1674" t="s">
        <v>2509</v>
      </c>
      <c r="B1674" s="3">
        <v>47432</v>
      </c>
      <c r="C1674" t="s">
        <v>829</v>
      </c>
      <c r="D1674" t="s">
        <v>305</v>
      </c>
      <c r="E1674" t="str">
        <f>TRIM(excelsalesdata[[#This Row],[Customer_Name]])</f>
        <v>Priya Reddy</v>
      </c>
      <c r="F1674" t="s">
        <v>44</v>
      </c>
      <c r="G1674">
        <v>28</v>
      </c>
      <c r="H1674" t="s">
        <v>71</v>
      </c>
      <c r="I1674" t="str">
        <f>TRIM(excelsalesdata[[#This Row],[City]])</f>
        <v>Bhubaneswar</v>
      </c>
      <c r="J1674" t="s">
        <v>72</v>
      </c>
      <c r="K1674" t="s">
        <v>37</v>
      </c>
      <c r="L1674" t="s">
        <v>103</v>
      </c>
      <c r="M1674" t="s">
        <v>347</v>
      </c>
      <c r="N1674" t="s">
        <v>347</v>
      </c>
      <c r="O1674">
        <v>1</v>
      </c>
      <c r="P1674">
        <v>12310</v>
      </c>
      <c r="Q1674">
        <v>0.05</v>
      </c>
      <c r="R1674">
        <v>8560</v>
      </c>
      <c r="S1674" t="s">
        <v>29</v>
      </c>
      <c r="T1674" t="s">
        <v>30</v>
      </c>
      <c r="U1674">
        <v>3</v>
      </c>
      <c r="V1674" t="s">
        <v>40</v>
      </c>
      <c r="W1674">
        <f>excelsalesdata[[#This Row],[Quantity]]*excelsalesdata[[#This Row],[Unit_Price]]</f>
        <v>12310</v>
      </c>
      <c r="X1674">
        <f>excelsalesdata[[#This Row],[Gross_sales]]*excelsalesdata[[#This Row],[Discount_%]]</f>
        <v>615.5</v>
      </c>
      <c r="Y1674">
        <f>excelsalesdata[[#This Row],[Gross_sales]]-excelsalesdata[[#This Row],[Discount_amt]]</f>
        <v>11694.5</v>
      </c>
      <c r="Z1674" s="4">
        <f>excelsalesdata[[#This Row],[Net_sales]]-excelsalesdata[[#This Row],[Cost]]</f>
        <v>3134.5</v>
      </c>
      <c r="AA1674" s="5">
        <f>excelsalesdata[[#This Row],[Profit]]/excelsalesdata[[#This Row],[Net_sales]]</f>
        <v>0.26803198084569668</v>
      </c>
      <c r="AB1674" s="4">
        <f>YEAR(excelsalesdata[[#This Row],[Order_Date]])</f>
        <v>2029</v>
      </c>
      <c r="AC1674" s="4" t="str">
        <f>TEXT(excelsalesdata[[#This Row],[Order_Date]],"mmm")</f>
        <v>Nov</v>
      </c>
      <c r="AD1674" s="4" t="str">
        <f>"Q"&amp;ROUNDUP(MONTH(excelsalesdata[[#This Row],[Order_Date]])/3,0)</f>
        <v>Q4</v>
      </c>
    </row>
    <row r="1675" spans="1:30" x14ac:dyDescent="0.35">
      <c r="A1675" t="s">
        <v>2510</v>
      </c>
      <c r="B1675" s="3">
        <v>47433</v>
      </c>
      <c r="C1675" t="s">
        <v>450</v>
      </c>
      <c r="D1675" t="s">
        <v>550</v>
      </c>
      <c r="E1675" t="str">
        <f>TRIM(excelsalesdata[[#This Row],[Customer_Name]])</f>
        <v>Rohan Reddy</v>
      </c>
      <c r="F1675" t="s">
        <v>44</v>
      </c>
      <c r="G1675">
        <v>36</v>
      </c>
      <c r="H1675" t="s">
        <v>52</v>
      </c>
      <c r="I1675" t="str">
        <f>TRIM(excelsalesdata[[#This Row],[City]])</f>
        <v>Bengaluru</v>
      </c>
      <c r="J1675" t="s">
        <v>53</v>
      </c>
      <c r="K1675" t="s">
        <v>47</v>
      </c>
      <c r="L1675" t="s">
        <v>103</v>
      </c>
      <c r="M1675" t="s">
        <v>312</v>
      </c>
      <c r="N1675" t="s">
        <v>312</v>
      </c>
      <c r="O1675">
        <v>1</v>
      </c>
      <c r="P1675">
        <v>6130</v>
      </c>
      <c r="Q1675">
        <v>0.05</v>
      </c>
      <c r="R1675">
        <v>4110</v>
      </c>
      <c r="S1675" t="s">
        <v>151</v>
      </c>
      <c r="T1675" t="s">
        <v>81</v>
      </c>
      <c r="U1675">
        <v>0</v>
      </c>
      <c r="V1675" t="s">
        <v>40</v>
      </c>
      <c r="W1675">
        <f>excelsalesdata[[#This Row],[Quantity]]*excelsalesdata[[#This Row],[Unit_Price]]</f>
        <v>6130</v>
      </c>
      <c r="X1675">
        <f>excelsalesdata[[#This Row],[Gross_sales]]*excelsalesdata[[#This Row],[Discount_%]]</f>
        <v>306.5</v>
      </c>
      <c r="Y1675">
        <f>excelsalesdata[[#This Row],[Gross_sales]]-excelsalesdata[[#This Row],[Discount_amt]]</f>
        <v>5823.5</v>
      </c>
      <c r="Z1675" s="4">
        <f>excelsalesdata[[#This Row],[Net_sales]]-excelsalesdata[[#This Row],[Cost]]</f>
        <v>1713.5</v>
      </c>
      <c r="AA1675" s="5">
        <f>excelsalesdata[[#This Row],[Profit]]/excelsalesdata[[#This Row],[Net_sales]]</f>
        <v>0.2942388597922212</v>
      </c>
      <c r="AB1675" s="4">
        <f>YEAR(excelsalesdata[[#This Row],[Order_Date]])</f>
        <v>2029</v>
      </c>
      <c r="AC1675" s="4" t="str">
        <f>TEXT(excelsalesdata[[#This Row],[Order_Date]],"mmm")</f>
        <v>Nov</v>
      </c>
      <c r="AD1675" s="4" t="str">
        <f>"Q"&amp;ROUNDUP(MONTH(excelsalesdata[[#This Row],[Order_Date]])/3,0)</f>
        <v>Q4</v>
      </c>
    </row>
    <row r="1676" spans="1:30" x14ac:dyDescent="0.35">
      <c r="A1676" t="s">
        <v>2511</v>
      </c>
      <c r="B1676" s="3">
        <v>47434</v>
      </c>
      <c r="C1676" t="s">
        <v>1681</v>
      </c>
      <c r="D1676" t="s">
        <v>1806</v>
      </c>
      <c r="E1676" t="str">
        <f>TRIM(excelsalesdata[[#This Row],[Customer_Name]])</f>
        <v>Sneha Bhat</v>
      </c>
      <c r="F1676" t="s">
        <v>23</v>
      </c>
      <c r="G1676">
        <v>37</v>
      </c>
      <c r="H1676" t="s">
        <v>155</v>
      </c>
      <c r="I1676" t="str">
        <f>TRIM(excelsalesdata[[#This Row],[City]])</f>
        <v>Chennai</v>
      </c>
      <c r="J1676" t="s">
        <v>156</v>
      </c>
      <c r="K1676" t="s">
        <v>47</v>
      </c>
      <c r="L1676" t="s">
        <v>85</v>
      </c>
      <c r="M1676" t="s">
        <v>251</v>
      </c>
      <c r="N1676" t="s">
        <v>251</v>
      </c>
      <c r="O1676">
        <v>1</v>
      </c>
      <c r="P1676">
        <v>3400</v>
      </c>
      <c r="Q1676">
        <v>0.1</v>
      </c>
      <c r="R1676">
        <v>1990</v>
      </c>
      <c r="S1676" t="s">
        <v>29</v>
      </c>
      <c r="T1676" t="s">
        <v>99</v>
      </c>
      <c r="U1676">
        <v>4</v>
      </c>
      <c r="V1676" t="s">
        <v>31</v>
      </c>
      <c r="W1676">
        <f>excelsalesdata[[#This Row],[Quantity]]*excelsalesdata[[#This Row],[Unit_Price]]</f>
        <v>3400</v>
      </c>
      <c r="X1676">
        <f>excelsalesdata[[#This Row],[Gross_sales]]*excelsalesdata[[#This Row],[Discount_%]]</f>
        <v>340</v>
      </c>
      <c r="Y1676">
        <f>excelsalesdata[[#This Row],[Gross_sales]]-excelsalesdata[[#This Row],[Discount_amt]]</f>
        <v>3060</v>
      </c>
      <c r="Z1676" s="4">
        <f>excelsalesdata[[#This Row],[Net_sales]]-excelsalesdata[[#This Row],[Cost]]</f>
        <v>1070</v>
      </c>
      <c r="AA1676" s="5">
        <f>excelsalesdata[[#This Row],[Profit]]/excelsalesdata[[#This Row],[Net_sales]]</f>
        <v>0.34967320261437906</v>
      </c>
      <c r="AB1676" s="4">
        <f>YEAR(excelsalesdata[[#This Row],[Order_Date]])</f>
        <v>2029</v>
      </c>
      <c r="AC1676" s="4" t="str">
        <f>TEXT(excelsalesdata[[#This Row],[Order_Date]],"mmm")</f>
        <v>Nov</v>
      </c>
      <c r="AD1676" s="4" t="str">
        <f>"Q"&amp;ROUNDUP(MONTH(excelsalesdata[[#This Row],[Order_Date]])/3,0)</f>
        <v>Q4</v>
      </c>
    </row>
    <row r="1677" spans="1:30" x14ac:dyDescent="0.35">
      <c r="A1677" t="s">
        <v>2512</v>
      </c>
      <c r="B1677" s="3">
        <v>47435</v>
      </c>
      <c r="C1677" t="s">
        <v>2513</v>
      </c>
      <c r="D1677" t="s">
        <v>1839</v>
      </c>
      <c r="E1677" t="str">
        <f>TRIM(excelsalesdata[[#This Row],[Customer_Name]])</f>
        <v>Diya Nair</v>
      </c>
      <c r="F1677" t="s">
        <v>44</v>
      </c>
      <c r="G1677">
        <v>51</v>
      </c>
      <c r="H1677" t="s">
        <v>60</v>
      </c>
      <c r="I1677" t="str">
        <f>TRIM(excelsalesdata[[#This Row],[City]])</f>
        <v>Chandigarh</v>
      </c>
      <c r="J1677" t="s">
        <v>60</v>
      </c>
      <c r="K1677" t="s">
        <v>61</v>
      </c>
      <c r="L1677" t="s">
        <v>93</v>
      </c>
      <c r="M1677" t="s">
        <v>135</v>
      </c>
      <c r="N1677" t="s">
        <v>135</v>
      </c>
      <c r="O1677">
        <v>2</v>
      </c>
      <c r="P1677">
        <v>1860</v>
      </c>
      <c r="Q1677">
        <v>0.15</v>
      </c>
      <c r="R1677">
        <v>1030</v>
      </c>
      <c r="S1677" t="s">
        <v>67</v>
      </c>
      <c r="T1677" t="s">
        <v>30</v>
      </c>
      <c r="U1677">
        <v>3</v>
      </c>
      <c r="V1677" t="s">
        <v>40</v>
      </c>
      <c r="W1677">
        <f>excelsalesdata[[#This Row],[Quantity]]*excelsalesdata[[#This Row],[Unit_Price]]</f>
        <v>3720</v>
      </c>
      <c r="X1677">
        <f>excelsalesdata[[#This Row],[Gross_sales]]*excelsalesdata[[#This Row],[Discount_%]]</f>
        <v>558</v>
      </c>
      <c r="Y1677">
        <f>excelsalesdata[[#This Row],[Gross_sales]]-excelsalesdata[[#This Row],[Discount_amt]]</f>
        <v>3162</v>
      </c>
      <c r="Z1677" s="4">
        <f>excelsalesdata[[#This Row],[Net_sales]]-excelsalesdata[[#This Row],[Cost]]</f>
        <v>2132</v>
      </c>
      <c r="AA1677" s="5">
        <f>excelsalesdata[[#This Row],[Profit]]/excelsalesdata[[#This Row],[Net_sales]]</f>
        <v>0.6742567994939912</v>
      </c>
      <c r="AB1677" s="4">
        <f>YEAR(excelsalesdata[[#This Row],[Order_Date]])</f>
        <v>2029</v>
      </c>
      <c r="AC1677" s="4" t="str">
        <f>TEXT(excelsalesdata[[#This Row],[Order_Date]],"mmm")</f>
        <v>Nov</v>
      </c>
      <c r="AD1677" s="4" t="str">
        <f>"Q"&amp;ROUNDUP(MONTH(excelsalesdata[[#This Row],[Order_Date]])/3,0)</f>
        <v>Q4</v>
      </c>
    </row>
    <row r="1678" spans="1:30" x14ac:dyDescent="0.35">
      <c r="A1678" t="s">
        <v>2514</v>
      </c>
      <c r="B1678" s="3">
        <v>47436</v>
      </c>
      <c r="C1678" t="s">
        <v>1530</v>
      </c>
      <c r="D1678" t="s">
        <v>984</v>
      </c>
      <c r="E1678" t="str">
        <f>TRIM(excelsalesdata[[#This Row],[Customer_Name]])</f>
        <v>Ananya Singh</v>
      </c>
      <c r="F1678" t="s">
        <v>44</v>
      </c>
      <c r="G1678">
        <v>57</v>
      </c>
      <c r="H1678" t="s">
        <v>190</v>
      </c>
      <c r="I1678" t="str">
        <f>TRIM(excelsalesdata[[#This Row],[City]])</f>
        <v>Ahmedabad</v>
      </c>
      <c r="J1678" t="s">
        <v>191</v>
      </c>
      <c r="K1678" t="s">
        <v>26</v>
      </c>
      <c r="L1678" t="s">
        <v>93</v>
      </c>
      <c r="M1678" t="s">
        <v>718</v>
      </c>
      <c r="N1678" t="s">
        <v>718</v>
      </c>
      <c r="O1678">
        <v>1</v>
      </c>
      <c r="P1678">
        <v>1910</v>
      </c>
      <c r="Q1678">
        <v>0.1</v>
      </c>
      <c r="R1678">
        <v>900</v>
      </c>
      <c r="S1678" t="s">
        <v>29</v>
      </c>
      <c r="T1678" t="s">
        <v>30</v>
      </c>
      <c r="U1678">
        <v>6</v>
      </c>
      <c r="V1678" t="s">
        <v>31</v>
      </c>
      <c r="W1678">
        <f>excelsalesdata[[#This Row],[Quantity]]*excelsalesdata[[#This Row],[Unit_Price]]</f>
        <v>1910</v>
      </c>
      <c r="X1678">
        <f>excelsalesdata[[#This Row],[Gross_sales]]*excelsalesdata[[#This Row],[Discount_%]]</f>
        <v>191</v>
      </c>
      <c r="Y1678">
        <f>excelsalesdata[[#This Row],[Gross_sales]]-excelsalesdata[[#This Row],[Discount_amt]]</f>
        <v>1719</v>
      </c>
      <c r="Z1678" s="4">
        <f>excelsalesdata[[#This Row],[Net_sales]]-excelsalesdata[[#This Row],[Cost]]</f>
        <v>819</v>
      </c>
      <c r="AA1678" s="5">
        <f>excelsalesdata[[#This Row],[Profit]]/excelsalesdata[[#This Row],[Net_sales]]</f>
        <v>0.47643979057591623</v>
      </c>
      <c r="AB1678" s="4">
        <f>YEAR(excelsalesdata[[#This Row],[Order_Date]])</f>
        <v>2029</v>
      </c>
      <c r="AC1678" s="4" t="str">
        <f>TEXT(excelsalesdata[[#This Row],[Order_Date]],"mmm")</f>
        <v>Nov</v>
      </c>
      <c r="AD1678" s="4" t="str">
        <f>"Q"&amp;ROUNDUP(MONTH(excelsalesdata[[#This Row],[Order_Date]])/3,0)</f>
        <v>Q4</v>
      </c>
    </row>
    <row r="1679" spans="1:30" x14ac:dyDescent="0.35">
      <c r="A1679" t="s">
        <v>2515</v>
      </c>
      <c r="B1679" s="3">
        <v>47437</v>
      </c>
      <c r="C1679" t="s">
        <v>373</v>
      </c>
      <c r="D1679" t="s">
        <v>658</v>
      </c>
      <c r="E1679" t="str">
        <f>TRIM(excelsalesdata[[#This Row],[Customer_Name]])</f>
        <v>Vikram Mehta</v>
      </c>
      <c r="F1679" t="s">
        <v>23</v>
      </c>
      <c r="G1679">
        <v>51</v>
      </c>
      <c r="H1679" t="s">
        <v>114</v>
      </c>
      <c r="I1679" t="str">
        <f>TRIM(excelsalesdata[[#This Row],[City]])</f>
        <v>Hyderabad</v>
      </c>
      <c r="J1679" t="s">
        <v>115</v>
      </c>
      <c r="K1679" t="s">
        <v>47</v>
      </c>
      <c r="L1679" t="s">
        <v>103</v>
      </c>
      <c r="M1679" t="s">
        <v>312</v>
      </c>
      <c r="N1679" t="s">
        <v>312</v>
      </c>
      <c r="O1679">
        <v>1</v>
      </c>
      <c r="P1679">
        <v>6380</v>
      </c>
      <c r="Q1679">
        <v>0.2</v>
      </c>
      <c r="R1679">
        <v>4310</v>
      </c>
      <c r="S1679" t="s">
        <v>105</v>
      </c>
      <c r="T1679" t="s">
        <v>30</v>
      </c>
      <c r="U1679">
        <v>7</v>
      </c>
      <c r="V1679" t="s">
        <v>31</v>
      </c>
      <c r="W1679">
        <f>excelsalesdata[[#This Row],[Quantity]]*excelsalesdata[[#This Row],[Unit_Price]]</f>
        <v>6380</v>
      </c>
      <c r="X1679">
        <f>excelsalesdata[[#This Row],[Gross_sales]]*excelsalesdata[[#This Row],[Discount_%]]</f>
        <v>1276</v>
      </c>
      <c r="Y1679">
        <f>excelsalesdata[[#This Row],[Gross_sales]]-excelsalesdata[[#This Row],[Discount_amt]]</f>
        <v>5104</v>
      </c>
      <c r="Z1679" s="4">
        <f>excelsalesdata[[#This Row],[Net_sales]]-excelsalesdata[[#This Row],[Cost]]</f>
        <v>794</v>
      </c>
      <c r="AA1679" s="5">
        <f>excelsalesdata[[#This Row],[Profit]]/excelsalesdata[[#This Row],[Net_sales]]</f>
        <v>0.15556426332288401</v>
      </c>
      <c r="AB1679" s="4">
        <f>YEAR(excelsalesdata[[#This Row],[Order_Date]])</f>
        <v>2029</v>
      </c>
      <c r="AC1679" s="4" t="str">
        <f>TEXT(excelsalesdata[[#This Row],[Order_Date]],"mmm")</f>
        <v>Nov</v>
      </c>
      <c r="AD1679" s="4" t="str">
        <f>"Q"&amp;ROUNDUP(MONTH(excelsalesdata[[#This Row],[Order_Date]])/3,0)</f>
        <v>Q4</v>
      </c>
    </row>
    <row r="1680" spans="1:30" x14ac:dyDescent="0.35">
      <c r="A1680" t="s">
        <v>2516</v>
      </c>
      <c r="B1680" s="3">
        <v>47438</v>
      </c>
      <c r="C1680" t="s">
        <v>2517</v>
      </c>
      <c r="D1680" t="s">
        <v>1392</v>
      </c>
      <c r="E1680" t="str">
        <f>TRIM(excelsalesdata[[#This Row],[Customer_Name]])</f>
        <v>Rohan Das</v>
      </c>
      <c r="F1680" t="s">
        <v>44</v>
      </c>
      <c r="G1680">
        <v>40</v>
      </c>
      <c r="H1680" t="s">
        <v>78</v>
      </c>
      <c r="I1680" t="str">
        <f>TRIM(excelsalesdata[[#This Row],[City]])</f>
        <v>Guwahati</v>
      </c>
      <c r="J1680" t="s">
        <v>79</v>
      </c>
      <c r="K1680" t="s">
        <v>37</v>
      </c>
      <c r="L1680" t="s">
        <v>93</v>
      </c>
      <c r="M1680" t="s">
        <v>375</v>
      </c>
      <c r="N1680" t="s">
        <v>375</v>
      </c>
      <c r="O1680">
        <v>4</v>
      </c>
      <c r="P1680">
        <v>2030</v>
      </c>
      <c r="Q1680">
        <v>0.15</v>
      </c>
      <c r="R1680">
        <v>1260</v>
      </c>
      <c r="S1680" t="s">
        <v>80</v>
      </c>
      <c r="T1680" t="s">
        <v>30</v>
      </c>
      <c r="U1680">
        <v>4</v>
      </c>
      <c r="V1680" t="s">
        <v>40</v>
      </c>
      <c r="W1680">
        <f>excelsalesdata[[#This Row],[Quantity]]*excelsalesdata[[#This Row],[Unit_Price]]</f>
        <v>8120</v>
      </c>
      <c r="X1680">
        <f>excelsalesdata[[#This Row],[Gross_sales]]*excelsalesdata[[#This Row],[Discount_%]]</f>
        <v>1218</v>
      </c>
      <c r="Y1680">
        <f>excelsalesdata[[#This Row],[Gross_sales]]-excelsalesdata[[#This Row],[Discount_amt]]</f>
        <v>6902</v>
      </c>
      <c r="Z1680" s="4">
        <f>excelsalesdata[[#This Row],[Net_sales]]-excelsalesdata[[#This Row],[Cost]]</f>
        <v>5642</v>
      </c>
      <c r="AA1680" s="5">
        <f>excelsalesdata[[#This Row],[Profit]]/excelsalesdata[[#This Row],[Net_sales]]</f>
        <v>0.81744421906693709</v>
      </c>
      <c r="AB1680" s="4">
        <f>YEAR(excelsalesdata[[#This Row],[Order_Date]])</f>
        <v>2029</v>
      </c>
      <c r="AC1680" s="4" t="str">
        <f>TEXT(excelsalesdata[[#This Row],[Order_Date]],"mmm")</f>
        <v>Nov</v>
      </c>
      <c r="AD1680" s="4" t="str">
        <f>"Q"&amp;ROUNDUP(MONTH(excelsalesdata[[#This Row],[Order_Date]])/3,0)</f>
        <v>Q4</v>
      </c>
    </row>
    <row r="1681" spans="1:30" x14ac:dyDescent="0.35">
      <c r="A1681" t="s">
        <v>2518</v>
      </c>
      <c r="B1681" s="3">
        <v>47439</v>
      </c>
      <c r="C1681" t="s">
        <v>1170</v>
      </c>
      <c r="D1681" t="s">
        <v>247</v>
      </c>
      <c r="E1681" t="str">
        <f>TRIM(excelsalesdata[[#This Row],[Customer_Name]])</f>
        <v>Priya Mehta</v>
      </c>
      <c r="F1681" t="s">
        <v>23</v>
      </c>
      <c r="G1681">
        <v>42</v>
      </c>
      <c r="H1681" t="s">
        <v>155</v>
      </c>
      <c r="I1681" t="str">
        <f>TRIM(excelsalesdata[[#This Row],[City]])</f>
        <v>Chennai</v>
      </c>
      <c r="J1681" t="s">
        <v>156</v>
      </c>
      <c r="K1681" t="s">
        <v>47</v>
      </c>
      <c r="L1681" t="s">
        <v>54</v>
      </c>
      <c r="M1681" t="s">
        <v>66</v>
      </c>
      <c r="N1681" t="s">
        <v>66</v>
      </c>
      <c r="O1681">
        <v>2</v>
      </c>
      <c r="P1681">
        <v>2370</v>
      </c>
      <c r="Q1681">
        <v>0.15</v>
      </c>
      <c r="R1681">
        <v>1480</v>
      </c>
      <c r="S1681" t="s">
        <v>151</v>
      </c>
      <c r="T1681" t="s">
        <v>30</v>
      </c>
      <c r="U1681">
        <v>4</v>
      </c>
      <c r="V1681" t="s">
        <v>40</v>
      </c>
      <c r="W1681">
        <f>excelsalesdata[[#This Row],[Quantity]]*excelsalesdata[[#This Row],[Unit_Price]]</f>
        <v>4740</v>
      </c>
      <c r="X1681">
        <f>excelsalesdata[[#This Row],[Gross_sales]]*excelsalesdata[[#This Row],[Discount_%]]</f>
        <v>711</v>
      </c>
      <c r="Y1681">
        <f>excelsalesdata[[#This Row],[Gross_sales]]-excelsalesdata[[#This Row],[Discount_amt]]</f>
        <v>4029</v>
      </c>
      <c r="Z1681" s="4">
        <f>excelsalesdata[[#This Row],[Net_sales]]-excelsalesdata[[#This Row],[Cost]]</f>
        <v>2549</v>
      </c>
      <c r="AA1681" s="5">
        <f>excelsalesdata[[#This Row],[Profit]]/excelsalesdata[[#This Row],[Net_sales]]</f>
        <v>0.63266319185902209</v>
      </c>
      <c r="AB1681" s="4">
        <f>YEAR(excelsalesdata[[#This Row],[Order_Date]])</f>
        <v>2029</v>
      </c>
      <c r="AC1681" s="4" t="str">
        <f>TEXT(excelsalesdata[[#This Row],[Order_Date]],"mmm")</f>
        <v>Nov</v>
      </c>
      <c r="AD1681" s="4" t="str">
        <f>"Q"&amp;ROUNDUP(MONTH(excelsalesdata[[#This Row],[Order_Date]])/3,0)</f>
        <v>Q4</v>
      </c>
    </row>
    <row r="1682" spans="1:30" x14ac:dyDescent="0.35">
      <c r="A1682" t="s">
        <v>2519</v>
      </c>
      <c r="B1682" s="3">
        <v>47440</v>
      </c>
      <c r="C1682" t="s">
        <v>946</v>
      </c>
      <c r="D1682" t="s">
        <v>588</v>
      </c>
      <c r="E1682" t="str">
        <f>TRIM(excelsalesdata[[#This Row],[Customer_Name]])</f>
        <v>Karan Rao</v>
      </c>
      <c r="F1682" t="s">
        <v>23</v>
      </c>
      <c r="G1682">
        <v>24</v>
      </c>
      <c r="H1682" t="s">
        <v>114</v>
      </c>
      <c r="I1682" t="str">
        <f>TRIM(excelsalesdata[[#This Row],[City]])</f>
        <v>Hyderabad</v>
      </c>
      <c r="J1682" t="s">
        <v>115</v>
      </c>
      <c r="K1682" t="s">
        <v>47</v>
      </c>
      <c r="L1682" t="s">
        <v>85</v>
      </c>
      <c r="M1682" t="s">
        <v>86</v>
      </c>
      <c r="N1682" t="s">
        <v>86</v>
      </c>
      <c r="O1682">
        <v>3</v>
      </c>
      <c r="P1682">
        <v>2600</v>
      </c>
      <c r="Q1682">
        <v>0.1</v>
      </c>
      <c r="R1682">
        <v>1530</v>
      </c>
      <c r="S1682" t="s">
        <v>67</v>
      </c>
      <c r="T1682" t="s">
        <v>99</v>
      </c>
      <c r="U1682">
        <v>7</v>
      </c>
      <c r="V1682" t="s">
        <v>31</v>
      </c>
      <c r="W1682">
        <f>excelsalesdata[[#This Row],[Quantity]]*excelsalesdata[[#This Row],[Unit_Price]]</f>
        <v>7800</v>
      </c>
      <c r="X1682">
        <f>excelsalesdata[[#This Row],[Gross_sales]]*excelsalesdata[[#This Row],[Discount_%]]</f>
        <v>780</v>
      </c>
      <c r="Y1682">
        <f>excelsalesdata[[#This Row],[Gross_sales]]-excelsalesdata[[#This Row],[Discount_amt]]</f>
        <v>7020</v>
      </c>
      <c r="Z1682" s="4">
        <f>excelsalesdata[[#This Row],[Net_sales]]-excelsalesdata[[#This Row],[Cost]]</f>
        <v>5490</v>
      </c>
      <c r="AA1682" s="5">
        <f>excelsalesdata[[#This Row],[Profit]]/excelsalesdata[[#This Row],[Net_sales]]</f>
        <v>0.78205128205128205</v>
      </c>
      <c r="AB1682" s="4">
        <f>YEAR(excelsalesdata[[#This Row],[Order_Date]])</f>
        <v>2029</v>
      </c>
      <c r="AC1682" s="4" t="str">
        <f>TEXT(excelsalesdata[[#This Row],[Order_Date]],"mmm")</f>
        <v>Nov</v>
      </c>
      <c r="AD1682" s="4" t="str">
        <f>"Q"&amp;ROUNDUP(MONTH(excelsalesdata[[#This Row],[Order_Date]])/3,0)</f>
        <v>Q4</v>
      </c>
    </row>
    <row r="1683" spans="1:30" x14ac:dyDescent="0.35">
      <c r="A1683" t="s">
        <v>2520</v>
      </c>
      <c r="B1683" s="3">
        <v>47441</v>
      </c>
      <c r="C1683" t="s">
        <v>1019</v>
      </c>
      <c r="D1683" t="s">
        <v>466</v>
      </c>
      <c r="E1683" t="str">
        <f>TRIM(excelsalesdata[[#This Row],[Customer_Name]])</f>
        <v>Ishita Bhat</v>
      </c>
      <c r="F1683" t="s">
        <v>44</v>
      </c>
      <c r="G1683">
        <v>33</v>
      </c>
      <c r="H1683" t="s">
        <v>45</v>
      </c>
      <c r="I1683" t="str">
        <f>TRIM(excelsalesdata[[#This Row],[City]])</f>
        <v>Kochi</v>
      </c>
      <c r="J1683" t="s">
        <v>46</v>
      </c>
      <c r="K1683" t="s">
        <v>47</v>
      </c>
      <c r="L1683" t="s">
        <v>27</v>
      </c>
      <c r="M1683" t="s">
        <v>195</v>
      </c>
      <c r="N1683" t="s">
        <v>195</v>
      </c>
      <c r="O1683">
        <v>1</v>
      </c>
      <c r="P1683">
        <v>2370</v>
      </c>
      <c r="Q1683">
        <v>0.15</v>
      </c>
      <c r="R1683">
        <v>1190</v>
      </c>
      <c r="S1683" t="s">
        <v>29</v>
      </c>
      <c r="T1683" t="s">
        <v>30</v>
      </c>
      <c r="U1683">
        <v>2</v>
      </c>
      <c r="V1683" t="s">
        <v>40</v>
      </c>
      <c r="W1683">
        <f>excelsalesdata[[#This Row],[Quantity]]*excelsalesdata[[#This Row],[Unit_Price]]</f>
        <v>2370</v>
      </c>
      <c r="X1683">
        <f>excelsalesdata[[#This Row],[Gross_sales]]*excelsalesdata[[#This Row],[Discount_%]]</f>
        <v>355.5</v>
      </c>
      <c r="Y1683">
        <f>excelsalesdata[[#This Row],[Gross_sales]]-excelsalesdata[[#This Row],[Discount_amt]]</f>
        <v>2014.5</v>
      </c>
      <c r="Z1683" s="4">
        <f>excelsalesdata[[#This Row],[Net_sales]]-excelsalesdata[[#This Row],[Cost]]</f>
        <v>824.5</v>
      </c>
      <c r="AA1683" s="5">
        <f>excelsalesdata[[#This Row],[Profit]]/excelsalesdata[[#This Row],[Net_sales]]</f>
        <v>0.40928270042194093</v>
      </c>
      <c r="AB1683" s="4">
        <f>YEAR(excelsalesdata[[#This Row],[Order_Date]])</f>
        <v>2029</v>
      </c>
      <c r="AC1683" s="4" t="str">
        <f>TEXT(excelsalesdata[[#This Row],[Order_Date]],"mmm")</f>
        <v>Nov</v>
      </c>
      <c r="AD1683" s="4" t="str">
        <f>"Q"&amp;ROUNDUP(MONTH(excelsalesdata[[#This Row],[Order_Date]])/3,0)</f>
        <v>Q4</v>
      </c>
    </row>
    <row r="1684" spans="1:30" x14ac:dyDescent="0.35">
      <c r="A1684" t="s">
        <v>2521</v>
      </c>
      <c r="B1684" s="3">
        <v>47442</v>
      </c>
      <c r="C1684" t="s">
        <v>1431</v>
      </c>
      <c r="D1684" t="s">
        <v>1271</v>
      </c>
      <c r="E1684" t="str">
        <f>TRIM(excelsalesdata[[#This Row],[Customer_Name]])</f>
        <v>Arjun Sharma</v>
      </c>
      <c r="F1684" t="s">
        <v>44</v>
      </c>
      <c r="G1684">
        <v>43</v>
      </c>
      <c r="H1684" t="s">
        <v>190</v>
      </c>
      <c r="I1684" t="str">
        <f>TRIM(excelsalesdata[[#This Row],[City]])</f>
        <v>Ahmedabad</v>
      </c>
      <c r="J1684" t="s">
        <v>191</v>
      </c>
      <c r="K1684" t="s">
        <v>26</v>
      </c>
      <c r="L1684" t="s">
        <v>54</v>
      </c>
      <c r="M1684" t="s">
        <v>55</v>
      </c>
      <c r="N1684" t="s">
        <v>55</v>
      </c>
      <c r="O1684">
        <v>3</v>
      </c>
      <c r="P1684">
        <v>6950</v>
      </c>
      <c r="Q1684">
        <v>0</v>
      </c>
      <c r="R1684">
        <v>4400</v>
      </c>
      <c r="S1684" t="s">
        <v>80</v>
      </c>
      <c r="T1684" t="s">
        <v>30</v>
      </c>
      <c r="U1684">
        <v>1</v>
      </c>
      <c r="V1684" t="s">
        <v>40</v>
      </c>
      <c r="W1684">
        <f>excelsalesdata[[#This Row],[Quantity]]*excelsalesdata[[#This Row],[Unit_Price]]</f>
        <v>20850</v>
      </c>
      <c r="X1684">
        <f>excelsalesdata[[#This Row],[Gross_sales]]*excelsalesdata[[#This Row],[Discount_%]]</f>
        <v>0</v>
      </c>
      <c r="Y1684">
        <f>excelsalesdata[[#This Row],[Gross_sales]]-excelsalesdata[[#This Row],[Discount_amt]]</f>
        <v>20850</v>
      </c>
      <c r="Z1684" s="4">
        <f>excelsalesdata[[#This Row],[Net_sales]]-excelsalesdata[[#This Row],[Cost]]</f>
        <v>16450</v>
      </c>
      <c r="AA1684" s="5">
        <f>excelsalesdata[[#This Row],[Profit]]/excelsalesdata[[#This Row],[Net_sales]]</f>
        <v>0.78896882494004794</v>
      </c>
      <c r="AB1684" s="4">
        <f>YEAR(excelsalesdata[[#This Row],[Order_Date]])</f>
        <v>2029</v>
      </c>
      <c r="AC1684" s="4" t="str">
        <f>TEXT(excelsalesdata[[#This Row],[Order_Date]],"mmm")</f>
        <v>Nov</v>
      </c>
      <c r="AD1684" s="4" t="str">
        <f>"Q"&amp;ROUNDUP(MONTH(excelsalesdata[[#This Row],[Order_Date]])/3,0)</f>
        <v>Q4</v>
      </c>
    </row>
    <row r="1685" spans="1:30" x14ac:dyDescent="0.35">
      <c r="A1685" t="s">
        <v>2522</v>
      </c>
      <c r="B1685" s="3">
        <v>47443</v>
      </c>
      <c r="C1685" t="s">
        <v>616</v>
      </c>
      <c r="D1685" t="s">
        <v>77</v>
      </c>
      <c r="E1685" t="str">
        <f>TRIM(excelsalesdata[[#This Row],[Customer_Name]])</f>
        <v>Kavya Rao</v>
      </c>
      <c r="F1685" t="s">
        <v>23</v>
      </c>
      <c r="G1685">
        <v>37</v>
      </c>
      <c r="H1685" t="s">
        <v>71</v>
      </c>
      <c r="I1685" t="str">
        <f>TRIM(excelsalesdata[[#This Row],[City]])</f>
        <v>Bhubaneswar</v>
      </c>
      <c r="J1685" t="s">
        <v>72</v>
      </c>
      <c r="K1685" t="s">
        <v>37</v>
      </c>
      <c r="L1685" t="s">
        <v>103</v>
      </c>
      <c r="M1685" t="s">
        <v>178</v>
      </c>
      <c r="N1685" t="s">
        <v>178</v>
      </c>
      <c r="O1685">
        <v>2</v>
      </c>
      <c r="P1685">
        <v>1830</v>
      </c>
      <c r="Q1685">
        <v>0.15</v>
      </c>
      <c r="R1685">
        <v>930</v>
      </c>
      <c r="S1685" t="s">
        <v>105</v>
      </c>
      <c r="T1685" t="s">
        <v>81</v>
      </c>
      <c r="U1685">
        <v>0</v>
      </c>
      <c r="V1685" t="s">
        <v>40</v>
      </c>
      <c r="W1685">
        <f>excelsalesdata[[#This Row],[Quantity]]*excelsalesdata[[#This Row],[Unit_Price]]</f>
        <v>3660</v>
      </c>
      <c r="X1685">
        <f>excelsalesdata[[#This Row],[Gross_sales]]*excelsalesdata[[#This Row],[Discount_%]]</f>
        <v>549</v>
      </c>
      <c r="Y1685">
        <f>excelsalesdata[[#This Row],[Gross_sales]]-excelsalesdata[[#This Row],[Discount_amt]]</f>
        <v>3111</v>
      </c>
      <c r="Z1685" s="4">
        <f>excelsalesdata[[#This Row],[Net_sales]]-excelsalesdata[[#This Row],[Cost]]</f>
        <v>2181</v>
      </c>
      <c r="AA1685" s="5">
        <f>excelsalesdata[[#This Row],[Profit]]/excelsalesdata[[#This Row],[Net_sales]]</f>
        <v>0.7010607521697203</v>
      </c>
      <c r="AB1685" s="4">
        <f>YEAR(excelsalesdata[[#This Row],[Order_Date]])</f>
        <v>2029</v>
      </c>
      <c r="AC1685" s="4" t="str">
        <f>TEXT(excelsalesdata[[#This Row],[Order_Date]],"mmm")</f>
        <v>Nov</v>
      </c>
      <c r="AD1685" s="4" t="str">
        <f>"Q"&amp;ROUNDUP(MONTH(excelsalesdata[[#This Row],[Order_Date]])/3,0)</f>
        <v>Q4</v>
      </c>
    </row>
    <row r="1686" spans="1:30" x14ac:dyDescent="0.35">
      <c r="A1686" t="s">
        <v>2523</v>
      </c>
      <c r="B1686" s="3">
        <v>47444</v>
      </c>
      <c r="C1686" t="s">
        <v>814</v>
      </c>
      <c r="D1686" t="s">
        <v>294</v>
      </c>
      <c r="E1686" t="str">
        <f>TRIM(excelsalesdata[[#This Row],[Customer_Name]])</f>
        <v>Ananya Gupta</v>
      </c>
      <c r="F1686" t="s">
        <v>44</v>
      </c>
      <c r="G1686">
        <v>58</v>
      </c>
      <c r="H1686" t="s">
        <v>78</v>
      </c>
      <c r="I1686" t="str">
        <f>TRIM(excelsalesdata[[#This Row],[City]])</f>
        <v>Guwahati</v>
      </c>
      <c r="J1686" t="s">
        <v>79</v>
      </c>
      <c r="K1686" t="s">
        <v>37</v>
      </c>
      <c r="L1686" t="s">
        <v>103</v>
      </c>
      <c r="M1686" t="s">
        <v>238</v>
      </c>
      <c r="N1686" t="s">
        <v>238</v>
      </c>
      <c r="O1686">
        <v>2</v>
      </c>
      <c r="P1686">
        <v>4050</v>
      </c>
      <c r="Q1686">
        <v>0.2</v>
      </c>
      <c r="R1686">
        <v>2680</v>
      </c>
      <c r="S1686" t="s">
        <v>29</v>
      </c>
      <c r="T1686" t="s">
        <v>99</v>
      </c>
      <c r="U1686">
        <v>3</v>
      </c>
      <c r="V1686" t="s">
        <v>31</v>
      </c>
      <c r="W1686">
        <f>excelsalesdata[[#This Row],[Quantity]]*excelsalesdata[[#This Row],[Unit_Price]]</f>
        <v>8100</v>
      </c>
      <c r="X1686">
        <f>excelsalesdata[[#This Row],[Gross_sales]]*excelsalesdata[[#This Row],[Discount_%]]</f>
        <v>1620</v>
      </c>
      <c r="Y1686">
        <f>excelsalesdata[[#This Row],[Gross_sales]]-excelsalesdata[[#This Row],[Discount_amt]]</f>
        <v>6480</v>
      </c>
      <c r="Z1686" s="4">
        <f>excelsalesdata[[#This Row],[Net_sales]]-excelsalesdata[[#This Row],[Cost]]</f>
        <v>3800</v>
      </c>
      <c r="AA1686" s="5">
        <f>excelsalesdata[[#This Row],[Profit]]/excelsalesdata[[#This Row],[Net_sales]]</f>
        <v>0.5864197530864198</v>
      </c>
      <c r="AB1686" s="4">
        <f>YEAR(excelsalesdata[[#This Row],[Order_Date]])</f>
        <v>2029</v>
      </c>
      <c r="AC1686" s="4" t="str">
        <f>TEXT(excelsalesdata[[#This Row],[Order_Date]],"mmm")</f>
        <v>Nov</v>
      </c>
      <c r="AD1686" s="4" t="str">
        <f>"Q"&amp;ROUNDUP(MONTH(excelsalesdata[[#This Row],[Order_Date]])/3,0)</f>
        <v>Q4</v>
      </c>
    </row>
    <row r="1687" spans="1:30" x14ac:dyDescent="0.35">
      <c r="A1687" t="s">
        <v>2524</v>
      </c>
      <c r="B1687" s="3">
        <v>47445</v>
      </c>
      <c r="C1687" t="s">
        <v>1436</v>
      </c>
      <c r="D1687" t="s">
        <v>899</v>
      </c>
      <c r="E1687" t="str">
        <f>TRIM(excelsalesdata[[#This Row],[Customer_Name]])</f>
        <v>Arjun Shah</v>
      </c>
      <c r="F1687" t="s">
        <v>23</v>
      </c>
      <c r="G1687">
        <v>20</v>
      </c>
      <c r="H1687" t="s">
        <v>109</v>
      </c>
      <c r="I1687" t="str">
        <f>TRIM(excelsalesdata[[#This Row],[City]])</f>
        <v>Mysuru</v>
      </c>
      <c r="J1687" t="s">
        <v>53</v>
      </c>
      <c r="K1687" t="s">
        <v>47</v>
      </c>
      <c r="L1687" t="s">
        <v>27</v>
      </c>
      <c r="M1687" t="s">
        <v>295</v>
      </c>
      <c r="N1687" t="s">
        <v>295</v>
      </c>
      <c r="O1687">
        <v>1</v>
      </c>
      <c r="P1687">
        <v>4180</v>
      </c>
      <c r="Q1687">
        <v>0.25</v>
      </c>
      <c r="R1687">
        <v>2660</v>
      </c>
      <c r="S1687" t="s">
        <v>29</v>
      </c>
      <c r="T1687" t="s">
        <v>30</v>
      </c>
      <c r="U1687">
        <v>7</v>
      </c>
      <c r="V1687" t="s">
        <v>31</v>
      </c>
      <c r="W1687">
        <f>excelsalesdata[[#This Row],[Quantity]]*excelsalesdata[[#This Row],[Unit_Price]]</f>
        <v>4180</v>
      </c>
      <c r="X1687">
        <f>excelsalesdata[[#This Row],[Gross_sales]]*excelsalesdata[[#This Row],[Discount_%]]</f>
        <v>1045</v>
      </c>
      <c r="Y1687">
        <f>excelsalesdata[[#This Row],[Gross_sales]]-excelsalesdata[[#This Row],[Discount_amt]]</f>
        <v>3135</v>
      </c>
      <c r="Z1687" s="4">
        <f>excelsalesdata[[#This Row],[Net_sales]]-excelsalesdata[[#This Row],[Cost]]</f>
        <v>475</v>
      </c>
      <c r="AA1687" s="5">
        <f>excelsalesdata[[#This Row],[Profit]]/excelsalesdata[[#This Row],[Net_sales]]</f>
        <v>0.15151515151515152</v>
      </c>
      <c r="AB1687" s="4">
        <f>YEAR(excelsalesdata[[#This Row],[Order_Date]])</f>
        <v>2029</v>
      </c>
      <c r="AC1687" s="4" t="str">
        <f>TEXT(excelsalesdata[[#This Row],[Order_Date]],"mmm")</f>
        <v>Nov</v>
      </c>
      <c r="AD1687" s="4" t="str">
        <f>"Q"&amp;ROUNDUP(MONTH(excelsalesdata[[#This Row],[Order_Date]])/3,0)</f>
        <v>Q4</v>
      </c>
    </row>
    <row r="1688" spans="1:30" x14ac:dyDescent="0.35">
      <c r="A1688" t="s">
        <v>2525</v>
      </c>
      <c r="B1688" s="3">
        <v>47446</v>
      </c>
      <c r="C1688" t="s">
        <v>800</v>
      </c>
      <c r="D1688" t="s">
        <v>201</v>
      </c>
      <c r="E1688" t="str">
        <f>TRIM(excelsalesdata[[#This Row],[Customer_Name]])</f>
        <v>Nisha Verma</v>
      </c>
      <c r="F1688" t="s">
        <v>44</v>
      </c>
      <c r="G1688">
        <v>30</v>
      </c>
      <c r="H1688" t="s">
        <v>190</v>
      </c>
      <c r="I1688" t="str">
        <f>TRIM(excelsalesdata[[#This Row],[City]])</f>
        <v>Ahmedabad</v>
      </c>
      <c r="J1688" t="s">
        <v>191</v>
      </c>
      <c r="K1688" t="s">
        <v>26</v>
      </c>
      <c r="L1688" t="s">
        <v>27</v>
      </c>
      <c r="M1688" t="s">
        <v>295</v>
      </c>
      <c r="N1688" t="s">
        <v>295</v>
      </c>
      <c r="O1688">
        <v>2</v>
      </c>
      <c r="P1688">
        <v>4310</v>
      </c>
      <c r="Q1688">
        <v>0.05</v>
      </c>
      <c r="R1688">
        <v>2550</v>
      </c>
      <c r="S1688" t="s">
        <v>80</v>
      </c>
      <c r="T1688" t="s">
        <v>30</v>
      </c>
      <c r="U1688">
        <v>3</v>
      </c>
      <c r="V1688" t="s">
        <v>40</v>
      </c>
      <c r="W1688">
        <f>excelsalesdata[[#This Row],[Quantity]]*excelsalesdata[[#This Row],[Unit_Price]]</f>
        <v>8620</v>
      </c>
      <c r="X1688">
        <f>excelsalesdata[[#This Row],[Gross_sales]]*excelsalesdata[[#This Row],[Discount_%]]</f>
        <v>431</v>
      </c>
      <c r="Y1688">
        <f>excelsalesdata[[#This Row],[Gross_sales]]-excelsalesdata[[#This Row],[Discount_amt]]</f>
        <v>8189</v>
      </c>
      <c r="Z1688" s="4">
        <f>excelsalesdata[[#This Row],[Net_sales]]-excelsalesdata[[#This Row],[Cost]]</f>
        <v>5639</v>
      </c>
      <c r="AA1688" s="5">
        <f>excelsalesdata[[#This Row],[Profit]]/excelsalesdata[[#This Row],[Net_sales]]</f>
        <v>0.68860666748076693</v>
      </c>
      <c r="AB1688" s="4">
        <f>YEAR(excelsalesdata[[#This Row],[Order_Date]])</f>
        <v>2029</v>
      </c>
      <c r="AC1688" s="4" t="str">
        <f>TEXT(excelsalesdata[[#This Row],[Order_Date]],"mmm")</f>
        <v>Nov</v>
      </c>
      <c r="AD1688" s="4" t="str">
        <f>"Q"&amp;ROUNDUP(MONTH(excelsalesdata[[#This Row],[Order_Date]])/3,0)</f>
        <v>Q4</v>
      </c>
    </row>
    <row r="1689" spans="1:30" x14ac:dyDescent="0.35">
      <c r="A1689" t="s">
        <v>2526</v>
      </c>
      <c r="B1689" s="3">
        <v>47447</v>
      </c>
      <c r="C1689" t="s">
        <v>864</v>
      </c>
      <c r="D1689" t="s">
        <v>507</v>
      </c>
      <c r="E1689" t="str">
        <f>TRIM(excelsalesdata[[#This Row],[Customer_Name]])</f>
        <v>Vikram Iyer</v>
      </c>
      <c r="F1689" t="s">
        <v>23</v>
      </c>
      <c r="G1689">
        <v>56</v>
      </c>
      <c r="H1689" t="s">
        <v>52</v>
      </c>
      <c r="I1689" t="str">
        <f>TRIM(excelsalesdata[[#This Row],[City]])</f>
        <v>Bengaluru</v>
      </c>
      <c r="J1689" t="s">
        <v>53</v>
      </c>
      <c r="K1689" t="s">
        <v>47</v>
      </c>
      <c r="L1689" t="s">
        <v>93</v>
      </c>
      <c r="M1689" t="s">
        <v>718</v>
      </c>
      <c r="N1689" t="s">
        <v>718</v>
      </c>
      <c r="O1689">
        <v>2</v>
      </c>
      <c r="P1689">
        <v>1690</v>
      </c>
      <c r="Q1689">
        <v>0</v>
      </c>
      <c r="R1689">
        <v>920</v>
      </c>
      <c r="S1689" t="s">
        <v>151</v>
      </c>
      <c r="T1689" t="s">
        <v>30</v>
      </c>
      <c r="U1689">
        <v>2</v>
      </c>
      <c r="V1689" t="s">
        <v>31</v>
      </c>
      <c r="W1689">
        <f>excelsalesdata[[#This Row],[Quantity]]*excelsalesdata[[#This Row],[Unit_Price]]</f>
        <v>3380</v>
      </c>
      <c r="X1689">
        <f>excelsalesdata[[#This Row],[Gross_sales]]*excelsalesdata[[#This Row],[Discount_%]]</f>
        <v>0</v>
      </c>
      <c r="Y1689">
        <f>excelsalesdata[[#This Row],[Gross_sales]]-excelsalesdata[[#This Row],[Discount_amt]]</f>
        <v>3380</v>
      </c>
      <c r="Z1689" s="4">
        <f>excelsalesdata[[#This Row],[Net_sales]]-excelsalesdata[[#This Row],[Cost]]</f>
        <v>2460</v>
      </c>
      <c r="AA1689" s="5">
        <f>excelsalesdata[[#This Row],[Profit]]/excelsalesdata[[#This Row],[Net_sales]]</f>
        <v>0.72781065088757402</v>
      </c>
      <c r="AB1689" s="4">
        <f>YEAR(excelsalesdata[[#This Row],[Order_Date]])</f>
        <v>2029</v>
      </c>
      <c r="AC1689" s="4" t="str">
        <f>TEXT(excelsalesdata[[#This Row],[Order_Date]],"mmm")</f>
        <v>Nov</v>
      </c>
      <c r="AD1689" s="4" t="str">
        <f>"Q"&amp;ROUNDUP(MONTH(excelsalesdata[[#This Row],[Order_Date]])/3,0)</f>
        <v>Q4</v>
      </c>
    </row>
    <row r="1690" spans="1:30" x14ac:dyDescent="0.35">
      <c r="A1690" t="s">
        <v>2527</v>
      </c>
      <c r="B1690" s="3">
        <v>47448</v>
      </c>
      <c r="C1690" t="s">
        <v>257</v>
      </c>
      <c r="D1690" t="s">
        <v>270</v>
      </c>
      <c r="E1690" t="str">
        <f>TRIM(excelsalesdata[[#This Row],[Customer_Name]])</f>
        <v>Ananya Das</v>
      </c>
      <c r="F1690" t="s">
        <v>23</v>
      </c>
      <c r="G1690">
        <v>41</v>
      </c>
      <c r="H1690" t="s">
        <v>185</v>
      </c>
      <c r="I1690" t="str">
        <f>TRIM(excelsalesdata[[#This Row],[City]])</f>
        <v>Lucknow</v>
      </c>
      <c r="J1690" t="s">
        <v>186</v>
      </c>
      <c r="K1690" t="s">
        <v>61</v>
      </c>
      <c r="L1690" t="s">
        <v>85</v>
      </c>
      <c r="M1690" t="s">
        <v>110</v>
      </c>
      <c r="N1690" t="s">
        <v>110</v>
      </c>
      <c r="O1690">
        <v>2</v>
      </c>
      <c r="P1690">
        <v>1220</v>
      </c>
      <c r="Q1690">
        <v>0.3</v>
      </c>
      <c r="R1690">
        <v>590</v>
      </c>
      <c r="S1690" t="s">
        <v>151</v>
      </c>
      <c r="T1690" t="s">
        <v>30</v>
      </c>
      <c r="U1690">
        <v>8</v>
      </c>
      <c r="V1690" t="s">
        <v>40</v>
      </c>
      <c r="W1690">
        <f>excelsalesdata[[#This Row],[Quantity]]*excelsalesdata[[#This Row],[Unit_Price]]</f>
        <v>2440</v>
      </c>
      <c r="X1690">
        <f>excelsalesdata[[#This Row],[Gross_sales]]*excelsalesdata[[#This Row],[Discount_%]]</f>
        <v>732</v>
      </c>
      <c r="Y1690">
        <f>excelsalesdata[[#This Row],[Gross_sales]]-excelsalesdata[[#This Row],[Discount_amt]]</f>
        <v>1708</v>
      </c>
      <c r="Z1690" s="4">
        <f>excelsalesdata[[#This Row],[Net_sales]]-excelsalesdata[[#This Row],[Cost]]</f>
        <v>1118</v>
      </c>
      <c r="AA1690" s="5">
        <f>excelsalesdata[[#This Row],[Profit]]/excelsalesdata[[#This Row],[Net_sales]]</f>
        <v>0.65456674473067911</v>
      </c>
      <c r="AB1690" s="4">
        <f>YEAR(excelsalesdata[[#This Row],[Order_Date]])</f>
        <v>2029</v>
      </c>
      <c r="AC1690" s="4" t="str">
        <f>TEXT(excelsalesdata[[#This Row],[Order_Date]],"mmm")</f>
        <v>Nov</v>
      </c>
      <c r="AD1690" s="4" t="str">
        <f>"Q"&amp;ROUNDUP(MONTH(excelsalesdata[[#This Row],[Order_Date]])/3,0)</f>
        <v>Q4</v>
      </c>
    </row>
    <row r="1691" spans="1:30" x14ac:dyDescent="0.35">
      <c r="A1691" t="s">
        <v>2528</v>
      </c>
      <c r="B1691" s="3">
        <v>47449</v>
      </c>
      <c r="C1691" t="s">
        <v>987</v>
      </c>
      <c r="D1691" t="s">
        <v>867</v>
      </c>
      <c r="E1691" t="str">
        <f>TRIM(excelsalesdata[[#This Row],[Customer_Name]])</f>
        <v>Sneha Nair</v>
      </c>
      <c r="F1691" t="s">
        <v>23</v>
      </c>
      <c r="G1691">
        <v>53</v>
      </c>
      <c r="H1691" t="s">
        <v>133</v>
      </c>
      <c r="I1691" t="str">
        <f>TRIM(excelsalesdata[[#This Row],[City]])</f>
        <v>Jaipur</v>
      </c>
      <c r="J1691" t="s">
        <v>134</v>
      </c>
      <c r="K1691" t="s">
        <v>61</v>
      </c>
      <c r="L1691" t="s">
        <v>27</v>
      </c>
      <c r="M1691" t="s">
        <v>28</v>
      </c>
      <c r="N1691" t="s">
        <v>28</v>
      </c>
      <c r="O1691">
        <v>3</v>
      </c>
      <c r="P1691">
        <v>3600</v>
      </c>
      <c r="Q1691">
        <v>0.1</v>
      </c>
      <c r="R1691">
        <v>2080</v>
      </c>
      <c r="S1691" t="s">
        <v>67</v>
      </c>
      <c r="T1691" t="s">
        <v>30</v>
      </c>
      <c r="U1691">
        <v>3</v>
      </c>
      <c r="V1691" t="s">
        <v>40</v>
      </c>
      <c r="W1691">
        <f>excelsalesdata[[#This Row],[Quantity]]*excelsalesdata[[#This Row],[Unit_Price]]</f>
        <v>10800</v>
      </c>
      <c r="X1691">
        <f>excelsalesdata[[#This Row],[Gross_sales]]*excelsalesdata[[#This Row],[Discount_%]]</f>
        <v>1080</v>
      </c>
      <c r="Y1691">
        <f>excelsalesdata[[#This Row],[Gross_sales]]-excelsalesdata[[#This Row],[Discount_amt]]</f>
        <v>9720</v>
      </c>
      <c r="Z1691" s="4">
        <f>excelsalesdata[[#This Row],[Net_sales]]-excelsalesdata[[#This Row],[Cost]]</f>
        <v>7640</v>
      </c>
      <c r="AA1691" s="5">
        <f>excelsalesdata[[#This Row],[Profit]]/excelsalesdata[[#This Row],[Net_sales]]</f>
        <v>0.78600823045267487</v>
      </c>
      <c r="AB1691" s="4">
        <f>YEAR(excelsalesdata[[#This Row],[Order_Date]])</f>
        <v>2029</v>
      </c>
      <c r="AC1691" s="4" t="str">
        <f>TEXT(excelsalesdata[[#This Row],[Order_Date]],"mmm")</f>
        <v>Nov</v>
      </c>
      <c r="AD1691" s="4" t="str">
        <f>"Q"&amp;ROUNDUP(MONTH(excelsalesdata[[#This Row],[Order_Date]])/3,0)</f>
        <v>Q4</v>
      </c>
    </row>
    <row r="1692" spans="1:30" x14ac:dyDescent="0.35">
      <c r="A1692" t="s">
        <v>2529</v>
      </c>
      <c r="B1692" s="3">
        <v>47450</v>
      </c>
      <c r="C1692" t="s">
        <v>272</v>
      </c>
      <c r="D1692" t="s">
        <v>591</v>
      </c>
      <c r="E1692" t="str">
        <f>TRIM(excelsalesdata[[#This Row],[Customer_Name]])</f>
        <v>Ishita Rao</v>
      </c>
      <c r="F1692" t="s">
        <v>44</v>
      </c>
      <c r="G1692">
        <v>33</v>
      </c>
      <c r="H1692" t="s">
        <v>71</v>
      </c>
      <c r="I1692" t="str">
        <f>TRIM(excelsalesdata[[#This Row],[City]])</f>
        <v>Bhubaneswar</v>
      </c>
      <c r="J1692" t="s">
        <v>72</v>
      </c>
      <c r="K1692" t="s">
        <v>37</v>
      </c>
      <c r="L1692" t="s">
        <v>54</v>
      </c>
      <c r="M1692" t="s">
        <v>62</v>
      </c>
      <c r="N1692" t="s">
        <v>62</v>
      </c>
      <c r="O1692">
        <v>1</v>
      </c>
      <c r="P1692">
        <v>21050</v>
      </c>
      <c r="Q1692">
        <v>0.05</v>
      </c>
      <c r="R1692">
        <v>14780</v>
      </c>
      <c r="S1692" t="s">
        <v>29</v>
      </c>
      <c r="T1692" t="s">
        <v>30</v>
      </c>
      <c r="U1692">
        <v>3</v>
      </c>
      <c r="V1692" t="s">
        <v>31</v>
      </c>
      <c r="W1692">
        <f>excelsalesdata[[#This Row],[Quantity]]*excelsalesdata[[#This Row],[Unit_Price]]</f>
        <v>21050</v>
      </c>
      <c r="X1692">
        <f>excelsalesdata[[#This Row],[Gross_sales]]*excelsalesdata[[#This Row],[Discount_%]]</f>
        <v>1052.5</v>
      </c>
      <c r="Y1692">
        <f>excelsalesdata[[#This Row],[Gross_sales]]-excelsalesdata[[#This Row],[Discount_amt]]</f>
        <v>19997.5</v>
      </c>
      <c r="Z1692" s="4">
        <f>excelsalesdata[[#This Row],[Net_sales]]-excelsalesdata[[#This Row],[Cost]]</f>
        <v>5217.5</v>
      </c>
      <c r="AA1692" s="5">
        <f>excelsalesdata[[#This Row],[Profit]]/excelsalesdata[[#This Row],[Net_sales]]</f>
        <v>0.26090761345168145</v>
      </c>
      <c r="AB1692" s="4">
        <f>YEAR(excelsalesdata[[#This Row],[Order_Date]])</f>
        <v>2029</v>
      </c>
      <c r="AC1692" s="4" t="str">
        <f>TEXT(excelsalesdata[[#This Row],[Order_Date]],"mmm")</f>
        <v>Nov</v>
      </c>
      <c r="AD1692" s="4" t="str">
        <f>"Q"&amp;ROUNDUP(MONTH(excelsalesdata[[#This Row],[Order_Date]])/3,0)</f>
        <v>Q4</v>
      </c>
    </row>
    <row r="1693" spans="1:30" x14ac:dyDescent="0.35">
      <c r="A1693" t="s">
        <v>2530</v>
      </c>
      <c r="B1693" s="3">
        <v>47451</v>
      </c>
      <c r="C1693" t="s">
        <v>465</v>
      </c>
      <c r="D1693" t="s">
        <v>385</v>
      </c>
      <c r="E1693" t="str">
        <f>TRIM(excelsalesdata[[#This Row],[Customer_Name]])</f>
        <v>Diya Verma</v>
      </c>
      <c r="F1693" t="s">
        <v>23</v>
      </c>
      <c r="G1693">
        <v>56</v>
      </c>
      <c r="H1693" t="s">
        <v>35</v>
      </c>
      <c r="I1693" t="str">
        <f>TRIM(excelsalesdata[[#This Row],[City]])</f>
        <v>Kolkata</v>
      </c>
      <c r="J1693" t="s">
        <v>36</v>
      </c>
      <c r="K1693" t="s">
        <v>37</v>
      </c>
      <c r="L1693" t="s">
        <v>85</v>
      </c>
      <c r="M1693" t="s">
        <v>172</v>
      </c>
      <c r="N1693" t="s">
        <v>172</v>
      </c>
      <c r="O1693">
        <v>2</v>
      </c>
      <c r="P1693">
        <v>4540</v>
      </c>
      <c r="Q1693">
        <v>0.05</v>
      </c>
      <c r="R1693">
        <v>2670</v>
      </c>
      <c r="S1693" t="s">
        <v>151</v>
      </c>
      <c r="T1693" t="s">
        <v>30</v>
      </c>
      <c r="U1693">
        <v>8</v>
      </c>
      <c r="V1693" t="s">
        <v>40</v>
      </c>
      <c r="W1693">
        <f>excelsalesdata[[#This Row],[Quantity]]*excelsalesdata[[#This Row],[Unit_Price]]</f>
        <v>9080</v>
      </c>
      <c r="X1693">
        <f>excelsalesdata[[#This Row],[Gross_sales]]*excelsalesdata[[#This Row],[Discount_%]]</f>
        <v>454</v>
      </c>
      <c r="Y1693">
        <f>excelsalesdata[[#This Row],[Gross_sales]]-excelsalesdata[[#This Row],[Discount_amt]]</f>
        <v>8626</v>
      </c>
      <c r="Z1693" s="4">
        <f>excelsalesdata[[#This Row],[Net_sales]]-excelsalesdata[[#This Row],[Cost]]</f>
        <v>5956</v>
      </c>
      <c r="AA1693" s="5">
        <f>excelsalesdata[[#This Row],[Profit]]/excelsalesdata[[#This Row],[Net_sales]]</f>
        <v>0.69047067006723861</v>
      </c>
      <c r="AB1693" s="4">
        <f>YEAR(excelsalesdata[[#This Row],[Order_Date]])</f>
        <v>2029</v>
      </c>
      <c r="AC1693" s="4" t="str">
        <f>TEXT(excelsalesdata[[#This Row],[Order_Date]],"mmm")</f>
        <v>Nov</v>
      </c>
      <c r="AD1693" s="4" t="str">
        <f>"Q"&amp;ROUNDUP(MONTH(excelsalesdata[[#This Row],[Order_Date]])/3,0)</f>
        <v>Q4</v>
      </c>
    </row>
    <row r="1694" spans="1:30" x14ac:dyDescent="0.35">
      <c r="A1694" t="s">
        <v>2531</v>
      </c>
      <c r="B1694" s="3">
        <v>47452</v>
      </c>
      <c r="C1694" t="s">
        <v>982</v>
      </c>
      <c r="D1694" t="s">
        <v>305</v>
      </c>
      <c r="E1694" t="str">
        <f>TRIM(excelsalesdata[[#This Row],[Customer_Name]])</f>
        <v>Priya Reddy</v>
      </c>
      <c r="F1694" t="s">
        <v>44</v>
      </c>
      <c r="G1694">
        <v>18</v>
      </c>
      <c r="H1694" t="s">
        <v>168</v>
      </c>
      <c r="I1694" t="str">
        <f>TRIM(excelsalesdata[[#This Row],[City]])</f>
        <v>Delhi</v>
      </c>
      <c r="J1694" t="s">
        <v>168</v>
      </c>
      <c r="K1694" t="s">
        <v>61</v>
      </c>
      <c r="L1694" t="s">
        <v>103</v>
      </c>
      <c r="M1694" t="s">
        <v>104</v>
      </c>
      <c r="N1694" t="s">
        <v>104</v>
      </c>
      <c r="O1694">
        <v>3</v>
      </c>
      <c r="P1694">
        <v>7930</v>
      </c>
      <c r="Q1694">
        <v>0.05</v>
      </c>
      <c r="R1694">
        <v>5490</v>
      </c>
      <c r="S1694" t="s">
        <v>29</v>
      </c>
      <c r="T1694" t="s">
        <v>30</v>
      </c>
      <c r="U1694">
        <v>8</v>
      </c>
      <c r="V1694" t="s">
        <v>40</v>
      </c>
      <c r="W1694">
        <f>excelsalesdata[[#This Row],[Quantity]]*excelsalesdata[[#This Row],[Unit_Price]]</f>
        <v>23790</v>
      </c>
      <c r="X1694">
        <f>excelsalesdata[[#This Row],[Gross_sales]]*excelsalesdata[[#This Row],[Discount_%]]</f>
        <v>1189.5</v>
      </c>
      <c r="Y1694">
        <f>excelsalesdata[[#This Row],[Gross_sales]]-excelsalesdata[[#This Row],[Discount_amt]]</f>
        <v>22600.5</v>
      </c>
      <c r="Z1694" s="4">
        <f>excelsalesdata[[#This Row],[Net_sales]]-excelsalesdata[[#This Row],[Cost]]</f>
        <v>17110.5</v>
      </c>
      <c r="AA1694" s="5">
        <f>excelsalesdata[[#This Row],[Profit]]/excelsalesdata[[#This Row],[Net_sales]]</f>
        <v>0.75708502024291502</v>
      </c>
      <c r="AB1694" s="4">
        <f>YEAR(excelsalesdata[[#This Row],[Order_Date]])</f>
        <v>2029</v>
      </c>
      <c r="AC1694" s="4" t="str">
        <f>TEXT(excelsalesdata[[#This Row],[Order_Date]],"mmm")</f>
        <v>Nov</v>
      </c>
      <c r="AD1694" s="4" t="str">
        <f>"Q"&amp;ROUNDUP(MONTH(excelsalesdata[[#This Row],[Order_Date]])/3,0)</f>
        <v>Q4</v>
      </c>
    </row>
    <row r="1695" spans="1:30" x14ac:dyDescent="0.35">
      <c r="A1695" t="s">
        <v>2532</v>
      </c>
      <c r="B1695" s="3">
        <v>47453</v>
      </c>
      <c r="C1695" t="s">
        <v>1003</v>
      </c>
      <c r="D1695" t="s">
        <v>318</v>
      </c>
      <c r="E1695" t="str">
        <f>TRIM(excelsalesdata[[#This Row],[Customer_Name]])</f>
        <v>Kavya Joshi</v>
      </c>
      <c r="F1695" t="s">
        <v>23</v>
      </c>
      <c r="G1695">
        <v>53</v>
      </c>
      <c r="H1695" t="s">
        <v>98</v>
      </c>
      <c r="I1695" t="str">
        <f>TRIM(excelsalesdata[[#This Row],[City]])</f>
        <v>Mumbai</v>
      </c>
      <c r="J1695" t="s">
        <v>25</v>
      </c>
      <c r="K1695" t="s">
        <v>26</v>
      </c>
      <c r="L1695" t="s">
        <v>93</v>
      </c>
      <c r="M1695" t="s">
        <v>94</v>
      </c>
      <c r="N1695" t="s">
        <v>94</v>
      </c>
      <c r="O1695">
        <v>3</v>
      </c>
      <c r="P1695">
        <v>460</v>
      </c>
      <c r="Q1695">
        <v>0.15</v>
      </c>
      <c r="R1695">
        <v>240</v>
      </c>
      <c r="S1695" t="s">
        <v>80</v>
      </c>
      <c r="T1695" t="s">
        <v>30</v>
      </c>
      <c r="U1695">
        <v>4</v>
      </c>
      <c r="V1695" t="s">
        <v>40</v>
      </c>
      <c r="W1695">
        <f>excelsalesdata[[#This Row],[Quantity]]*excelsalesdata[[#This Row],[Unit_Price]]</f>
        <v>1380</v>
      </c>
      <c r="X1695">
        <f>excelsalesdata[[#This Row],[Gross_sales]]*excelsalesdata[[#This Row],[Discount_%]]</f>
        <v>207</v>
      </c>
      <c r="Y1695">
        <f>excelsalesdata[[#This Row],[Gross_sales]]-excelsalesdata[[#This Row],[Discount_amt]]</f>
        <v>1173</v>
      </c>
      <c r="Z1695" s="4">
        <f>excelsalesdata[[#This Row],[Net_sales]]-excelsalesdata[[#This Row],[Cost]]</f>
        <v>933</v>
      </c>
      <c r="AA1695" s="5">
        <f>excelsalesdata[[#This Row],[Profit]]/excelsalesdata[[#This Row],[Net_sales]]</f>
        <v>0.79539641943734019</v>
      </c>
      <c r="AB1695" s="4">
        <f>YEAR(excelsalesdata[[#This Row],[Order_Date]])</f>
        <v>2029</v>
      </c>
      <c r="AC1695" s="4" t="str">
        <f>TEXT(excelsalesdata[[#This Row],[Order_Date]],"mmm")</f>
        <v>Dec</v>
      </c>
      <c r="AD1695" s="4" t="str">
        <f>"Q"&amp;ROUNDUP(MONTH(excelsalesdata[[#This Row],[Order_Date]])/3,0)</f>
        <v>Q4</v>
      </c>
    </row>
    <row r="1696" spans="1:30" x14ac:dyDescent="0.35">
      <c r="A1696" t="s">
        <v>2533</v>
      </c>
      <c r="B1696" s="3">
        <v>47454</v>
      </c>
      <c r="C1696" t="s">
        <v>2534</v>
      </c>
      <c r="D1696" t="s">
        <v>1216</v>
      </c>
      <c r="E1696" t="str">
        <f>TRIM(excelsalesdata[[#This Row],[Customer_Name]])</f>
        <v>Diya Sharma</v>
      </c>
      <c r="F1696" t="s">
        <v>44</v>
      </c>
      <c r="G1696">
        <v>53</v>
      </c>
      <c r="H1696" t="s">
        <v>133</v>
      </c>
      <c r="I1696" t="str">
        <f>TRIM(excelsalesdata[[#This Row],[City]])</f>
        <v>Jaipur</v>
      </c>
      <c r="J1696" t="s">
        <v>134</v>
      </c>
      <c r="K1696" t="s">
        <v>61</v>
      </c>
      <c r="L1696" t="s">
        <v>54</v>
      </c>
      <c r="M1696" t="s">
        <v>62</v>
      </c>
      <c r="N1696" t="s">
        <v>62</v>
      </c>
      <c r="O1696">
        <v>3</v>
      </c>
      <c r="P1696">
        <v>22890</v>
      </c>
      <c r="Q1696">
        <v>0.05</v>
      </c>
      <c r="R1696">
        <v>15400</v>
      </c>
      <c r="S1696" t="s">
        <v>105</v>
      </c>
      <c r="T1696" t="s">
        <v>30</v>
      </c>
      <c r="U1696">
        <v>4</v>
      </c>
      <c r="V1696" t="s">
        <v>40</v>
      </c>
      <c r="W1696">
        <f>excelsalesdata[[#This Row],[Quantity]]*excelsalesdata[[#This Row],[Unit_Price]]</f>
        <v>68670</v>
      </c>
      <c r="X1696">
        <f>excelsalesdata[[#This Row],[Gross_sales]]*excelsalesdata[[#This Row],[Discount_%]]</f>
        <v>3433.5</v>
      </c>
      <c r="Y1696">
        <f>excelsalesdata[[#This Row],[Gross_sales]]-excelsalesdata[[#This Row],[Discount_amt]]</f>
        <v>65236.5</v>
      </c>
      <c r="Z1696" s="4">
        <f>excelsalesdata[[#This Row],[Net_sales]]-excelsalesdata[[#This Row],[Cost]]</f>
        <v>49836.5</v>
      </c>
      <c r="AA1696" s="5">
        <f>excelsalesdata[[#This Row],[Profit]]/excelsalesdata[[#This Row],[Net_sales]]</f>
        <v>0.76393583346746075</v>
      </c>
      <c r="AB1696" s="4">
        <f>YEAR(excelsalesdata[[#This Row],[Order_Date]])</f>
        <v>2029</v>
      </c>
      <c r="AC1696" s="4" t="str">
        <f>TEXT(excelsalesdata[[#This Row],[Order_Date]],"mmm")</f>
        <v>Dec</v>
      </c>
      <c r="AD1696" s="4" t="str">
        <f>"Q"&amp;ROUNDUP(MONTH(excelsalesdata[[#This Row],[Order_Date]])/3,0)</f>
        <v>Q4</v>
      </c>
    </row>
    <row r="1697" spans="1:30" x14ac:dyDescent="0.35">
      <c r="A1697" t="s">
        <v>2535</v>
      </c>
      <c r="B1697" s="3">
        <v>47455</v>
      </c>
      <c r="C1697" t="s">
        <v>674</v>
      </c>
      <c r="D1697" t="s">
        <v>1092</v>
      </c>
      <c r="E1697" t="str">
        <f>TRIM(excelsalesdata[[#This Row],[Customer_Name]])</f>
        <v>Rahul Shah</v>
      </c>
      <c r="F1697" t="s">
        <v>23</v>
      </c>
      <c r="G1697">
        <v>27</v>
      </c>
      <c r="H1697" t="s">
        <v>109</v>
      </c>
      <c r="I1697" t="str">
        <f>TRIM(excelsalesdata[[#This Row],[City]])</f>
        <v>Mysuru</v>
      </c>
      <c r="J1697" t="s">
        <v>53</v>
      </c>
      <c r="K1697" t="s">
        <v>47</v>
      </c>
      <c r="L1697" t="s">
        <v>27</v>
      </c>
      <c r="M1697" t="s">
        <v>123</v>
      </c>
      <c r="N1697" t="s">
        <v>123</v>
      </c>
      <c r="O1697">
        <v>4</v>
      </c>
      <c r="P1697">
        <v>2610</v>
      </c>
      <c r="Q1697">
        <v>0.25</v>
      </c>
      <c r="R1697">
        <v>1580</v>
      </c>
      <c r="S1697" t="s">
        <v>67</v>
      </c>
      <c r="T1697" t="s">
        <v>30</v>
      </c>
      <c r="U1697">
        <v>5</v>
      </c>
      <c r="V1697" t="s">
        <v>31</v>
      </c>
      <c r="W1697">
        <f>excelsalesdata[[#This Row],[Quantity]]*excelsalesdata[[#This Row],[Unit_Price]]</f>
        <v>10440</v>
      </c>
      <c r="X1697">
        <f>excelsalesdata[[#This Row],[Gross_sales]]*excelsalesdata[[#This Row],[Discount_%]]</f>
        <v>2610</v>
      </c>
      <c r="Y1697">
        <f>excelsalesdata[[#This Row],[Gross_sales]]-excelsalesdata[[#This Row],[Discount_amt]]</f>
        <v>7830</v>
      </c>
      <c r="Z1697" s="4">
        <f>excelsalesdata[[#This Row],[Net_sales]]-excelsalesdata[[#This Row],[Cost]]</f>
        <v>6250</v>
      </c>
      <c r="AA1697" s="5">
        <f>excelsalesdata[[#This Row],[Profit]]/excelsalesdata[[#This Row],[Net_sales]]</f>
        <v>0.79821200510855683</v>
      </c>
      <c r="AB1697" s="4">
        <f>YEAR(excelsalesdata[[#This Row],[Order_Date]])</f>
        <v>2029</v>
      </c>
      <c r="AC1697" s="4" t="str">
        <f>TEXT(excelsalesdata[[#This Row],[Order_Date]],"mmm")</f>
        <v>Dec</v>
      </c>
      <c r="AD1697" s="4" t="str">
        <f>"Q"&amp;ROUNDUP(MONTH(excelsalesdata[[#This Row],[Order_Date]])/3,0)</f>
        <v>Q4</v>
      </c>
    </row>
    <row r="1698" spans="1:30" x14ac:dyDescent="0.35">
      <c r="A1698" t="s">
        <v>2536</v>
      </c>
      <c r="B1698" s="3">
        <v>47456</v>
      </c>
      <c r="C1698" t="s">
        <v>512</v>
      </c>
      <c r="D1698" t="s">
        <v>708</v>
      </c>
      <c r="E1698" t="str">
        <f>TRIM(excelsalesdata[[#This Row],[Customer_Name]])</f>
        <v>Diya Mehta</v>
      </c>
      <c r="F1698" t="s">
        <v>23</v>
      </c>
      <c r="G1698">
        <v>47</v>
      </c>
      <c r="H1698" t="s">
        <v>109</v>
      </c>
      <c r="I1698" t="str">
        <f>TRIM(excelsalesdata[[#This Row],[City]])</f>
        <v>Mysuru</v>
      </c>
      <c r="J1698" t="s">
        <v>53</v>
      </c>
      <c r="K1698" t="s">
        <v>47</v>
      </c>
      <c r="L1698" t="s">
        <v>38</v>
      </c>
      <c r="M1698" t="s">
        <v>161</v>
      </c>
      <c r="N1698" t="s">
        <v>161</v>
      </c>
      <c r="O1698">
        <v>1</v>
      </c>
      <c r="P1698">
        <v>29340</v>
      </c>
      <c r="Q1698">
        <v>0.1</v>
      </c>
      <c r="R1698">
        <v>20920</v>
      </c>
      <c r="S1698" t="s">
        <v>105</v>
      </c>
      <c r="T1698" t="s">
        <v>30</v>
      </c>
      <c r="U1698">
        <v>5</v>
      </c>
      <c r="V1698" t="s">
        <v>31</v>
      </c>
      <c r="W1698">
        <f>excelsalesdata[[#This Row],[Quantity]]*excelsalesdata[[#This Row],[Unit_Price]]</f>
        <v>29340</v>
      </c>
      <c r="X1698">
        <f>excelsalesdata[[#This Row],[Gross_sales]]*excelsalesdata[[#This Row],[Discount_%]]</f>
        <v>2934</v>
      </c>
      <c r="Y1698">
        <f>excelsalesdata[[#This Row],[Gross_sales]]-excelsalesdata[[#This Row],[Discount_amt]]</f>
        <v>26406</v>
      </c>
      <c r="Z1698" s="4">
        <f>excelsalesdata[[#This Row],[Net_sales]]-excelsalesdata[[#This Row],[Cost]]</f>
        <v>5486</v>
      </c>
      <c r="AA1698" s="5">
        <f>excelsalesdata[[#This Row],[Profit]]/excelsalesdata[[#This Row],[Net_sales]]</f>
        <v>0.20775581307278648</v>
      </c>
      <c r="AB1698" s="4">
        <f>YEAR(excelsalesdata[[#This Row],[Order_Date]])</f>
        <v>2029</v>
      </c>
      <c r="AC1698" s="4" t="str">
        <f>TEXT(excelsalesdata[[#This Row],[Order_Date]],"mmm")</f>
        <v>Dec</v>
      </c>
      <c r="AD1698" s="4" t="str">
        <f>"Q"&amp;ROUNDUP(MONTH(excelsalesdata[[#This Row],[Order_Date]])/3,0)</f>
        <v>Q4</v>
      </c>
    </row>
    <row r="1699" spans="1:30" x14ac:dyDescent="0.35">
      <c r="A1699" t="s">
        <v>2537</v>
      </c>
      <c r="B1699" s="3">
        <v>47457</v>
      </c>
      <c r="C1699" t="s">
        <v>1808</v>
      </c>
      <c r="D1699" t="s">
        <v>118</v>
      </c>
      <c r="E1699" t="str">
        <f>TRIM(excelsalesdata[[#This Row],[Customer_Name]])</f>
        <v>Nisha Shah</v>
      </c>
      <c r="F1699" t="s">
        <v>44</v>
      </c>
      <c r="G1699">
        <v>34</v>
      </c>
      <c r="H1699" t="s">
        <v>155</v>
      </c>
      <c r="I1699" t="str">
        <f>TRIM(excelsalesdata[[#This Row],[City]])</f>
        <v>Chennai</v>
      </c>
      <c r="J1699" t="s">
        <v>156</v>
      </c>
      <c r="K1699" t="s">
        <v>47</v>
      </c>
      <c r="L1699" t="s">
        <v>54</v>
      </c>
      <c r="M1699" t="s">
        <v>62</v>
      </c>
      <c r="N1699" t="s">
        <v>62</v>
      </c>
      <c r="O1699">
        <v>2</v>
      </c>
      <c r="P1699">
        <v>22150</v>
      </c>
      <c r="Q1699">
        <v>0.05</v>
      </c>
      <c r="R1699">
        <v>15820</v>
      </c>
      <c r="S1699" t="s">
        <v>151</v>
      </c>
      <c r="T1699" t="s">
        <v>30</v>
      </c>
      <c r="U1699">
        <v>2</v>
      </c>
      <c r="V1699" t="s">
        <v>31</v>
      </c>
      <c r="W1699">
        <f>excelsalesdata[[#This Row],[Quantity]]*excelsalesdata[[#This Row],[Unit_Price]]</f>
        <v>44300</v>
      </c>
      <c r="X1699">
        <f>excelsalesdata[[#This Row],[Gross_sales]]*excelsalesdata[[#This Row],[Discount_%]]</f>
        <v>2215</v>
      </c>
      <c r="Y1699">
        <f>excelsalesdata[[#This Row],[Gross_sales]]-excelsalesdata[[#This Row],[Discount_amt]]</f>
        <v>42085</v>
      </c>
      <c r="Z1699" s="4">
        <f>excelsalesdata[[#This Row],[Net_sales]]-excelsalesdata[[#This Row],[Cost]]</f>
        <v>26265</v>
      </c>
      <c r="AA1699" s="5">
        <f>excelsalesdata[[#This Row],[Profit]]/excelsalesdata[[#This Row],[Net_sales]]</f>
        <v>0.62409409528335513</v>
      </c>
      <c r="AB1699" s="4">
        <f>YEAR(excelsalesdata[[#This Row],[Order_Date]])</f>
        <v>2029</v>
      </c>
      <c r="AC1699" s="4" t="str">
        <f>TEXT(excelsalesdata[[#This Row],[Order_Date]],"mmm")</f>
        <v>Dec</v>
      </c>
      <c r="AD1699" s="4" t="str">
        <f>"Q"&amp;ROUNDUP(MONTH(excelsalesdata[[#This Row],[Order_Date]])/3,0)</f>
        <v>Q4</v>
      </c>
    </row>
    <row r="1700" spans="1:30" x14ac:dyDescent="0.35">
      <c r="A1700" t="s">
        <v>2538</v>
      </c>
      <c r="B1700" s="3">
        <v>47458</v>
      </c>
      <c r="C1700" t="s">
        <v>1414</v>
      </c>
      <c r="D1700" t="s">
        <v>224</v>
      </c>
      <c r="E1700" t="str">
        <f>TRIM(excelsalesdata[[#This Row],[Customer_Name]])</f>
        <v>Vivaan Sharma</v>
      </c>
      <c r="F1700" t="s">
        <v>44</v>
      </c>
      <c r="G1700">
        <v>60</v>
      </c>
      <c r="H1700" t="s">
        <v>185</v>
      </c>
      <c r="I1700" t="str">
        <f>TRIM(excelsalesdata[[#This Row],[City]])</f>
        <v>Lucknow</v>
      </c>
      <c r="J1700" t="s">
        <v>186</v>
      </c>
      <c r="K1700" t="s">
        <v>61</v>
      </c>
      <c r="L1700" t="s">
        <v>103</v>
      </c>
      <c r="M1700" t="s">
        <v>104</v>
      </c>
      <c r="N1700" t="s">
        <v>104</v>
      </c>
      <c r="O1700">
        <v>3</v>
      </c>
      <c r="P1700">
        <v>7860</v>
      </c>
      <c r="Q1700">
        <v>0.1</v>
      </c>
      <c r="R1700">
        <v>5410</v>
      </c>
      <c r="S1700" t="s">
        <v>29</v>
      </c>
      <c r="T1700" t="s">
        <v>74</v>
      </c>
      <c r="U1700">
        <v>4</v>
      </c>
      <c r="V1700" t="s">
        <v>31</v>
      </c>
      <c r="W1700">
        <f>excelsalesdata[[#This Row],[Quantity]]*excelsalesdata[[#This Row],[Unit_Price]]</f>
        <v>23580</v>
      </c>
      <c r="X1700">
        <f>excelsalesdata[[#This Row],[Gross_sales]]*excelsalesdata[[#This Row],[Discount_%]]</f>
        <v>2358</v>
      </c>
      <c r="Y1700">
        <f>excelsalesdata[[#This Row],[Gross_sales]]-excelsalesdata[[#This Row],[Discount_amt]]</f>
        <v>21222</v>
      </c>
      <c r="Z1700" s="4">
        <f>excelsalesdata[[#This Row],[Net_sales]]-excelsalesdata[[#This Row],[Cost]]</f>
        <v>15812</v>
      </c>
      <c r="AA1700" s="5">
        <f>excelsalesdata[[#This Row],[Profit]]/excelsalesdata[[#This Row],[Net_sales]]</f>
        <v>0.74507586466873998</v>
      </c>
      <c r="AB1700" s="4">
        <f>YEAR(excelsalesdata[[#This Row],[Order_Date]])</f>
        <v>2029</v>
      </c>
      <c r="AC1700" s="4" t="str">
        <f>TEXT(excelsalesdata[[#This Row],[Order_Date]],"mmm")</f>
        <v>Dec</v>
      </c>
      <c r="AD1700" s="4" t="str">
        <f>"Q"&amp;ROUNDUP(MONTH(excelsalesdata[[#This Row],[Order_Date]])/3,0)</f>
        <v>Q4</v>
      </c>
    </row>
    <row r="1701" spans="1:30" x14ac:dyDescent="0.35">
      <c r="A1701" t="s">
        <v>2539</v>
      </c>
      <c r="B1701" s="3">
        <v>47459</v>
      </c>
      <c r="C1701" t="s">
        <v>1100</v>
      </c>
      <c r="D1701" t="s">
        <v>495</v>
      </c>
      <c r="E1701" t="str">
        <f>TRIM(excelsalesdata[[#This Row],[Customer_Name]])</f>
        <v>Meera Das</v>
      </c>
      <c r="F1701" t="s">
        <v>23</v>
      </c>
      <c r="G1701">
        <v>55</v>
      </c>
      <c r="H1701" t="s">
        <v>45</v>
      </c>
      <c r="I1701" t="str">
        <f>TRIM(excelsalesdata[[#This Row],[City]])</f>
        <v>Kochi</v>
      </c>
      <c r="J1701" t="s">
        <v>46</v>
      </c>
      <c r="K1701" t="s">
        <v>47</v>
      </c>
      <c r="L1701" t="s">
        <v>38</v>
      </c>
      <c r="M1701" t="s">
        <v>39</v>
      </c>
      <c r="N1701" t="s">
        <v>39</v>
      </c>
      <c r="O1701">
        <v>1</v>
      </c>
      <c r="P1701">
        <v>6390</v>
      </c>
      <c r="Q1701">
        <v>0.05</v>
      </c>
      <c r="R1701">
        <v>4310</v>
      </c>
      <c r="S1701" t="s">
        <v>67</v>
      </c>
      <c r="T1701" t="s">
        <v>74</v>
      </c>
      <c r="U1701">
        <v>5</v>
      </c>
      <c r="V1701" t="s">
        <v>31</v>
      </c>
      <c r="W1701">
        <f>excelsalesdata[[#This Row],[Quantity]]*excelsalesdata[[#This Row],[Unit_Price]]</f>
        <v>6390</v>
      </c>
      <c r="X1701">
        <f>excelsalesdata[[#This Row],[Gross_sales]]*excelsalesdata[[#This Row],[Discount_%]]</f>
        <v>319.5</v>
      </c>
      <c r="Y1701">
        <f>excelsalesdata[[#This Row],[Gross_sales]]-excelsalesdata[[#This Row],[Discount_amt]]</f>
        <v>6070.5</v>
      </c>
      <c r="Z1701" s="4">
        <f>excelsalesdata[[#This Row],[Net_sales]]-excelsalesdata[[#This Row],[Cost]]</f>
        <v>1760.5</v>
      </c>
      <c r="AA1701" s="5">
        <f>excelsalesdata[[#This Row],[Profit]]/excelsalesdata[[#This Row],[Net_sales]]</f>
        <v>0.29000906020920847</v>
      </c>
      <c r="AB1701" s="4">
        <f>YEAR(excelsalesdata[[#This Row],[Order_Date]])</f>
        <v>2029</v>
      </c>
      <c r="AC1701" s="4" t="str">
        <f>TEXT(excelsalesdata[[#This Row],[Order_Date]],"mmm")</f>
        <v>Dec</v>
      </c>
      <c r="AD1701" s="4" t="str">
        <f>"Q"&amp;ROUNDUP(MONTH(excelsalesdata[[#This Row],[Order_Date]])/3,0)</f>
        <v>Q4</v>
      </c>
    </row>
    <row r="1702" spans="1:30" x14ac:dyDescent="0.35">
      <c r="A1702" t="s">
        <v>2540</v>
      </c>
      <c r="B1702" s="3">
        <v>47460</v>
      </c>
      <c r="C1702" t="s">
        <v>381</v>
      </c>
      <c r="D1702" t="s">
        <v>540</v>
      </c>
      <c r="E1702" t="str">
        <f>TRIM(excelsalesdata[[#This Row],[Customer_Name]])</f>
        <v>Priya Kumar</v>
      </c>
      <c r="F1702" t="s">
        <v>23</v>
      </c>
      <c r="G1702">
        <v>54</v>
      </c>
      <c r="H1702" t="s">
        <v>78</v>
      </c>
      <c r="I1702" t="str">
        <f>TRIM(excelsalesdata[[#This Row],[City]])</f>
        <v>Guwahati</v>
      </c>
      <c r="J1702" t="s">
        <v>79</v>
      </c>
      <c r="K1702" t="s">
        <v>37</v>
      </c>
      <c r="L1702" t="s">
        <v>54</v>
      </c>
      <c r="M1702" t="s">
        <v>66</v>
      </c>
      <c r="N1702" t="s">
        <v>66</v>
      </c>
      <c r="O1702">
        <v>4</v>
      </c>
      <c r="P1702">
        <v>2650</v>
      </c>
      <c r="Q1702">
        <v>0.2</v>
      </c>
      <c r="R1702">
        <v>1570</v>
      </c>
      <c r="S1702" t="s">
        <v>80</v>
      </c>
      <c r="T1702" t="s">
        <v>30</v>
      </c>
      <c r="U1702">
        <v>1</v>
      </c>
      <c r="V1702" t="s">
        <v>40</v>
      </c>
      <c r="W1702">
        <f>excelsalesdata[[#This Row],[Quantity]]*excelsalesdata[[#This Row],[Unit_Price]]</f>
        <v>10600</v>
      </c>
      <c r="X1702">
        <f>excelsalesdata[[#This Row],[Gross_sales]]*excelsalesdata[[#This Row],[Discount_%]]</f>
        <v>2120</v>
      </c>
      <c r="Y1702">
        <f>excelsalesdata[[#This Row],[Gross_sales]]-excelsalesdata[[#This Row],[Discount_amt]]</f>
        <v>8480</v>
      </c>
      <c r="Z1702" s="4">
        <f>excelsalesdata[[#This Row],[Net_sales]]-excelsalesdata[[#This Row],[Cost]]</f>
        <v>6910</v>
      </c>
      <c r="AA1702" s="5">
        <f>excelsalesdata[[#This Row],[Profit]]/excelsalesdata[[#This Row],[Net_sales]]</f>
        <v>0.81485849056603776</v>
      </c>
      <c r="AB1702" s="4">
        <f>YEAR(excelsalesdata[[#This Row],[Order_Date]])</f>
        <v>2029</v>
      </c>
      <c r="AC1702" s="4" t="str">
        <f>TEXT(excelsalesdata[[#This Row],[Order_Date]],"mmm")</f>
        <v>Dec</v>
      </c>
      <c r="AD1702" s="4" t="str">
        <f>"Q"&amp;ROUNDUP(MONTH(excelsalesdata[[#This Row],[Order_Date]])/3,0)</f>
        <v>Q4</v>
      </c>
    </row>
    <row r="1703" spans="1:30" x14ac:dyDescent="0.35">
      <c r="A1703" t="s">
        <v>2541</v>
      </c>
      <c r="B1703" s="3">
        <v>47461</v>
      </c>
      <c r="C1703" t="s">
        <v>402</v>
      </c>
      <c r="D1703" t="s">
        <v>655</v>
      </c>
      <c r="E1703" t="str">
        <f>TRIM(excelsalesdata[[#This Row],[Customer_Name]])</f>
        <v>Arjun Naidu</v>
      </c>
      <c r="F1703" t="s">
        <v>23</v>
      </c>
      <c r="G1703">
        <v>31</v>
      </c>
      <c r="H1703" t="s">
        <v>45</v>
      </c>
      <c r="I1703" t="str">
        <f>TRIM(excelsalesdata[[#This Row],[City]])</f>
        <v>Kochi</v>
      </c>
      <c r="J1703" t="s">
        <v>46</v>
      </c>
      <c r="K1703" t="s">
        <v>47</v>
      </c>
      <c r="L1703" t="s">
        <v>54</v>
      </c>
      <c r="M1703" t="s">
        <v>157</v>
      </c>
      <c r="N1703" t="s">
        <v>157</v>
      </c>
      <c r="O1703">
        <v>4</v>
      </c>
      <c r="P1703">
        <v>55000</v>
      </c>
      <c r="Q1703">
        <v>0.1</v>
      </c>
      <c r="R1703">
        <v>43100</v>
      </c>
      <c r="S1703" t="s">
        <v>105</v>
      </c>
      <c r="T1703" t="s">
        <v>30</v>
      </c>
      <c r="U1703">
        <v>2</v>
      </c>
      <c r="V1703" t="s">
        <v>40</v>
      </c>
      <c r="W1703">
        <f>excelsalesdata[[#This Row],[Quantity]]*excelsalesdata[[#This Row],[Unit_Price]]</f>
        <v>220000</v>
      </c>
      <c r="X1703">
        <f>excelsalesdata[[#This Row],[Gross_sales]]*excelsalesdata[[#This Row],[Discount_%]]</f>
        <v>22000</v>
      </c>
      <c r="Y1703">
        <f>excelsalesdata[[#This Row],[Gross_sales]]-excelsalesdata[[#This Row],[Discount_amt]]</f>
        <v>198000</v>
      </c>
      <c r="Z1703" s="4">
        <f>excelsalesdata[[#This Row],[Net_sales]]-excelsalesdata[[#This Row],[Cost]]</f>
        <v>154900</v>
      </c>
      <c r="AA1703" s="5">
        <f>excelsalesdata[[#This Row],[Profit]]/excelsalesdata[[#This Row],[Net_sales]]</f>
        <v>0.78232323232323231</v>
      </c>
      <c r="AB1703" s="4">
        <f>YEAR(excelsalesdata[[#This Row],[Order_Date]])</f>
        <v>2029</v>
      </c>
      <c r="AC1703" s="4" t="str">
        <f>TEXT(excelsalesdata[[#This Row],[Order_Date]],"mmm")</f>
        <v>Dec</v>
      </c>
      <c r="AD1703" s="4" t="str">
        <f>"Q"&amp;ROUNDUP(MONTH(excelsalesdata[[#This Row],[Order_Date]])/3,0)</f>
        <v>Q4</v>
      </c>
    </row>
    <row r="1704" spans="1:30" x14ac:dyDescent="0.35">
      <c r="A1704" t="s">
        <v>2542</v>
      </c>
      <c r="B1704" s="3">
        <v>47462</v>
      </c>
      <c r="C1704" t="s">
        <v>707</v>
      </c>
      <c r="D1704" t="s">
        <v>138</v>
      </c>
      <c r="E1704" t="str">
        <f>TRIM(excelsalesdata[[#This Row],[Customer_Name]])</f>
        <v>Vikram Bhat</v>
      </c>
      <c r="F1704" t="s">
        <v>44</v>
      </c>
      <c r="G1704">
        <v>57</v>
      </c>
      <c r="H1704" t="s">
        <v>190</v>
      </c>
      <c r="I1704" t="str">
        <f>TRIM(excelsalesdata[[#This Row],[City]])</f>
        <v>Ahmedabad</v>
      </c>
      <c r="J1704" t="s">
        <v>191</v>
      </c>
      <c r="K1704" t="s">
        <v>26</v>
      </c>
      <c r="L1704" t="s">
        <v>38</v>
      </c>
      <c r="M1704" t="s">
        <v>39</v>
      </c>
      <c r="N1704" t="s">
        <v>39</v>
      </c>
      <c r="O1704">
        <v>3</v>
      </c>
      <c r="P1704">
        <v>6190</v>
      </c>
      <c r="Q1704">
        <v>0.05</v>
      </c>
      <c r="R1704">
        <v>4280</v>
      </c>
      <c r="S1704" t="s">
        <v>67</v>
      </c>
      <c r="T1704" t="s">
        <v>30</v>
      </c>
      <c r="U1704">
        <v>2</v>
      </c>
      <c r="V1704" t="s">
        <v>40</v>
      </c>
      <c r="W1704">
        <f>excelsalesdata[[#This Row],[Quantity]]*excelsalesdata[[#This Row],[Unit_Price]]</f>
        <v>18570</v>
      </c>
      <c r="X1704">
        <f>excelsalesdata[[#This Row],[Gross_sales]]*excelsalesdata[[#This Row],[Discount_%]]</f>
        <v>928.5</v>
      </c>
      <c r="Y1704">
        <f>excelsalesdata[[#This Row],[Gross_sales]]-excelsalesdata[[#This Row],[Discount_amt]]</f>
        <v>17641.5</v>
      </c>
      <c r="Z1704" s="4">
        <f>excelsalesdata[[#This Row],[Net_sales]]-excelsalesdata[[#This Row],[Cost]]</f>
        <v>13361.5</v>
      </c>
      <c r="AA1704" s="5">
        <f>excelsalesdata[[#This Row],[Profit]]/excelsalesdata[[#This Row],[Net_sales]]</f>
        <v>0.75739024459371374</v>
      </c>
      <c r="AB1704" s="4">
        <f>YEAR(excelsalesdata[[#This Row],[Order_Date]])</f>
        <v>2029</v>
      </c>
      <c r="AC1704" s="4" t="str">
        <f>TEXT(excelsalesdata[[#This Row],[Order_Date]],"mmm")</f>
        <v>Dec</v>
      </c>
      <c r="AD1704" s="4" t="str">
        <f>"Q"&amp;ROUNDUP(MONTH(excelsalesdata[[#This Row],[Order_Date]])/3,0)</f>
        <v>Q4</v>
      </c>
    </row>
    <row r="1705" spans="1:30" x14ac:dyDescent="0.35">
      <c r="A1705" t="s">
        <v>2543</v>
      </c>
      <c r="B1705" s="3">
        <v>47463</v>
      </c>
      <c r="C1705" t="s">
        <v>1384</v>
      </c>
      <c r="D1705" t="s">
        <v>1374</v>
      </c>
      <c r="E1705" t="str">
        <f>TRIM(excelsalesdata[[#This Row],[Customer_Name]])</f>
        <v>Karan Joshi</v>
      </c>
      <c r="F1705" t="s">
        <v>23</v>
      </c>
      <c r="G1705">
        <v>47</v>
      </c>
      <c r="H1705" t="s">
        <v>185</v>
      </c>
      <c r="I1705" t="str">
        <f>TRIM(excelsalesdata[[#This Row],[City]])</f>
        <v>Lucknow</v>
      </c>
      <c r="J1705" t="s">
        <v>186</v>
      </c>
      <c r="K1705" t="s">
        <v>61</v>
      </c>
      <c r="L1705" t="s">
        <v>103</v>
      </c>
      <c r="M1705" t="s">
        <v>238</v>
      </c>
      <c r="N1705" t="s">
        <v>238</v>
      </c>
      <c r="O1705">
        <v>3</v>
      </c>
      <c r="P1705">
        <v>4250</v>
      </c>
      <c r="Q1705">
        <v>0.15</v>
      </c>
      <c r="R1705">
        <v>2820</v>
      </c>
      <c r="S1705" t="s">
        <v>29</v>
      </c>
      <c r="T1705" t="s">
        <v>30</v>
      </c>
      <c r="U1705">
        <v>1</v>
      </c>
      <c r="V1705" t="s">
        <v>40</v>
      </c>
      <c r="W1705">
        <f>excelsalesdata[[#This Row],[Quantity]]*excelsalesdata[[#This Row],[Unit_Price]]</f>
        <v>12750</v>
      </c>
      <c r="X1705">
        <f>excelsalesdata[[#This Row],[Gross_sales]]*excelsalesdata[[#This Row],[Discount_%]]</f>
        <v>1912.5</v>
      </c>
      <c r="Y1705">
        <f>excelsalesdata[[#This Row],[Gross_sales]]-excelsalesdata[[#This Row],[Discount_amt]]</f>
        <v>10837.5</v>
      </c>
      <c r="Z1705" s="4">
        <f>excelsalesdata[[#This Row],[Net_sales]]-excelsalesdata[[#This Row],[Cost]]</f>
        <v>8017.5</v>
      </c>
      <c r="AA1705" s="5">
        <f>excelsalesdata[[#This Row],[Profit]]/excelsalesdata[[#This Row],[Net_sales]]</f>
        <v>0.73979238754325261</v>
      </c>
      <c r="AB1705" s="4">
        <f>YEAR(excelsalesdata[[#This Row],[Order_Date]])</f>
        <v>2029</v>
      </c>
      <c r="AC1705" s="4" t="str">
        <f>TEXT(excelsalesdata[[#This Row],[Order_Date]],"mmm")</f>
        <v>Dec</v>
      </c>
      <c r="AD1705" s="4" t="str">
        <f>"Q"&amp;ROUNDUP(MONTH(excelsalesdata[[#This Row],[Order_Date]])/3,0)</f>
        <v>Q4</v>
      </c>
    </row>
    <row r="1706" spans="1:30" x14ac:dyDescent="0.35">
      <c r="A1706" t="s">
        <v>2544</v>
      </c>
      <c r="B1706" s="3">
        <v>47464</v>
      </c>
      <c r="C1706" t="s">
        <v>2545</v>
      </c>
      <c r="D1706" t="s">
        <v>273</v>
      </c>
      <c r="E1706" t="str">
        <f>TRIM(excelsalesdata[[#This Row],[Customer_Name]])</f>
        <v>Aarav Sharma</v>
      </c>
      <c r="F1706" t="s">
        <v>44</v>
      </c>
      <c r="G1706">
        <v>54</v>
      </c>
      <c r="H1706" t="s">
        <v>35</v>
      </c>
      <c r="I1706" t="str">
        <f>TRIM(excelsalesdata[[#This Row],[City]])</f>
        <v>Kolkata</v>
      </c>
      <c r="J1706" t="s">
        <v>36</v>
      </c>
      <c r="K1706" t="s">
        <v>37</v>
      </c>
      <c r="L1706" t="s">
        <v>103</v>
      </c>
      <c r="M1706" t="s">
        <v>347</v>
      </c>
      <c r="N1706" t="s">
        <v>347</v>
      </c>
      <c r="O1706">
        <v>2</v>
      </c>
      <c r="P1706">
        <v>11100</v>
      </c>
      <c r="Q1706">
        <v>0.1</v>
      </c>
      <c r="R1706">
        <v>8250</v>
      </c>
      <c r="S1706" t="s">
        <v>29</v>
      </c>
      <c r="T1706" t="s">
        <v>30</v>
      </c>
      <c r="U1706">
        <v>3</v>
      </c>
      <c r="V1706" t="s">
        <v>40</v>
      </c>
      <c r="W1706">
        <f>excelsalesdata[[#This Row],[Quantity]]*excelsalesdata[[#This Row],[Unit_Price]]</f>
        <v>22200</v>
      </c>
      <c r="X1706">
        <f>excelsalesdata[[#This Row],[Gross_sales]]*excelsalesdata[[#This Row],[Discount_%]]</f>
        <v>2220</v>
      </c>
      <c r="Y1706">
        <f>excelsalesdata[[#This Row],[Gross_sales]]-excelsalesdata[[#This Row],[Discount_amt]]</f>
        <v>19980</v>
      </c>
      <c r="Z1706" s="4">
        <f>excelsalesdata[[#This Row],[Net_sales]]-excelsalesdata[[#This Row],[Cost]]</f>
        <v>11730</v>
      </c>
      <c r="AA1706" s="5">
        <f>excelsalesdata[[#This Row],[Profit]]/excelsalesdata[[#This Row],[Net_sales]]</f>
        <v>0.58708708708708712</v>
      </c>
      <c r="AB1706" s="4">
        <f>YEAR(excelsalesdata[[#This Row],[Order_Date]])</f>
        <v>2029</v>
      </c>
      <c r="AC1706" s="4" t="str">
        <f>TEXT(excelsalesdata[[#This Row],[Order_Date]],"mmm")</f>
        <v>Dec</v>
      </c>
      <c r="AD1706" s="4" t="str">
        <f>"Q"&amp;ROUNDUP(MONTH(excelsalesdata[[#This Row],[Order_Date]])/3,0)</f>
        <v>Q4</v>
      </c>
    </row>
    <row r="1707" spans="1:30" x14ac:dyDescent="0.35">
      <c r="A1707" t="s">
        <v>2546</v>
      </c>
      <c r="B1707" s="3">
        <v>47465</v>
      </c>
      <c r="C1707" t="s">
        <v>743</v>
      </c>
      <c r="D1707" t="s">
        <v>2400</v>
      </c>
      <c r="E1707" t="str">
        <f>TRIM(excelsalesdata[[#This Row],[Customer_Name]])</f>
        <v>Rohan Kumar</v>
      </c>
      <c r="F1707" t="s">
        <v>23</v>
      </c>
      <c r="G1707">
        <v>42</v>
      </c>
      <c r="H1707" t="s">
        <v>52</v>
      </c>
      <c r="I1707" t="str">
        <f>TRIM(excelsalesdata[[#This Row],[City]])</f>
        <v>Bengaluru</v>
      </c>
      <c r="J1707" t="s">
        <v>53</v>
      </c>
      <c r="K1707" t="s">
        <v>47</v>
      </c>
      <c r="L1707" t="s">
        <v>27</v>
      </c>
      <c r="M1707" t="s">
        <v>195</v>
      </c>
      <c r="N1707" t="s">
        <v>195</v>
      </c>
      <c r="O1707">
        <v>3</v>
      </c>
      <c r="P1707">
        <v>2300</v>
      </c>
      <c r="Q1707">
        <v>0.1</v>
      </c>
      <c r="R1707">
        <v>1190</v>
      </c>
      <c r="S1707" t="s">
        <v>105</v>
      </c>
      <c r="T1707" t="s">
        <v>30</v>
      </c>
      <c r="U1707">
        <v>5</v>
      </c>
      <c r="V1707" t="s">
        <v>31</v>
      </c>
      <c r="W1707">
        <f>excelsalesdata[[#This Row],[Quantity]]*excelsalesdata[[#This Row],[Unit_Price]]</f>
        <v>6900</v>
      </c>
      <c r="X1707">
        <f>excelsalesdata[[#This Row],[Gross_sales]]*excelsalesdata[[#This Row],[Discount_%]]</f>
        <v>690</v>
      </c>
      <c r="Y1707">
        <f>excelsalesdata[[#This Row],[Gross_sales]]-excelsalesdata[[#This Row],[Discount_amt]]</f>
        <v>6210</v>
      </c>
      <c r="Z1707" s="4">
        <f>excelsalesdata[[#This Row],[Net_sales]]-excelsalesdata[[#This Row],[Cost]]</f>
        <v>5020</v>
      </c>
      <c r="AA1707" s="5">
        <f>excelsalesdata[[#This Row],[Profit]]/excelsalesdata[[#This Row],[Net_sales]]</f>
        <v>0.80837359098228667</v>
      </c>
      <c r="AB1707" s="4">
        <f>YEAR(excelsalesdata[[#This Row],[Order_Date]])</f>
        <v>2029</v>
      </c>
      <c r="AC1707" s="4" t="str">
        <f>TEXT(excelsalesdata[[#This Row],[Order_Date]],"mmm")</f>
        <v>Dec</v>
      </c>
      <c r="AD1707" s="4" t="str">
        <f>"Q"&amp;ROUNDUP(MONTH(excelsalesdata[[#This Row],[Order_Date]])/3,0)</f>
        <v>Q4</v>
      </c>
    </row>
    <row r="1708" spans="1:30" x14ac:dyDescent="0.35">
      <c r="A1708" t="s">
        <v>2547</v>
      </c>
      <c r="B1708" s="3">
        <v>47466</v>
      </c>
      <c r="C1708" t="s">
        <v>1263</v>
      </c>
      <c r="D1708" t="s">
        <v>2400</v>
      </c>
      <c r="E1708" t="str">
        <f>TRIM(excelsalesdata[[#This Row],[Customer_Name]])</f>
        <v>Rohan Kumar</v>
      </c>
      <c r="F1708" t="s">
        <v>23</v>
      </c>
      <c r="G1708">
        <v>26</v>
      </c>
      <c r="H1708" t="s">
        <v>114</v>
      </c>
      <c r="I1708" t="str">
        <f>TRIM(excelsalesdata[[#This Row],[City]])</f>
        <v>Hyderabad</v>
      </c>
      <c r="J1708" t="s">
        <v>115</v>
      </c>
      <c r="K1708" t="s">
        <v>47</v>
      </c>
      <c r="L1708" t="s">
        <v>27</v>
      </c>
      <c r="M1708" t="s">
        <v>195</v>
      </c>
      <c r="N1708" t="s">
        <v>195</v>
      </c>
      <c r="O1708">
        <v>2</v>
      </c>
      <c r="P1708">
        <v>2310</v>
      </c>
      <c r="Q1708">
        <v>0.2</v>
      </c>
      <c r="R1708">
        <v>1170</v>
      </c>
      <c r="S1708" t="s">
        <v>67</v>
      </c>
      <c r="T1708" t="s">
        <v>30</v>
      </c>
      <c r="U1708">
        <v>3</v>
      </c>
      <c r="V1708" t="s">
        <v>31</v>
      </c>
      <c r="W1708">
        <f>excelsalesdata[[#This Row],[Quantity]]*excelsalesdata[[#This Row],[Unit_Price]]</f>
        <v>4620</v>
      </c>
      <c r="X1708">
        <f>excelsalesdata[[#This Row],[Gross_sales]]*excelsalesdata[[#This Row],[Discount_%]]</f>
        <v>924</v>
      </c>
      <c r="Y1708">
        <f>excelsalesdata[[#This Row],[Gross_sales]]-excelsalesdata[[#This Row],[Discount_amt]]</f>
        <v>3696</v>
      </c>
      <c r="Z1708" s="4">
        <f>excelsalesdata[[#This Row],[Net_sales]]-excelsalesdata[[#This Row],[Cost]]</f>
        <v>2526</v>
      </c>
      <c r="AA1708" s="5">
        <f>excelsalesdata[[#This Row],[Profit]]/excelsalesdata[[#This Row],[Net_sales]]</f>
        <v>0.68344155844155841</v>
      </c>
      <c r="AB1708" s="4">
        <f>YEAR(excelsalesdata[[#This Row],[Order_Date]])</f>
        <v>2029</v>
      </c>
      <c r="AC1708" s="4" t="str">
        <f>TEXT(excelsalesdata[[#This Row],[Order_Date]],"mmm")</f>
        <v>Dec</v>
      </c>
      <c r="AD1708" s="4" t="str">
        <f>"Q"&amp;ROUNDUP(MONTH(excelsalesdata[[#This Row],[Order_Date]])/3,0)</f>
        <v>Q4</v>
      </c>
    </row>
    <row r="1709" spans="1:30" x14ac:dyDescent="0.35">
      <c r="A1709" t="s">
        <v>2548</v>
      </c>
      <c r="B1709" s="3">
        <v>47467</v>
      </c>
      <c r="C1709" t="s">
        <v>1178</v>
      </c>
      <c r="D1709" t="s">
        <v>502</v>
      </c>
      <c r="E1709" t="str">
        <f>TRIM(excelsalesdata[[#This Row],[Customer_Name]])</f>
        <v>Diya Joshi</v>
      </c>
      <c r="F1709" t="s">
        <v>44</v>
      </c>
      <c r="G1709">
        <v>35</v>
      </c>
      <c r="H1709" t="s">
        <v>45</v>
      </c>
      <c r="I1709" t="str">
        <f>TRIM(excelsalesdata[[#This Row],[City]])</f>
        <v>Kochi</v>
      </c>
      <c r="J1709" t="s">
        <v>46</v>
      </c>
      <c r="K1709" t="s">
        <v>47</v>
      </c>
      <c r="L1709" t="s">
        <v>54</v>
      </c>
      <c r="M1709" t="s">
        <v>157</v>
      </c>
      <c r="N1709" t="s">
        <v>157</v>
      </c>
      <c r="O1709">
        <v>2</v>
      </c>
      <c r="P1709">
        <v>52660</v>
      </c>
      <c r="Q1709">
        <v>0</v>
      </c>
      <c r="R1709">
        <v>42540</v>
      </c>
      <c r="S1709" t="s">
        <v>80</v>
      </c>
      <c r="T1709" t="s">
        <v>30</v>
      </c>
      <c r="U1709">
        <v>3</v>
      </c>
      <c r="V1709" t="s">
        <v>31</v>
      </c>
      <c r="W1709">
        <f>excelsalesdata[[#This Row],[Quantity]]*excelsalesdata[[#This Row],[Unit_Price]]</f>
        <v>105320</v>
      </c>
      <c r="X1709">
        <f>excelsalesdata[[#This Row],[Gross_sales]]*excelsalesdata[[#This Row],[Discount_%]]</f>
        <v>0</v>
      </c>
      <c r="Y1709">
        <f>excelsalesdata[[#This Row],[Gross_sales]]-excelsalesdata[[#This Row],[Discount_amt]]</f>
        <v>105320</v>
      </c>
      <c r="Z1709" s="4">
        <f>excelsalesdata[[#This Row],[Net_sales]]-excelsalesdata[[#This Row],[Cost]]</f>
        <v>62780</v>
      </c>
      <c r="AA1709" s="5">
        <f>excelsalesdata[[#This Row],[Profit]]/excelsalesdata[[#This Row],[Net_sales]]</f>
        <v>0.5960881124192936</v>
      </c>
      <c r="AB1709" s="4">
        <f>YEAR(excelsalesdata[[#This Row],[Order_Date]])</f>
        <v>2029</v>
      </c>
      <c r="AC1709" s="4" t="str">
        <f>TEXT(excelsalesdata[[#This Row],[Order_Date]],"mmm")</f>
        <v>Dec</v>
      </c>
      <c r="AD1709" s="4" t="str">
        <f>"Q"&amp;ROUNDUP(MONTH(excelsalesdata[[#This Row],[Order_Date]])/3,0)</f>
        <v>Q4</v>
      </c>
    </row>
    <row r="1710" spans="1:30" x14ac:dyDescent="0.35">
      <c r="A1710" t="s">
        <v>2549</v>
      </c>
      <c r="B1710" s="3">
        <v>47468</v>
      </c>
      <c r="C1710" t="s">
        <v>146</v>
      </c>
      <c r="D1710" t="s">
        <v>328</v>
      </c>
      <c r="E1710" t="str">
        <f>TRIM(excelsalesdata[[#This Row],[Customer_Name]])</f>
        <v>Aarav Verma</v>
      </c>
      <c r="F1710" t="s">
        <v>23</v>
      </c>
      <c r="G1710">
        <v>40</v>
      </c>
      <c r="H1710" t="s">
        <v>185</v>
      </c>
      <c r="I1710" t="str">
        <f>TRIM(excelsalesdata[[#This Row],[City]])</f>
        <v>Lucknow</v>
      </c>
      <c r="J1710" t="s">
        <v>186</v>
      </c>
      <c r="K1710" t="s">
        <v>61</v>
      </c>
      <c r="L1710" t="s">
        <v>27</v>
      </c>
      <c r="M1710" t="s">
        <v>28</v>
      </c>
      <c r="N1710" t="s">
        <v>28</v>
      </c>
      <c r="O1710">
        <v>1</v>
      </c>
      <c r="P1710">
        <v>3460</v>
      </c>
      <c r="Q1710">
        <v>0.1</v>
      </c>
      <c r="R1710">
        <v>2140</v>
      </c>
      <c r="S1710" t="s">
        <v>105</v>
      </c>
      <c r="T1710" t="s">
        <v>30</v>
      </c>
      <c r="U1710">
        <v>4</v>
      </c>
      <c r="V1710" t="s">
        <v>31</v>
      </c>
      <c r="W1710">
        <f>excelsalesdata[[#This Row],[Quantity]]*excelsalesdata[[#This Row],[Unit_Price]]</f>
        <v>3460</v>
      </c>
      <c r="X1710">
        <f>excelsalesdata[[#This Row],[Gross_sales]]*excelsalesdata[[#This Row],[Discount_%]]</f>
        <v>346</v>
      </c>
      <c r="Y1710">
        <f>excelsalesdata[[#This Row],[Gross_sales]]-excelsalesdata[[#This Row],[Discount_amt]]</f>
        <v>3114</v>
      </c>
      <c r="Z1710" s="4">
        <f>excelsalesdata[[#This Row],[Net_sales]]-excelsalesdata[[#This Row],[Cost]]</f>
        <v>974</v>
      </c>
      <c r="AA1710" s="5">
        <f>excelsalesdata[[#This Row],[Profit]]/excelsalesdata[[#This Row],[Net_sales]]</f>
        <v>0.3127809890815671</v>
      </c>
      <c r="AB1710" s="4">
        <f>YEAR(excelsalesdata[[#This Row],[Order_Date]])</f>
        <v>2029</v>
      </c>
      <c r="AC1710" s="4" t="str">
        <f>TEXT(excelsalesdata[[#This Row],[Order_Date]],"mmm")</f>
        <v>Dec</v>
      </c>
      <c r="AD1710" s="4" t="str">
        <f>"Q"&amp;ROUNDUP(MONTH(excelsalesdata[[#This Row],[Order_Date]])/3,0)</f>
        <v>Q4</v>
      </c>
    </row>
    <row r="1711" spans="1:30" x14ac:dyDescent="0.35">
      <c r="A1711" t="s">
        <v>2550</v>
      </c>
      <c r="B1711" s="3">
        <v>47469</v>
      </c>
      <c r="C1711" t="s">
        <v>301</v>
      </c>
      <c r="D1711" t="s">
        <v>1087</v>
      </c>
      <c r="E1711" t="str">
        <f>TRIM(excelsalesdata[[#This Row],[Customer_Name]])</f>
        <v>Vivaan Verma</v>
      </c>
      <c r="F1711" t="s">
        <v>23</v>
      </c>
      <c r="G1711">
        <v>33</v>
      </c>
      <c r="H1711" t="s">
        <v>133</v>
      </c>
      <c r="I1711" t="str">
        <f>TRIM(excelsalesdata[[#This Row],[City]])</f>
        <v>Jaipur</v>
      </c>
      <c r="J1711" t="s">
        <v>134</v>
      </c>
      <c r="K1711" t="s">
        <v>61</v>
      </c>
      <c r="L1711" t="s">
        <v>85</v>
      </c>
      <c r="M1711" t="s">
        <v>202</v>
      </c>
      <c r="N1711" t="s">
        <v>202</v>
      </c>
      <c r="O1711">
        <v>1</v>
      </c>
      <c r="P1711">
        <v>950</v>
      </c>
      <c r="Q1711">
        <v>0.25</v>
      </c>
      <c r="R1711">
        <v>400</v>
      </c>
      <c r="S1711" t="s">
        <v>29</v>
      </c>
      <c r="T1711" t="s">
        <v>30</v>
      </c>
      <c r="U1711">
        <v>2</v>
      </c>
      <c r="V1711" t="s">
        <v>40</v>
      </c>
      <c r="W1711">
        <f>excelsalesdata[[#This Row],[Quantity]]*excelsalesdata[[#This Row],[Unit_Price]]</f>
        <v>950</v>
      </c>
      <c r="X1711">
        <f>excelsalesdata[[#This Row],[Gross_sales]]*excelsalesdata[[#This Row],[Discount_%]]</f>
        <v>237.5</v>
      </c>
      <c r="Y1711">
        <f>excelsalesdata[[#This Row],[Gross_sales]]-excelsalesdata[[#This Row],[Discount_amt]]</f>
        <v>712.5</v>
      </c>
      <c r="Z1711" s="4">
        <f>excelsalesdata[[#This Row],[Net_sales]]-excelsalesdata[[#This Row],[Cost]]</f>
        <v>312.5</v>
      </c>
      <c r="AA1711" s="5">
        <f>excelsalesdata[[#This Row],[Profit]]/excelsalesdata[[#This Row],[Net_sales]]</f>
        <v>0.43859649122807015</v>
      </c>
      <c r="AB1711" s="4">
        <f>YEAR(excelsalesdata[[#This Row],[Order_Date]])</f>
        <v>2029</v>
      </c>
      <c r="AC1711" s="4" t="str">
        <f>TEXT(excelsalesdata[[#This Row],[Order_Date]],"mmm")</f>
        <v>Dec</v>
      </c>
      <c r="AD1711" s="4" t="str">
        <f>"Q"&amp;ROUNDUP(MONTH(excelsalesdata[[#This Row],[Order_Date]])/3,0)</f>
        <v>Q4</v>
      </c>
    </row>
    <row r="1712" spans="1:30" x14ac:dyDescent="0.35">
      <c r="A1712" t="s">
        <v>2551</v>
      </c>
      <c r="B1712" s="3">
        <v>47470</v>
      </c>
      <c r="C1712" t="s">
        <v>1681</v>
      </c>
      <c r="D1712" t="s">
        <v>374</v>
      </c>
      <c r="E1712" t="str">
        <f>TRIM(excelsalesdata[[#This Row],[Customer_Name]])</f>
        <v>Priya Sharma</v>
      </c>
      <c r="F1712" t="s">
        <v>23</v>
      </c>
      <c r="G1712">
        <v>24</v>
      </c>
      <c r="H1712" t="s">
        <v>35</v>
      </c>
      <c r="I1712" t="str">
        <f>TRIM(excelsalesdata[[#This Row],[City]])</f>
        <v>Kolkata</v>
      </c>
      <c r="J1712" t="s">
        <v>36</v>
      </c>
      <c r="K1712" t="s">
        <v>37</v>
      </c>
      <c r="L1712" t="s">
        <v>103</v>
      </c>
      <c r="M1712" t="s">
        <v>178</v>
      </c>
      <c r="N1712" t="s">
        <v>178</v>
      </c>
      <c r="O1712">
        <v>2</v>
      </c>
      <c r="P1712">
        <v>1740</v>
      </c>
      <c r="Q1712">
        <v>0</v>
      </c>
      <c r="R1712">
        <v>960</v>
      </c>
      <c r="S1712" t="s">
        <v>29</v>
      </c>
      <c r="T1712" t="s">
        <v>30</v>
      </c>
      <c r="U1712">
        <v>7</v>
      </c>
      <c r="V1712" t="s">
        <v>31</v>
      </c>
      <c r="W1712">
        <f>excelsalesdata[[#This Row],[Quantity]]*excelsalesdata[[#This Row],[Unit_Price]]</f>
        <v>3480</v>
      </c>
      <c r="X1712">
        <f>excelsalesdata[[#This Row],[Gross_sales]]*excelsalesdata[[#This Row],[Discount_%]]</f>
        <v>0</v>
      </c>
      <c r="Y1712">
        <f>excelsalesdata[[#This Row],[Gross_sales]]-excelsalesdata[[#This Row],[Discount_amt]]</f>
        <v>3480</v>
      </c>
      <c r="Z1712" s="4">
        <f>excelsalesdata[[#This Row],[Net_sales]]-excelsalesdata[[#This Row],[Cost]]</f>
        <v>2520</v>
      </c>
      <c r="AA1712" s="5">
        <f>excelsalesdata[[#This Row],[Profit]]/excelsalesdata[[#This Row],[Net_sales]]</f>
        <v>0.72413793103448276</v>
      </c>
      <c r="AB1712" s="4">
        <f>YEAR(excelsalesdata[[#This Row],[Order_Date]])</f>
        <v>2029</v>
      </c>
      <c r="AC1712" s="4" t="str">
        <f>TEXT(excelsalesdata[[#This Row],[Order_Date]],"mmm")</f>
        <v>Dec</v>
      </c>
      <c r="AD1712" s="4" t="str">
        <f>"Q"&amp;ROUNDUP(MONTH(excelsalesdata[[#This Row],[Order_Date]])/3,0)</f>
        <v>Q4</v>
      </c>
    </row>
    <row r="1713" spans="1:30" x14ac:dyDescent="0.35">
      <c r="A1713" t="s">
        <v>2552</v>
      </c>
      <c r="B1713" s="3">
        <v>47471</v>
      </c>
      <c r="C1713" t="s">
        <v>364</v>
      </c>
      <c r="D1713" t="s">
        <v>241</v>
      </c>
      <c r="E1713" t="str">
        <f>TRIM(excelsalesdata[[#This Row],[Customer_Name]])</f>
        <v>Rahul Kumar</v>
      </c>
      <c r="F1713" t="s">
        <v>23</v>
      </c>
      <c r="G1713">
        <v>37</v>
      </c>
      <c r="H1713" t="s">
        <v>78</v>
      </c>
      <c r="I1713" t="str">
        <f>TRIM(excelsalesdata[[#This Row],[City]])</f>
        <v>Guwahati</v>
      </c>
      <c r="J1713" t="s">
        <v>79</v>
      </c>
      <c r="K1713" t="s">
        <v>37</v>
      </c>
      <c r="L1713" t="s">
        <v>103</v>
      </c>
      <c r="M1713" t="s">
        <v>347</v>
      </c>
      <c r="N1713" t="s">
        <v>347</v>
      </c>
      <c r="O1713">
        <v>1</v>
      </c>
      <c r="P1713">
        <v>11690</v>
      </c>
      <c r="Q1713">
        <v>0.15</v>
      </c>
      <c r="R1713">
        <v>8130</v>
      </c>
      <c r="S1713" t="s">
        <v>105</v>
      </c>
      <c r="T1713" t="s">
        <v>30</v>
      </c>
      <c r="U1713">
        <v>8</v>
      </c>
      <c r="V1713" t="s">
        <v>31</v>
      </c>
      <c r="W1713">
        <f>excelsalesdata[[#This Row],[Quantity]]*excelsalesdata[[#This Row],[Unit_Price]]</f>
        <v>11690</v>
      </c>
      <c r="X1713">
        <f>excelsalesdata[[#This Row],[Gross_sales]]*excelsalesdata[[#This Row],[Discount_%]]</f>
        <v>1753.5</v>
      </c>
      <c r="Y1713">
        <f>excelsalesdata[[#This Row],[Gross_sales]]-excelsalesdata[[#This Row],[Discount_amt]]</f>
        <v>9936.5</v>
      </c>
      <c r="Z1713" s="4">
        <f>excelsalesdata[[#This Row],[Net_sales]]-excelsalesdata[[#This Row],[Cost]]</f>
        <v>1806.5</v>
      </c>
      <c r="AA1713" s="5">
        <f>excelsalesdata[[#This Row],[Profit]]/excelsalesdata[[#This Row],[Net_sales]]</f>
        <v>0.18180445831027023</v>
      </c>
      <c r="AB1713" s="4">
        <f>YEAR(excelsalesdata[[#This Row],[Order_Date]])</f>
        <v>2029</v>
      </c>
      <c r="AC1713" s="4" t="str">
        <f>TEXT(excelsalesdata[[#This Row],[Order_Date]],"mmm")</f>
        <v>Dec</v>
      </c>
      <c r="AD1713" s="4" t="str">
        <f>"Q"&amp;ROUNDUP(MONTH(excelsalesdata[[#This Row],[Order_Date]])/3,0)</f>
        <v>Q4</v>
      </c>
    </row>
    <row r="1714" spans="1:30" x14ac:dyDescent="0.35">
      <c r="A1714" t="s">
        <v>2553</v>
      </c>
      <c r="B1714" s="3">
        <v>47472</v>
      </c>
      <c r="C1714" t="s">
        <v>1916</v>
      </c>
      <c r="D1714" t="s">
        <v>250</v>
      </c>
      <c r="E1714" t="str">
        <f>TRIM(excelsalesdata[[#This Row],[Customer_Name]])</f>
        <v>Rohan Singh</v>
      </c>
      <c r="F1714" t="s">
        <v>23</v>
      </c>
      <c r="G1714">
        <v>30</v>
      </c>
      <c r="H1714" t="s">
        <v>24</v>
      </c>
      <c r="I1714" t="str">
        <f>TRIM(excelsalesdata[[#This Row],[City]])</f>
        <v>Pune</v>
      </c>
      <c r="J1714" t="s">
        <v>25</v>
      </c>
      <c r="K1714" t="s">
        <v>26</v>
      </c>
      <c r="L1714" t="s">
        <v>27</v>
      </c>
      <c r="M1714" t="s">
        <v>48</v>
      </c>
      <c r="N1714" t="s">
        <v>48</v>
      </c>
      <c r="O1714">
        <v>1</v>
      </c>
      <c r="P1714">
        <v>870</v>
      </c>
      <c r="Q1714">
        <v>0.1</v>
      </c>
      <c r="R1714">
        <v>440</v>
      </c>
      <c r="S1714" t="s">
        <v>80</v>
      </c>
      <c r="T1714" t="s">
        <v>30</v>
      </c>
      <c r="U1714">
        <v>3</v>
      </c>
      <c r="V1714" t="s">
        <v>40</v>
      </c>
      <c r="W1714">
        <f>excelsalesdata[[#This Row],[Quantity]]*excelsalesdata[[#This Row],[Unit_Price]]</f>
        <v>870</v>
      </c>
      <c r="X1714">
        <f>excelsalesdata[[#This Row],[Gross_sales]]*excelsalesdata[[#This Row],[Discount_%]]</f>
        <v>87</v>
      </c>
      <c r="Y1714">
        <f>excelsalesdata[[#This Row],[Gross_sales]]-excelsalesdata[[#This Row],[Discount_amt]]</f>
        <v>783</v>
      </c>
      <c r="Z1714" s="4">
        <f>excelsalesdata[[#This Row],[Net_sales]]-excelsalesdata[[#This Row],[Cost]]</f>
        <v>343</v>
      </c>
      <c r="AA1714" s="5">
        <f>excelsalesdata[[#This Row],[Profit]]/excelsalesdata[[#This Row],[Net_sales]]</f>
        <v>0.438058748403576</v>
      </c>
      <c r="AB1714" s="4">
        <f>YEAR(excelsalesdata[[#This Row],[Order_Date]])</f>
        <v>2029</v>
      </c>
      <c r="AC1714" s="4" t="str">
        <f>TEXT(excelsalesdata[[#This Row],[Order_Date]],"mmm")</f>
        <v>Dec</v>
      </c>
      <c r="AD1714" s="4" t="str">
        <f>"Q"&amp;ROUNDUP(MONTH(excelsalesdata[[#This Row],[Order_Date]])/3,0)</f>
        <v>Q4</v>
      </c>
    </row>
    <row r="1715" spans="1:30" x14ac:dyDescent="0.35">
      <c r="A1715" t="s">
        <v>2554</v>
      </c>
      <c r="B1715" s="3">
        <v>47473</v>
      </c>
      <c r="C1715" t="s">
        <v>604</v>
      </c>
      <c r="D1715" t="s">
        <v>879</v>
      </c>
      <c r="E1715" t="str">
        <f>TRIM(excelsalesdata[[#This Row],[Customer_Name]])</f>
        <v>Ishita Das</v>
      </c>
      <c r="F1715" t="s">
        <v>23</v>
      </c>
      <c r="G1715">
        <v>35</v>
      </c>
      <c r="H1715" t="s">
        <v>185</v>
      </c>
      <c r="I1715" t="str">
        <f>TRIM(excelsalesdata[[#This Row],[City]])</f>
        <v>Lucknow</v>
      </c>
      <c r="J1715" t="s">
        <v>186</v>
      </c>
      <c r="K1715" t="s">
        <v>61</v>
      </c>
      <c r="L1715" t="s">
        <v>103</v>
      </c>
      <c r="M1715" t="s">
        <v>312</v>
      </c>
      <c r="N1715" t="s">
        <v>312</v>
      </c>
      <c r="O1715">
        <v>3</v>
      </c>
      <c r="P1715">
        <v>6100</v>
      </c>
      <c r="Q1715">
        <v>0.1</v>
      </c>
      <c r="R1715">
        <v>4130</v>
      </c>
      <c r="S1715" t="s">
        <v>105</v>
      </c>
      <c r="T1715" t="s">
        <v>30</v>
      </c>
      <c r="U1715">
        <v>4</v>
      </c>
      <c r="V1715" t="s">
        <v>31</v>
      </c>
      <c r="W1715">
        <f>excelsalesdata[[#This Row],[Quantity]]*excelsalesdata[[#This Row],[Unit_Price]]</f>
        <v>18300</v>
      </c>
      <c r="X1715">
        <f>excelsalesdata[[#This Row],[Gross_sales]]*excelsalesdata[[#This Row],[Discount_%]]</f>
        <v>1830</v>
      </c>
      <c r="Y1715">
        <f>excelsalesdata[[#This Row],[Gross_sales]]-excelsalesdata[[#This Row],[Discount_amt]]</f>
        <v>16470</v>
      </c>
      <c r="Z1715" s="4">
        <f>excelsalesdata[[#This Row],[Net_sales]]-excelsalesdata[[#This Row],[Cost]]</f>
        <v>12340</v>
      </c>
      <c r="AA1715" s="5">
        <f>excelsalesdata[[#This Row],[Profit]]/excelsalesdata[[#This Row],[Net_sales]]</f>
        <v>0.74924104432301153</v>
      </c>
      <c r="AB1715" s="4">
        <f>YEAR(excelsalesdata[[#This Row],[Order_Date]])</f>
        <v>2029</v>
      </c>
      <c r="AC1715" s="4" t="str">
        <f>TEXT(excelsalesdata[[#This Row],[Order_Date]],"mmm")</f>
        <v>Dec</v>
      </c>
      <c r="AD1715" s="4" t="str">
        <f>"Q"&amp;ROUNDUP(MONTH(excelsalesdata[[#This Row],[Order_Date]])/3,0)</f>
        <v>Q4</v>
      </c>
    </row>
    <row r="1716" spans="1:30" x14ac:dyDescent="0.35">
      <c r="A1716" t="s">
        <v>2555</v>
      </c>
      <c r="B1716" s="3">
        <v>47474</v>
      </c>
      <c r="C1716" t="s">
        <v>314</v>
      </c>
      <c r="D1716" t="s">
        <v>499</v>
      </c>
      <c r="E1716" t="str">
        <f>TRIM(excelsalesdata[[#This Row],[Customer_Name]])</f>
        <v>Aditya Nair</v>
      </c>
      <c r="F1716" t="s">
        <v>44</v>
      </c>
      <c r="G1716">
        <v>60</v>
      </c>
      <c r="H1716" t="s">
        <v>109</v>
      </c>
      <c r="I1716" t="str">
        <f>TRIM(excelsalesdata[[#This Row],[City]])</f>
        <v>Mysuru</v>
      </c>
      <c r="J1716" t="s">
        <v>53</v>
      </c>
      <c r="K1716" t="s">
        <v>47</v>
      </c>
      <c r="L1716" t="s">
        <v>54</v>
      </c>
      <c r="M1716" t="s">
        <v>62</v>
      </c>
      <c r="N1716" t="s">
        <v>62</v>
      </c>
      <c r="O1716">
        <v>2</v>
      </c>
      <c r="P1716">
        <v>22520</v>
      </c>
      <c r="Q1716">
        <v>0.05</v>
      </c>
      <c r="R1716">
        <v>15180</v>
      </c>
      <c r="S1716" t="s">
        <v>80</v>
      </c>
      <c r="T1716" t="s">
        <v>30</v>
      </c>
      <c r="U1716">
        <v>3</v>
      </c>
      <c r="V1716" t="s">
        <v>31</v>
      </c>
      <c r="W1716">
        <f>excelsalesdata[[#This Row],[Quantity]]*excelsalesdata[[#This Row],[Unit_Price]]</f>
        <v>45040</v>
      </c>
      <c r="X1716">
        <f>excelsalesdata[[#This Row],[Gross_sales]]*excelsalesdata[[#This Row],[Discount_%]]</f>
        <v>2252</v>
      </c>
      <c r="Y1716">
        <f>excelsalesdata[[#This Row],[Gross_sales]]-excelsalesdata[[#This Row],[Discount_amt]]</f>
        <v>42788</v>
      </c>
      <c r="Z1716" s="4">
        <f>excelsalesdata[[#This Row],[Net_sales]]-excelsalesdata[[#This Row],[Cost]]</f>
        <v>27608</v>
      </c>
      <c r="AA1716" s="5">
        <f>excelsalesdata[[#This Row],[Profit]]/excelsalesdata[[#This Row],[Net_sales]]</f>
        <v>0.6452276339160512</v>
      </c>
      <c r="AB1716" s="4">
        <f>YEAR(excelsalesdata[[#This Row],[Order_Date]])</f>
        <v>2029</v>
      </c>
      <c r="AC1716" s="4" t="str">
        <f>TEXT(excelsalesdata[[#This Row],[Order_Date]],"mmm")</f>
        <v>Dec</v>
      </c>
      <c r="AD1716" s="4" t="str">
        <f>"Q"&amp;ROUNDUP(MONTH(excelsalesdata[[#This Row],[Order_Date]])/3,0)</f>
        <v>Q4</v>
      </c>
    </row>
    <row r="1717" spans="1:30" x14ac:dyDescent="0.35">
      <c r="A1717" t="s">
        <v>2556</v>
      </c>
      <c r="B1717" s="3">
        <v>47475</v>
      </c>
      <c r="C1717" t="s">
        <v>2557</v>
      </c>
      <c r="D1717" t="s">
        <v>1032</v>
      </c>
      <c r="E1717" t="str">
        <f>TRIM(excelsalesdata[[#This Row],[Customer_Name]])</f>
        <v>Aarav Gupta</v>
      </c>
      <c r="F1717" t="s">
        <v>44</v>
      </c>
      <c r="G1717">
        <v>35</v>
      </c>
      <c r="H1717" t="s">
        <v>133</v>
      </c>
      <c r="I1717" t="str">
        <f>TRIM(excelsalesdata[[#This Row],[City]])</f>
        <v>Jaipur</v>
      </c>
      <c r="J1717" t="s">
        <v>134</v>
      </c>
      <c r="K1717" t="s">
        <v>61</v>
      </c>
      <c r="L1717" t="s">
        <v>27</v>
      </c>
      <c r="M1717" t="s">
        <v>123</v>
      </c>
      <c r="N1717" t="s">
        <v>123</v>
      </c>
      <c r="O1717">
        <v>1</v>
      </c>
      <c r="P1717">
        <v>2920</v>
      </c>
      <c r="Q1717">
        <v>0.25</v>
      </c>
      <c r="R1717">
        <v>1560</v>
      </c>
      <c r="S1717" t="s">
        <v>151</v>
      </c>
      <c r="T1717" t="s">
        <v>30</v>
      </c>
      <c r="U1717">
        <v>4</v>
      </c>
      <c r="V1717" t="s">
        <v>31</v>
      </c>
      <c r="W1717">
        <f>excelsalesdata[[#This Row],[Quantity]]*excelsalesdata[[#This Row],[Unit_Price]]</f>
        <v>2920</v>
      </c>
      <c r="X1717">
        <f>excelsalesdata[[#This Row],[Gross_sales]]*excelsalesdata[[#This Row],[Discount_%]]</f>
        <v>730</v>
      </c>
      <c r="Y1717">
        <f>excelsalesdata[[#This Row],[Gross_sales]]-excelsalesdata[[#This Row],[Discount_amt]]</f>
        <v>2190</v>
      </c>
      <c r="Z1717" s="4">
        <f>excelsalesdata[[#This Row],[Net_sales]]-excelsalesdata[[#This Row],[Cost]]</f>
        <v>630</v>
      </c>
      <c r="AA1717" s="5">
        <f>excelsalesdata[[#This Row],[Profit]]/excelsalesdata[[#This Row],[Net_sales]]</f>
        <v>0.28767123287671231</v>
      </c>
      <c r="AB1717" s="4">
        <f>YEAR(excelsalesdata[[#This Row],[Order_Date]])</f>
        <v>2029</v>
      </c>
      <c r="AC1717" s="4" t="str">
        <f>TEXT(excelsalesdata[[#This Row],[Order_Date]],"mmm")</f>
        <v>Dec</v>
      </c>
      <c r="AD1717" s="4" t="str">
        <f>"Q"&amp;ROUNDUP(MONTH(excelsalesdata[[#This Row],[Order_Date]])/3,0)</f>
        <v>Q4</v>
      </c>
    </row>
    <row r="1718" spans="1:30" x14ac:dyDescent="0.35">
      <c r="A1718" t="s">
        <v>2558</v>
      </c>
      <c r="B1718" s="3">
        <v>47476</v>
      </c>
      <c r="C1718" t="s">
        <v>1782</v>
      </c>
      <c r="D1718" t="s">
        <v>205</v>
      </c>
      <c r="E1718" t="str">
        <f>TRIM(excelsalesdata[[#This Row],[Customer_Name]])</f>
        <v>Vivaan Bhat</v>
      </c>
      <c r="F1718" t="s">
        <v>44</v>
      </c>
      <c r="G1718">
        <v>23</v>
      </c>
      <c r="H1718" t="s">
        <v>45</v>
      </c>
      <c r="I1718" t="str">
        <f>TRIM(excelsalesdata[[#This Row],[City]])</f>
        <v>Kochi</v>
      </c>
      <c r="J1718" t="s">
        <v>46</v>
      </c>
      <c r="K1718" t="s">
        <v>47</v>
      </c>
      <c r="L1718" t="s">
        <v>85</v>
      </c>
      <c r="M1718" t="s">
        <v>86</v>
      </c>
      <c r="N1718" t="s">
        <v>86</v>
      </c>
      <c r="O1718">
        <v>3</v>
      </c>
      <c r="P1718">
        <v>2480</v>
      </c>
      <c r="Q1718">
        <v>0.05</v>
      </c>
      <c r="R1718">
        <v>1510</v>
      </c>
      <c r="S1718" t="s">
        <v>67</v>
      </c>
      <c r="T1718" t="s">
        <v>30</v>
      </c>
      <c r="U1718">
        <v>2</v>
      </c>
      <c r="V1718" t="s">
        <v>40</v>
      </c>
      <c r="W1718">
        <f>excelsalesdata[[#This Row],[Quantity]]*excelsalesdata[[#This Row],[Unit_Price]]</f>
        <v>7440</v>
      </c>
      <c r="X1718">
        <f>excelsalesdata[[#This Row],[Gross_sales]]*excelsalesdata[[#This Row],[Discount_%]]</f>
        <v>372</v>
      </c>
      <c r="Y1718">
        <f>excelsalesdata[[#This Row],[Gross_sales]]-excelsalesdata[[#This Row],[Discount_amt]]</f>
        <v>7068</v>
      </c>
      <c r="Z1718" s="4">
        <f>excelsalesdata[[#This Row],[Net_sales]]-excelsalesdata[[#This Row],[Cost]]</f>
        <v>5558</v>
      </c>
      <c r="AA1718" s="5">
        <f>excelsalesdata[[#This Row],[Profit]]/excelsalesdata[[#This Row],[Net_sales]]</f>
        <v>0.78636106395019811</v>
      </c>
      <c r="AB1718" s="4">
        <f>YEAR(excelsalesdata[[#This Row],[Order_Date]])</f>
        <v>2029</v>
      </c>
      <c r="AC1718" s="4" t="str">
        <f>TEXT(excelsalesdata[[#This Row],[Order_Date]],"mmm")</f>
        <v>Dec</v>
      </c>
      <c r="AD1718" s="4" t="str">
        <f>"Q"&amp;ROUNDUP(MONTH(excelsalesdata[[#This Row],[Order_Date]])/3,0)</f>
        <v>Q4</v>
      </c>
    </row>
    <row r="1719" spans="1:30" x14ac:dyDescent="0.35">
      <c r="A1719" t="s">
        <v>2559</v>
      </c>
      <c r="B1719" s="3">
        <v>47477</v>
      </c>
      <c r="C1719" t="s">
        <v>143</v>
      </c>
      <c r="D1719" t="s">
        <v>1032</v>
      </c>
      <c r="E1719" t="str">
        <f>TRIM(excelsalesdata[[#This Row],[Customer_Name]])</f>
        <v>Aarav Gupta</v>
      </c>
      <c r="F1719" t="s">
        <v>44</v>
      </c>
      <c r="G1719">
        <v>28</v>
      </c>
      <c r="H1719" t="s">
        <v>168</v>
      </c>
      <c r="I1719" t="str">
        <f>TRIM(excelsalesdata[[#This Row],[City]])</f>
        <v>Delhi</v>
      </c>
      <c r="J1719" t="s">
        <v>168</v>
      </c>
      <c r="K1719" t="s">
        <v>61</v>
      </c>
      <c r="L1719" t="s">
        <v>38</v>
      </c>
      <c r="M1719" t="s">
        <v>255</v>
      </c>
      <c r="N1719" t="s">
        <v>255</v>
      </c>
      <c r="O1719">
        <v>1</v>
      </c>
      <c r="P1719">
        <v>4820</v>
      </c>
      <c r="Q1719">
        <v>0</v>
      </c>
      <c r="R1719">
        <v>2970</v>
      </c>
      <c r="S1719" t="s">
        <v>67</v>
      </c>
      <c r="T1719" t="s">
        <v>30</v>
      </c>
      <c r="U1719">
        <v>2</v>
      </c>
      <c r="V1719" t="s">
        <v>31</v>
      </c>
      <c r="W1719">
        <f>excelsalesdata[[#This Row],[Quantity]]*excelsalesdata[[#This Row],[Unit_Price]]</f>
        <v>4820</v>
      </c>
      <c r="X1719">
        <f>excelsalesdata[[#This Row],[Gross_sales]]*excelsalesdata[[#This Row],[Discount_%]]</f>
        <v>0</v>
      </c>
      <c r="Y1719">
        <f>excelsalesdata[[#This Row],[Gross_sales]]-excelsalesdata[[#This Row],[Discount_amt]]</f>
        <v>4820</v>
      </c>
      <c r="Z1719" s="4">
        <f>excelsalesdata[[#This Row],[Net_sales]]-excelsalesdata[[#This Row],[Cost]]</f>
        <v>1850</v>
      </c>
      <c r="AA1719" s="5">
        <f>excelsalesdata[[#This Row],[Profit]]/excelsalesdata[[#This Row],[Net_sales]]</f>
        <v>0.38381742738589214</v>
      </c>
      <c r="AB1719" s="4">
        <f>YEAR(excelsalesdata[[#This Row],[Order_Date]])</f>
        <v>2029</v>
      </c>
      <c r="AC1719" s="4" t="str">
        <f>TEXT(excelsalesdata[[#This Row],[Order_Date]],"mmm")</f>
        <v>Dec</v>
      </c>
      <c r="AD1719" s="4" t="str">
        <f>"Q"&amp;ROUNDUP(MONTH(excelsalesdata[[#This Row],[Order_Date]])/3,0)</f>
        <v>Q4</v>
      </c>
    </row>
    <row r="1720" spans="1:30" x14ac:dyDescent="0.35">
      <c r="A1720" t="s">
        <v>2560</v>
      </c>
      <c r="B1720" s="3">
        <v>47478</v>
      </c>
      <c r="C1720" t="s">
        <v>327</v>
      </c>
      <c r="D1720" t="s">
        <v>254</v>
      </c>
      <c r="E1720" t="str">
        <f>TRIM(excelsalesdata[[#This Row],[Customer_Name]])</f>
        <v>Meera Sharma</v>
      </c>
      <c r="F1720" t="s">
        <v>44</v>
      </c>
      <c r="G1720">
        <v>49</v>
      </c>
      <c r="H1720" t="s">
        <v>60</v>
      </c>
      <c r="I1720" t="str">
        <f>TRIM(excelsalesdata[[#This Row],[City]])</f>
        <v>Chandigarh</v>
      </c>
      <c r="J1720" t="s">
        <v>60</v>
      </c>
      <c r="K1720" t="s">
        <v>61</v>
      </c>
      <c r="L1720" t="s">
        <v>27</v>
      </c>
      <c r="M1720" t="s">
        <v>295</v>
      </c>
      <c r="N1720" t="s">
        <v>295</v>
      </c>
      <c r="O1720">
        <v>1</v>
      </c>
      <c r="P1720">
        <v>4460</v>
      </c>
      <c r="Q1720">
        <v>0.15</v>
      </c>
      <c r="R1720">
        <v>2500</v>
      </c>
      <c r="S1720" t="s">
        <v>151</v>
      </c>
      <c r="T1720" t="s">
        <v>30</v>
      </c>
      <c r="U1720">
        <v>2</v>
      </c>
      <c r="V1720" t="s">
        <v>31</v>
      </c>
      <c r="W1720">
        <f>excelsalesdata[[#This Row],[Quantity]]*excelsalesdata[[#This Row],[Unit_Price]]</f>
        <v>4460</v>
      </c>
      <c r="X1720">
        <f>excelsalesdata[[#This Row],[Gross_sales]]*excelsalesdata[[#This Row],[Discount_%]]</f>
        <v>669</v>
      </c>
      <c r="Y1720">
        <f>excelsalesdata[[#This Row],[Gross_sales]]-excelsalesdata[[#This Row],[Discount_amt]]</f>
        <v>3791</v>
      </c>
      <c r="Z1720" s="4">
        <f>excelsalesdata[[#This Row],[Net_sales]]-excelsalesdata[[#This Row],[Cost]]</f>
        <v>1291</v>
      </c>
      <c r="AA1720" s="5">
        <f>excelsalesdata[[#This Row],[Profit]]/excelsalesdata[[#This Row],[Net_sales]]</f>
        <v>0.3405433922447903</v>
      </c>
      <c r="AB1720" s="4">
        <f>YEAR(excelsalesdata[[#This Row],[Order_Date]])</f>
        <v>2029</v>
      </c>
      <c r="AC1720" s="4" t="str">
        <f>TEXT(excelsalesdata[[#This Row],[Order_Date]],"mmm")</f>
        <v>Dec</v>
      </c>
      <c r="AD1720" s="4" t="str">
        <f>"Q"&amp;ROUNDUP(MONTH(excelsalesdata[[#This Row],[Order_Date]])/3,0)</f>
        <v>Q4</v>
      </c>
    </row>
    <row r="1721" spans="1:30" x14ac:dyDescent="0.35">
      <c r="A1721" t="s">
        <v>2561</v>
      </c>
      <c r="B1721" s="3">
        <v>47479</v>
      </c>
      <c r="C1721" t="s">
        <v>361</v>
      </c>
      <c r="D1721" t="s">
        <v>524</v>
      </c>
      <c r="E1721" t="str">
        <f>TRIM(excelsalesdata[[#This Row],[Customer_Name]])</f>
        <v>Arjun Das</v>
      </c>
      <c r="F1721" t="s">
        <v>44</v>
      </c>
      <c r="G1721">
        <v>19</v>
      </c>
      <c r="H1721" t="s">
        <v>78</v>
      </c>
      <c r="I1721" t="str">
        <f>TRIM(excelsalesdata[[#This Row],[City]])</f>
        <v>Guwahati</v>
      </c>
      <c r="J1721" t="s">
        <v>79</v>
      </c>
      <c r="K1721" t="s">
        <v>37</v>
      </c>
      <c r="L1721" t="s">
        <v>103</v>
      </c>
      <c r="M1721" t="s">
        <v>238</v>
      </c>
      <c r="N1721" t="s">
        <v>238</v>
      </c>
      <c r="O1721">
        <v>1</v>
      </c>
      <c r="P1721">
        <v>4300</v>
      </c>
      <c r="Q1721">
        <v>0.15</v>
      </c>
      <c r="R1721">
        <v>2600</v>
      </c>
      <c r="S1721" t="s">
        <v>29</v>
      </c>
      <c r="T1721" t="s">
        <v>30</v>
      </c>
      <c r="U1721">
        <v>3</v>
      </c>
      <c r="V1721" t="s">
        <v>40</v>
      </c>
      <c r="W1721">
        <f>excelsalesdata[[#This Row],[Quantity]]*excelsalesdata[[#This Row],[Unit_Price]]</f>
        <v>4300</v>
      </c>
      <c r="X1721">
        <f>excelsalesdata[[#This Row],[Gross_sales]]*excelsalesdata[[#This Row],[Discount_%]]</f>
        <v>645</v>
      </c>
      <c r="Y1721">
        <f>excelsalesdata[[#This Row],[Gross_sales]]-excelsalesdata[[#This Row],[Discount_amt]]</f>
        <v>3655</v>
      </c>
      <c r="Z1721" s="4">
        <f>excelsalesdata[[#This Row],[Net_sales]]-excelsalesdata[[#This Row],[Cost]]</f>
        <v>1055</v>
      </c>
      <c r="AA1721" s="5">
        <f>excelsalesdata[[#This Row],[Profit]]/excelsalesdata[[#This Row],[Net_sales]]</f>
        <v>0.28864569083447333</v>
      </c>
      <c r="AB1721" s="4">
        <f>YEAR(excelsalesdata[[#This Row],[Order_Date]])</f>
        <v>2029</v>
      </c>
      <c r="AC1721" s="4" t="str">
        <f>TEXT(excelsalesdata[[#This Row],[Order_Date]],"mmm")</f>
        <v>Dec</v>
      </c>
      <c r="AD1721" s="4" t="str">
        <f>"Q"&amp;ROUNDUP(MONTH(excelsalesdata[[#This Row],[Order_Date]])/3,0)</f>
        <v>Q4</v>
      </c>
    </row>
    <row r="1722" spans="1:30" x14ac:dyDescent="0.35">
      <c r="A1722" t="s">
        <v>2562</v>
      </c>
      <c r="B1722" s="3">
        <v>47480</v>
      </c>
      <c r="C1722" t="s">
        <v>512</v>
      </c>
      <c r="D1722" t="s">
        <v>954</v>
      </c>
      <c r="E1722" t="str">
        <f>TRIM(excelsalesdata[[#This Row],[Customer_Name]])</f>
        <v>Ishita Nair</v>
      </c>
      <c r="F1722" t="s">
        <v>44</v>
      </c>
      <c r="G1722">
        <v>58</v>
      </c>
      <c r="H1722" t="s">
        <v>45</v>
      </c>
      <c r="I1722" t="str">
        <f>TRIM(excelsalesdata[[#This Row],[City]])</f>
        <v>Kochi</v>
      </c>
      <c r="J1722" t="s">
        <v>46</v>
      </c>
      <c r="K1722" t="s">
        <v>47</v>
      </c>
      <c r="L1722" t="s">
        <v>54</v>
      </c>
      <c r="M1722" t="s">
        <v>129</v>
      </c>
      <c r="N1722" t="s">
        <v>129</v>
      </c>
      <c r="O1722">
        <v>1</v>
      </c>
      <c r="P1722">
        <v>18720</v>
      </c>
      <c r="Q1722">
        <v>0.15</v>
      </c>
      <c r="R1722">
        <v>12590</v>
      </c>
      <c r="S1722" t="s">
        <v>29</v>
      </c>
      <c r="T1722" t="s">
        <v>74</v>
      </c>
      <c r="U1722">
        <v>8</v>
      </c>
      <c r="V1722" t="s">
        <v>31</v>
      </c>
      <c r="W1722">
        <f>excelsalesdata[[#This Row],[Quantity]]*excelsalesdata[[#This Row],[Unit_Price]]</f>
        <v>18720</v>
      </c>
      <c r="X1722">
        <f>excelsalesdata[[#This Row],[Gross_sales]]*excelsalesdata[[#This Row],[Discount_%]]</f>
        <v>2808</v>
      </c>
      <c r="Y1722">
        <f>excelsalesdata[[#This Row],[Gross_sales]]-excelsalesdata[[#This Row],[Discount_amt]]</f>
        <v>15912</v>
      </c>
      <c r="Z1722" s="4">
        <f>excelsalesdata[[#This Row],[Net_sales]]-excelsalesdata[[#This Row],[Cost]]</f>
        <v>3322</v>
      </c>
      <c r="AA1722" s="5">
        <f>excelsalesdata[[#This Row],[Profit]]/excelsalesdata[[#This Row],[Net_sales]]</f>
        <v>0.20877325289089996</v>
      </c>
      <c r="AB1722" s="4">
        <f>YEAR(excelsalesdata[[#This Row],[Order_Date]])</f>
        <v>2029</v>
      </c>
      <c r="AC1722" s="4" t="str">
        <f>TEXT(excelsalesdata[[#This Row],[Order_Date]],"mmm")</f>
        <v>Dec</v>
      </c>
      <c r="AD1722" s="4" t="str">
        <f>"Q"&amp;ROUNDUP(MONTH(excelsalesdata[[#This Row],[Order_Date]])/3,0)</f>
        <v>Q4</v>
      </c>
    </row>
    <row r="1723" spans="1:30" x14ac:dyDescent="0.35">
      <c r="A1723" t="s">
        <v>2563</v>
      </c>
      <c r="B1723" s="3">
        <v>47481</v>
      </c>
      <c r="C1723" t="s">
        <v>2111</v>
      </c>
      <c r="D1723" t="s">
        <v>138</v>
      </c>
      <c r="E1723" t="str">
        <f>TRIM(excelsalesdata[[#This Row],[Customer_Name]])</f>
        <v>Vikram Bhat</v>
      </c>
      <c r="F1723" t="s">
        <v>23</v>
      </c>
      <c r="G1723">
        <v>55</v>
      </c>
      <c r="H1723" t="s">
        <v>35</v>
      </c>
      <c r="I1723" t="str">
        <f>TRIM(excelsalesdata[[#This Row],[City]])</f>
        <v>Kolkata</v>
      </c>
      <c r="J1723" t="s">
        <v>36</v>
      </c>
      <c r="K1723" t="s">
        <v>37</v>
      </c>
      <c r="L1723" t="s">
        <v>27</v>
      </c>
      <c r="M1723" t="s">
        <v>123</v>
      </c>
      <c r="N1723" t="s">
        <v>123</v>
      </c>
      <c r="O1723">
        <v>3</v>
      </c>
      <c r="P1723">
        <v>2940</v>
      </c>
      <c r="Q1723">
        <v>0.2</v>
      </c>
      <c r="R1723">
        <v>1530</v>
      </c>
      <c r="S1723" t="s">
        <v>29</v>
      </c>
      <c r="T1723" t="s">
        <v>30</v>
      </c>
      <c r="U1723">
        <v>2</v>
      </c>
      <c r="V1723" t="s">
        <v>40</v>
      </c>
      <c r="W1723">
        <f>excelsalesdata[[#This Row],[Quantity]]*excelsalesdata[[#This Row],[Unit_Price]]</f>
        <v>8820</v>
      </c>
      <c r="X1723">
        <f>excelsalesdata[[#This Row],[Gross_sales]]*excelsalesdata[[#This Row],[Discount_%]]</f>
        <v>1764</v>
      </c>
      <c r="Y1723">
        <f>excelsalesdata[[#This Row],[Gross_sales]]-excelsalesdata[[#This Row],[Discount_amt]]</f>
        <v>7056</v>
      </c>
      <c r="Z1723" s="4">
        <f>excelsalesdata[[#This Row],[Net_sales]]-excelsalesdata[[#This Row],[Cost]]</f>
        <v>5526</v>
      </c>
      <c r="AA1723" s="5">
        <f>excelsalesdata[[#This Row],[Profit]]/excelsalesdata[[#This Row],[Net_sales]]</f>
        <v>0.78316326530612246</v>
      </c>
      <c r="AB1723" s="4">
        <f>YEAR(excelsalesdata[[#This Row],[Order_Date]])</f>
        <v>2029</v>
      </c>
      <c r="AC1723" s="4" t="str">
        <f>TEXT(excelsalesdata[[#This Row],[Order_Date]],"mmm")</f>
        <v>Dec</v>
      </c>
      <c r="AD1723" s="4" t="str">
        <f>"Q"&amp;ROUNDUP(MONTH(excelsalesdata[[#This Row],[Order_Date]])/3,0)</f>
        <v>Q4</v>
      </c>
    </row>
    <row r="1724" spans="1:30" x14ac:dyDescent="0.35">
      <c r="A1724" t="s">
        <v>2564</v>
      </c>
      <c r="B1724" s="3">
        <v>47482</v>
      </c>
      <c r="C1724" t="s">
        <v>1223</v>
      </c>
      <c r="D1724" t="s">
        <v>664</v>
      </c>
      <c r="E1724" t="str">
        <f>TRIM(excelsalesdata[[#This Row],[Customer_Name]])</f>
        <v>Ishita Reddy</v>
      </c>
      <c r="F1724" t="s">
        <v>23</v>
      </c>
      <c r="G1724">
        <v>33</v>
      </c>
      <c r="H1724" t="s">
        <v>60</v>
      </c>
      <c r="I1724" t="str">
        <f>TRIM(excelsalesdata[[#This Row],[City]])</f>
        <v>Chandigarh</v>
      </c>
      <c r="J1724" t="s">
        <v>60</v>
      </c>
      <c r="K1724" t="s">
        <v>61</v>
      </c>
      <c r="L1724" t="s">
        <v>27</v>
      </c>
      <c r="M1724" t="s">
        <v>28</v>
      </c>
      <c r="N1724" t="s">
        <v>28</v>
      </c>
      <c r="O1724">
        <v>2</v>
      </c>
      <c r="P1724">
        <v>3410</v>
      </c>
      <c r="Q1724">
        <v>0.15</v>
      </c>
      <c r="R1724">
        <v>2010</v>
      </c>
      <c r="S1724" t="s">
        <v>29</v>
      </c>
      <c r="T1724" t="s">
        <v>30</v>
      </c>
      <c r="U1724">
        <v>1</v>
      </c>
      <c r="V1724" t="s">
        <v>40</v>
      </c>
      <c r="W1724">
        <f>excelsalesdata[[#This Row],[Quantity]]*excelsalesdata[[#This Row],[Unit_Price]]</f>
        <v>6820</v>
      </c>
      <c r="X1724">
        <f>excelsalesdata[[#This Row],[Gross_sales]]*excelsalesdata[[#This Row],[Discount_%]]</f>
        <v>1023</v>
      </c>
      <c r="Y1724">
        <f>excelsalesdata[[#This Row],[Gross_sales]]-excelsalesdata[[#This Row],[Discount_amt]]</f>
        <v>5797</v>
      </c>
      <c r="Z1724" s="4">
        <f>excelsalesdata[[#This Row],[Net_sales]]-excelsalesdata[[#This Row],[Cost]]</f>
        <v>3787</v>
      </c>
      <c r="AA1724" s="5">
        <f>excelsalesdata[[#This Row],[Profit]]/excelsalesdata[[#This Row],[Net_sales]]</f>
        <v>0.65326893220631366</v>
      </c>
      <c r="AB1724" s="4">
        <f>YEAR(excelsalesdata[[#This Row],[Order_Date]])</f>
        <v>2029</v>
      </c>
      <c r="AC1724" s="4" t="str">
        <f>TEXT(excelsalesdata[[#This Row],[Order_Date]],"mmm")</f>
        <v>Dec</v>
      </c>
      <c r="AD1724" s="4" t="str">
        <f>"Q"&amp;ROUNDUP(MONTH(excelsalesdata[[#This Row],[Order_Date]])/3,0)</f>
        <v>Q4</v>
      </c>
    </row>
    <row r="1725" spans="1:30" x14ac:dyDescent="0.35">
      <c r="A1725" t="s">
        <v>2565</v>
      </c>
      <c r="B1725" s="3">
        <v>47483</v>
      </c>
      <c r="C1725" t="s">
        <v>1036</v>
      </c>
      <c r="D1725" t="s">
        <v>448</v>
      </c>
      <c r="E1725" t="str">
        <f>TRIM(excelsalesdata[[#This Row],[Customer_Name]])</f>
        <v>Nisha Mehta</v>
      </c>
      <c r="F1725" t="s">
        <v>23</v>
      </c>
      <c r="G1725">
        <v>23</v>
      </c>
      <c r="H1725" t="s">
        <v>45</v>
      </c>
      <c r="I1725" t="str">
        <f>TRIM(excelsalesdata[[#This Row],[City]])</f>
        <v>Kochi</v>
      </c>
      <c r="J1725" t="s">
        <v>46</v>
      </c>
      <c r="K1725" t="s">
        <v>47</v>
      </c>
      <c r="L1725" t="s">
        <v>54</v>
      </c>
      <c r="M1725" t="s">
        <v>66</v>
      </c>
      <c r="N1725" t="s">
        <v>66</v>
      </c>
      <c r="O1725">
        <v>2</v>
      </c>
      <c r="P1725">
        <v>2590</v>
      </c>
      <c r="Q1725">
        <v>0.1</v>
      </c>
      <c r="R1725">
        <v>1510</v>
      </c>
      <c r="S1725" t="s">
        <v>151</v>
      </c>
      <c r="T1725" t="s">
        <v>30</v>
      </c>
      <c r="U1725">
        <v>4</v>
      </c>
      <c r="V1725" t="s">
        <v>40</v>
      </c>
      <c r="W1725">
        <f>excelsalesdata[[#This Row],[Quantity]]*excelsalesdata[[#This Row],[Unit_Price]]</f>
        <v>5180</v>
      </c>
      <c r="X1725">
        <f>excelsalesdata[[#This Row],[Gross_sales]]*excelsalesdata[[#This Row],[Discount_%]]</f>
        <v>518</v>
      </c>
      <c r="Y1725">
        <f>excelsalesdata[[#This Row],[Gross_sales]]-excelsalesdata[[#This Row],[Discount_amt]]</f>
        <v>4662</v>
      </c>
      <c r="Z1725" s="4">
        <f>excelsalesdata[[#This Row],[Net_sales]]-excelsalesdata[[#This Row],[Cost]]</f>
        <v>3152</v>
      </c>
      <c r="AA1725" s="5">
        <f>excelsalesdata[[#This Row],[Profit]]/excelsalesdata[[#This Row],[Net_sales]]</f>
        <v>0.67610467610467606</v>
      </c>
      <c r="AB1725" s="4">
        <f>YEAR(excelsalesdata[[#This Row],[Order_Date]])</f>
        <v>2029</v>
      </c>
      <c r="AC1725" s="4" t="str">
        <f>TEXT(excelsalesdata[[#This Row],[Order_Date]],"mmm")</f>
        <v>Dec</v>
      </c>
      <c r="AD1725" s="4" t="str">
        <f>"Q"&amp;ROUNDUP(MONTH(excelsalesdata[[#This Row],[Order_Date]])/3,0)</f>
        <v>Q4</v>
      </c>
    </row>
    <row r="1726" spans="1:30" x14ac:dyDescent="0.35">
      <c r="A1726" t="s">
        <v>2566</v>
      </c>
      <c r="B1726" s="3">
        <v>47484</v>
      </c>
      <c r="C1726" t="s">
        <v>517</v>
      </c>
      <c r="D1726" t="s">
        <v>333</v>
      </c>
      <c r="E1726" t="str">
        <f>TRIM(excelsalesdata[[#This Row],[Customer_Name]])</f>
        <v>Ishita Singh</v>
      </c>
      <c r="F1726" t="s">
        <v>44</v>
      </c>
      <c r="G1726">
        <v>58</v>
      </c>
      <c r="H1726" t="s">
        <v>98</v>
      </c>
      <c r="I1726" t="str">
        <f>TRIM(excelsalesdata[[#This Row],[City]])</f>
        <v>Mumbai</v>
      </c>
      <c r="J1726" t="s">
        <v>25</v>
      </c>
      <c r="K1726" t="s">
        <v>26</v>
      </c>
      <c r="L1726" t="s">
        <v>38</v>
      </c>
      <c r="M1726" t="s">
        <v>119</v>
      </c>
      <c r="N1726" t="s">
        <v>119</v>
      </c>
      <c r="O1726">
        <v>4</v>
      </c>
      <c r="P1726">
        <v>7830</v>
      </c>
      <c r="Q1726">
        <v>0.15</v>
      </c>
      <c r="R1726">
        <v>5680</v>
      </c>
      <c r="S1726" t="s">
        <v>29</v>
      </c>
      <c r="T1726" t="s">
        <v>30</v>
      </c>
      <c r="U1726">
        <v>2</v>
      </c>
      <c r="V1726" t="s">
        <v>40</v>
      </c>
      <c r="W1726">
        <f>excelsalesdata[[#This Row],[Quantity]]*excelsalesdata[[#This Row],[Unit_Price]]</f>
        <v>31320</v>
      </c>
      <c r="X1726">
        <f>excelsalesdata[[#This Row],[Gross_sales]]*excelsalesdata[[#This Row],[Discount_%]]</f>
        <v>4698</v>
      </c>
      <c r="Y1726">
        <f>excelsalesdata[[#This Row],[Gross_sales]]-excelsalesdata[[#This Row],[Discount_amt]]</f>
        <v>26622</v>
      </c>
      <c r="Z1726" s="4">
        <f>excelsalesdata[[#This Row],[Net_sales]]-excelsalesdata[[#This Row],[Cost]]</f>
        <v>20942</v>
      </c>
      <c r="AA1726" s="5">
        <f>excelsalesdata[[#This Row],[Profit]]/excelsalesdata[[#This Row],[Net_sales]]</f>
        <v>0.78664262639921867</v>
      </c>
      <c r="AB1726" s="4">
        <f>YEAR(excelsalesdata[[#This Row],[Order_Date]])</f>
        <v>2030</v>
      </c>
      <c r="AC1726" s="4" t="str">
        <f>TEXT(excelsalesdata[[#This Row],[Order_Date]],"mmm")</f>
        <v>Jan</v>
      </c>
      <c r="AD1726" s="4" t="str">
        <f>"Q"&amp;ROUNDUP(MONTH(excelsalesdata[[#This Row],[Order_Date]])/3,0)</f>
        <v>Q1</v>
      </c>
    </row>
    <row r="1727" spans="1:30" x14ac:dyDescent="0.35">
      <c r="A1727" t="s">
        <v>2567</v>
      </c>
      <c r="B1727" s="3">
        <v>47485</v>
      </c>
      <c r="C1727" t="s">
        <v>2545</v>
      </c>
      <c r="D1727" t="s">
        <v>600</v>
      </c>
      <c r="E1727" t="str">
        <f>TRIM(excelsalesdata[[#This Row],[Customer_Name]])</f>
        <v>Karan Mehta</v>
      </c>
      <c r="F1727" t="s">
        <v>23</v>
      </c>
      <c r="G1727">
        <v>44</v>
      </c>
      <c r="H1727" t="s">
        <v>45</v>
      </c>
      <c r="I1727" t="str">
        <f>TRIM(excelsalesdata[[#This Row],[City]])</f>
        <v>Kochi</v>
      </c>
      <c r="J1727" t="s">
        <v>46</v>
      </c>
      <c r="K1727" t="s">
        <v>47</v>
      </c>
      <c r="L1727" t="s">
        <v>38</v>
      </c>
      <c r="M1727" t="s">
        <v>73</v>
      </c>
      <c r="N1727" t="s">
        <v>73</v>
      </c>
      <c r="O1727">
        <v>3</v>
      </c>
      <c r="P1727">
        <v>5300</v>
      </c>
      <c r="Q1727">
        <v>0.1</v>
      </c>
      <c r="R1727">
        <v>3120</v>
      </c>
      <c r="S1727" t="s">
        <v>29</v>
      </c>
      <c r="T1727" t="s">
        <v>74</v>
      </c>
      <c r="U1727">
        <v>2</v>
      </c>
      <c r="V1727" t="s">
        <v>40</v>
      </c>
      <c r="W1727">
        <f>excelsalesdata[[#This Row],[Quantity]]*excelsalesdata[[#This Row],[Unit_Price]]</f>
        <v>15900</v>
      </c>
      <c r="X1727">
        <f>excelsalesdata[[#This Row],[Gross_sales]]*excelsalesdata[[#This Row],[Discount_%]]</f>
        <v>1590</v>
      </c>
      <c r="Y1727">
        <f>excelsalesdata[[#This Row],[Gross_sales]]-excelsalesdata[[#This Row],[Discount_amt]]</f>
        <v>14310</v>
      </c>
      <c r="Z1727" s="4">
        <f>excelsalesdata[[#This Row],[Net_sales]]-excelsalesdata[[#This Row],[Cost]]</f>
        <v>11190</v>
      </c>
      <c r="AA1727" s="5">
        <f>excelsalesdata[[#This Row],[Profit]]/excelsalesdata[[#This Row],[Net_sales]]</f>
        <v>0.78197064989517817</v>
      </c>
      <c r="AB1727" s="4">
        <f>YEAR(excelsalesdata[[#This Row],[Order_Date]])</f>
        <v>2030</v>
      </c>
      <c r="AC1727" s="4" t="str">
        <f>TEXT(excelsalesdata[[#This Row],[Order_Date]],"mmm")</f>
        <v>Jan</v>
      </c>
      <c r="AD1727" s="4" t="str">
        <f>"Q"&amp;ROUNDUP(MONTH(excelsalesdata[[#This Row],[Order_Date]])/3,0)</f>
        <v>Q1</v>
      </c>
    </row>
    <row r="1728" spans="1:30" x14ac:dyDescent="0.35">
      <c r="A1728" t="s">
        <v>2568</v>
      </c>
      <c r="B1728" s="3">
        <v>47486</v>
      </c>
      <c r="C1728" t="s">
        <v>599</v>
      </c>
      <c r="D1728" t="s">
        <v>1982</v>
      </c>
      <c r="E1728" t="str">
        <f>TRIM(excelsalesdata[[#This Row],[Customer_Name]])</f>
        <v>Kavya Nair</v>
      </c>
      <c r="F1728" t="s">
        <v>23</v>
      </c>
      <c r="G1728">
        <v>58</v>
      </c>
      <c r="H1728" t="s">
        <v>35</v>
      </c>
      <c r="I1728" t="str">
        <f>TRIM(excelsalesdata[[#This Row],[City]])</f>
        <v>Kolkata</v>
      </c>
      <c r="J1728" t="s">
        <v>36</v>
      </c>
      <c r="K1728" t="s">
        <v>37</v>
      </c>
      <c r="L1728" t="s">
        <v>54</v>
      </c>
      <c r="M1728" t="s">
        <v>62</v>
      </c>
      <c r="N1728" t="s">
        <v>62</v>
      </c>
      <c r="O1728">
        <v>2</v>
      </c>
      <c r="P1728">
        <v>20980</v>
      </c>
      <c r="Q1728">
        <v>0.2</v>
      </c>
      <c r="R1728">
        <v>15470</v>
      </c>
      <c r="S1728" t="s">
        <v>80</v>
      </c>
      <c r="T1728" t="s">
        <v>30</v>
      </c>
      <c r="U1728">
        <v>3</v>
      </c>
      <c r="V1728" t="s">
        <v>31</v>
      </c>
      <c r="W1728">
        <f>excelsalesdata[[#This Row],[Quantity]]*excelsalesdata[[#This Row],[Unit_Price]]</f>
        <v>41960</v>
      </c>
      <c r="X1728">
        <f>excelsalesdata[[#This Row],[Gross_sales]]*excelsalesdata[[#This Row],[Discount_%]]</f>
        <v>8392</v>
      </c>
      <c r="Y1728">
        <f>excelsalesdata[[#This Row],[Gross_sales]]-excelsalesdata[[#This Row],[Discount_amt]]</f>
        <v>33568</v>
      </c>
      <c r="Z1728" s="4">
        <f>excelsalesdata[[#This Row],[Net_sales]]-excelsalesdata[[#This Row],[Cost]]</f>
        <v>18098</v>
      </c>
      <c r="AA1728" s="5">
        <f>excelsalesdata[[#This Row],[Profit]]/excelsalesdata[[#This Row],[Net_sales]]</f>
        <v>0.53914442326024781</v>
      </c>
      <c r="AB1728" s="4">
        <f>YEAR(excelsalesdata[[#This Row],[Order_Date]])</f>
        <v>2030</v>
      </c>
      <c r="AC1728" s="4" t="str">
        <f>TEXT(excelsalesdata[[#This Row],[Order_Date]],"mmm")</f>
        <v>Jan</v>
      </c>
      <c r="AD1728" s="4" t="str">
        <f>"Q"&amp;ROUNDUP(MONTH(excelsalesdata[[#This Row],[Order_Date]])/3,0)</f>
        <v>Q1</v>
      </c>
    </row>
    <row r="1729" spans="1:30" x14ac:dyDescent="0.35">
      <c r="A1729" t="s">
        <v>2569</v>
      </c>
      <c r="B1729" s="3">
        <v>47487</v>
      </c>
      <c r="C1729" t="s">
        <v>377</v>
      </c>
      <c r="D1729" t="s">
        <v>689</v>
      </c>
      <c r="E1729" t="str">
        <f>TRIM(excelsalesdata[[#This Row],[Customer_Name]])</f>
        <v>Priya Rao</v>
      </c>
      <c r="F1729" t="s">
        <v>44</v>
      </c>
      <c r="G1729">
        <v>25</v>
      </c>
      <c r="H1729" t="s">
        <v>114</v>
      </c>
      <c r="I1729" t="str">
        <f>TRIM(excelsalesdata[[#This Row],[City]])</f>
        <v>Hyderabad</v>
      </c>
      <c r="J1729" t="s">
        <v>115</v>
      </c>
      <c r="K1729" t="s">
        <v>47</v>
      </c>
      <c r="L1729" t="s">
        <v>54</v>
      </c>
      <c r="M1729" t="s">
        <v>55</v>
      </c>
      <c r="N1729" t="s">
        <v>55</v>
      </c>
      <c r="O1729">
        <v>4</v>
      </c>
      <c r="P1729">
        <v>6740</v>
      </c>
      <c r="Q1729">
        <v>0.1</v>
      </c>
      <c r="R1729">
        <v>4300</v>
      </c>
      <c r="S1729" t="s">
        <v>105</v>
      </c>
      <c r="T1729" t="s">
        <v>30</v>
      </c>
      <c r="U1729">
        <v>7</v>
      </c>
      <c r="V1729" t="s">
        <v>40</v>
      </c>
      <c r="W1729">
        <f>excelsalesdata[[#This Row],[Quantity]]*excelsalesdata[[#This Row],[Unit_Price]]</f>
        <v>26960</v>
      </c>
      <c r="X1729">
        <f>excelsalesdata[[#This Row],[Gross_sales]]*excelsalesdata[[#This Row],[Discount_%]]</f>
        <v>2696</v>
      </c>
      <c r="Y1729">
        <f>excelsalesdata[[#This Row],[Gross_sales]]-excelsalesdata[[#This Row],[Discount_amt]]</f>
        <v>24264</v>
      </c>
      <c r="Z1729" s="4">
        <f>excelsalesdata[[#This Row],[Net_sales]]-excelsalesdata[[#This Row],[Cost]]</f>
        <v>19964</v>
      </c>
      <c r="AA1729" s="5">
        <f>excelsalesdata[[#This Row],[Profit]]/excelsalesdata[[#This Row],[Net_sales]]</f>
        <v>0.82278272337619518</v>
      </c>
      <c r="AB1729" s="4">
        <f>YEAR(excelsalesdata[[#This Row],[Order_Date]])</f>
        <v>2030</v>
      </c>
      <c r="AC1729" s="4" t="str">
        <f>TEXT(excelsalesdata[[#This Row],[Order_Date]],"mmm")</f>
        <v>Jan</v>
      </c>
      <c r="AD1729" s="4" t="str">
        <f>"Q"&amp;ROUNDUP(MONTH(excelsalesdata[[#This Row],[Order_Date]])/3,0)</f>
        <v>Q1</v>
      </c>
    </row>
    <row r="1730" spans="1:30" x14ac:dyDescent="0.35">
      <c r="A1730" t="s">
        <v>2570</v>
      </c>
      <c r="B1730" s="3">
        <v>47488</v>
      </c>
      <c r="C1730" t="s">
        <v>2413</v>
      </c>
      <c r="D1730" t="s">
        <v>344</v>
      </c>
      <c r="E1730" t="str">
        <f>TRIM(excelsalesdata[[#This Row],[Customer_Name]])</f>
        <v>Meera Verma</v>
      </c>
      <c r="F1730" t="s">
        <v>23</v>
      </c>
      <c r="G1730">
        <v>54</v>
      </c>
      <c r="H1730" t="s">
        <v>155</v>
      </c>
      <c r="I1730" t="str">
        <f>TRIM(excelsalesdata[[#This Row],[City]])</f>
        <v>Chennai</v>
      </c>
      <c r="J1730" t="s">
        <v>156</v>
      </c>
      <c r="K1730" t="s">
        <v>47</v>
      </c>
      <c r="L1730" t="s">
        <v>85</v>
      </c>
      <c r="M1730" t="s">
        <v>110</v>
      </c>
      <c r="N1730" t="s">
        <v>110</v>
      </c>
      <c r="O1730">
        <v>1</v>
      </c>
      <c r="P1730">
        <v>1180</v>
      </c>
      <c r="Q1730">
        <v>0.1</v>
      </c>
      <c r="R1730">
        <v>620</v>
      </c>
      <c r="S1730" t="s">
        <v>67</v>
      </c>
      <c r="T1730" t="s">
        <v>30</v>
      </c>
      <c r="U1730">
        <v>2</v>
      </c>
      <c r="V1730" t="s">
        <v>40</v>
      </c>
      <c r="W1730">
        <f>excelsalesdata[[#This Row],[Quantity]]*excelsalesdata[[#This Row],[Unit_Price]]</f>
        <v>1180</v>
      </c>
      <c r="X1730">
        <f>excelsalesdata[[#This Row],[Gross_sales]]*excelsalesdata[[#This Row],[Discount_%]]</f>
        <v>118</v>
      </c>
      <c r="Y1730">
        <f>excelsalesdata[[#This Row],[Gross_sales]]-excelsalesdata[[#This Row],[Discount_amt]]</f>
        <v>1062</v>
      </c>
      <c r="Z1730" s="4">
        <f>excelsalesdata[[#This Row],[Net_sales]]-excelsalesdata[[#This Row],[Cost]]</f>
        <v>442</v>
      </c>
      <c r="AA1730" s="5">
        <f>excelsalesdata[[#This Row],[Profit]]/excelsalesdata[[#This Row],[Net_sales]]</f>
        <v>0.41619585687382299</v>
      </c>
      <c r="AB1730" s="4">
        <f>YEAR(excelsalesdata[[#This Row],[Order_Date]])</f>
        <v>2030</v>
      </c>
      <c r="AC1730" s="4" t="str">
        <f>TEXT(excelsalesdata[[#This Row],[Order_Date]],"mmm")</f>
        <v>Jan</v>
      </c>
      <c r="AD1730" s="4" t="str">
        <f>"Q"&amp;ROUNDUP(MONTH(excelsalesdata[[#This Row],[Order_Date]])/3,0)</f>
        <v>Q1</v>
      </c>
    </row>
    <row r="1731" spans="1:30" x14ac:dyDescent="0.35">
      <c r="A1731" t="s">
        <v>2571</v>
      </c>
      <c r="B1731" s="3">
        <v>47489</v>
      </c>
      <c r="C1731" t="s">
        <v>494</v>
      </c>
      <c r="D1731" t="s">
        <v>34</v>
      </c>
      <c r="E1731" t="str">
        <f>TRIM(excelsalesdata[[#This Row],[Customer_Name]])</f>
        <v>Priya Singh</v>
      </c>
      <c r="F1731" t="s">
        <v>44</v>
      </c>
      <c r="G1731">
        <v>39</v>
      </c>
      <c r="H1731" t="s">
        <v>98</v>
      </c>
      <c r="I1731" t="str">
        <f>TRIM(excelsalesdata[[#This Row],[City]])</f>
        <v>Mumbai</v>
      </c>
      <c r="J1731" t="s">
        <v>25</v>
      </c>
      <c r="K1731" t="s">
        <v>26</v>
      </c>
      <c r="L1731" t="s">
        <v>103</v>
      </c>
      <c r="M1731" t="s">
        <v>238</v>
      </c>
      <c r="N1731" t="s">
        <v>238</v>
      </c>
      <c r="O1731">
        <v>2</v>
      </c>
      <c r="P1731">
        <v>4440</v>
      </c>
      <c r="Q1731">
        <v>0.1</v>
      </c>
      <c r="R1731">
        <v>2690</v>
      </c>
      <c r="S1731" t="s">
        <v>80</v>
      </c>
      <c r="T1731" t="s">
        <v>30</v>
      </c>
      <c r="U1731">
        <v>7</v>
      </c>
      <c r="V1731" t="s">
        <v>40</v>
      </c>
      <c r="W1731">
        <f>excelsalesdata[[#This Row],[Quantity]]*excelsalesdata[[#This Row],[Unit_Price]]</f>
        <v>8880</v>
      </c>
      <c r="X1731">
        <f>excelsalesdata[[#This Row],[Gross_sales]]*excelsalesdata[[#This Row],[Discount_%]]</f>
        <v>888</v>
      </c>
      <c r="Y1731">
        <f>excelsalesdata[[#This Row],[Gross_sales]]-excelsalesdata[[#This Row],[Discount_amt]]</f>
        <v>7992</v>
      </c>
      <c r="Z1731" s="4">
        <f>excelsalesdata[[#This Row],[Net_sales]]-excelsalesdata[[#This Row],[Cost]]</f>
        <v>5302</v>
      </c>
      <c r="AA1731" s="5">
        <f>excelsalesdata[[#This Row],[Profit]]/excelsalesdata[[#This Row],[Net_sales]]</f>
        <v>0.66341341341341342</v>
      </c>
      <c r="AB1731" s="4">
        <f>YEAR(excelsalesdata[[#This Row],[Order_Date]])</f>
        <v>2030</v>
      </c>
      <c r="AC1731" s="4" t="str">
        <f>TEXT(excelsalesdata[[#This Row],[Order_Date]],"mmm")</f>
        <v>Jan</v>
      </c>
      <c r="AD1731" s="4" t="str">
        <f>"Q"&amp;ROUNDUP(MONTH(excelsalesdata[[#This Row],[Order_Date]])/3,0)</f>
        <v>Q1</v>
      </c>
    </row>
    <row r="1732" spans="1:30" x14ac:dyDescent="0.35">
      <c r="A1732" t="s">
        <v>2572</v>
      </c>
      <c r="B1732" s="3">
        <v>47490</v>
      </c>
      <c r="C1732" t="s">
        <v>228</v>
      </c>
      <c r="D1732" t="s">
        <v>392</v>
      </c>
      <c r="E1732" t="str">
        <f>TRIM(excelsalesdata[[#This Row],[Customer_Name]])</f>
        <v>Meera Joshi</v>
      </c>
      <c r="F1732" t="s">
        <v>23</v>
      </c>
      <c r="G1732">
        <v>37</v>
      </c>
      <c r="H1732" t="s">
        <v>185</v>
      </c>
      <c r="I1732" t="str">
        <f>TRIM(excelsalesdata[[#This Row],[City]])</f>
        <v>Lucknow</v>
      </c>
      <c r="J1732" t="s">
        <v>186</v>
      </c>
      <c r="K1732" t="s">
        <v>61</v>
      </c>
      <c r="L1732" t="s">
        <v>27</v>
      </c>
      <c r="M1732" t="s">
        <v>48</v>
      </c>
      <c r="N1732" t="s">
        <v>48</v>
      </c>
      <c r="O1732">
        <v>4</v>
      </c>
      <c r="P1732">
        <v>920</v>
      </c>
      <c r="Q1732">
        <v>0</v>
      </c>
      <c r="R1732">
        <v>430</v>
      </c>
      <c r="S1732" t="s">
        <v>80</v>
      </c>
      <c r="T1732" t="s">
        <v>30</v>
      </c>
      <c r="U1732">
        <v>3</v>
      </c>
      <c r="V1732" t="s">
        <v>40</v>
      </c>
      <c r="W1732">
        <f>excelsalesdata[[#This Row],[Quantity]]*excelsalesdata[[#This Row],[Unit_Price]]</f>
        <v>3680</v>
      </c>
      <c r="X1732">
        <f>excelsalesdata[[#This Row],[Gross_sales]]*excelsalesdata[[#This Row],[Discount_%]]</f>
        <v>0</v>
      </c>
      <c r="Y1732">
        <f>excelsalesdata[[#This Row],[Gross_sales]]-excelsalesdata[[#This Row],[Discount_amt]]</f>
        <v>3680</v>
      </c>
      <c r="Z1732" s="4">
        <f>excelsalesdata[[#This Row],[Net_sales]]-excelsalesdata[[#This Row],[Cost]]</f>
        <v>3250</v>
      </c>
      <c r="AA1732" s="5">
        <f>excelsalesdata[[#This Row],[Profit]]/excelsalesdata[[#This Row],[Net_sales]]</f>
        <v>0.88315217391304346</v>
      </c>
      <c r="AB1732" s="4">
        <f>YEAR(excelsalesdata[[#This Row],[Order_Date]])</f>
        <v>2030</v>
      </c>
      <c r="AC1732" s="4" t="str">
        <f>TEXT(excelsalesdata[[#This Row],[Order_Date]],"mmm")</f>
        <v>Jan</v>
      </c>
      <c r="AD1732" s="4" t="str">
        <f>"Q"&amp;ROUNDUP(MONTH(excelsalesdata[[#This Row],[Order_Date]])/3,0)</f>
        <v>Q1</v>
      </c>
    </row>
    <row r="1733" spans="1:30" x14ac:dyDescent="0.35">
      <c r="A1733" t="s">
        <v>2573</v>
      </c>
      <c r="B1733" s="3">
        <v>47491</v>
      </c>
      <c r="C1733" t="s">
        <v>829</v>
      </c>
      <c r="D1733" t="s">
        <v>1496</v>
      </c>
      <c r="E1733" t="str">
        <f>TRIM(excelsalesdata[[#This Row],[Customer_Name]])</f>
        <v>Diya Singh</v>
      </c>
      <c r="F1733" t="s">
        <v>23</v>
      </c>
      <c r="G1733">
        <v>35</v>
      </c>
      <c r="H1733" t="s">
        <v>60</v>
      </c>
      <c r="I1733" t="str">
        <f>TRIM(excelsalesdata[[#This Row],[City]])</f>
        <v>Chandigarh</v>
      </c>
      <c r="J1733" t="s">
        <v>60</v>
      </c>
      <c r="K1733" t="s">
        <v>61</v>
      </c>
      <c r="L1733" t="s">
        <v>27</v>
      </c>
      <c r="M1733" t="s">
        <v>295</v>
      </c>
      <c r="N1733" t="s">
        <v>295</v>
      </c>
      <c r="O1733">
        <v>2</v>
      </c>
      <c r="P1733">
        <v>4150</v>
      </c>
      <c r="Q1733">
        <v>0.3</v>
      </c>
      <c r="R1733">
        <v>2600</v>
      </c>
      <c r="S1733" t="s">
        <v>151</v>
      </c>
      <c r="T1733" t="s">
        <v>30</v>
      </c>
      <c r="U1733">
        <v>3</v>
      </c>
      <c r="V1733" t="s">
        <v>40</v>
      </c>
      <c r="W1733">
        <f>excelsalesdata[[#This Row],[Quantity]]*excelsalesdata[[#This Row],[Unit_Price]]</f>
        <v>8300</v>
      </c>
      <c r="X1733">
        <f>excelsalesdata[[#This Row],[Gross_sales]]*excelsalesdata[[#This Row],[Discount_%]]</f>
        <v>2490</v>
      </c>
      <c r="Y1733">
        <f>excelsalesdata[[#This Row],[Gross_sales]]-excelsalesdata[[#This Row],[Discount_amt]]</f>
        <v>5810</v>
      </c>
      <c r="Z1733" s="4">
        <f>excelsalesdata[[#This Row],[Net_sales]]-excelsalesdata[[#This Row],[Cost]]</f>
        <v>3210</v>
      </c>
      <c r="AA1733" s="5">
        <f>excelsalesdata[[#This Row],[Profit]]/excelsalesdata[[#This Row],[Net_sales]]</f>
        <v>0.55249569707401036</v>
      </c>
      <c r="AB1733" s="4">
        <f>YEAR(excelsalesdata[[#This Row],[Order_Date]])</f>
        <v>2030</v>
      </c>
      <c r="AC1733" s="4" t="str">
        <f>TEXT(excelsalesdata[[#This Row],[Order_Date]],"mmm")</f>
        <v>Jan</v>
      </c>
      <c r="AD1733" s="4" t="str">
        <f>"Q"&amp;ROUNDUP(MONTH(excelsalesdata[[#This Row],[Order_Date]])/3,0)</f>
        <v>Q1</v>
      </c>
    </row>
    <row r="1734" spans="1:30" x14ac:dyDescent="0.35">
      <c r="A1734" t="s">
        <v>2574</v>
      </c>
      <c r="B1734" s="3">
        <v>47492</v>
      </c>
      <c r="C1734" t="s">
        <v>1019</v>
      </c>
      <c r="D1734" t="s">
        <v>1371</v>
      </c>
      <c r="E1734" t="str">
        <f>TRIM(excelsalesdata[[#This Row],[Customer_Name]])</f>
        <v>Aditya Das</v>
      </c>
      <c r="F1734" t="s">
        <v>44</v>
      </c>
      <c r="G1734">
        <v>60</v>
      </c>
      <c r="H1734" t="s">
        <v>190</v>
      </c>
      <c r="I1734" t="str">
        <f>TRIM(excelsalesdata[[#This Row],[City]])</f>
        <v>Ahmedabad</v>
      </c>
      <c r="J1734" t="s">
        <v>191</v>
      </c>
      <c r="K1734" t="s">
        <v>26</v>
      </c>
      <c r="L1734" t="s">
        <v>85</v>
      </c>
      <c r="M1734" t="s">
        <v>251</v>
      </c>
      <c r="N1734" t="s">
        <v>251</v>
      </c>
      <c r="O1734">
        <v>1</v>
      </c>
      <c r="P1734">
        <v>3060</v>
      </c>
      <c r="Q1734">
        <v>0.05</v>
      </c>
      <c r="R1734">
        <v>1940</v>
      </c>
      <c r="S1734" t="s">
        <v>105</v>
      </c>
      <c r="T1734" t="s">
        <v>30</v>
      </c>
      <c r="U1734">
        <v>4</v>
      </c>
      <c r="V1734" t="s">
        <v>40</v>
      </c>
      <c r="W1734">
        <f>excelsalesdata[[#This Row],[Quantity]]*excelsalesdata[[#This Row],[Unit_Price]]</f>
        <v>3060</v>
      </c>
      <c r="X1734">
        <f>excelsalesdata[[#This Row],[Gross_sales]]*excelsalesdata[[#This Row],[Discount_%]]</f>
        <v>153</v>
      </c>
      <c r="Y1734">
        <f>excelsalesdata[[#This Row],[Gross_sales]]-excelsalesdata[[#This Row],[Discount_amt]]</f>
        <v>2907</v>
      </c>
      <c r="Z1734" s="4">
        <f>excelsalesdata[[#This Row],[Net_sales]]-excelsalesdata[[#This Row],[Cost]]</f>
        <v>967</v>
      </c>
      <c r="AA1734" s="5">
        <f>excelsalesdata[[#This Row],[Profit]]/excelsalesdata[[#This Row],[Net_sales]]</f>
        <v>0.33264533883728931</v>
      </c>
      <c r="AB1734" s="4">
        <f>YEAR(excelsalesdata[[#This Row],[Order_Date]])</f>
        <v>2030</v>
      </c>
      <c r="AC1734" s="4" t="str">
        <f>TEXT(excelsalesdata[[#This Row],[Order_Date]],"mmm")</f>
        <v>Jan</v>
      </c>
      <c r="AD1734" s="4" t="str">
        <f>"Q"&amp;ROUNDUP(MONTH(excelsalesdata[[#This Row],[Order_Date]])/3,0)</f>
        <v>Q1</v>
      </c>
    </row>
    <row r="1735" spans="1:30" x14ac:dyDescent="0.35">
      <c r="A1735" t="s">
        <v>2575</v>
      </c>
      <c r="B1735" s="3">
        <v>47493</v>
      </c>
      <c r="C1735" t="s">
        <v>287</v>
      </c>
      <c r="D1735" t="s">
        <v>234</v>
      </c>
      <c r="E1735" t="str">
        <f>TRIM(excelsalesdata[[#This Row],[Customer_Name]])</f>
        <v>Rohan Gupta</v>
      </c>
      <c r="F1735" t="s">
        <v>44</v>
      </c>
      <c r="G1735">
        <v>42</v>
      </c>
      <c r="H1735" t="s">
        <v>109</v>
      </c>
      <c r="I1735" t="str">
        <f>TRIM(excelsalesdata[[#This Row],[City]])</f>
        <v>Mysuru</v>
      </c>
      <c r="J1735" t="s">
        <v>53</v>
      </c>
      <c r="K1735" t="s">
        <v>47</v>
      </c>
      <c r="L1735" t="s">
        <v>27</v>
      </c>
      <c r="M1735" t="s">
        <v>123</v>
      </c>
      <c r="N1735" t="s">
        <v>123</v>
      </c>
      <c r="O1735">
        <v>1</v>
      </c>
      <c r="P1735">
        <v>2610</v>
      </c>
      <c r="Q1735">
        <v>0.15</v>
      </c>
      <c r="R1735">
        <v>1520</v>
      </c>
      <c r="S1735" t="s">
        <v>151</v>
      </c>
      <c r="T1735" t="s">
        <v>30</v>
      </c>
      <c r="U1735">
        <v>2</v>
      </c>
      <c r="V1735" t="s">
        <v>40</v>
      </c>
      <c r="W1735">
        <f>excelsalesdata[[#This Row],[Quantity]]*excelsalesdata[[#This Row],[Unit_Price]]</f>
        <v>2610</v>
      </c>
      <c r="X1735">
        <f>excelsalesdata[[#This Row],[Gross_sales]]*excelsalesdata[[#This Row],[Discount_%]]</f>
        <v>391.5</v>
      </c>
      <c r="Y1735">
        <f>excelsalesdata[[#This Row],[Gross_sales]]-excelsalesdata[[#This Row],[Discount_amt]]</f>
        <v>2218.5</v>
      </c>
      <c r="Z1735" s="4">
        <f>excelsalesdata[[#This Row],[Net_sales]]-excelsalesdata[[#This Row],[Cost]]</f>
        <v>698.5</v>
      </c>
      <c r="AA1735" s="5">
        <f>excelsalesdata[[#This Row],[Profit]]/excelsalesdata[[#This Row],[Net_sales]]</f>
        <v>0.31485237773270225</v>
      </c>
      <c r="AB1735" s="4">
        <f>YEAR(excelsalesdata[[#This Row],[Order_Date]])</f>
        <v>2030</v>
      </c>
      <c r="AC1735" s="4" t="str">
        <f>TEXT(excelsalesdata[[#This Row],[Order_Date]],"mmm")</f>
        <v>Jan</v>
      </c>
      <c r="AD1735" s="4" t="str">
        <f>"Q"&amp;ROUNDUP(MONTH(excelsalesdata[[#This Row],[Order_Date]])/3,0)</f>
        <v>Q1</v>
      </c>
    </row>
    <row r="1736" spans="1:30" x14ac:dyDescent="0.35">
      <c r="A1736" t="s">
        <v>2576</v>
      </c>
      <c r="B1736" s="3">
        <v>47494</v>
      </c>
      <c r="C1736" t="s">
        <v>558</v>
      </c>
      <c r="D1736" t="s">
        <v>1335</v>
      </c>
      <c r="E1736" t="str">
        <f>TRIM(excelsalesdata[[#This Row],[Customer_Name]])</f>
        <v>Kavya Patel</v>
      </c>
      <c r="F1736" t="s">
        <v>44</v>
      </c>
      <c r="G1736">
        <v>22</v>
      </c>
      <c r="H1736" t="s">
        <v>114</v>
      </c>
      <c r="I1736" t="str">
        <f>TRIM(excelsalesdata[[#This Row],[City]])</f>
        <v>Hyderabad</v>
      </c>
      <c r="J1736" t="s">
        <v>115</v>
      </c>
      <c r="K1736" t="s">
        <v>47</v>
      </c>
      <c r="L1736" t="s">
        <v>38</v>
      </c>
      <c r="M1736" t="s">
        <v>119</v>
      </c>
      <c r="N1736" t="s">
        <v>119</v>
      </c>
      <c r="O1736">
        <v>1</v>
      </c>
      <c r="P1736">
        <v>8120</v>
      </c>
      <c r="Q1736">
        <v>0.05</v>
      </c>
      <c r="R1736">
        <v>5840</v>
      </c>
      <c r="S1736" t="s">
        <v>80</v>
      </c>
      <c r="T1736" t="s">
        <v>30</v>
      </c>
      <c r="U1736">
        <v>2</v>
      </c>
      <c r="V1736" t="s">
        <v>31</v>
      </c>
      <c r="W1736">
        <f>excelsalesdata[[#This Row],[Quantity]]*excelsalesdata[[#This Row],[Unit_Price]]</f>
        <v>8120</v>
      </c>
      <c r="X1736">
        <f>excelsalesdata[[#This Row],[Gross_sales]]*excelsalesdata[[#This Row],[Discount_%]]</f>
        <v>406</v>
      </c>
      <c r="Y1736">
        <f>excelsalesdata[[#This Row],[Gross_sales]]-excelsalesdata[[#This Row],[Discount_amt]]</f>
        <v>7714</v>
      </c>
      <c r="Z1736" s="4">
        <f>excelsalesdata[[#This Row],[Net_sales]]-excelsalesdata[[#This Row],[Cost]]</f>
        <v>1874</v>
      </c>
      <c r="AA1736" s="5">
        <f>excelsalesdata[[#This Row],[Profit]]/excelsalesdata[[#This Row],[Net_sales]]</f>
        <v>0.24293492351568577</v>
      </c>
      <c r="AB1736" s="4">
        <f>YEAR(excelsalesdata[[#This Row],[Order_Date]])</f>
        <v>2030</v>
      </c>
      <c r="AC1736" s="4" t="str">
        <f>TEXT(excelsalesdata[[#This Row],[Order_Date]],"mmm")</f>
        <v>Jan</v>
      </c>
      <c r="AD1736" s="4" t="str">
        <f>"Q"&amp;ROUNDUP(MONTH(excelsalesdata[[#This Row],[Order_Date]])/3,0)</f>
        <v>Q1</v>
      </c>
    </row>
    <row r="1737" spans="1:30" x14ac:dyDescent="0.35">
      <c r="A1737" t="s">
        <v>2577</v>
      </c>
      <c r="B1737" s="3">
        <v>47495</v>
      </c>
      <c r="C1737" t="s">
        <v>1129</v>
      </c>
      <c r="D1737" t="s">
        <v>247</v>
      </c>
      <c r="E1737" t="str">
        <f>TRIM(excelsalesdata[[#This Row],[Customer_Name]])</f>
        <v>Priya Mehta</v>
      </c>
      <c r="F1737" t="s">
        <v>44</v>
      </c>
      <c r="G1737">
        <v>50</v>
      </c>
      <c r="H1737" t="s">
        <v>185</v>
      </c>
      <c r="I1737" t="str">
        <f>TRIM(excelsalesdata[[#This Row],[City]])</f>
        <v>Lucknow</v>
      </c>
      <c r="J1737" t="s">
        <v>186</v>
      </c>
      <c r="K1737" t="s">
        <v>61</v>
      </c>
      <c r="L1737" t="s">
        <v>38</v>
      </c>
      <c r="M1737" t="s">
        <v>161</v>
      </c>
      <c r="N1737" t="s">
        <v>161</v>
      </c>
      <c r="O1737">
        <v>1</v>
      </c>
      <c r="P1737">
        <v>27810</v>
      </c>
      <c r="Q1737">
        <v>0.15</v>
      </c>
      <c r="R1737">
        <v>20360</v>
      </c>
      <c r="S1737" t="s">
        <v>151</v>
      </c>
      <c r="T1737" t="s">
        <v>30</v>
      </c>
      <c r="U1737">
        <v>3</v>
      </c>
      <c r="V1737" t="s">
        <v>40</v>
      </c>
      <c r="W1737">
        <f>excelsalesdata[[#This Row],[Quantity]]*excelsalesdata[[#This Row],[Unit_Price]]</f>
        <v>27810</v>
      </c>
      <c r="X1737">
        <f>excelsalesdata[[#This Row],[Gross_sales]]*excelsalesdata[[#This Row],[Discount_%]]</f>
        <v>4171.5</v>
      </c>
      <c r="Y1737">
        <f>excelsalesdata[[#This Row],[Gross_sales]]-excelsalesdata[[#This Row],[Discount_amt]]</f>
        <v>23638.5</v>
      </c>
      <c r="Z1737" s="4">
        <f>excelsalesdata[[#This Row],[Net_sales]]-excelsalesdata[[#This Row],[Cost]]</f>
        <v>3278.5</v>
      </c>
      <c r="AA1737" s="5">
        <f>excelsalesdata[[#This Row],[Profit]]/excelsalesdata[[#This Row],[Net_sales]]</f>
        <v>0.13869323349620322</v>
      </c>
      <c r="AB1737" s="4">
        <f>YEAR(excelsalesdata[[#This Row],[Order_Date]])</f>
        <v>2030</v>
      </c>
      <c r="AC1737" s="4" t="str">
        <f>TEXT(excelsalesdata[[#This Row],[Order_Date]],"mmm")</f>
        <v>Jan</v>
      </c>
      <c r="AD1737" s="4" t="str">
        <f>"Q"&amp;ROUNDUP(MONTH(excelsalesdata[[#This Row],[Order_Date]])/3,0)</f>
        <v>Q1</v>
      </c>
    </row>
    <row r="1738" spans="1:30" x14ac:dyDescent="0.35">
      <c r="A1738" t="s">
        <v>2578</v>
      </c>
      <c r="B1738" s="3">
        <v>47496</v>
      </c>
      <c r="C1738" t="s">
        <v>112</v>
      </c>
      <c r="D1738" t="s">
        <v>650</v>
      </c>
      <c r="E1738" t="str">
        <f>TRIM(excelsalesdata[[#This Row],[Customer_Name]])</f>
        <v>Sneha Shah</v>
      </c>
      <c r="F1738" t="s">
        <v>23</v>
      </c>
      <c r="G1738">
        <v>26</v>
      </c>
      <c r="H1738" t="s">
        <v>71</v>
      </c>
      <c r="I1738" t="str">
        <f>TRIM(excelsalesdata[[#This Row],[City]])</f>
        <v>Bhubaneswar</v>
      </c>
      <c r="J1738" t="s">
        <v>72</v>
      </c>
      <c r="K1738" t="s">
        <v>37</v>
      </c>
      <c r="L1738" t="s">
        <v>54</v>
      </c>
      <c r="M1738" t="s">
        <v>157</v>
      </c>
      <c r="N1738" t="s">
        <v>157</v>
      </c>
      <c r="O1738">
        <v>3</v>
      </c>
      <c r="P1738">
        <v>58630</v>
      </c>
      <c r="Q1738">
        <v>0</v>
      </c>
      <c r="R1738">
        <v>40790</v>
      </c>
      <c r="S1738" t="s">
        <v>105</v>
      </c>
      <c r="T1738" t="s">
        <v>30</v>
      </c>
      <c r="U1738">
        <v>3</v>
      </c>
      <c r="V1738" t="s">
        <v>40</v>
      </c>
      <c r="W1738">
        <f>excelsalesdata[[#This Row],[Quantity]]*excelsalesdata[[#This Row],[Unit_Price]]</f>
        <v>175890</v>
      </c>
      <c r="X1738">
        <f>excelsalesdata[[#This Row],[Gross_sales]]*excelsalesdata[[#This Row],[Discount_%]]</f>
        <v>0</v>
      </c>
      <c r="Y1738">
        <f>excelsalesdata[[#This Row],[Gross_sales]]-excelsalesdata[[#This Row],[Discount_amt]]</f>
        <v>175890</v>
      </c>
      <c r="Z1738" s="4">
        <f>excelsalesdata[[#This Row],[Net_sales]]-excelsalesdata[[#This Row],[Cost]]</f>
        <v>135100</v>
      </c>
      <c r="AA1738" s="5">
        <f>excelsalesdata[[#This Row],[Profit]]/excelsalesdata[[#This Row],[Net_sales]]</f>
        <v>0.7680936949229632</v>
      </c>
      <c r="AB1738" s="4">
        <f>YEAR(excelsalesdata[[#This Row],[Order_Date]])</f>
        <v>2030</v>
      </c>
      <c r="AC1738" s="4" t="str">
        <f>TEXT(excelsalesdata[[#This Row],[Order_Date]],"mmm")</f>
        <v>Jan</v>
      </c>
      <c r="AD1738" s="4" t="str">
        <f>"Q"&amp;ROUNDUP(MONTH(excelsalesdata[[#This Row],[Order_Date]])/3,0)</f>
        <v>Q1</v>
      </c>
    </row>
    <row r="1739" spans="1:30" x14ac:dyDescent="0.35">
      <c r="A1739" t="s">
        <v>2579</v>
      </c>
      <c r="B1739" s="3">
        <v>47497</v>
      </c>
      <c r="C1739" t="s">
        <v>1560</v>
      </c>
      <c r="D1739" t="s">
        <v>84</v>
      </c>
      <c r="E1739" t="str">
        <f>TRIM(excelsalesdata[[#This Row],[Customer_Name]])</f>
        <v>Arjun Verma</v>
      </c>
      <c r="F1739" t="s">
        <v>44</v>
      </c>
      <c r="G1739">
        <v>44</v>
      </c>
      <c r="H1739" t="s">
        <v>155</v>
      </c>
      <c r="I1739" t="str">
        <f>TRIM(excelsalesdata[[#This Row],[City]])</f>
        <v>Chennai</v>
      </c>
      <c r="J1739" t="s">
        <v>156</v>
      </c>
      <c r="K1739" t="s">
        <v>47</v>
      </c>
      <c r="L1739" t="s">
        <v>54</v>
      </c>
      <c r="M1739" t="s">
        <v>129</v>
      </c>
      <c r="N1739" t="s">
        <v>129</v>
      </c>
      <c r="O1739">
        <v>1</v>
      </c>
      <c r="P1739">
        <v>17890</v>
      </c>
      <c r="Q1739">
        <v>0.05</v>
      </c>
      <c r="R1739">
        <v>12810</v>
      </c>
      <c r="S1739" t="s">
        <v>29</v>
      </c>
      <c r="T1739" t="s">
        <v>30</v>
      </c>
      <c r="U1739">
        <v>2</v>
      </c>
      <c r="V1739" t="s">
        <v>31</v>
      </c>
      <c r="W1739">
        <f>excelsalesdata[[#This Row],[Quantity]]*excelsalesdata[[#This Row],[Unit_Price]]</f>
        <v>17890</v>
      </c>
      <c r="X1739">
        <f>excelsalesdata[[#This Row],[Gross_sales]]*excelsalesdata[[#This Row],[Discount_%]]</f>
        <v>894.5</v>
      </c>
      <c r="Y1739">
        <f>excelsalesdata[[#This Row],[Gross_sales]]-excelsalesdata[[#This Row],[Discount_amt]]</f>
        <v>16995.5</v>
      </c>
      <c r="Z1739" s="4">
        <f>excelsalesdata[[#This Row],[Net_sales]]-excelsalesdata[[#This Row],[Cost]]</f>
        <v>4185.5</v>
      </c>
      <c r="AA1739" s="5">
        <f>excelsalesdata[[#This Row],[Profit]]/excelsalesdata[[#This Row],[Net_sales]]</f>
        <v>0.24627107175428789</v>
      </c>
      <c r="AB1739" s="4">
        <f>YEAR(excelsalesdata[[#This Row],[Order_Date]])</f>
        <v>2030</v>
      </c>
      <c r="AC1739" s="4" t="str">
        <f>TEXT(excelsalesdata[[#This Row],[Order_Date]],"mmm")</f>
        <v>Jan</v>
      </c>
      <c r="AD1739" s="4" t="str">
        <f>"Q"&amp;ROUNDUP(MONTH(excelsalesdata[[#This Row],[Order_Date]])/3,0)</f>
        <v>Q1</v>
      </c>
    </row>
    <row r="1740" spans="1:30" x14ac:dyDescent="0.35">
      <c r="A1740" t="s">
        <v>2580</v>
      </c>
      <c r="B1740" s="3">
        <v>47498</v>
      </c>
      <c r="C1740" t="s">
        <v>230</v>
      </c>
      <c r="D1740" t="s">
        <v>89</v>
      </c>
      <c r="E1740" t="str">
        <f>TRIM(excelsalesdata[[#This Row],[Customer_Name]])</f>
        <v>Karan Shah</v>
      </c>
      <c r="F1740" t="s">
        <v>44</v>
      </c>
      <c r="G1740">
        <v>33</v>
      </c>
      <c r="H1740" t="s">
        <v>98</v>
      </c>
      <c r="I1740" t="str">
        <f>TRIM(excelsalesdata[[#This Row],[City]])</f>
        <v>Mumbai</v>
      </c>
      <c r="J1740" t="s">
        <v>25</v>
      </c>
      <c r="K1740" t="s">
        <v>26</v>
      </c>
      <c r="L1740" t="s">
        <v>103</v>
      </c>
      <c r="M1740" t="s">
        <v>238</v>
      </c>
      <c r="N1740" t="s">
        <v>238</v>
      </c>
      <c r="O1740">
        <v>2</v>
      </c>
      <c r="P1740">
        <v>4530</v>
      </c>
      <c r="Q1740">
        <v>0.05</v>
      </c>
      <c r="R1740">
        <v>2600</v>
      </c>
      <c r="S1740" t="s">
        <v>105</v>
      </c>
      <c r="T1740" t="s">
        <v>30</v>
      </c>
      <c r="U1740">
        <v>4</v>
      </c>
      <c r="V1740" t="s">
        <v>40</v>
      </c>
      <c r="W1740">
        <f>excelsalesdata[[#This Row],[Quantity]]*excelsalesdata[[#This Row],[Unit_Price]]</f>
        <v>9060</v>
      </c>
      <c r="X1740">
        <f>excelsalesdata[[#This Row],[Gross_sales]]*excelsalesdata[[#This Row],[Discount_%]]</f>
        <v>453</v>
      </c>
      <c r="Y1740">
        <f>excelsalesdata[[#This Row],[Gross_sales]]-excelsalesdata[[#This Row],[Discount_amt]]</f>
        <v>8607</v>
      </c>
      <c r="Z1740" s="4">
        <f>excelsalesdata[[#This Row],[Net_sales]]-excelsalesdata[[#This Row],[Cost]]</f>
        <v>6007</v>
      </c>
      <c r="AA1740" s="5">
        <f>excelsalesdata[[#This Row],[Profit]]/excelsalesdata[[#This Row],[Net_sales]]</f>
        <v>0.69792029743232253</v>
      </c>
      <c r="AB1740" s="4">
        <f>YEAR(excelsalesdata[[#This Row],[Order_Date]])</f>
        <v>2030</v>
      </c>
      <c r="AC1740" s="4" t="str">
        <f>TEXT(excelsalesdata[[#This Row],[Order_Date]],"mmm")</f>
        <v>Jan</v>
      </c>
      <c r="AD1740" s="4" t="str">
        <f>"Q"&amp;ROUNDUP(MONTH(excelsalesdata[[#This Row],[Order_Date]])/3,0)</f>
        <v>Q1</v>
      </c>
    </row>
    <row r="1741" spans="1:30" x14ac:dyDescent="0.35">
      <c r="A1741" t="s">
        <v>2581</v>
      </c>
      <c r="B1741" s="3">
        <v>47499</v>
      </c>
      <c r="C1741" t="s">
        <v>814</v>
      </c>
      <c r="D1741" t="s">
        <v>1157</v>
      </c>
      <c r="E1741" t="str">
        <f>TRIM(excelsalesdata[[#This Row],[Customer_Name]])</f>
        <v>Kavya Shah</v>
      </c>
      <c r="F1741" t="s">
        <v>23</v>
      </c>
      <c r="G1741">
        <v>47</v>
      </c>
      <c r="H1741" t="s">
        <v>71</v>
      </c>
      <c r="I1741" t="str">
        <f>TRIM(excelsalesdata[[#This Row],[City]])</f>
        <v>Bhubaneswar</v>
      </c>
      <c r="J1741" t="s">
        <v>72</v>
      </c>
      <c r="K1741" t="s">
        <v>37</v>
      </c>
      <c r="L1741" t="s">
        <v>93</v>
      </c>
      <c r="M1741" t="s">
        <v>206</v>
      </c>
      <c r="N1741" t="s">
        <v>206</v>
      </c>
      <c r="O1741">
        <v>1</v>
      </c>
      <c r="P1741">
        <v>690</v>
      </c>
      <c r="Q1741">
        <v>0.05</v>
      </c>
      <c r="R1741">
        <v>300</v>
      </c>
      <c r="S1741" t="s">
        <v>67</v>
      </c>
      <c r="T1741" t="s">
        <v>81</v>
      </c>
      <c r="U1741">
        <v>0</v>
      </c>
      <c r="V1741" t="s">
        <v>31</v>
      </c>
      <c r="W1741">
        <f>excelsalesdata[[#This Row],[Quantity]]*excelsalesdata[[#This Row],[Unit_Price]]</f>
        <v>690</v>
      </c>
      <c r="X1741">
        <f>excelsalesdata[[#This Row],[Gross_sales]]*excelsalesdata[[#This Row],[Discount_%]]</f>
        <v>34.5</v>
      </c>
      <c r="Y1741">
        <f>excelsalesdata[[#This Row],[Gross_sales]]-excelsalesdata[[#This Row],[Discount_amt]]</f>
        <v>655.5</v>
      </c>
      <c r="Z1741" s="4">
        <f>excelsalesdata[[#This Row],[Net_sales]]-excelsalesdata[[#This Row],[Cost]]</f>
        <v>355.5</v>
      </c>
      <c r="AA1741" s="5">
        <f>excelsalesdata[[#This Row],[Profit]]/excelsalesdata[[#This Row],[Net_sales]]</f>
        <v>0.54233409610983985</v>
      </c>
      <c r="AB1741" s="4">
        <f>YEAR(excelsalesdata[[#This Row],[Order_Date]])</f>
        <v>2030</v>
      </c>
      <c r="AC1741" s="4" t="str">
        <f>TEXT(excelsalesdata[[#This Row],[Order_Date]],"mmm")</f>
        <v>Jan</v>
      </c>
      <c r="AD1741" s="4" t="str">
        <f>"Q"&amp;ROUNDUP(MONTH(excelsalesdata[[#This Row],[Order_Date]])/3,0)</f>
        <v>Q1</v>
      </c>
    </row>
    <row r="1742" spans="1:30" x14ac:dyDescent="0.35">
      <c r="A1742" t="s">
        <v>2582</v>
      </c>
      <c r="B1742" s="3">
        <v>47500</v>
      </c>
      <c r="C1742" t="s">
        <v>812</v>
      </c>
      <c r="D1742" t="s">
        <v>527</v>
      </c>
      <c r="E1742" t="str">
        <f>TRIM(excelsalesdata[[#This Row],[Customer_Name]])</f>
        <v>Aditya Sharma</v>
      </c>
      <c r="F1742" t="s">
        <v>44</v>
      </c>
      <c r="G1742">
        <v>59</v>
      </c>
      <c r="H1742" t="s">
        <v>190</v>
      </c>
      <c r="I1742" t="str">
        <f>TRIM(excelsalesdata[[#This Row],[City]])</f>
        <v>Ahmedabad</v>
      </c>
      <c r="J1742" t="s">
        <v>191</v>
      </c>
      <c r="K1742" t="s">
        <v>26</v>
      </c>
      <c r="L1742" t="s">
        <v>54</v>
      </c>
      <c r="M1742" t="s">
        <v>66</v>
      </c>
      <c r="N1742" t="s">
        <v>66</v>
      </c>
      <c r="O1742">
        <v>1</v>
      </c>
      <c r="P1742">
        <v>2580</v>
      </c>
      <c r="Q1742">
        <v>0.2</v>
      </c>
      <c r="R1742">
        <v>1490</v>
      </c>
      <c r="S1742" t="s">
        <v>67</v>
      </c>
      <c r="T1742" t="s">
        <v>74</v>
      </c>
      <c r="U1742">
        <v>6</v>
      </c>
      <c r="V1742" t="s">
        <v>31</v>
      </c>
      <c r="W1742">
        <f>excelsalesdata[[#This Row],[Quantity]]*excelsalesdata[[#This Row],[Unit_Price]]</f>
        <v>2580</v>
      </c>
      <c r="X1742">
        <f>excelsalesdata[[#This Row],[Gross_sales]]*excelsalesdata[[#This Row],[Discount_%]]</f>
        <v>516</v>
      </c>
      <c r="Y1742">
        <f>excelsalesdata[[#This Row],[Gross_sales]]-excelsalesdata[[#This Row],[Discount_amt]]</f>
        <v>2064</v>
      </c>
      <c r="Z1742" s="4">
        <f>excelsalesdata[[#This Row],[Net_sales]]-excelsalesdata[[#This Row],[Cost]]</f>
        <v>574</v>
      </c>
      <c r="AA1742" s="5">
        <f>excelsalesdata[[#This Row],[Profit]]/excelsalesdata[[#This Row],[Net_sales]]</f>
        <v>0.27810077519379844</v>
      </c>
      <c r="AB1742" s="4">
        <f>YEAR(excelsalesdata[[#This Row],[Order_Date]])</f>
        <v>2030</v>
      </c>
      <c r="AC1742" s="4" t="str">
        <f>TEXT(excelsalesdata[[#This Row],[Order_Date]],"mmm")</f>
        <v>Jan</v>
      </c>
      <c r="AD1742" s="4" t="str">
        <f>"Q"&amp;ROUNDUP(MONTH(excelsalesdata[[#This Row],[Order_Date]])/3,0)</f>
        <v>Q1</v>
      </c>
    </row>
    <row r="1743" spans="1:30" x14ac:dyDescent="0.35">
      <c r="A1743" t="s">
        <v>2583</v>
      </c>
      <c r="B1743" s="3">
        <v>47501</v>
      </c>
      <c r="C1743" t="s">
        <v>484</v>
      </c>
      <c r="D1743" t="s">
        <v>485</v>
      </c>
      <c r="E1743" t="str">
        <f>TRIM(excelsalesdata[[#This Row],[Customer_Name]])</f>
        <v>Ishita Mehta</v>
      </c>
      <c r="F1743" t="s">
        <v>44</v>
      </c>
      <c r="G1743">
        <v>55</v>
      </c>
      <c r="H1743" t="s">
        <v>24</v>
      </c>
      <c r="I1743" t="str">
        <f>TRIM(excelsalesdata[[#This Row],[City]])</f>
        <v>Pune</v>
      </c>
      <c r="J1743" t="s">
        <v>25</v>
      </c>
      <c r="K1743" t="s">
        <v>26</v>
      </c>
      <c r="L1743" t="s">
        <v>54</v>
      </c>
      <c r="M1743" t="s">
        <v>62</v>
      </c>
      <c r="N1743" t="s">
        <v>62</v>
      </c>
      <c r="O1743">
        <v>4</v>
      </c>
      <c r="P1743">
        <v>22640</v>
      </c>
      <c r="Q1743">
        <v>0.15</v>
      </c>
      <c r="R1743">
        <v>15590</v>
      </c>
      <c r="S1743" t="s">
        <v>29</v>
      </c>
      <c r="T1743" t="s">
        <v>30</v>
      </c>
      <c r="U1743">
        <v>3</v>
      </c>
      <c r="V1743" t="s">
        <v>40</v>
      </c>
      <c r="W1743">
        <f>excelsalesdata[[#This Row],[Quantity]]*excelsalesdata[[#This Row],[Unit_Price]]</f>
        <v>90560</v>
      </c>
      <c r="X1743">
        <f>excelsalesdata[[#This Row],[Gross_sales]]*excelsalesdata[[#This Row],[Discount_%]]</f>
        <v>13584</v>
      </c>
      <c r="Y1743">
        <f>excelsalesdata[[#This Row],[Gross_sales]]-excelsalesdata[[#This Row],[Discount_amt]]</f>
        <v>76976</v>
      </c>
      <c r="Z1743" s="4">
        <f>excelsalesdata[[#This Row],[Net_sales]]-excelsalesdata[[#This Row],[Cost]]</f>
        <v>61386</v>
      </c>
      <c r="AA1743" s="5">
        <f>excelsalesdata[[#This Row],[Profit]]/excelsalesdata[[#This Row],[Net_sales]]</f>
        <v>0.79746934109332779</v>
      </c>
      <c r="AB1743" s="4">
        <f>YEAR(excelsalesdata[[#This Row],[Order_Date]])</f>
        <v>2030</v>
      </c>
      <c r="AC1743" s="4" t="str">
        <f>TEXT(excelsalesdata[[#This Row],[Order_Date]],"mmm")</f>
        <v>Jan</v>
      </c>
      <c r="AD1743" s="4" t="str">
        <f>"Q"&amp;ROUNDUP(MONTH(excelsalesdata[[#This Row],[Order_Date]])/3,0)</f>
        <v>Q1</v>
      </c>
    </row>
    <row r="1744" spans="1:30" x14ac:dyDescent="0.35">
      <c r="A1744" t="s">
        <v>2584</v>
      </c>
      <c r="B1744" s="3">
        <v>47502</v>
      </c>
      <c r="C1744" t="s">
        <v>805</v>
      </c>
      <c r="D1744" t="s">
        <v>368</v>
      </c>
      <c r="E1744" t="str">
        <f>TRIM(excelsalesdata[[#This Row],[Customer_Name]])</f>
        <v>Aditya Naidu</v>
      </c>
      <c r="F1744" t="s">
        <v>44</v>
      </c>
      <c r="G1744">
        <v>55</v>
      </c>
      <c r="H1744" t="s">
        <v>52</v>
      </c>
      <c r="I1744" t="str">
        <f>TRIM(excelsalesdata[[#This Row],[City]])</f>
        <v>Bengaluru</v>
      </c>
      <c r="J1744" t="s">
        <v>53</v>
      </c>
      <c r="K1744" t="s">
        <v>47</v>
      </c>
      <c r="L1744" t="s">
        <v>103</v>
      </c>
      <c r="M1744" t="s">
        <v>104</v>
      </c>
      <c r="N1744" t="s">
        <v>104</v>
      </c>
      <c r="O1744">
        <v>3</v>
      </c>
      <c r="P1744">
        <v>7970</v>
      </c>
      <c r="Q1744">
        <v>0.1</v>
      </c>
      <c r="R1744">
        <v>5770</v>
      </c>
      <c r="S1744" t="s">
        <v>29</v>
      </c>
      <c r="T1744" t="s">
        <v>30</v>
      </c>
      <c r="U1744">
        <v>5</v>
      </c>
      <c r="V1744" t="s">
        <v>40</v>
      </c>
      <c r="W1744">
        <f>excelsalesdata[[#This Row],[Quantity]]*excelsalesdata[[#This Row],[Unit_Price]]</f>
        <v>23910</v>
      </c>
      <c r="X1744">
        <f>excelsalesdata[[#This Row],[Gross_sales]]*excelsalesdata[[#This Row],[Discount_%]]</f>
        <v>2391</v>
      </c>
      <c r="Y1744">
        <f>excelsalesdata[[#This Row],[Gross_sales]]-excelsalesdata[[#This Row],[Discount_amt]]</f>
        <v>21519</v>
      </c>
      <c r="Z1744" s="4">
        <f>excelsalesdata[[#This Row],[Net_sales]]-excelsalesdata[[#This Row],[Cost]]</f>
        <v>15749</v>
      </c>
      <c r="AA1744" s="5">
        <f>excelsalesdata[[#This Row],[Profit]]/excelsalesdata[[#This Row],[Net_sales]]</f>
        <v>0.73186486360890379</v>
      </c>
      <c r="AB1744" s="4">
        <f>YEAR(excelsalesdata[[#This Row],[Order_Date]])</f>
        <v>2030</v>
      </c>
      <c r="AC1744" s="4" t="str">
        <f>TEXT(excelsalesdata[[#This Row],[Order_Date]],"mmm")</f>
        <v>Jan</v>
      </c>
      <c r="AD1744" s="4" t="str">
        <f>"Q"&amp;ROUNDUP(MONTH(excelsalesdata[[#This Row],[Order_Date]])/3,0)</f>
        <v>Q1</v>
      </c>
    </row>
    <row r="1745" spans="1:30" x14ac:dyDescent="0.35">
      <c r="A1745" t="s">
        <v>2585</v>
      </c>
      <c r="B1745" s="3">
        <v>47503</v>
      </c>
      <c r="C1745" t="s">
        <v>864</v>
      </c>
      <c r="D1745" t="s">
        <v>502</v>
      </c>
      <c r="E1745" t="str">
        <f>TRIM(excelsalesdata[[#This Row],[Customer_Name]])</f>
        <v>Diya Joshi</v>
      </c>
      <c r="F1745" t="s">
        <v>44</v>
      </c>
      <c r="G1745">
        <v>43</v>
      </c>
      <c r="H1745" t="s">
        <v>45</v>
      </c>
      <c r="I1745" t="str">
        <f>TRIM(excelsalesdata[[#This Row],[City]])</f>
        <v>Kochi</v>
      </c>
      <c r="J1745" t="s">
        <v>46</v>
      </c>
      <c r="K1745" t="s">
        <v>47</v>
      </c>
      <c r="L1745" t="s">
        <v>27</v>
      </c>
      <c r="M1745" t="s">
        <v>123</v>
      </c>
      <c r="N1745" t="s">
        <v>123</v>
      </c>
      <c r="O1745">
        <v>2</v>
      </c>
      <c r="P1745">
        <v>2980</v>
      </c>
      <c r="Q1745">
        <v>0.15</v>
      </c>
      <c r="R1745">
        <v>1650</v>
      </c>
      <c r="S1745" t="s">
        <v>29</v>
      </c>
      <c r="T1745" t="s">
        <v>30</v>
      </c>
      <c r="U1745">
        <v>2</v>
      </c>
      <c r="V1745" t="s">
        <v>31</v>
      </c>
      <c r="W1745">
        <f>excelsalesdata[[#This Row],[Quantity]]*excelsalesdata[[#This Row],[Unit_Price]]</f>
        <v>5960</v>
      </c>
      <c r="X1745">
        <f>excelsalesdata[[#This Row],[Gross_sales]]*excelsalesdata[[#This Row],[Discount_%]]</f>
        <v>894</v>
      </c>
      <c r="Y1745">
        <f>excelsalesdata[[#This Row],[Gross_sales]]-excelsalesdata[[#This Row],[Discount_amt]]</f>
        <v>5066</v>
      </c>
      <c r="Z1745" s="4">
        <f>excelsalesdata[[#This Row],[Net_sales]]-excelsalesdata[[#This Row],[Cost]]</f>
        <v>3416</v>
      </c>
      <c r="AA1745" s="5">
        <f>excelsalesdata[[#This Row],[Profit]]/excelsalesdata[[#This Row],[Net_sales]]</f>
        <v>0.67429924990130286</v>
      </c>
      <c r="AB1745" s="4">
        <f>YEAR(excelsalesdata[[#This Row],[Order_Date]])</f>
        <v>2030</v>
      </c>
      <c r="AC1745" s="4" t="str">
        <f>TEXT(excelsalesdata[[#This Row],[Order_Date]],"mmm")</f>
        <v>Jan</v>
      </c>
      <c r="AD1745" s="4" t="str">
        <f>"Q"&amp;ROUNDUP(MONTH(excelsalesdata[[#This Row],[Order_Date]])/3,0)</f>
        <v>Q1</v>
      </c>
    </row>
    <row r="1746" spans="1:30" x14ac:dyDescent="0.35">
      <c r="A1746" t="s">
        <v>2586</v>
      </c>
      <c r="B1746" s="3">
        <v>47504</v>
      </c>
      <c r="C1746" t="s">
        <v>389</v>
      </c>
      <c r="D1746" t="s">
        <v>546</v>
      </c>
      <c r="E1746" t="str">
        <f>TRIM(excelsalesdata[[#This Row],[Customer_Name]])</f>
        <v>Karan Nair</v>
      </c>
      <c r="F1746" t="s">
        <v>44</v>
      </c>
      <c r="G1746">
        <v>20</v>
      </c>
      <c r="H1746" t="s">
        <v>98</v>
      </c>
      <c r="I1746" t="str">
        <f>TRIM(excelsalesdata[[#This Row],[City]])</f>
        <v>Mumbai</v>
      </c>
      <c r="J1746" t="s">
        <v>25</v>
      </c>
      <c r="K1746" t="s">
        <v>26</v>
      </c>
      <c r="L1746" t="s">
        <v>54</v>
      </c>
      <c r="M1746" t="s">
        <v>62</v>
      </c>
      <c r="N1746" t="s">
        <v>62</v>
      </c>
      <c r="O1746">
        <v>1</v>
      </c>
      <c r="P1746">
        <v>23150</v>
      </c>
      <c r="Q1746">
        <v>0.3</v>
      </c>
      <c r="R1746">
        <v>15850</v>
      </c>
      <c r="S1746" t="s">
        <v>29</v>
      </c>
      <c r="T1746" t="s">
        <v>30</v>
      </c>
      <c r="U1746">
        <v>8</v>
      </c>
      <c r="V1746" t="s">
        <v>40</v>
      </c>
      <c r="W1746">
        <f>excelsalesdata[[#This Row],[Quantity]]*excelsalesdata[[#This Row],[Unit_Price]]</f>
        <v>23150</v>
      </c>
      <c r="X1746">
        <f>excelsalesdata[[#This Row],[Gross_sales]]*excelsalesdata[[#This Row],[Discount_%]]</f>
        <v>6945</v>
      </c>
      <c r="Y1746">
        <f>excelsalesdata[[#This Row],[Gross_sales]]-excelsalesdata[[#This Row],[Discount_amt]]</f>
        <v>16205</v>
      </c>
      <c r="Z1746" s="4">
        <f>excelsalesdata[[#This Row],[Net_sales]]-excelsalesdata[[#This Row],[Cost]]</f>
        <v>355</v>
      </c>
      <c r="AA1746" s="5">
        <f>excelsalesdata[[#This Row],[Profit]]/excelsalesdata[[#This Row],[Net_sales]]</f>
        <v>2.1906818883060782E-2</v>
      </c>
      <c r="AB1746" s="4">
        <f>YEAR(excelsalesdata[[#This Row],[Order_Date]])</f>
        <v>2030</v>
      </c>
      <c r="AC1746" s="4" t="str">
        <f>TEXT(excelsalesdata[[#This Row],[Order_Date]],"mmm")</f>
        <v>Jan</v>
      </c>
      <c r="AD1746" s="4" t="str">
        <f>"Q"&amp;ROUNDUP(MONTH(excelsalesdata[[#This Row],[Order_Date]])/3,0)</f>
        <v>Q1</v>
      </c>
    </row>
    <row r="1747" spans="1:30" x14ac:dyDescent="0.35">
      <c r="A1747" t="s">
        <v>2587</v>
      </c>
      <c r="B1747" s="3">
        <v>47505</v>
      </c>
      <c r="C1747" t="s">
        <v>517</v>
      </c>
      <c r="D1747" t="s">
        <v>896</v>
      </c>
      <c r="E1747" t="str">
        <f>TRIM(excelsalesdata[[#This Row],[Customer_Name]])</f>
        <v>Arjun Iyer</v>
      </c>
      <c r="F1747" t="s">
        <v>44</v>
      </c>
      <c r="G1747">
        <v>36</v>
      </c>
      <c r="H1747" t="s">
        <v>114</v>
      </c>
      <c r="I1747" t="str">
        <f>TRIM(excelsalesdata[[#This Row],[City]])</f>
        <v>Hyderabad</v>
      </c>
      <c r="J1747" t="s">
        <v>115</v>
      </c>
      <c r="K1747" t="s">
        <v>47</v>
      </c>
      <c r="L1747" t="s">
        <v>54</v>
      </c>
      <c r="M1747" t="s">
        <v>66</v>
      </c>
      <c r="N1747" t="s">
        <v>66</v>
      </c>
      <c r="O1747">
        <v>5</v>
      </c>
      <c r="P1747">
        <v>2370</v>
      </c>
      <c r="Q1747">
        <v>0.15</v>
      </c>
      <c r="R1747">
        <v>1450</v>
      </c>
      <c r="S1747" t="s">
        <v>80</v>
      </c>
      <c r="T1747" t="s">
        <v>30</v>
      </c>
      <c r="U1747">
        <v>5</v>
      </c>
      <c r="V1747" t="s">
        <v>40</v>
      </c>
      <c r="W1747">
        <f>excelsalesdata[[#This Row],[Quantity]]*excelsalesdata[[#This Row],[Unit_Price]]</f>
        <v>11850</v>
      </c>
      <c r="X1747">
        <f>excelsalesdata[[#This Row],[Gross_sales]]*excelsalesdata[[#This Row],[Discount_%]]</f>
        <v>1777.5</v>
      </c>
      <c r="Y1747">
        <f>excelsalesdata[[#This Row],[Gross_sales]]-excelsalesdata[[#This Row],[Discount_amt]]</f>
        <v>10072.5</v>
      </c>
      <c r="Z1747" s="4">
        <f>excelsalesdata[[#This Row],[Net_sales]]-excelsalesdata[[#This Row],[Cost]]</f>
        <v>8622.5</v>
      </c>
      <c r="AA1747" s="5">
        <f>excelsalesdata[[#This Row],[Profit]]/excelsalesdata[[#This Row],[Net_sales]]</f>
        <v>0.85604368329610325</v>
      </c>
      <c r="AB1747" s="4">
        <f>YEAR(excelsalesdata[[#This Row],[Order_Date]])</f>
        <v>2030</v>
      </c>
      <c r="AC1747" s="4" t="str">
        <f>TEXT(excelsalesdata[[#This Row],[Order_Date]],"mmm")</f>
        <v>Jan</v>
      </c>
      <c r="AD1747" s="4" t="str">
        <f>"Q"&amp;ROUNDUP(MONTH(excelsalesdata[[#This Row],[Order_Date]])/3,0)</f>
        <v>Q1</v>
      </c>
    </row>
    <row r="1748" spans="1:30" x14ac:dyDescent="0.35">
      <c r="A1748" t="s">
        <v>2588</v>
      </c>
      <c r="B1748" s="3">
        <v>47506</v>
      </c>
      <c r="C1748" t="s">
        <v>1835</v>
      </c>
      <c r="D1748" t="s">
        <v>132</v>
      </c>
      <c r="E1748" t="str">
        <f>TRIM(excelsalesdata[[#This Row],[Customer_Name]])</f>
        <v>Vivaan Das</v>
      </c>
      <c r="F1748" t="s">
        <v>23</v>
      </c>
      <c r="G1748">
        <v>43</v>
      </c>
      <c r="H1748" t="s">
        <v>155</v>
      </c>
      <c r="I1748" t="str">
        <f>TRIM(excelsalesdata[[#This Row],[City]])</f>
        <v>Chennai</v>
      </c>
      <c r="J1748" t="s">
        <v>156</v>
      </c>
      <c r="K1748" t="s">
        <v>47</v>
      </c>
      <c r="L1748" t="s">
        <v>85</v>
      </c>
      <c r="M1748" t="s">
        <v>110</v>
      </c>
      <c r="N1748" t="s">
        <v>110</v>
      </c>
      <c r="O1748">
        <v>3</v>
      </c>
      <c r="P1748">
        <v>1290</v>
      </c>
      <c r="Q1748">
        <v>0.15</v>
      </c>
      <c r="R1748">
        <v>600</v>
      </c>
      <c r="S1748" t="s">
        <v>67</v>
      </c>
      <c r="T1748" t="s">
        <v>99</v>
      </c>
      <c r="U1748">
        <v>7</v>
      </c>
      <c r="V1748" t="s">
        <v>40</v>
      </c>
      <c r="W1748">
        <f>excelsalesdata[[#This Row],[Quantity]]*excelsalesdata[[#This Row],[Unit_Price]]</f>
        <v>3870</v>
      </c>
      <c r="X1748">
        <f>excelsalesdata[[#This Row],[Gross_sales]]*excelsalesdata[[#This Row],[Discount_%]]</f>
        <v>580.5</v>
      </c>
      <c r="Y1748">
        <f>excelsalesdata[[#This Row],[Gross_sales]]-excelsalesdata[[#This Row],[Discount_amt]]</f>
        <v>3289.5</v>
      </c>
      <c r="Z1748" s="4">
        <f>excelsalesdata[[#This Row],[Net_sales]]-excelsalesdata[[#This Row],[Cost]]</f>
        <v>2689.5</v>
      </c>
      <c r="AA1748" s="5">
        <f>excelsalesdata[[#This Row],[Profit]]/excelsalesdata[[#This Row],[Net_sales]]</f>
        <v>0.8176014591883265</v>
      </c>
      <c r="AB1748" s="4">
        <f>YEAR(excelsalesdata[[#This Row],[Order_Date]])</f>
        <v>2030</v>
      </c>
      <c r="AC1748" s="4" t="str">
        <f>TEXT(excelsalesdata[[#This Row],[Order_Date]],"mmm")</f>
        <v>Jan</v>
      </c>
      <c r="AD1748" s="4" t="str">
        <f>"Q"&amp;ROUNDUP(MONTH(excelsalesdata[[#This Row],[Order_Date]])/3,0)</f>
        <v>Q1</v>
      </c>
    </row>
    <row r="1749" spans="1:30" x14ac:dyDescent="0.35">
      <c r="A1749" t="s">
        <v>2589</v>
      </c>
      <c r="B1749" s="3">
        <v>47507</v>
      </c>
      <c r="C1749" t="s">
        <v>953</v>
      </c>
      <c r="D1749" t="s">
        <v>527</v>
      </c>
      <c r="E1749" t="str">
        <f>TRIM(excelsalesdata[[#This Row],[Customer_Name]])</f>
        <v>Aditya Sharma</v>
      </c>
      <c r="F1749" t="s">
        <v>23</v>
      </c>
      <c r="G1749">
        <v>21</v>
      </c>
      <c r="H1749" t="s">
        <v>52</v>
      </c>
      <c r="I1749" t="str">
        <f>TRIM(excelsalesdata[[#This Row],[City]])</f>
        <v>Bengaluru</v>
      </c>
      <c r="J1749" t="s">
        <v>53</v>
      </c>
      <c r="K1749" t="s">
        <v>47</v>
      </c>
      <c r="L1749" t="s">
        <v>27</v>
      </c>
      <c r="M1749" t="s">
        <v>123</v>
      </c>
      <c r="N1749" t="s">
        <v>123</v>
      </c>
      <c r="O1749">
        <v>2</v>
      </c>
      <c r="P1749">
        <v>2650</v>
      </c>
      <c r="Q1749">
        <v>0.1</v>
      </c>
      <c r="R1749">
        <v>1600</v>
      </c>
      <c r="S1749" t="s">
        <v>80</v>
      </c>
      <c r="T1749" t="s">
        <v>30</v>
      </c>
      <c r="U1749">
        <v>4</v>
      </c>
      <c r="V1749" t="s">
        <v>40</v>
      </c>
      <c r="W1749">
        <f>excelsalesdata[[#This Row],[Quantity]]*excelsalesdata[[#This Row],[Unit_Price]]</f>
        <v>5300</v>
      </c>
      <c r="X1749">
        <f>excelsalesdata[[#This Row],[Gross_sales]]*excelsalesdata[[#This Row],[Discount_%]]</f>
        <v>530</v>
      </c>
      <c r="Y1749">
        <f>excelsalesdata[[#This Row],[Gross_sales]]-excelsalesdata[[#This Row],[Discount_amt]]</f>
        <v>4770</v>
      </c>
      <c r="Z1749" s="4">
        <f>excelsalesdata[[#This Row],[Net_sales]]-excelsalesdata[[#This Row],[Cost]]</f>
        <v>3170</v>
      </c>
      <c r="AA1749" s="5">
        <f>excelsalesdata[[#This Row],[Profit]]/excelsalesdata[[#This Row],[Net_sales]]</f>
        <v>0.66457023060796649</v>
      </c>
      <c r="AB1749" s="4">
        <f>YEAR(excelsalesdata[[#This Row],[Order_Date]])</f>
        <v>2030</v>
      </c>
      <c r="AC1749" s="4" t="str">
        <f>TEXT(excelsalesdata[[#This Row],[Order_Date]],"mmm")</f>
        <v>Jan</v>
      </c>
      <c r="AD1749" s="4" t="str">
        <f>"Q"&amp;ROUNDUP(MONTH(excelsalesdata[[#This Row],[Order_Date]])/3,0)</f>
        <v>Q1</v>
      </c>
    </row>
    <row r="1750" spans="1:30" x14ac:dyDescent="0.35">
      <c r="A1750" t="s">
        <v>2590</v>
      </c>
      <c r="B1750" s="3">
        <v>47508</v>
      </c>
      <c r="C1750" t="s">
        <v>501</v>
      </c>
      <c r="D1750" t="s">
        <v>879</v>
      </c>
      <c r="E1750" t="str">
        <f>TRIM(excelsalesdata[[#This Row],[Customer_Name]])</f>
        <v>Ishita Das</v>
      </c>
      <c r="F1750" t="s">
        <v>23</v>
      </c>
      <c r="G1750">
        <v>30</v>
      </c>
      <c r="H1750" t="s">
        <v>185</v>
      </c>
      <c r="I1750" t="str">
        <f>TRIM(excelsalesdata[[#This Row],[City]])</f>
        <v>Lucknow</v>
      </c>
      <c r="J1750" t="s">
        <v>186</v>
      </c>
      <c r="K1750" t="s">
        <v>61</v>
      </c>
      <c r="L1750" t="s">
        <v>93</v>
      </c>
      <c r="M1750" t="s">
        <v>135</v>
      </c>
      <c r="N1750" t="s">
        <v>135</v>
      </c>
      <c r="O1750">
        <v>1</v>
      </c>
      <c r="P1750">
        <v>1920</v>
      </c>
      <c r="Q1750">
        <v>0.25</v>
      </c>
      <c r="R1750">
        <v>1010</v>
      </c>
      <c r="S1750" t="s">
        <v>105</v>
      </c>
      <c r="T1750" t="s">
        <v>74</v>
      </c>
      <c r="U1750">
        <v>7</v>
      </c>
      <c r="V1750" t="s">
        <v>40</v>
      </c>
      <c r="W1750">
        <f>excelsalesdata[[#This Row],[Quantity]]*excelsalesdata[[#This Row],[Unit_Price]]</f>
        <v>1920</v>
      </c>
      <c r="X1750">
        <f>excelsalesdata[[#This Row],[Gross_sales]]*excelsalesdata[[#This Row],[Discount_%]]</f>
        <v>480</v>
      </c>
      <c r="Y1750">
        <f>excelsalesdata[[#This Row],[Gross_sales]]-excelsalesdata[[#This Row],[Discount_amt]]</f>
        <v>1440</v>
      </c>
      <c r="Z1750" s="4">
        <f>excelsalesdata[[#This Row],[Net_sales]]-excelsalesdata[[#This Row],[Cost]]</f>
        <v>430</v>
      </c>
      <c r="AA1750" s="5">
        <f>excelsalesdata[[#This Row],[Profit]]/excelsalesdata[[#This Row],[Net_sales]]</f>
        <v>0.2986111111111111</v>
      </c>
      <c r="AB1750" s="4">
        <f>YEAR(excelsalesdata[[#This Row],[Order_Date]])</f>
        <v>2030</v>
      </c>
      <c r="AC1750" s="4" t="str">
        <f>TEXT(excelsalesdata[[#This Row],[Order_Date]],"mmm")</f>
        <v>Jan</v>
      </c>
      <c r="AD1750" s="4" t="str">
        <f>"Q"&amp;ROUNDUP(MONTH(excelsalesdata[[#This Row],[Order_Date]])/3,0)</f>
        <v>Q1</v>
      </c>
    </row>
    <row r="1751" spans="1:30" x14ac:dyDescent="0.35">
      <c r="A1751" t="s">
        <v>2591</v>
      </c>
      <c r="B1751" s="3">
        <v>47509</v>
      </c>
      <c r="C1751" t="s">
        <v>1647</v>
      </c>
      <c r="D1751" t="s">
        <v>1374</v>
      </c>
      <c r="E1751" t="str">
        <f>TRIM(excelsalesdata[[#This Row],[Customer_Name]])</f>
        <v>Karan Joshi</v>
      </c>
      <c r="F1751" t="s">
        <v>23</v>
      </c>
      <c r="G1751">
        <v>45</v>
      </c>
      <c r="H1751" t="s">
        <v>185</v>
      </c>
      <c r="I1751" t="str">
        <f>TRIM(excelsalesdata[[#This Row],[City]])</f>
        <v>Lucknow</v>
      </c>
      <c r="J1751" t="s">
        <v>186</v>
      </c>
      <c r="K1751" t="s">
        <v>61</v>
      </c>
      <c r="L1751" t="s">
        <v>27</v>
      </c>
      <c r="M1751" t="s">
        <v>48</v>
      </c>
      <c r="N1751" t="s">
        <v>48</v>
      </c>
      <c r="O1751">
        <v>3</v>
      </c>
      <c r="P1751">
        <v>960</v>
      </c>
      <c r="Q1751">
        <v>0</v>
      </c>
      <c r="R1751">
        <v>450</v>
      </c>
      <c r="S1751" t="s">
        <v>29</v>
      </c>
      <c r="T1751" t="s">
        <v>30</v>
      </c>
      <c r="U1751">
        <v>6</v>
      </c>
      <c r="V1751" t="s">
        <v>31</v>
      </c>
      <c r="W1751">
        <f>excelsalesdata[[#This Row],[Quantity]]*excelsalesdata[[#This Row],[Unit_Price]]</f>
        <v>2880</v>
      </c>
      <c r="X1751">
        <f>excelsalesdata[[#This Row],[Gross_sales]]*excelsalesdata[[#This Row],[Discount_%]]</f>
        <v>0</v>
      </c>
      <c r="Y1751">
        <f>excelsalesdata[[#This Row],[Gross_sales]]-excelsalesdata[[#This Row],[Discount_amt]]</f>
        <v>2880</v>
      </c>
      <c r="Z1751" s="4">
        <f>excelsalesdata[[#This Row],[Net_sales]]-excelsalesdata[[#This Row],[Cost]]</f>
        <v>2430</v>
      </c>
      <c r="AA1751" s="5">
        <f>excelsalesdata[[#This Row],[Profit]]/excelsalesdata[[#This Row],[Net_sales]]</f>
        <v>0.84375</v>
      </c>
      <c r="AB1751" s="4">
        <f>YEAR(excelsalesdata[[#This Row],[Order_Date]])</f>
        <v>2030</v>
      </c>
      <c r="AC1751" s="4" t="str">
        <f>TEXT(excelsalesdata[[#This Row],[Order_Date]],"mmm")</f>
        <v>Jan</v>
      </c>
      <c r="AD1751" s="4" t="str">
        <f>"Q"&amp;ROUNDUP(MONTH(excelsalesdata[[#This Row],[Order_Date]])/3,0)</f>
        <v>Q1</v>
      </c>
    </row>
    <row r="1752" spans="1:30" x14ac:dyDescent="0.35">
      <c r="A1752" t="s">
        <v>2592</v>
      </c>
      <c r="B1752" s="3">
        <v>47510</v>
      </c>
      <c r="C1752" t="s">
        <v>246</v>
      </c>
      <c r="D1752" t="s">
        <v>806</v>
      </c>
      <c r="E1752" t="str">
        <f>TRIM(excelsalesdata[[#This Row],[Customer_Name]])</f>
        <v>Karan Patel</v>
      </c>
      <c r="F1752" t="s">
        <v>44</v>
      </c>
      <c r="G1752">
        <v>40</v>
      </c>
      <c r="H1752" t="s">
        <v>185</v>
      </c>
      <c r="I1752" t="str">
        <f>TRIM(excelsalesdata[[#This Row],[City]])</f>
        <v>Lucknow</v>
      </c>
      <c r="J1752" t="s">
        <v>186</v>
      </c>
      <c r="K1752" t="s">
        <v>61</v>
      </c>
      <c r="L1752" t="s">
        <v>93</v>
      </c>
      <c r="M1752" t="s">
        <v>135</v>
      </c>
      <c r="N1752" t="s">
        <v>135</v>
      </c>
      <c r="O1752">
        <v>3</v>
      </c>
      <c r="P1752">
        <v>1790</v>
      </c>
      <c r="Q1752">
        <v>0.15</v>
      </c>
      <c r="R1752">
        <v>950</v>
      </c>
      <c r="S1752" t="s">
        <v>67</v>
      </c>
      <c r="T1752" t="s">
        <v>30</v>
      </c>
      <c r="U1752">
        <v>3</v>
      </c>
      <c r="V1752" t="s">
        <v>31</v>
      </c>
      <c r="W1752">
        <f>excelsalesdata[[#This Row],[Quantity]]*excelsalesdata[[#This Row],[Unit_Price]]</f>
        <v>5370</v>
      </c>
      <c r="X1752">
        <f>excelsalesdata[[#This Row],[Gross_sales]]*excelsalesdata[[#This Row],[Discount_%]]</f>
        <v>805.5</v>
      </c>
      <c r="Y1752">
        <f>excelsalesdata[[#This Row],[Gross_sales]]-excelsalesdata[[#This Row],[Discount_amt]]</f>
        <v>4564.5</v>
      </c>
      <c r="Z1752" s="4">
        <f>excelsalesdata[[#This Row],[Net_sales]]-excelsalesdata[[#This Row],[Cost]]</f>
        <v>3614.5</v>
      </c>
      <c r="AA1752" s="5">
        <f>excelsalesdata[[#This Row],[Profit]]/excelsalesdata[[#This Row],[Net_sales]]</f>
        <v>0.79187205608500388</v>
      </c>
      <c r="AB1752" s="4">
        <f>YEAR(excelsalesdata[[#This Row],[Order_Date]])</f>
        <v>2030</v>
      </c>
      <c r="AC1752" s="4" t="str">
        <f>TEXT(excelsalesdata[[#This Row],[Order_Date]],"mmm")</f>
        <v>Jan</v>
      </c>
      <c r="AD1752" s="4" t="str">
        <f>"Q"&amp;ROUNDUP(MONTH(excelsalesdata[[#This Row],[Order_Date]])/3,0)</f>
        <v>Q1</v>
      </c>
    </row>
    <row r="1753" spans="1:30" x14ac:dyDescent="0.35">
      <c r="A1753" t="s">
        <v>2593</v>
      </c>
      <c r="B1753" s="3">
        <v>47511</v>
      </c>
      <c r="C1753" t="s">
        <v>1121</v>
      </c>
      <c r="D1753" t="s">
        <v>937</v>
      </c>
      <c r="E1753" t="str">
        <f>TRIM(excelsalesdata[[#This Row],[Customer_Name]])</f>
        <v>Vikram Singh</v>
      </c>
      <c r="F1753" t="s">
        <v>23</v>
      </c>
      <c r="G1753">
        <v>40</v>
      </c>
      <c r="H1753" t="s">
        <v>133</v>
      </c>
      <c r="I1753" t="str">
        <f>TRIM(excelsalesdata[[#This Row],[City]])</f>
        <v>Jaipur</v>
      </c>
      <c r="J1753" t="s">
        <v>134</v>
      </c>
      <c r="K1753" t="s">
        <v>61</v>
      </c>
      <c r="L1753" t="s">
        <v>27</v>
      </c>
      <c r="M1753" t="s">
        <v>123</v>
      </c>
      <c r="N1753" t="s">
        <v>123</v>
      </c>
      <c r="O1753">
        <v>1</v>
      </c>
      <c r="P1753">
        <v>3000</v>
      </c>
      <c r="Q1753">
        <v>0</v>
      </c>
      <c r="R1753">
        <v>1680</v>
      </c>
      <c r="S1753" t="s">
        <v>151</v>
      </c>
      <c r="T1753" t="s">
        <v>30</v>
      </c>
      <c r="U1753">
        <v>4</v>
      </c>
      <c r="V1753" t="s">
        <v>40</v>
      </c>
      <c r="W1753">
        <f>excelsalesdata[[#This Row],[Quantity]]*excelsalesdata[[#This Row],[Unit_Price]]</f>
        <v>3000</v>
      </c>
      <c r="X1753">
        <f>excelsalesdata[[#This Row],[Gross_sales]]*excelsalesdata[[#This Row],[Discount_%]]</f>
        <v>0</v>
      </c>
      <c r="Y1753">
        <f>excelsalesdata[[#This Row],[Gross_sales]]-excelsalesdata[[#This Row],[Discount_amt]]</f>
        <v>3000</v>
      </c>
      <c r="Z1753" s="4">
        <f>excelsalesdata[[#This Row],[Net_sales]]-excelsalesdata[[#This Row],[Cost]]</f>
        <v>1320</v>
      </c>
      <c r="AA1753" s="5">
        <f>excelsalesdata[[#This Row],[Profit]]/excelsalesdata[[#This Row],[Net_sales]]</f>
        <v>0.44</v>
      </c>
      <c r="AB1753" s="4">
        <f>YEAR(excelsalesdata[[#This Row],[Order_Date]])</f>
        <v>2030</v>
      </c>
      <c r="AC1753" s="4" t="str">
        <f>TEXT(excelsalesdata[[#This Row],[Order_Date]],"mmm")</f>
        <v>Jan</v>
      </c>
      <c r="AD1753" s="4" t="str">
        <f>"Q"&amp;ROUNDUP(MONTH(excelsalesdata[[#This Row],[Order_Date]])/3,0)</f>
        <v>Q1</v>
      </c>
    </row>
    <row r="1754" spans="1:30" x14ac:dyDescent="0.35">
      <c r="A1754" t="s">
        <v>2594</v>
      </c>
      <c r="B1754" s="3">
        <v>47512</v>
      </c>
      <c r="C1754" t="s">
        <v>809</v>
      </c>
      <c r="D1754" t="s">
        <v>522</v>
      </c>
      <c r="E1754" t="str">
        <f>TRIM(excelsalesdata[[#This Row],[Customer_Name]])</f>
        <v>Priya Joshi</v>
      </c>
      <c r="F1754" t="s">
        <v>23</v>
      </c>
      <c r="G1754">
        <v>59</v>
      </c>
      <c r="H1754" t="s">
        <v>78</v>
      </c>
      <c r="I1754" t="str">
        <f>TRIM(excelsalesdata[[#This Row],[City]])</f>
        <v>Guwahati</v>
      </c>
      <c r="J1754" t="s">
        <v>79</v>
      </c>
      <c r="K1754" t="s">
        <v>37</v>
      </c>
      <c r="L1754" t="s">
        <v>54</v>
      </c>
      <c r="M1754" t="s">
        <v>66</v>
      </c>
      <c r="N1754" t="s">
        <v>66</v>
      </c>
      <c r="O1754">
        <v>1</v>
      </c>
      <c r="P1754">
        <v>2410</v>
      </c>
      <c r="Q1754">
        <v>0</v>
      </c>
      <c r="R1754">
        <v>1500</v>
      </c>
      <c r="S1754" t="s">
        <v>105</v>
      </c>
      <c r="T1754" t="s">
        <v>30</v>
      </c>
      <c r="U1754">
        <v>1</v>
      </c>
      <c r="V1754" t="s">
        <v>40</v>
      </c>
      <c r="W1754">
        <f>excelsalesdata[[#This Row],[Quantity]]*excelsalesdata[[#This Row],[Unit_Price]]</f>
        <v>2410</v>
      </c>
      <c r="X1754">
        <f>excelsalesdata[[#This Row],[Gross_sales]]*excelsalesdata[[#This Row],[Discount_%]]</f>
        <v>0</v>
      </c>
      <c r="Y1754">
        <f>excelsalesdata[[#This Row],[Gross_sales]]-excelsalesdata[[#This Row],[Discount_amt]]</f>
        <v>2410</v>
      </c>
      <c r="Z1754" s="4">
        <f>excelsalesdata[[#This Row],[Net_sales]]-excelsalesdata[[#This Row],[Cost]]</f>
        <v>910</v>
      </c>
      <c r="AA1754" s="5">
        <f>excelsalesdata[[#This Row],[Profit]]/excelsalesdata[[#This Row],[Net_sales]]</f>
        <v>0.37759336099585061</v>
      </c>
      <c r="AB1754" s="4">
        <f>YEAR(excelsalesdata[[#This Row],[Order_Date]])</f>
        <v>2030</v>
      </c>
      <c r="AC1754" s="4" t="str">
        <f>TEXT(excelsalesdata[[#This Row],[Order_Date]],"mmm")</f>
        <v>Jan</v>
      </c>
      <c r="AD1754" s="4" t="str">
        <f>"Q"&amp;ROUNDUP(MONTH(excelsalesdata[[#This Row],[Order_Date]])/3,0)</f>
        <v>Q1</v>
      </c>
    </row>
    <row r="1755" spans="1:30" x14ac:dyDescent="0.35">
      <c r="A1755" t="s">
        <v>2595</v>
      </c>
      <c r="B1755" s="3">
        <v>47513</v>
      </c>
      <c r="C1755" t="s">
        <v>890</v>
      </c>
      <c r="D1755" t="s">
        <v>171</v>
      </c>
      <c r="E1755" t="str">
        <f>TRIM(excelsalesdata[[#This Row],[Customer_Name]])</f>
        <v>Sneha Rao</v>
      </c>
      <c r="F1755" t="s">
        <v>23</v>
      </c>
      <c r="G1755">
        <v>40</v>
      </c>
      <c r="H1755" t="s">
        <v>45</v>
      </c>
      <c r="I1755" t="str">
        <f>TRIM(excelsalesdata[[#This Row],[City]])</f>
        <v>Kochi</v>
      </c>
      <c r="J1755" t="s">
        <v>46</v>
      </c>
      <c r="K1755" t="s">
        <v>47</v>
      </c>
      <c r="L1755" t="s">
        <v>38</v>
      </c>
      <c r="M1755" t="s">
        <v>119</v>
      </c>
      <c r="N1755" t="s">
        <v>119</v>
      </c>
      <c r="O1755">
        <v>1</v>
      </c>
      <c r="P1755">
        <v>7930</v>
      </c>
      <c r="Q1755">
        <v>0.1</v>
      </c>
      <c r="R1755">
        <v>5760</v>
      </c>
      <c r="S1755" t="s">
        <v>29</v>
      </c>
      <c r="T1755" t="s">
        <v>30</v>
      </c>
      <c r="U1755">
        <v>4</v>
      </c>
      <c r="V1755" t="s">
        <v>40</v>
      </c>
      <c r="W1755">
        <f>excelsalesdata[[#This Row],[Quantity]]*excelsalesdata[[#This Row],[Unit_Price]]</f>
        <v>7930</v>
      </c>
      <c r="X1755">
        <f>excelsalesdata[[#This Row],[Gross_sales]]*excelsalesdata[[#This Row],[Discount_%]]</f>
        <v>793</v>
      </c>
      <c r="Y1755">
        <f>excelsalesdata[[#This Row],[Gross_sales]]-excelsalesdata[[#This Row],[Discount_amt]]</f>
        <v>7137</v>
      </c>
      <c r="Z1755" s="4">
        <f>excelsalesdata[[#This Row],[Net_sales]]-excelsalesdata[[#This Row],[Cost]]</f>
        <v>1377</v>
      </c>
      <c r="AA1755" s="5">
        <f>excelsalesdata[[#This Row],[Profit]]/excelsalesdata[[#This Row],[Net_sales]]</f>
        <v>0.19293820933165196</v>
      </c>
      <c r="AB1755" s="4">
        <f>YEAR(excelsalesdata[[#This Row],[Order_Date]])</f>
        <v>2030</v>
      </c>
      <c r="AC1755" s="4" t="str">
        <f>TEXT(excelsalesdata[[#This Row],[Order_Date]],"mmm")</f>
        <v>Jan</v>
      </c>
      <c r="AD1755" s="4" t="str">
        <f>"Q"&amp;ROUNDUP(MONTH(excelsalesdata[[#This Row],[Order_Date]])/3,0)</f>
        <v>Q1</v>
      </c>
    </row>
    <row r="1756" spans="1:30" x14ac:dyDescent="0.35">
      <c r="A1756" t="s">
        <v>2596</v>
      </c>
      <c r="B1756" s="3">
        <v>47514</v>
      </c>
      <c r="C1756" t="s">
        <v>748</v>
      </c>
      <c r="D1756" t="s">
        <v>1496</v>
      </c>
      <c r="E1756" t="str">
        <f>TRIM(excelsalesdata[[#This Row],[Customer_Name]])</f>
        <v>Diya Singh</v>
      </c>
      <c r="F1756" t="s">
        <v>44</v>
      </c>
      <c r="G1756">
        <v>20</v>
      </c>
      <c r="H1756" t="s">
        <v>45</v>
      </c>
      <c r="I1756" t="str">
        <f>TRIM(excelsalesdata[[#This Row],[City]])</f>
        <v>Kochi</v>
      </c>
      <c r="J1756" t="s">
        <v>46</v>
      </c>
      <c r="K1756" t="s">
        <v>47</v>
      </c>
      <c r="L1756" t="s">
        <v>38</v>
      </c>
      <c r="M1756" t="s">
        <v>39</v>
      </c>
      <c r="N1756" t="s">
        <v>39</v>
      </c>
      <c r="O1756">
        <v>2</v>
      </c>
      <c r="P1756">
        <v>6770</v>
      </c>
      <c r="Q1756">
        <v>0.2</v>
      </c>
      <c r="R1756">
        <v>4380</v>
      </c>
      <c r="S1756" t="s">
        <v>80</v>
      </c>
      <c r="T1756" t="s">
        <v>99</v>
      </c>
      <c r="U1756">
        <v>2</v>
      </c>
      <c r="V1756" t="s">
        <v>31</v>
      </c>
      <c r="W1756">
        <f>excelsalesdata[[#This Row],[Quantity]]*excelsalesdata[[#This Row],[Unit_Price]]</f>
        <v>13540</v>
      </c>
      <c r="X1756">
        <f>excelsalesdata[[#This Row],[Gross_sales]]*excelsalesdata[[#This Row],[Discount_%]]</f>
        <v>2708</v>
      </c>
      <c r="Y1756">
        <f>excelsalesdata[[#This Row],[Gross_sales]]-excelsalesdata[[#This Row],[Discount_amt]]</f>
        <v>10832</v>
      </c>
      <c r="Z1756" s="4">
        <f>excelsalesdata[[#This Row],[Net_sales]]-excelsalesdata[[#This Row],[Cost]]</f>
        <v>6452</v>
      </c>
      <c r="AA1756" s="5">
        <f>excelsalesdata[[#This Row],[Profit]]/excelsalesdata[[#This Row],[Net_sales]]</f>
        <v>0.59564254062038402</v>
      </c>
      <c r="AB1756" s="4">
        <f>YEAR(excelsalesdata[[#This Row],[Order_Date]])</f>
        <v>2030</v>
      </c>
      <c r="AC1756" s="4" t="str">
        <f>TEXT(excelsalesdata[[#This Row],[Order_Date]],"mmm")</f>
        <v>Jan</v>
      </c>
      <c r="AD1756" s="4" t="str">
        <f>"Q"&amp;ROUNDUP(MONTH(excelsalesdata[[#This Row],[Order_Date]])/3,0)</f>
        <v>Q1</v>
      </c>
    </row>
    <row r="1757" spans="1:30" x14ac:dyDescent="0.35">
      <c r="A1757" t="s">
        <v>2597</v>
      </c>
      <c r="B1757" s="3">
        <v>47515</v>
      </c>
      <c r="C1757" t="s">
        <v>2020</v>
      </c>
      <c r="D1757" t="s">
        <v>617</v>
      </c>
      <c r="E1757" t="str">
        <f>TRIM(excelsalesdata[[#This Row],[Customer_Name]])</f>
        <v>Ananya Sharma</v>
      </c>
      <c r="F1757" t="s">
        <v>44</v>
      </c>
      <c r="G1757">
        <v>47</v>
      </c>
      <c r="H1757" t="s">
        <v>78</v>
      </c>
      <c r="I1757" t="str">
        <f>TRIM(excelsalesdata[[#This Row],[City]])</f>
        <v>Guwahati</v>
      </c>
      <c r="J1757" t="s">
        <v>79</v>
      </c>
      <c r="K1757" t="s">
        <v>37</v>
      </c>
      <c r="L1757" t="s">
        <v>85</v>
      </c>
      <c r="M1757" t="s">
        <v>172</v>
      </c>
      <c r="N1757" t="s">
        <v>172</v>
      </c>
      <c r="O1757">
        <v>3</v>
      </c>
      <c r="P1757">
        <v>4190</v>
      </c>
      <c r="Q1757">
        <v>0.05</v>
      </c>
      <c r="R1757">
        <v>2930</v>
      </c>
      <c r="S1757" t="s">
        <v>105</v>
      </c>
      <c r="T1757" t="s">
        <v>30</v>
      </c>
      <c r="U1757">
        <v>3</v>
      </c>
      <c r="V1757" t="s">
        <v>31</v>
      </c>
      <c r="W1757">
        <f>excelsalesdata[[#This Row],[Quantity]]*excelsalesdata[[#This Row],[Unit_Price]]</f>
        <v>12570</v>
      </c>
      <c r="X1757">
        <f>excelsalesdata[[#This Row],[Gross_sales]]*excelsalesdata[[#This Row],[Discount_%]]</f>
        <v>628.5</v>
      </c>
      <c r="Y1757">
        <f>excelsalesdata[[#This Row],[Gross_sales]]-excelsalesdata[[#This Row],[Discount_amt]]</f>
        <v>11941.5</v>
      </c>
      <c r="Z1757" s="4">
        <f>excelsalesdata[[#This Row],[Net_sales]]-excelsalesdata[[#This Row],[Cost]]</f>
        <v>9011.5</v>
      </c>
      <c r="AA1757" s="5">
        <f>excelsalesdata[[#This Row],[Profit]]/excelsalesdata[[#This Row],[Net_sales]]</f>
        <v>0.75463718963279325</v>
      </c>
      <c r="AB1757" s="4">
        <f>YEAR(excelsalesdata[[#This Row],[Order_Date]])</f>
        <v>2030</v>
      </c>
      <c r="AC1757" s="4" t="str">
        <f>TEXT(excelsalesdata[[#This Row],[Order_Date]],"mmm")</f>
        <v>Feb</v>
      </c>
      <c r="AD1757" s="4" t="str">
        <f>"Q"&amp;ROUNDUP(MONTH(excelsalesdata[[#This Row],[Order_Date]])/3,0)</f>
        <v>Q1</v>
      </c>
    </row>
    <row r="1758" spans="1:30" x14ac:dyDescent="0.35">
      <c r="A1758" t="s">
        <v>2598</v>
      </c>
      <c r="B1758" s="3">
        <v>47516</v>
      </c>
      <c r="C1758" t="s">
        <v>1609</v>
      </c>
      <c r="D1758" t="s">
        <v>1839</v>
      </c>
      <c r="E1758" t="str">
        <f>TRIM(excelsalesdata[[#This Row],[Customer_Name]])</f>
        <v>Diya Nair</v>
      </c>
      <c r="F1758" t="s">
        <v>44</v>
      </c>
      <c r="G1758">
        <v>57</v>
      </c>
      <c r="H1758" t="s">
        <v>155</v>
      </c>
      <c r="I1758" t="str">
        <f>TRIM(excelsalesdata[[#This Row],[City]])</f>
        <v>Chennai</v>
      </c>
      <c r="J1758" t="s">
        <v>156</v>
      </c>
      <c r="K1758" t="s">
        <v>47</v>
      </c>
      <c r="L1758" t="s">
        <v>93</v>
      </c>
      <c r="M1758" t="s">
        <v>135</v>
      </c>
      <c r="N1758" t="s">
        <v>135</v>
      </c>
      <c r="O1758">
        <v>2</v>
      </c>
      <c r="P1758">
        <v>1730</v>
      </c>
      <c r="Q1758">
        <v>0.1</v>
      </c>
      <c r="R1758">
        <v>1040</v>
      </c>
      <c r="S1758" t="s">
        <v>80</v>
      </c>
      <c r="T1758" t="s">
        <v>74</v>
      </c>
      <c r="U1758">
        <v>7</v>
      </c>
      <c r="V1758" t="s">
        <v>40</v>
      </c>
      <c r="W1758">
        <f>excelsalesdata[[#This Row],[Quantity]]*excelsalesdata[[#This Row],[Unit_Price]]</f>
        <v>3460</v>
      </c>
      <c r="X1758">
        <f>excelsalesdata[[#This Row],[Gross_sales]]*excelsalesdata[[#This Row],[Discount_%]]</f>
        <v>346</v>
      </c>
      <c r="Y1758">
        <f>excelsalesdata[[#This Row],[Gross_sales]]-excelsalesdata[[#This Row],[Discount_amt]]</f>
        <v>3114</v>
      </c>
      <c r="Z1758" s="4">
        <f>excelsalesdata[[#This Row],[Net_sales]]-excelsalesdata[[#This Row],[Cost]]</f>
        <v>2074</v>
      </c>
      <c r="AA1758" s="5">
        <f>excelsalesdata[[#This Row],[Profit]]/excelsalesdata[[#This Row],[Net_sales]]</f>
        <v>0.66602440590879897</v>
      </c>
      <c r="AB1758" s="4">
        <f>YEAR(excelsalesdata[[#This Row],[Order_Date]])</f>
        <v>2030</v>
      </c>
      <c r="AC1758" s="4" t="str">
        <f>TEXT(excelsalesdata[[#This Row],[Order_Date]],"mmm")</f>
        <v>Feb</v>
      </c>
      <c r="AD1758" s="4" t="str">
        <f>"Q"&amp;ROUNDUP(MONTH(excelsalesdata[[#This Row],[Order_Date]])/3,0)</f>
        <v>Q1</v>
      </c>
    </row>
    <row r="1759" spans="1:30" x14ac:dyDescent="0.35">
      <c r="A1759" t="s">
        <v>2599</v>
      </c>
      <c r="B1759" s="3">
        <v>47517</v>
      </c>
      <c r="C1759" t="s">
        <v>676</v>
      </c>
      <c r="D1759" t="s">
        <v>395</v>
      </c>
      <c r="E1759" t="str">
        <f>TRIM(excelsalesdata[[#This Row],[Customer_Name]])</f>
        <v>Meera Gupta</v>
      </c>
      <c r="F1759" t="s">
        <v>23</v>
      </c>
      <c r="G1759">
        <v>47</v>
      </c>
      <c r="H1759" t="s">
        <v>168</v>
      </c>
      <c r="I1759" t="str">
        <f>TRIM(excelsalesdata[[#This Row],[City]])</f>
        <v>Delhi</v>
      </c>
      <c r="J1759" t="s">
        <v>168</v>
      </c>
      <c r="K1759" t="s">
        <v>61</v>
      </c>
      <c r="L1759" t="s">
        <v>93</v>
      </c>
      <c r="M1759" t="s">
        <v>135</v>
      </c>
      <c r="N1759" t="s">
        <v>135</v>
      </c>
      <c r="O1759">
        <v>3</v>
      </c>
      <c r="P1759">
        <v>1740</v>
      </c>
      <c r="Q1759">
        <v>0.25</v>
      </c>
      <c r="R1759">
        <v>960</v>
      </c>
      <c r="S1759" t="s">
        <v>80</v>
      </c>
      <c r="T1759" t="s">
        <v>30</v>
      </c>
      <c r="U1759">
        <v>4</v>
      </c>
      <c r="V1759" t="s">
        <v>40</v>
      </c>
      <c r="W1759">
        <f>excelsalesdata[[#This Row],[Quantity]]*excelsalesdata[[#This Row],[Unit_Price]]</f>
        <v>5220</v>
      </c>
      <c r="X1759">
        <f>excelsalesdata[[#This Row],[Gross_sales]]*excelsalesdata[[#This Row],[Discount_%]]</f>
        <v>1305</v>
      </c>
      <c r="Y1759">
        <f>excelsalesdata[[#This Row],[Gross_sales]]-excelsalesdata[[#This Row],[Discount_amt]]</f>
        <v>3915</v>
      </c>
      <c r="Z1759" s="4">
        <f>excelsalesdata[[#This Row],[Net_sales]]-excelsalesdata[[#This Row],[Cost]]</f>
        <v>2955</v>
      </c>
      <c r="AA1759" s="5">
        <f>excelsalesdata[[#This Row],[Profit]]/excelsalesdata[[#This Row],[Net_sales]]</f>
        <v>0.75478927203065138</v>
      </c>
      <c r="AB1759" s="4">
        <f>YEAR(excelsalesdata[[#This Row],[Order_Date]])</f>
        <v>2030</v>
      </c>
      <c r="AC1759" s="4" t="str">
        <f>TEXT(excelsalesdata[[#This Row],[Order_Date]],"mmm")</f>
        <v>Feb</v>
      </c>
      <c r="AD1759" s="4" t="str">
        <f>"Q"&amp;ROUNDUP(MONTH(excelsalesdata[[#This Row],[Order_Date]])/3,0)</f>
        <v>Q1</v>
      </c>
    </row>
    <row r="1760" spans="1:30" x14ac:dyDescent="0.35">
      <c r="A1760" t="s">
        <v>2600</v>
      </c>
      <c r="B1760" s="3">
        <v>47518</v>
      </c>
      <c r="C1760" t="s">
        <v>654</v>
      </c>
      <c r="D1760" t="s">
        <v>359</v>
      </c>
      <c r="E1760" t="str">
        <f>TRIM(excelsalesdata[[#This Row],[Customer_Name]])</f>
        <v>Vikram Nair</v>
      </c>
      <c r="F1760" t="s">
        <v>44</v>
      </c>
      <c r="G1760">
        <v>25</v>
      </c>
      <c r="H1760" t="s">
        <v>98</v>
      </c>
      <c r="I1760" t="str">
        <f>TRIM(excelsalesdata[[#This Row],[City]])</f>
        <v>Mumbai</v>
      </c>
      <c r="J1760" t="s">
        <v>25</v>
      </c>
      <c r="K1760" t="s">
        <v>26</v>
      </c>
      <c r="L1760" t="s">
        <v>38</v>
      </c>
      <c r="M1760" t="s">
        <v>161</v>
      </c>
      <c r="N1760" t="s">
        <v>161</v>
      </c>
      <c r="O1760">
        <v>4</v>
      </c>
      <c r="P1760">
        <v>27700</v>
      </c>
      <c r="Q1760">
        <v>0.1</v>
      </c>
      <c r="R1760">
        <v>21460</v>
      </c>
      <c r="S1760" t="s">
        <v>56</v>
      </c>
      <c r="T1760" t="s">
        <v>30</v>
      </c>
      <c r="U1760">
        <v>6</v>
      </c>
      <c r="V1760" t="s">
        <v>40</v>
      </c>
      <c r="W1760">
        <f>excelsalesdata[[#This Row],[Quantity]]*excelsalesdata[[#This Row],[Unit_Price]]</f>
        <v>110800</v>
      </c>
      <c r="X1760">
        <f>excelsalesdata[[#This Row],[Gross_sales]]*excelsalesdata[[#This Row],[Discount_%]]</f>
        <v>11080</v>
      </c>
      <c r="Y1760">
        <f>excelsalesdata[[#This Row],[Gross_sales]]-excelsalesdata[[#This Row],[Discount_amt]]</f>
        <v>99720</v>
      </c>
      <c r="Z1760" s="4">
        <f>excelsalesdata[[#This Row],[Net_sales]]-excelsalesdata[[#This Row],[Cost]]</f>
        <v>78260</v>
      </c>
      <c r="AA1760" s="5">
        <f>excelsalesdata[[#This Row],[Profit]]/excelsalesdata[[#This Row],[Net_sales]]</f>
        <v>0.7847974328118732</v>
      </c>
      <c r="AB1760" s="4">
        <f>YEAR(excelsalesdata[[#This Row],[Order_Date]])</f>
        <v>2030</v>
      </c>
      <c r="AC1760" s="4" t="str">
        <f>TEXT(excelsalesdata[[#This Row],[Order_Date]],"mmm")</f>
        <v>Feb</v>
      </c>
      <c r="AD1760" s="4" t="str">
        <f>"Q"&amp;ROUNDUP(MONTH(excelsalesdata[[#This Row],[Order_Date]])/3,0)</f>
        <v>Q1</v>
      </c>
    </row>
    <row r="1761" spans="1:30" x14ac:dyDescent="0.35">
      <c r="A1761" t="s">
        <v>2601</v>
      </c>
      <c r="B1761" s="3">
        <v>47519</v>
      </c>
      <c r="C1761" t="s">
        <v>146</v>
      </c>
      <c r="D1761" t="s">
        <v>1381</v>
      </c>
      <c r="E1761" t="str">
        <f>TRIM(excelsalesdata[[#This Row],[Customer_Name]])</f>
        <v>Aditya Joshi</v>
      </c>
      <c r="F1761" t="s">
        <v>44</v>
      </c>
      <c r="G1761">
        <v>33</v>
      </c>
      <c r="H1761" t="s">
        <v>168</v>
      </c>
      <c r="I1761" t="str">
        <f>TRIM(excelsalesdata[[#This Row],[City]])</f>
        <v>Delhi</v>
      </c>
      <c r="J1761" t="s">
        <v>168</v>
      </c>
      <c r="K1761" t="s">
        <v>61</v>
      </c>
      <c r="L1761" t="s">
        <v>27</v>
      </c>
      <c r="M1761" t="s">
        <v>195</v>
      </c>
      <c r="N1761" t="s">
        <v>195</v>
      </c>
      <c r="O1761">
        <v>1</v>
      </c>
      <c r="P1761">
        <v>2130</v>
      </c>
      <c r="Q1761">
        <v>0</v>
      </c>
      <c r="R1761">
        <v>1180</v>
      </c>
      <c r="S1761" t="s">
        <v>80</v>
      </c>
      <c r="T1761" t="s">
        <v>30</v>
      </c>
      <c r="U1761">
        <v>5</v>
      </c>
      <c r="V1761" t="s">
        <v>31</v>
      </c>
      <c r="W1761">
        <f>excelsalesdata[[#This Row],[Quantity]]*excelsalesdata[[#This Row],[Unit_Price]]</f>
        <v>2130</v>
      </c>
      <c r="X1761">
        <f>excelsalesdata[[#This Row],[Gross_sales]]*excelsalesdata[[#This Row],[Discount_%]]</f>
        <v>0</v>
      </c>
      <c r="Y1761">
        <f>excelsalesdata[[#This Row],[Gross_sales]]-excelsalesdata[[#This Row],[Discount_amt]]</f>
        <v>2130</v>
      </c>
      <c r="Z1761" s="4">
        <f>excelsalesdata[[#This Row],[Net_sales]]-excelsalesdata[[#This Row],[Cost]]</f>
        <v>950</v>
      </c>
      <c r="AA1761" s="5">
        <f>excelsalesdata[[#This Row],[Profit]]/excelsalesdata[[#This Row],[Net_sales]]</f>
        <v>0.4460093896713615</v>
      </c>
      <c r="AB1761" s="4">
        <f>YEAR(excelsalesdata[[#This Row],[Order_Date]])</f>
        <v>2030</v>
      </c>
      <c r="AC1761" s="4" t="str">
        <f>TEXT(excelsalesdata[[#This Row],[Order_Date]],"mmm")</f>
        <v>Feb</v>
      </c>
      <c r="AD1761" s="4" t="str">
        <f>"Q"&amp;ROUNDUP(MONTH(excelsalesdata[[#This Row],[Order_Date]])/3,0)</f>
        <v>Q1</v>
      </c>
    </row>
    <row r="1762" spans="1:30" x14ac:dyDescent="0.35">
      <c r="A1762" t="s">
        <v>2602</v>
      </c>
      <c r="B1762" s="3">
        <v>47520</v>
      </c>
      <c r="C1762" t="s">
        <v>920</v>
      </c>
      <c r="D1762" t="s">
        <v>1087</v>
      </c>
      <c r="E1762" t="str">
        <f>TRIM(excelsalesdata[[#This Row],[Customer_Name]])</f>
        <v>Vivaan Verma</v>
      </c>
      <c r="F1762" t="s">
        <v>44</v>
      </c>
      <c r="G1762">
        <v>49</v>
      </c>
      <c r="H1762" t="s">
        <v>190</v>
      </c>
      <c r="I1762" t="str">
        <f>TRIM(excelsalesdata[[#This Row],[City]])</f>
        <v>Ahmedabad</v>
      </c>
      <c r="J1762" t="s">
        <v>191</v>
      </c>
      <c r="K1762" t="s">
        <v>26</v>
      </c>
      <c r="L1762" t="s">
        <v>38</v>
      </c>
      <c r="M1762" t="s">
        <v>161</v>
      </c>
      <c r="N1762" t="s">
        <v>161</v>
      </c>
      <c r="O1762">
        <v>2</v>
      </c>
      <c r="P1762">
        <v>29960</v>
      </c>
      <c r="Q1762">
        <v>0.25</v>
      </c>
      <c r="R1762">
        <v>20000</v>
      </c>
      <c r="S1762" t="s">
        <v>80</v>
      </c>
      <c r="T1762" t="s">
        <v>30</v>
      </c>
      <c r="U1762">
        <v>4</v>
      </c>
      <c r="V1762" t="s">
        <v>40</v>
      </c>
      <c r="W1762">
        <f>excelsalesdata[[#This Row],[Quantity]]*excelsalesdata[[#This Row],[Unit_Price]]</f>
        <v>59920</v>
      </c>
      <c r="X1762">
        <f>excelsalesdata[[#This Row],[Gross_sales]]*excelsalesdata[[#This Row],[Discount_%]]</f>
        <v>14980</v>
      </c>
      <c r="Y1762">
        <f>excelsalesdata[[#This Row],[Gross_sales]]-excelsalesdata[[#This Row],[Discount_amt]]</f>
        <v>44940</v>
      </c>
      <c r="Z1762" s="4">
        <f>excelsalesdata[[#This Row],[Net_sales]]-excelsalesdata[[#This Row],[Cost]]</f>
        <v>24940</v>
      </c>
      <c r="AA1762" s="5">
        <f>excelsalesdata[[#This Row],[Profit]]/excelsalesdata[[#This Row],[Net_sales]]</f>
        <v>0.55496217178460172</v>
      </c>
      <c r="AB1762" s="4">
        <f>YEAR(excelsalesdata[[#This Row],[Order_Date]])</f>
        <v>2030</v>
      </c>
      <c r="AC1762" s="4" t="str">
        <f>TEXT(excelsalesdata[[#This Row],[Order_Date]],"mmm")</f>
        <v>Feb</v>
      </c>
      <c r="AD1762" s="4" t="str">
        <f>"Q"&amp;ROUNDUP(MONTH(excelsalesdata[[#This Row],[Order_Date]])/3,0)</f>
        <v>Q1</v>
      </c>
    </row>
    <row r="1763" spans="1:30" x14ac:dyDescent="0.35">
      <c r="A1763" t="s">
        <v>2603</v>
      </c>
      <c r="B1763" s="3">
        <v>47521</v>
      </c>
      <c r="C1763" t="s">
        <v>1207</v>
      </c>
      <c r="D1763" t="s">
        <v>254</v>
      </c>
      <c r="E1763" t="str">
        <f>TRIM(excelsalesdata[[#This Row],[Customer_Name]])</f>
        <v>Meera Sharma</v>
      </c>
      <c r="F1763" t="s">
        <v>23</v>
      </c>
      <c r="G1763">
        <v>49</v>
      </c>
      <c r="H1763" t="s">
        <v>109</v>
      </c>
      <c r="I1763" t="str">
        <f>TRIM(excelsalesdata[[#This Row],[City]])</f>
        <v>Mysuru</v>
      </c>
      <c r="J1763" t="s">
        <v>53</v>
      </c>
      <c r="K1763" t="s">
        <v>47</v>
      </c>
      <c r="L1763" t="s">
        <v>54</v>
      </c>
      <c r="M1763" t="s">
        <v>129</v>
      </c>
      <c r="N1763" t="s">
        <v>129</v>
      </c>
      <c r="O1763">
        <v>5</v>
      </c>
      <c r="P1763">
        <v>18040</v>
      </c>
      <c r="Q1763">
        <v>0.1</v>
      </c>
      <c r="R1763">
        <v>12390</v>
      </c>
      <c r="S1763" t="s">
        <v>29</v>
      </c>
      <c r="T1763" t="s">
        <v>30</v>
      </c>
      <c r="U1763">
        <v>2</v>
      </c>
      <c r="V1763" t="s">
        <v>40</v>
      </c>
      <c r="W1763">
        <f>excelsalesdata[[#This Row],[Quantity]]*excelsalesdata[[#This Row],[Unit_Price]]</f>
        <v>90200</v>
      </c>
      <c r="X1763">
        <f>excelsalesdata[[#This Row],[Gross_sales]]*excelsalesdata[[#This Row],[Discount_%]]</f>
        <v>9020</v>
      </c>
      <c r="Y1763">
        <f>excelsalesdata[[#This Row],[Gross_sales]]-excelsalesdata[[#This Row],[Discount_amt]]</f>
        <v>81180</v>
      </c>
      <c r="Z1763" s="4">
        <f>excelsalesdata[[#This Row],[Net_sales]]-excelsalesdata[[#This Row],[Cost]]</f>
        <v>68790</v>
      </c>
      <c r="AA1763" s="5">
        <f>excelsalesdata[[#This Row],[Profit]]/excelsalesdata[[#This Row],[Net_sales]]</f>
        <v>0.84737620103473765</v>
      </c>
      <c r="AB1763" s="4">
        <f>YEAR(excelsalesdata[[#This Row],[Order_Date]])</f>
        <v>2030</v>
      </c>
      <c r="AC1763" s="4" t="str">
        <f>TEXT(excelsalesdata[[#This Row],[Order_Date]],"mmm")</f>
        <v>Feb</v>
      </c>
      <c r="AD1763" s="4" t="str">
        <f>"Q"&amp;ROUNDUP(MONTH(excelsalesdata[[#This Row],[Order_Date]])/3,0)</f>
        <v>Q1</v>
      </c>
    </row>
    <row r="1764" spans="1:30" x14ac:dyDescent="0.35">
      <c r="A1764" t="s">
        <v>2604</v>
      </c>
      <c r="B1764" s="3">
        <v>47522</v>
      </c>
      <c r="C1764" t="s">
        <v>346</v>
      </c>
      <c r="D1764" t="s">
        <v>144</v>
      </c>
      <c r="E1764" t="str">
        <f>TRIM(excelsalesdata[[#This Row],[Customer_Name]])</f>
        <v>Karan Iyer</v>
      </c>
      <c r="F1764" t="s">
        <v>44</v>
      </c>
      <c r="G1764">
        <v>55</v>
      </c>
      <c r="H1764" t="s">
        <v>168</v>
      </c>
      <c r="I1764" t="str">
        <f>TRIM(excelsalesdata[[#This Row],[City]])</f>
        <v>Delhi</v>
      </c>
      <c r="J1764" t="s">
        <v>168</v>
      </c>
      <c r="K1764" t="s">
        <v>61</v>
      </c>
      <c r="L1764" t="s">
        <v>38</v>
      </c>
      <c r="M1764" t="s">
        <v>119</v>
      </c>
      <c r="N1764" t="s">
        <v>119</v>
      </c>
      <c r="O1764">
        <v>3</v>
      </c>
      <c r="P1764">
        <v>9100</v>
      </c>
      <c r="Q1764">
        <v>0</v>
      </c>
      <c r="R1764">
        <v>5750</v>
      </c>
      <c r="S1764" t="s">
        <v>80</v>
      </c>
      <c r="T1764" t="s">
        <v>30</v>
      </c>
      <c r="U1764">
        <v>4</v>
      </c>
      <c r="V1764" t="s">
        <v>40</v>
      </c>
      <c r="W1764">
        <f>excelsalesdata[[#This Row],[Quantity]]*excelsalesdata[[#This Row],[Unit_Price]]</f>
        <v>27300</v>
      </c>
      <c r="X1764">
        <f>excelsalesdata[[#This Row],[Gross_sales]]*excelsalesdata[[#This Row],[Discount_%]]</f>
        <v>0</v>
      </c>
      <c r="Y1764">
        <f>excelsalesdata[[#This Row],[Gross_sales]]-excelsalesdata[[#This Row],[Discount_amt]]</f>
        <v>27300</v>
      </c>
      <c r="Z1764" s="4">
        <f>excelsalesdata[[#This Row],[Net_sales]]-excelsalesdata[[#This Row],[Cost]]</f>
        <v>21550</v>
      </c>
      <c r="AA1764" s="5">
        <f>excelsalesdata[[#This Row],[Profit]]/excelsalesdata[[#This Row],[Net_sales]]</f>
        <v>0.78937728937728935</v>
      </c>
      <c r="AB1764" s="4">
        <f>YEAR(excelsalesdata[[#This Row],[Order_Date]])</f>
        <v>2030</v>
      </c>
      <c r="AC1764" s="4" t="str">
        <f>TEXT(excelsalesdata[[#This Row],[Order_Date]],"mmm")</f>
        <v>Feb</v>
      </c>
      <c r="AD1764" s="4" t="str">
        <f>"Q"&amp;ROUNDUP(MONTH(excelsalesdata[[#This Row],[Order_Date]])/3,0)</f>
        <v>Q1</v>
      </c>
    </row>
    <row r="1765" spans="1:30" x14ac:dyDescent="0.35">
      <c r="A1765" t="s">
        <v>2605</v>
      </c>
      <c r="B1765" s="3">
        <v>47523</v>
      </c>
      <c r="C1765" t="s">
        <v>1597</v>
      </c>
      <c r="D1765" t="s">
        <v>299</v>
      </c>
      <c r="E1765" t="str">
        <f>TRIM(excelsalesdata[[#This Row],[Customer_Name]])</f>
        <v>Aarav Joshi</v>
      </c>
      <c r="F1765" t="s">
        <v>23</v>
      </c>
      <c r="G1765">
        <v>33</v>
      </c>
      <c r="H1765" t="s">
        <v>71</v>
      </c>
      <c r="I1765" t="str">
        <f>TRIM(excelsalesdata[[#This Row],[City]])</f>
        <v>Bhubaneswar</v>
      </c>
      <c r="J1765" t="s">
        <v>72</v>
      </c>
      <c r="K1765" t="s">
        <v>37</v>
      </c>
      <c r="L1765" t="s">
        <v>27</v>
      </c>
      <c r="M1765" t="s">
        <v>123</v>
      </c>
      <c r="N1765" t="s">
        <v>123</v>
      </c>
      <c r="O1765">
        <v>1</v>
      </c>
      <c r="P1765">
        <v>2780</v>
      </c>
      <c r="Q1765">
        <v>0.1</v>
      </c>
      <c r="R1765">
        <v>1650</v>
      </c>
      <c r="S1765" t="s">
        <v>151</v>
      </c>
      <c r="T1765" t="s">
        <v>30</v>
      </c>
      <c r="U1765">
        <v>3</v>
      </c>
      <c r="V1765" t="s">
        <v>40</v>
      </c>
      <c r="W1765">
        <f>excelsalesdata[[#This Row],[Quantity]]*excelsalesdata[[#This Row],[Unit_Price]]</f>
        <v>2780</v>
      </c>
      <c r="X1765">
        <f>excelsalesdata[[#This Row],[Gross_sales]]*excelsalesdata[[#This Row],[Discount_%]]</f>
        <v>278</v>
      </c>
      <c r="Y1765">
        <f>excelsalesdata[[#This Row],[Gross_sales]]-excelsalesdata[[#This Row],[Discount_amt]]</f>
        <v>2502</v>
      </c>
      <c r="Z1765" s="4">
        <f>excelsalesdata[[#This Row],[Net_sales]]-excelsalesdata[[#This Row],[Cost]]</f>
        <v>852</v>
      </c>
      <c r="AA1765" s="5">
        <f>excelsalesdata[[#This Row],[Profit]]/excelsalesdata[[#This Row],[Net_sales]]</f>
        <v>0.34052757793764987</v>
      </c>
      <c r="AB1765" s="4">
        <f>YEAR(excelsalesdata[[#This Row],[Order_Date]])</f>
        <v>2030</v>
      </c>
      <c r="AC1765" s="4" t="str">
        <f>TEXT(excelsalesdata[[#This Row],[Order_Date]],"mmm")</f>
        <v>Feb</v>
      </c>
      <c r="AD1765" s="4" t="str">
        <f>"Q"&amp;ROUNDUP(MONTH(excelsalesdata[[#This Row],[Order_Date]])/3,0)</f>
        <v>Q1</v>
      </c>
    </row>
    <row r="1766" spans="1:30" x14ac:dyDescent="0.35">
      <c r="A1766" t="s">
        <v>2606</v>
      </c>
      <c r="B1766" s="3">
        <v>47524</v>
      </c>
      <c r="C1766" t="s">
        <v>561</v>
      </c>
      <c r="D1766" t="s">
        <v>755</v>
      </c>
      <c r="E1766" t="str">
        <f>TRIM(excelsalesdata[[#This Row],[Customer_Name]])</f>
        <v>Rahul Singh</v>
      </c>
      <c r="F1766" t="s">
        <v>23</v>
      </c>
      <c r="G1766">
        <v>26</v>
      </c>
      <c r="H1766" t="s">
        <v>109</v>
      </c>
      <c r="I1766" t="str">
        <f>TRIM(excelsalesdata[[#This Row],[City]])</f>
        <v>Mysuru</v>
      </c>
      <c r="J1766" t="s">
        <v>53</v>
      </c>
      <c r="K1766" t="s">
        <v>47</v>
      </c>
      <c r="L1766" t="s">
        <v>27</v>
      </c>
      <c r="M1766" t="s">
        <v>28</v>
      </c>
      <c r="N1766" t="s">
        <v>28</v>
      </c>
      <c r="O1766">
        <v>2</v>
      </c>
      <c r="P1766">
        <v>3520</v>
      </c>
      <c r="Q1766">
        <v>0</v>
      </c>
      <c r="R1766">
        <v>2090</v>
      </c>
      <c r="S1766" t="s">
        <v>80</v>
      </c>
      <c r="T1766" t="s">
        <v>81</v>
      </c>
      <c r="U1766">
        <v>0</v>
      </c>
      <c r="V1766" t="s">
        <v>31</v>
      </c>
      <c r="W1766">
        <f>excelsalesdata[[#This Row],[Quantity]]*excelsalesdata[[#This Row],[Unit_Price]]</f>
        <v>7040</v>
      </c>
      <c r="X1766">
        <f>excelsalesdata[[#This Row],[Gross_sales]]*excelsalesdata[[#This Row],[Discount_%]]</f>
        <v>0</v>
      </c>
      <c r="Y1766">
        <f>excelsalesdata[[#This Row],[Gross_sales]]-excelsalesdata[[#This Row],[Discount_amt]]</f>
        <v>7040</v>
      </c>
      <c r="Z1766" s="4">
        <f>excelsalesdata[[#This Row],[Net_sales]]-excelsalesdata[[#This Row],[Cost]]</f>
        <v>4950</v>
      </c>
      <c r="AA1766" s="5">
        <f>excelsalesdata[[#This Row],[Profit]]/excelsalesdata[[#This Row],[Net_sales]]</f>
        <v>0.703125</v>
      </c>
      <c r="AB1766" s="4">
        <f>YEAR(excelsalesdata[[#This Row],[Order_Date]])</f>
        <v>2030</v>
      </c>
      <c r="AC1766" s="4" t="str">
        <f>TEXT(excelsalesdata[[#This Row],[Order_Date]],"mmm")</f>
        <v>Feb</v>
      </c>
      <c r="AD1766" s="4" t="str">
        <f>"Q"&amp;ROUNDUP(MONTH(excelsalesdata[[#This Row],[Order_Date]])/3,0)</f>
        <v>Q1</v>
      </c>
    </row>
    <row r="1767" spans="1:30" x14ac:dyDescent="0.35">
      <c r="A1767" t="s">
        <v>2607</v>
      </c>
      <c r="B1767" s="3">
        <v>47525</v>
      </c>
      <c r="C1767" t="s">
        <v>457</v>
      </c>
      <c r="D1767" t="s">
        <v>1087</v>
      </c>
      <c r="E1767" t="str">
        <f>TRIM(excelsalesdata[[#This Row],[Customer_Name]])</f>
        <v>Vivaan Verma</v>
      </c>
      <c r="F1767" t="s">
        <v>44</v>
      </c>
      <c r="G1767">
        <v>30</v>
      </c>
      <c r="H1767" t="s">
        <v>60</v>
      </c>
      <c r="I1767" t="str">
        <f>TRIM(excelsalesdata[[#This Row],[City]])</f>
        <v>Chandigarh</v>
      </c>
      <c r="J1767" t="s">
        <v>60</v>
      </c>
      <c r="K1767" t="s">
        <v>61</v>
      </c>
      <c r="L1767" t="s">
        <v>54</v>
      </c>
      <c r="M1767" t="s">
        <v>62</v>
      </c>
      <c r="N1767" t="s">
        <v>62</v>
      </c>
      <c r="O1767">
        <v>3</v>
      </c>
      <c r="P1767">
        <v>22310</v>
      </c>
      <c r="Q1767">
        <v>0.15</v>
      </c>
      <c r="R1767">
        <v>14920</v>
      </c>
      <c r="S1767" t="s">
        <v>105</v>
      </c>
      <c r="T1767" t="s">
        <v>81</v>
      </c>
      <c r="U1767">
        <v>0</v>
      </c>
      <c r="V1767" t="s">
        <v>40</v>
      </c>
      <c r="W1767">
        <f>excelsalesdata[[#This Row],[Quantity]]*excelsalesdata[[#This Row],[Unit_Price]]</f>
        <v>66930</v>
      </c>
      <c r="X1767">
        <f>excelsalesdata[[#This Row],[Gross_sales]]*excelsalesdata[[#This Row],[Discount_%]]</f>
        <v>10039.5</v>
      </c>
      <c r="Y1767">
        <f>excelsalesdata[[#This Row],[Gross_sales]]-excelsalesdata[[#This Row],[Discount_amt]]</f>
        <v>56890.5</v>
      </c>
      <c r="Z1767" s="4">
        <f>excelsalesdata[[#This Row],[Net_sales]]-excelsalesdata[[#This Row],[Cost]]</f>
        <v>41970.5</v>
      </c>
      <c r="AA1767" s="5">
        <f>excelsalesdata[[#This Row],[Profit]]/excelsalesdata[[#This Row],[Net_sales]]</f>
        <v>0.73774180223411645</v>
      </c>
      <c r="AB1767" s="4">
        <f>YEAR(excelsalesdata[[#This Row],[Order_Date]])</f>
        <v>2030</v>
      </c>
      <c r="AC1767" s="4" t="str">
        <f>TEXT(excelsalesdata[[#This Row],[Order_Date]],"mmm")</f>
        <v>Feb</v>
      </c>
      <c r="AD1767" s="4" t="str">
        <f>"Q"&amp;ROUNDUP(MONTH(excelsalesdata[[#This Row],[Order_Date]])/3,0)</f>
        <v>Q1</v>
      </c>
    </row>
    <row r="1768" spans="1:30" x14ac:dyDescent="0.35">
      <c r="A1768" t="s">
        <v>2608</v>
      </c>
      <c r="B1768" s="3">
        <v>47526</v>
      </c>
      <c r="C1768" t="s">
        <v>1253</v>
      </c>
      <c r="D1768" t="s">
        <v>617</v>
      </c>
      <c r="E1768" t="str">
        <f>TRIM(excelsalesdata[[#This Row],[Customer_Name]])</f>
        <v>Ananya Sharma</v>
      </c>
      <c r="F1768" t="s">
        <v>23</v>
      </c>
      <c r="G1768">
        <v>25</v>
      </c>
      <c r="H1768" t="s">
        <v>114</v>
      </c>
      <c r="I1768" t="str">
        <f>TRIM(excelsalesdata[[#This Row],[City]])</f>
        <v>Hyderabad</v>
      </c>
      <c r="J1768" t="s">
        <v>115</v>
      </c>
      <c r="K1768" t="s">
        <v>47</v>
      </c>
      <c r="L1768" t="s">
        <v>27</v>
      </c>
      <c r="M1768" t="s">
        <v>28</v>
      </c>
      <c r="N1768" t="s">
        <v>28</v>
      </c>
      <c r="O1768">
        <v>1</v>
      </c>
      <c r="P1768">
        <v>3230</v>
      </c>
      <c r="Q1768">
        <v>0.2</v>
      </c>
      <c r="R1768">
        <v>2080</v>
      </c>
      <c r="S1768" t="s">
        <v>105</v>
      </c>
      <c r="T1768" t="s">
        <v>30</v>
      </c>
      <c r="U1768">
        <v>6</v>
      </c>
      <c r="V1768" t="s">
        <v>40</v>
      </c>
      <c r="W1768">
        <f>excelsalesdata[[#This Row],[Quantity]]*excelsalesdata[[#This Row],[Unit_Price]]</f>
        <v>3230</v>
      </c>
      <c r="X1768">
        <f>excelsalesdata[[#This Row],[Gross_sales]]*excelsalesdata[[#This Row],[Discount_%]]</f>
        <v>646</v>
      </c>
      <c r="Y1768">
        <f>excelsalesdata[[#This Row],[Gross_sales]]-excelsalesdata[[#This Row],[Discount_amt]]</f>
        <v>2584</v>
      </c>
      <c r="Z1768" s="4">
        <f>excelsalesdata[[#This Row],[Net_sales]]-excelsalesdata[[#This Row],[Cost]]</f>
        <v>504</v>
      </c>
      <c r="AA1768" s="5">
        <f>excelsalesdata[[#This Row],[Profit]]/excelsalesdata[[#This Row],[Net_sales]]</f>
        <v>0.19504643962848298</v>
      </c>
      <c r="AB1768" s="4">
        <f>YEAR(excelsalesdata[[#This Row],[Order_Date]])</f>
        <v>2030</v>
      </c>
      <c r="AC1768" s="4" t="str">
        <f>TEXT(excelsalesdata[[#This Row],[Order_Date]],"mmm")</f>
        <v>Feb</v>
      </c>
      <c r="AD1768" s="4" t="str">
        <f>"Q"&amp;ROUNDUP(MONTH(excelsalesdata[[#This Row],[Order_Date]])/3,0)</f>
        <v>Q1</v>
      </c>
    </row>
    <row r="1769" spans="1:30" x14ac:dyDescent="0.35">
      <c r="A1769" t="s">
        <v>2609</v>
      </c>
      <c r="B1769" s="3">
        <v>47527</v>
      </c>
      <c r="C1769" t="s">
        <v>264</v>
      </c>
      <c r="D1769" t="s">
        <v>413</v>
      </c>
      <c r="E1769" t="str">
        <f>TRIM(excelsalesdata[[#This Row],[Customer_Name]])</f>
        <v>Rahul Mehta</v>
      </c>
      <c r="F1769" t="s">
        <v>23</v>
      </c>
      <c r="G1769">
        <v>47</v>
      </c>
      <c r="H1769" t="s">
        <v>35</v>
      </c>
      <c r="I1769" t="str">
        <f>TRIM(excelsalesdata[[#This Row],[City]])</f>
        <v>Kolkata</v>
      </c>
      <c r="J1769" t="s">
        <v>36</v>
      </c>
      <c r="K1769" t="s">
        <v>37</v>
      </c>
      <c r="L1769" t="s">
        <v>27</v>
      </c>
      <c r="M1769" t="s">
        <v>123</v>
      </c>
      <c r="N1769" t="s">
        <v>123</v>
      </c>
      <c r="O1769">
        <v>1</v>
      </c>
      <c r="P1769">
        <v>2580</v>
      </c>
      <c r="Q1769">
        <v>0.15</v>
      </c>
      <c r="R1769">
        <v>1600</v>
      </c>
      <c r="S1769" t="s">
        <v>151</v>
      </c>
      <c r="T1769" t="s">
        <v>30</v>
      </c>
      <c r="U1769">
        <v>8</v>
      </c>
      <c r="V1769" t="s">
        <v>31</v>
      </c>
      <c r="W1769">
        <f>excelsalesdata[[#This Row],[Quantity]]*excelsalesdata[[#This Row],[Unit_Price]]</f>
        <v>2580</v>
      </c>
      <c r="X1769">
        <f>excelsalesdata[[#This Row],[Gross_sales]]*excelsalesdata[[#This Row],[Discount_%]]</f>
        <v>387</v>
      </c>
      <c r="Y1769">
        <f>excelsalesdata[[#This Row],[Gross_sales]]-excelsalesdata[[#This Row],[Discount_amt]]</f>
        <v>2193</v>
      </c>
      <c r="Z1769" s="4">
        <f>excelsalesdata[[#This Row],[Net_sales]]-excelsalesdata[[#This Row],[Cost]]</f>
        <v>593</v>
      </c>
      <c r="AA1769" s="5">
        <f>excelsalesdata[[#This Row],[Profit]]/excelsalesdata[[#This Row],[Net_sales]]</f>
        <v>0.27040583675330598</v>
      </c>
      <c r="AB1769" s="4">
        <f>YEAR(excelsalesdata[[#This Row],[Order_Date]])</f>
        <v>2030</v>
      </c>
      <c r="AC1769" s="4" t="str">
        <f>TEXT(excelsalesdata[[#This Row],[Order_Date]],"mmm")</f>
        <v>Feb</v>
      </c>
      <c r="AD1769" s="4" t="str">
        <f>"Q"&amp;ROUNDUP(MONTH(excelsalesdata[[#This Row],[Order_Date]])/3,0)</f>
        <v>Q1</v>
      </c>
    </row>
    <row r="1770" spans="1:30" x14ac:dyDescent="0.35">
      <c r="A1770" t="s">
        <v>2610</v>
      </c>
      <c r="B1770" s="3">
        <v>47528</v>
      </c>
      <c r="C1770" t="s">
        <v>818</v>
      </c>
      <c r="D1770" t="s">
        <v>1087</v>
      </c>
      <c r="E1770" t="str">
        <f>TRIM(excelsalesdata[[#This Row],[Customer_Name]])</f>
        <v>Vivaan Verma</v>
      </c>
      <c r="F1770" t="s">
        <v>44</v>
      </c>
      <c r="G1770">
        <v>21</v>
      </c>
      <c r="H1770" t="s">
        <v>190</v>
      </c>
      <c r="I1770" t="str">
        <f>TRIM(excelsalesdata[[#This Row],[City]])</f>
        <v>Ahmedabad</v>
      </c>
      <c r="J1770" t="s">
        <v>191</v>
      </c>
      <c r="K1770" t="s">
        <v>26</v>
      </c>
      <c r="L1770" t="s">
        <v>27</v>
      </c>
      <c r="M1770" t="s">
        <v>295</v>
      </c>
      <c r="N1770" t="s">
        <v>295</v>
      </c>
      <c r="O1770">
        <v>2</v>
      </c>
      <c r="P1770">
        <v>4420</v>
      </c>
      <c r="Q1770">
        <v>0.05</v>
      </c>
      <c r="R1770">
        <v>2670</v>
      </c>
      <c r="S1770" t="s">
        <v>151</v>
      </c>
      <c r="T1770" t="s">
        <v>30</v>
      </c>
      <c r="U1770">
        <v>3</v>
      </c>
      <c r="V1770" t="s">
        <v>40</v>
      </c>
      <c r="W1770">
        <f>excelsalesdata[[#This Row],[Quantity]]*excelsalesdata[[#This Row],[Unit_Price]]</f>
        <v>8840</v>
      </c>
      <c r="X1770">
        <f>excelsalesdata[[#This Row],[Gross_sales]]*excelsalesdata[[#This Row],[Discount_%]]</f>
        <v>442</v>
      </c>
      <c r="Y1770">
        <f>excelsalesdata[[#This Row],[Gross_sales]]-excelsalesdata[[#This Row],[Discount_amt]]</f>
        <v>8398</v>
      </c>
      <c r="Z1770" s="4">
        <f>excelsalesdata[[#This Row],[Net_sales]]-excelsalesdata[[#This Row],[Cost]]</f>
        <v>5728</v>
      </c>
      <c r="AA1770" s="5">
        <f>excelsalesdata[[#This Row],[Profit]]/excelsalesdata[[#This Row],[Net_sales]]</f>
        <v>0.68206715884734459</v>
      </c>
      <c r="AB1770" s="4">
        <f>YEAR(excelsalesdata[[#This Row],[Order_Date]])</f>
        <v>2030</v>
      </c>
      <c r="AC1770" s="4" t="str">
        <f>TEXT(excelsalesdata[[#This Row],[Order_Date]],"mmm")</f>
        <v>Feb</v>
      </c>
      <c r="AD1770" s="4" t="str">
        <f>"Q"&amp;ROUNDUP(MONTH(excelsalesdata[[#This Row],[Order_Date]])/3,0)</f>
        <v>Q1</v>
      </c>
    </row>
    <row r="1771" spans="1:30" x14ac:dyDescent="0.35">
      <c r="A1771" t="s">
        <v>2611</v>
      </c>
      <c r="B1771" s="3">
        <v>47529</v>
      </c>
      <c r="C1771" t="s">
        <v>131</v>
      </c>
      <c r="D1771" t="s">
        <v>891</v>
      </c>
      <c r="E1771" t="str">
        <f>TRIM(excelsalesdata[[#This Row],[Customer_Name]])</f>
        <v>Rahul Verma</v>
      </c>
      <c r="F1771" t="s">
        <v>44</v>
      </c>
      <c r="G1771">
        <v>53</v>
      </c>
      <c r="H1771" t="s">
        <v>45</v>
      </c>
      <c r="I1771" t="str">
        <f>TRIM(excelsalesdata[[#This Row],[City]])</f>
        <v>Kochi</v>
      </c>
      <c r="J1771" t="s">
        <v>46</v>
      </c>
      <c r="K1771" t="s">
        <v>47</v>
      </c>
      <c r="L1771" t="s">
        <v>27</v>
      </c>
      <c r="M1771" t="s">
        <v>195</v>
      </c>
      <c r="N1771" t="s">
        <v>195</v>
      </c>
      <c r="O1771">
        <v>2</v>
      </c>
      <c r="P1771">
        <v>2200</v>
      </c>
      <c r="Q1771">
        <v>0.15</v>
      </c>
      <c r="R1771">
        <v>1230</v>
      </c>
      <c r="S1771" t="s">
        <v>67</v>
      </c>
      <c r="T1771" t="s">
        <v>30</v>
      </c>
      <c r="U1771">
        <v>6</v>
      </c>
      <c r="V1771" t="s">
        <v>31</v>
      </c>
      <c r="W1771">
        <f>excelsalesdata[[#This Row],[Quantity]]*excelsalesdata[[#This Row],[Unit_Price]]</f>
        <v>4400</v>
      </c>
      <c r="X1771">
        <f>excelsalesdata[[#This Row],[Gross_sales]]*excelsalesdata[[#This Row],[Discount_%]]</f>
        <v>660</v>
      </c>
      <c r="Y1771">
        <f>excelsalesdata[[#This Row],[Gross_sales]]-excelsalesdata[[#This Row],[Discount_amt]]</f>
        <v>3740</v>
      </c>
      <c r="Z1771" s="4">
        <f>excelsalesdata[[#This Row],[Net_sales]]-excelsalesdata[[#This Row],[Cost]]</f>
        <v>2510</v>
      </c>
      <c r="AA1771" s="5">
        <f>excelsalesdata[[#This Row],[Profit]]/excelsalesdata[[#This Row],[Net_sales]]</f>
        <v>0.67112299465240643</v>
      </c>
      <c r="AB1771" s="4">
        <f>YEAR(excelsalesdata[[#This Row],[Order_Date]])</f>
        <v>2030</v>
      </c>
      <c r="AC1771" s="4" t="str">
        <f>TEXT(excelsalesdata[[#This Row],[Order_Date]],"mmm")</f>
        <v>Feb</v>
      </c>
      <c r="AD1771" s="4" t="str">
        <f>"Q"&amp;ROUNDUP(MONTH(excelsalesdata[[#This Row],[Order_Date]])/3,0)</f>
        <v>Q1</v>
      </c>
    </row>
    <row r="1772" spans="1:30" x14ac:dyDescent="0.35">
      <c r="A1772" t="s">
        <v>2612</v>
      </c>
      <c r="B1772" s="3">
        <v>47530</v>
      </c>
      <c r="C1772" t="s">
        <v>800</v>
      </c>
      <c r="D1772" t="s">
        <v>455</v>
      </c>
      <c r="E1772" t="str">
        <f>TRIM(excelsalesdata[[#This Row],[Customer_Name]])</f>
        <v>Karan Reddy</v>
      </c>
      <c r="F1772" t="s">
        <v>23</v>
      </c>
      <c r="G1772">
        <v>54</v>
      </c>
      <c r="H1772" t="s">
        <v>52</v>
      </c>
      <c r="I1772" t="str">
        <f>TRIM(excelsalesdata[[#This Row],[City]])</f>
        <v>Bengaluru</v>
      </c>
      <c r="J1772" t="s">
        <v>53</v>
      </c>
      <c r="K1772" t="s">
        <v>47</v>
      </c>
      <c r="L1772" t="s">
        <v>85</v>
      </c>
      <c r="M1772" t="s">
        <v>251</v>
      </c>
      <c r="N1772" t="s">
        <v>251</v>
      </c>
      <c r="O1772">
        <v>5</v>
      </c>
      <c r="P1772">
        <v>2990</v>
      </c>
      <c r="Q1772">
        <v>0.05</v>
      </c>
      <c r="R1772">
        <v>1890</v>
      </c>
      <c r="S1772" t="s">
        <v>56</v>
      </c>
      <c r="T1772" t="s">
        <v>30</v>
      </c>
      <c r="U1772">
        <v>4</v>
      </c>
      <c r="V1772" t="s">
        <v>40</v>
      </c>
      <c r="W1772">
        <f>excelsalesdata[[#This Row],[Quantity]]*excelsalesdata[[#This Row],[Unit_Price]]</f>
        <v>14950</v>
      </c>
      <c r="X1772">
        <f>excelsalesdata[[#This Row],[Gross_sales]]*excelsalesdata[[#This Row],[Discount_%]]</f>
        <v>747.5</v>
      </c>
      <c r="Y1772">
        <f>excelsalesdata[[#This Row],[Gross_sales]]-excelsalesdata[[#This Row],[Discount_amt]]</f>
        <v>14202.5</v>
      </c>
      <c r="Z1772" s="4">
        <f>excelsalesdata[[#This Row],[Net_sales]]-excelsalesdata[[#This Row],[Cost]]</f>
        <v>12312.5</v>
      </c>
      <c r="AA1772" s="5">
        <f>excelsalesdata[[#This Row],[Profit]]/excelsalesdata[[#This Row],[Net_sales]]</f>
        <v>0.86692483717655344</v>
      </c>
      <c r="AB1772" s="4">
        <f>YEAR(excelsalesdata[[#This Row],[Order_Date]])</f>
        <v>2030</v>
      </c>
      <c r="AC1772" s="4" t="str">
        <f>TEXT(excelsalesdata[[#This Row],[Order_Date]],"mmm")</f>
        <v>Feb</v>
      </c>
      <c r="AD1772" s="4" t="str">
        <f>"Q"&amp;ROUNDUP(MONTH(excelsalesdata[[#This Row],[Order_Date]])/3,0)</f>
        <v>Q1</v>
      </c>
    </row>
    <row r="1773" spans="1:30" x14ac:dyDescent="0.35">
      <c r="A1773" t="s">
        <v>2613</v>
      </c>
      <c r="B1773" s="3">
        <v>47531</v>
      </c>
      <c r="C1773" t="s">
        <v>552</v>
      </c>
      <c r="D1773" t="s">
        <v>84</v>
      </c>
      <c r="E1773" t="str">
        <f>TRIM(excelsalesdata[[#This Row],[Customer_Name]])</f>
        <v>Arjun Verma</v>
      </c>
      <c r="F1773" t="s">
        <v>23</v>
      </c>
      <c r="G1773">
        <v>59</v>
      </c>
      <c r="H1773" t="s">
        <v>185</v>
      </c>
      <c r="I1773" t="str">
        <f>TRIM(excelsalesdata[[#This Row],[City]])</f>
        <v>Lucknow</v>
      </c>
      <c r="J1773" t="s">
        <v>186</v>
      </c>
      <c r="K1773" t="s">
        <v>61</v>
      </c>
      <c r="L1773" t="s">
        <v>38</v>
      </c>
      <c r="M1773" t="s">
        <v>255</v>
      </c>
      <c r="N1773" t="s">
        <v>255</v>
      </c>
      <c r="O1773">
        <v>2</v>
      </c>
      <c r="P1773">
        <v>4230</v>
      </c>
      <c r="Q1773">
        <v>0.05</v>
      </c>
      <c r="R1773">
        <v>2840</v>
      </c>
      <c r="S1773" t="s">
        <v>29</v>
      </c>
      <c r="T1773" t="s">
        <v>30</v>
      </c>
      <c r="U1773">
        <v>2</v>
      </c>
      <c r="V1773" t="s">
        <v>31</v>
      </c>
      <c r="W1773">
        <f>excelsalesdata[[#This Row],[Quantity]]*excelsalesdata[[#This Row],[Unit_Price]]</f>
        <v>8460</v>
      </c>
      <c r="X1773">
        <f>excelsalesdata[[#This Row],[Gross_sales]]*excelsalesdata[[#This Row],[Discount_%]]</f>
        <v>423</v>
      </c>
      <c r="Y1773">
        <f>excelsalesdata[[#This Row],[Gross_sales]]-excelsalesdata[[#This Row],[Discount_amt]]</f>
        <v>8037</v>
      </c>
      <c r="Z1773" s="4">
        <f>excelsalesdata[[#This Row],[Net_sales]]-excelsalesdata[[#This Row],[Cost]]</f>
        <v>5197</v>
      </c>
      <c r="AA1773" s="5">
        <f>excelsalesdata[[#This Row],[Profit]]/excelsalesdata[[#This Row],[Net_sales]]</f>
        <v>0.64663431628717183</v>
      </c>
      <c r="AB1773" s="4">
        <f>YEAR(excelsalesdata[[#This Row],[Order_Date]])</f>
        <v>2030</v>
      </c>
      <c r="AC1773" s="4" t="str">
        <f>TEXT(excelsalesdata[[#This Row],[Order_Date]],"mmm")</f>
        <v>Feb</v>
      </c>
      <c r="AD1773" s="4" t="str">
        <f>"Q"&amp;ROUNDUP(MONTH(excelsalesdata[[#This Row],[Order_Date]])/3,0)</f>
        <v>Q1</v>
      </c>
    </row>
    <row r="1774" spans="1:30" x14ac:dyDescent="0.35">
      <c r="A1774" t="s">
        <v>2614</v>
      </c>
      <c r="B1774" s="3">
        <v>47532</v>
      </c>
      <c r="C1774" t="s">
        <v>2615</v>
      </c>
      <c r="D1774" t="s">
        <v>113</v>
      </c>
      <c r="E1774" t="str">
        <f>TRIM(excelsalesdata[[#This Row],[Customer_Name]])</f>
        <v>Nisha Joshi</v>
      </c>
      <c r="F1774" t="s">
        <v>23</v>
      </c>
      <c r="G1774">
        <v>52</v>
      </c>
      <c r="H1774" t="s">
        <v>24</v>
      </c>
      <c r="I1774" t="str">
        <f>TRIM(excelsalesdata[[#This Row],[City]])</f>
        <v>Pune</v>
      </c>
      <c r="J1774" t="s">
        <v>25</v>
      </c>
      <c r="K1774" t="s">
        <v>26</v>
      </c>
      <c r="L1774" t="s">
        <v>103</v>
      </c>
      <c r="M1774" t="s">
        <v>104</v>
      </c>
      <c r="N1774" t="s">
        <v>104</v>
      </c>
      <c r="O1774">
        <v>1</v>
      </c>
      <c r="P1774">
        <v>8880</v>
      </c>
      <c r="Q1774">
        <v>0.15</v>
      </c>
      <c r="R1774">
        <v>5770</v>
      </c>
      <c r="S1774" t="s">
        <v>56</v>
      </c>
      <c r="T1774" t="s">
        <v>30</v>
      </c>
      <c r="U1774">
        <v>3</v>
      </c>
      <c r="V1774" t="s">
        <v>40</v>
      </c>
      <c r="W1774">
        <f>excelsalesdata[[#This Row],[Quantity]]*excelsalesdata[[#This Row],[Unit_Price]]</f>
        <v>8880</v>
      </c>
      <c r="X1774">
        <f>excelsalesdata[[#This Row],[Gross_sales]]*excelsalesdata[[#This Row],[Discount_%]]</f>
        <v>1332</v>
      </c>
      <c r="Y1774">
        <f>excelsalesdata[[#This Row],[Gross_sales]]-excelsalesdata[[#This Row],[Discount_amt]]</f>
        <v>7548</v>
      </c>
      <c r="Z1774" s="4">
        <f>excelsalesdata[[#This Row],[Net_sales]]-excelsalesdata[[#This Row],[Cost]]</f>
        <v>1778</v>
      </c>
      <c r="AA1774" s="5">
        <f>excelsalesdata[[#This Row],[Profit]]/excelsalesdata[[#This Row],[Net_sales]]</f>
        <v>0.23555908850026497</v>
      </c>
      <c r="AB1774" s="4">
        <f>YEAR(excelsalesdata[[#This Row],[Order_Date]])</f>
        <v>2030</v>
      </c>
      <c r="AC1774" s="4" t="str">
        <f>TEXT(excelsalesdata[[#This Row],[Order_Date]],"mmm")</f>
        <v>Feb</v>
      </c>
      <c r="AD1774" s="4" t="str">
        <f>"Q"&amp;ROUNDUP(MONTH(excelsalesdata[[#This Row],[Order_Date]])/3,0)</f>
        <v>Q1</v>
      </c>
    </row>
    <row r="1775" spans="1:30" x14ac:dyDescent="0.35">
      <c r="A1775" t="s">
        <v>2616</v>
      </c>
      <c r="B1775" s="3">
        <v>47533</v>
      </c>
      <c r="C1775" t="s">
        <v>1245</v>
      </c>
      <c r="D1775" t="s">
        <v>198</v>
      </c>
      <c r="E1775" t="str">
        <f>TRIM(excelsalesdata[[#This Row],[Customer_Name]])</f>
        <v>Rohan Iyer</v>
      </c>
      <c r="F1775" t="s">
        <v>44</v>
      </c>
      <c r="G1775">
        <v>24</v>
      </c>
      <c r="H1775" t="s">
        <v>114</v>
      </c>
      <c r="I1775" t="str">
        <f>TRIM(excelsalesdata[[#This Row],[City]])</f>
        <v>Hyderabad</v>
      </c>
      <c r="J1775" t="s">
        <v>115</v>
      </c>
      <c r="K1775" t="s">
        <v>47</v>
      </c>
      <c r="L1775" t="s">
        <v>54</v>
      </c>
      <c r="M1775" t="s">
        <v>66</v>
      </c>
      <c r="N1775" t="s">
        <v>66</v>
      </c>
      <c r="O1775">
        <v>4</v>
      </c>
      <c r="P1775">
        <v>2430</v>
      </c>
      <c r="Q1775">
        <v>0.1</v>
      </c>
      <c r="R1775">
        <v>1570</v>
      </c>
      <c r="S1775" t="s">
        <v>67</v>
      </c>
      <c r="T1775" t="s">
        <v>30</v>
      </c>
      <c r="U1775">
        <v>3</v>
      </c>
      <c r="V1775" t="s">
        <v>31</v>
      </c>
      <c r="W1775">
        <f>excelsalesdata[[#This Row],[Quantity]]*excelsalesdata[[#This Row],[Unit_Price]]</f>
        <v>9720</v>
      </c>
      <c r="X1775">
        <f>excelsalesdata[[#This Row],[Gross_sales]]*excelsalesdata[[#This Row],[Discount_%]]</f>
        <v>972</v>
      </c>
      <c r="Y1775">
        <f>excelsalesdata[[#This Row],[Gross_sales]]-excelsalesdata[[#This Row],[Discount_amt]]</f>
        <v>8748</v>
      </c>
      <c r="Z1775" s="4">
        <f>excelsalesdata[[#This Row],[Net_sales]]-excelsalesdata[[#This Row],[Cost]]</f>
        <v>7178</v>
      </c>
      <c r="AA1775" s="5">
        <f>excelsalesdata[[#This Row],[Profit]]/excelsalesdata[[#This Row],[Net_sales]]</f>
        <v>0.82053040695016</v>
      </c>
      <c r="AB1775" s="4">
        <f>YEAR(excelsalesdata[[#This Row],[Order_Date]])</f>
        <v>2030</v>
      </c>
      <c r="AC1775" s="4" t="str">
        <f>TEXT(excelsalesdata[[#This Row],[Order_Date]],"mmm")</f>
        <v>Feb</v>
      </c>
      <c r="AD1775" s="4" t="str">
        <f>"Q"&amp;ROUNDUP(MONTH(excelsalesdata[[#This Row],[Order_Date]])/3,0)</f>
        <v>Q1</v>
      </c>
    </row>
    <row r="1776" spans="1:30" x14ac:dyDescent="0.35">
      <c r="A1776" t="s">
        <v>2617</v>
      </c>
      <c r="B1776" s="3">
        <v>47534</v>
      </c>
      <c r="C1776" t="s">
        <v>1560</v>
      </c>
      <c r="D1776" t="s">
        <v>1604</v>
      </c>
      <c r="E1776" t="str">
        <f>TRIM(excelsalesdata[[#This Row],[Customer_Name]])</f>
        <v>Vivaan Gupta</v>
      </c>
      <c r="F1776" t="s">
        <v>23</v>
      </c>
      <c r="G1776">
        <v>22</v>
      </c>
      <c r="H1776" t="s">
        <v>24</v>
      </c>
      <c r="I1776" t="str">
        <f>TRIM(excelsalesdata[[#This Row],[City]])</f>
        <v>Pune</v>
      </c>
      <c r="J1776" t="s">
        <v>25</v>
      </c>
      <c r="K1776" t="s">
        <v>26</v>
      </c>
      <c r="L1776" t="s">
        <v>27</v>
      </c>
      <c r="M1776" t="s">
        <v>48</v>
      </c>
      <c r="N1776" t="s">
        <v>48</v>
      </c>
      <c r="O1776">
        <v>1</v>
      </c>
      <c r="P1776">
        <v>840</v>
      </c>
      <c r="Q1776">
        <v>0.05</v>
      </c>
      <c r="R1776">
        <v>440</v>
      </c>
      <c r="S1776" t="s">
        <v>56</v>
      </c>
      <c r="T1776" t="s">
        <v>30</v>
      </c>
      <c r="U1776">
        <v>2</v>
      </c>
      <c r="V1776" t="s">
        <v>31</v>
      </c>
      <c r="W1776">
        <f>excelsalesdata[[#This Row],[Quantity]]*excelsalesdata[[#This Row],[Unit_Price]]</f>
        <v>840</v>
      </c>
      <c r="X1776">
        <f>excelsalesdata[[#This Row],[Gross_sales]]*excelsalesdata[[#This Row],[Discount_%]]</f>
        <v>42</v>
      </c>
      <c r="Y1776">
        <f>excelsalesdata[[#This Row],[Gross_sales]]-excelsalesdata[[#This Row],[Discount_amt]]</f>
        <v>798</v>
      </c>
      <c r="Z1776" s="4">
        <f>excelsalesdata[[#This Row],[Net_sales]]-excelsalesdata[[#This Row],[Cost]]</f>
        <v>358</v>
      </c>
      <c r="AA1776" s="5">
        <f>excelsalesdata[[#This Row],[Profit]]/excelsalesdata[[#This Row],[Net_sales]]</f>
        <v>0.44862155388471175</v>
      </c>
      <c r="AB1776" s="4">
        <f>YEAR(excelsalesdata[[#This Row],[Order_Date]])</f>
        <v>2030</v>
      </c>
      <c r="AC1776" s="4" t="str">
        <f>TEXT(excelsalesdata[[#This Row],[Order_Date]],"mmm")</f>
        <v>Feb</v>
      </c>
      <c r="AD1776" s="4" t="str">
        <f>"Q"&amp;ROUNDUP(MONTH(excelsalesdata[[#This Row],[Order_Date]])/3,0)</f>
        <v>Q1</v>
      </c>
    </row>
    <row r="1777" spans="1:30" x14ac:dyDescent="0.35">
      <c r="A1777" t="s">
        <v>2618</v>
      </c>
      <c r="B1777" s="3">
        <v>47535</v>
      </c>
      <c r="C1777" t="s">
        <v>785</v>
      </c>
      <c r="D1777" t="s">
        <v>631</v>
      </c>
      <c r="E1777" t="str">
        <f>TRIM(excelsalesdata[[#This Row],[Customer_Name]])</f>
        <v>Diya Naidu</v>
      </c>
      <c r="F1777" t="s">
        <v>23</v>
      </c>
      <c r="G1777">
        <v>31</v>
      </c>
      <c r="H1777" t="s">
        <v>71</v>
      </c>
      <c r="I1777" t="str">
        <f>TRIM(excelsalesdata[[#This Row],[City]])</f>
        <v>Bhubaneswar</v>
      </c>
      <c r="J1777" t="s">
        <v>72</v>
      </c>
      <c r="K1777" t="s">
        <v>37</v>
      </c>
      <c r="L1777" t="s">
        <v>27</v>
      </c>
      <c r="M1777" t="s">
        <v>123</v>
      </c>
      <c r="N1777" t="s">
        <v>123</v>
      </c>
      <c r="O1777">
        <v>2</v>
      </c>
      <c r="P1777">
        <v>2680</v>
      </c>
      <c r="Q1777">
        <v>0.15</v>
      </c>
      <c r="R1777">
        <v>1580</v>
      </c>
      <c r="S1777" t="s">
        <v>80</v>
      </c>
      <c r="T1777" t="s">
        <v>30</v>
      </c>
      <c r="U1777">
        <v>4</v>
      </c>
      <c r="V1777" t="s">
        <v>40</v>
      </c>
      <c r="W1777">
        <f>excelsalesdata[[#This Row],[Quantity]]*excelsalesdata[[#This Row],[Unit_Price]]</f>
        <v>5360</v>
      </c>
      <c r="X1777">
        <f>excelsalesdata[[#This Row],[Gross_sales]]*excelsalesdata[[#This Row],[Discount_%]]</f>
        <v>804</v>
      </c>
      <c r="Y1777">
        <f>excelsalesdata[[#This Row],[Gross_sales]]-excelsalesdata[[#This Row],[Discount_amt]]</f>
        <v>4556</v>
      </c>
      <c r="Z1777" s="4">
        <f>excelsalesdata[[#This Row],[Net_sales]]-excelsalesdata[[#This Row],[Cost]]</f>
        <v>2976</v>
      </c>
      <c r="AA1777" s="5">
        <f>excelsalesdata[[#This Row],[Profit]]/excelsalesdata[[#This Row],[Net_sales]]</f>
        <v>0.65320456540825289</v>
      </c>
      <c r="AB1777" s="4">
        <f>YEAR(excelsalesdata[[#This Row],[Order_Date]])</f>
        <v>2030</v>
      </c>
      <c r="AC1777" s="4" t="str">
        <f>TEXT(excelsalesdata[[#This Row],[Order_Date]],"mmm")</f>
        <v>Feb</v>
      </c>
      <c r="AD1777" s="4" t="str">
        <f>"Q"&amp;ROUNDUP(MONTH(excelsalesdata[[#This Row],[Order_Date]])/3,0)</f>
        <v>Q1</v>
      </c>
    </row>
    <row r="1778" spans="1:30" x14ac:dyDescent="0.35">
      <c r="A1778" t="s">
        <v>2619</v>
      </c>
      <c r="B1778" s="3">
        <v>47536</v>
      </c>
      <c r="C1778" t="s">
        <v>579</v>
      </c>
      <c r="D1778" t="s">
        <v>423</v>
      </c>
      <c r="E1778" t="str">
        <f>TRIM(excelsalesdata[[#This Row],[Customer_Name]])</f>
        <v>Kavya Kumar</v>
      </c>
      <c r="F1778" t="s">
        <v>23</v>
      </c>
      <c r="G1778">
        <v>46</v>
      </c>
      <c r="H1778" t="s">
        <v>133</v>
      </c>
      <c r="I1778" t="str">
        <f>TRIM(excelsalesdata[[#This Row],[City]])</f>
        <v>Jaipur</v>
      </c>
      <c r="J1778" t="s">
        <v>134</v>
      </c>
      <c r="K1778" t="s">
        <v>61</v>
      </c>
      <c r="L1778" t="s">
        <v>93</v>
      </c>
      <c r="M1778" t="s">
        <v>94</v>
      </c>
      <c r="N1778" t="s">
        <v>94</v>
      </c>
      <c r="O1778">
        <v>2</v>
      </c>
      <c r="P1778">
        <v>470</v>
      </c>
      <c r="Q1778">
        <v>0.1</v>
      </c>
      <c r="R1778">
        <v>220</v>
      </c>
      <c r="S1778" t="s">
        <v>80</v>
      </c>
      <c r="T1778" t="s">
        <v>30</v>
      </c>
      <c r="U1778">
        <v>5</v>
      </c>
      <c r="V1778" t="s">
        <v>40</v>
      </c>
      <c r="W1778">
        <f>excelsalesdata[[#This Row],[Quantity]]*excelsalesdata[[#This Row],[Unit_Price]]</f>
        <v>940</v>
      </c>
      <c r="X1778">
        <f>excelsalesdata[[#This Row],[Gross_sales]]*excelsalesdata[[#This Row],[Discount_%]]</f>
        <v>94</v>
      </c>
      <c r="Y1778">
        <f>excelsalesdata[[#This Row],[Gross_sales]]-excelsalesdata[[#This Row],[Discount_amt]]</f>
        <v>846</v>
      </c>
      <c r="Z1778" s="4">
        <f>excelsalesdata[[#This Row],[Net_sales]]-excelsalesdata[[#This Row],[Cost]]</f>
        <v>626</v>
      </c>
      <c r="AA1778" s="5">
        <f>excelsalesdata[[#This Row],[Profit]]/excelsalesdata[[#This Row],[Net_sales]]</f>
        <v>0.73995271867612289</v>
      </c>
      <c r="AB1778" s="4">
        <f>YEAR(excelsalesdata[[#This Row],[Order_Date]])</f>
        <v>2030</v>
      </c>
      <c r="AC1778" s="4" t="str">
        <f>TEXT(excelsalesdata[[#This Row],[Order_Date]],"mmm")</f>
        <v>Feb</v>
      </c>
      <c r="AD1778" s="4" t="str">
        <f>"Q"&amp;ROUNDUP(MONTH(excelsalesdata[[#This Row],[Order_Date]])/3,0)</f>
        <v>Q1</v>
      </c>
    </row>
    <row r="1779" spans="1:30" x14ac:dyDescent="0.35">
      <c r="A1779" t="s">
        <v>2620</v>
      </c>
      <c r="B1779" s="3">
        <v>47537</v>
      </c>
      <c r="C1779" t="s">
        <v>370</v>
      </c>
      <c r="D1779" t="s">
        <v>355</v>
      </c>
      <c r="E1779" t="str">
        <f>TRIM(excelsalesdata[[#This Row],[Customer_Name]])</f>
        <v>Diya Reddy</v>
      </c>
      <c r="F1779" t="s">
        <v>44</v>
      </c>
      <c r="G1779">
        <v>22</v>
      </c>
      <c r="H1779" t="s">
        <v>114</v>
      </c>
      <c r="I1779" t="str">
        <f>TRIM(excelsalesdata[[#This Row],[City]])</f>
        <v>Hyderabad</v>
      </c>
      <c r="J1779" t="s">
        <v>115</v>
      </c>
      <c r="K1779" t="s">
        <v>47</v>
      </c>
      <c r="L1779" t="s">
        <v>103</v>
      </c>
      <c r="M1779" t="s">
        <v>178</v>
      </c>
      <c r="N1779" t="s">
        <v>178</v>
      </c>
      <c r="O1779">
        <v>5</v>
      </c>
      <c r="P1779">
        <v>1910</v>
      </c>
      <c r="Q1779">
        <v>0</v>
      </c>
      <c r="R1779">
        <v>940</v>
      </c>
      <c r="S1779" t="s">
        <v>80</v>
      </c>
      <c r="T1779" t="s">
        <v>30</v>
      </c>
      <c r="U1779">
        <v>5</v>
      </c>
      <c r="V1779" t="s">
        <v>31</v>
      </c>
      <c r="W1779">
        <f>excelsalesdata[[#This Row],[Quantity]]*excelsalesdata[[#This Row],[Unit_Price]]</f>
        <v>9550</v>
      </c>
      <c r="X1779">
        <f>excelsalesdata[[#This Row],[Gross_sales]]*excelsalesdata[[#This Row],[Discount_%]]</f>
        <v>0</v>
      </c>
      <c r="Y1779">
        <f>excelsalesdata[[#This Row],[Gross_sales]]-excelsalesdata[[#This Row],[Discount_amt]]</f>
        <v>9550</v>
      </c>
      <c r="Z1779" s="4">
        <f>excelsalesdata[[#This Row],[Net_sales]]-excelsalesdata[[#This Row],[Cost]]</f>
        <v>8610</v>
      </c>
      <c r="AA1779" s="5">
        <f>excelsalesdata[[#This Row],[Profit]]/excelsalesdata[[#This Row],[Net_sales]]</f>
        <v>0.90157068062827228</v>
      </c>
      <c r="AB1779" s="4">
        <f>YEAR(excelsalesdata[[#This Row],[Order_Date]])</f>
        <v>2030</v>
      </c>
      <c r="AC1779" s="4" t="str">
        <f>TEXT(excelsalesdata[[#This Row],[Order_Date]],"mmm")</f>
        <v>Feb</v>
      </c>
      <c r="AD1779" s="4" t="str">
        <f>"Q"&amp;ROUNDUP(MONTH(excelsalesdata[[#This Row],[Order_Date]])/3,0)</f>
        <v>Q1</v>
      </c>
    </row>
    <row r="1780" spans="1:30" x14ac:dyDescent="0.35">
      <c r="A1780" t="s">
        <v>2621</v>
      </c>
      <c r="B1780" s="3">
        <v>47538</v>
      </c>
      <c r="C1780" t="s">
        <v>521</v>
      </c>
      <c r="D1780" t="s">
        <v>713</v>
      </c>
      <c r="E1780" t="str">
        <f>TRIM(excelsalesdata[[#This Row],[Customer_Name]])</f>
        <v>Meera Singh</v>
      </c>
      <c r="F1780" t="s">
        <v>44</v>
      </c>
      <c r="G1780">
        <v>23</v>
      </c>
      <c r="H1780" t="s">
        <v>24</v>
      </c>
      <c r="I1780" t="str">
        <f>TRIM(excelsalesdata[[#This Row],[City]])</f>
        <v>Pune</v>
      </c>
      <c r="J1780" t="s">
        <v>25</v>
      </c>
      <c r="K1780" t="s">
        <v>26</v>
      </c>
      <c r="L1780" t="s">
        <v>27</v>
      </c>
      <c r="M1780" t="s">
        <v>48</v>
      </c>
      <c r="N1780" t="s">
        <v>48</v>
      </c>
      <c r="O1780">
        <v>1</v>
      </c>
      <c r="P1780">
        <v>910</v>
      </c>
      <c r="Q1780">
        <v>0.15</v>
      </c>
      <c r="R1780">
        <v>460</v>
      </c>
      <c r="S1780" t="s">
        <v>80</v>
      </c>
      <c r="T1780" t="s">
        <v>30</v>
      </c>
      <c r="U1780">
        <v>1</v>
      </c>
      <c r="V1780" t="s">
        <v>31</v>
      </c>
      <c r="W1780">
        <f>excelsalesdata[[#This Row],[Quantity]]*excelsalesdata[[#This Row],[Unit_Price]]</f>
        <v>910</v>
      </c>
      <c r="X1780">
        <f>excelsalesdata[[#This Row],[Gross_sales]]*excelsalesdata[[#This Row],[Discount_%]]</f>
        <v>136.5</v>
      </c>
      <c r="Y1780">
        <f>excelsalesdata[[#This Row],[Gross_sales]]-excelsalesdata[[#This Row],[Discount_amt]]</f>
        <v>773.5</v>
      </c>
      <c r="Z1780" s="4">
        <f>excelsalesdata[[#This Row],[Net_sales]]-excelsalesdata[[#This Row],[Cost]]</f>
        <v>313.5</v>
      </c>
      <c r="AA1780" s="5">
        <f>excelsalesdata[[#This Row],[Profit]]/excelsalesdata[[#This Row],[Net_sales]]</f>
        <v>0.40530058177117001</v>
      </c>
      <c r="AB1780" s="4">
        <f>YEAR(excelsalesdata[[#This Row],[Order_Date]])</f>
        <v>2030</v>
      </c>
      <c r="AC1780" s="4" t="str">
        <f>TEXT(excelsalesdata[[#This Row],[Order_Date]],"mmm")</f>
        <v>Feb</v>
      </c>
      <c r="AD1780" s="4" t="str">
        <f>"Q"&amp;ROUNDUP(MONTH(excelsalesdata[[#This Row],[Order_Date]])/3,0)</f>
        <v>Q1</v>
      </c>
    </row>
    <row r="1781" spans="1:30" x14ac:dyDescent="0.35">
      <c r="A1781" t="s">
        <v>2622</v>
      </c>
      <c r="B1781" s="3">
        <v>47539</v>
      </c>
      <c r="C1781" t="s">
        <v>1882</v>
      </c>
      <c r="D1781" t="s">
        <v>1292</v>
      </c>
      <c r="E1781" t="str">
        <f>TRIM(excelsalesdata[[#This Row],[Customer_Name]])</f>
        <v>Sneha Mehta</v>
      </c>
      <c r="F1781" t="s">
        <v>44</v>
      </c>
      <c r="G1781">
        <v>56</v>
      </c>
      <c r="H1781" t="s">
        <v>45</v>
      </c>
      <c r="I1781" t="str">
        <f>TRIM(excelsalesdata[[#This Row],[City]])</f>
        <v>Kochi</v>
      </c>
      <c r="J1781" t="s">
        <v>46</v>
      </c>
      <c r="K1781" t="s">
        <v>47</v>
      </c>
      <c r="L1781" t="s">
        <v>103</v>
      </c>
      <c r="M1781" t="s">
        <v>178</v>
      </c>
      <c r="N1781" t="s">
        <v>178</v>
      </c>
      <c r="O1781">
        <v>3</v>
      </c>
      <c r="P1781">
        <v>1880</v>
      </c>
      <c r="Q1781">
        <v>0.15</v>
      </c>
      <c r="R1781">
        <v>970</v>
      </c>
      <c r="S1781" t="s">
        <v>56</v>
      </c>
      <c r="T1781" t="s">
        <v>30</v>
      </c>
      <c r="U1781">
        <v>1</v>
      </c>
      <c r="V1781" t="s">
        <v>40</v>
      </c>
      <c r="W1781">
        <f>excelsalesdata[[#This Row],[Quantity]]*excelsalesdata[[#This Row],[Unit_Price]]</f>
        <v>5640</v>
      </c>
      <c r="X1781">
        <f>excelsalesdata[[#This Row],[Gross_sales]]*excelsalesdata[[#This Row],[Discount_%]]</f>
        <v>846</v>
      </c>
      <c r="Y1781">
        <f>excelsalesdata[[#This Row],[Gross_sales]]-excelsalesdata[[#This Row],[Discount_amt]]</f>
        <v>4794</v>
      </c>
      <c r="Z1781" s="4">
        <f>excelsalesdata[[#This Row],[Net_sales]]-excelsalesdata[[#This Row],[Cost]]</f>
        <v>3824</v>
      </c>
      <c r="AA1781" s="5">
        <f>excelsalesdata[[#This Row],[Profit]]/excelsalesdata[[#This Row],[Net_sales]]</f>
        <v>0.79766374634960369</v>
      </c>
      <c r="AB1781" s="4">
        <f>YEAR(excelsalesdata[[#This Row],[Order_Date]])</f>
        <v>2030</v>
      </c>
      <c r="AC1781" s="4" t="str">
        <f>TEXT(excelsalesdata[[#This Row],[Order_Date]],"mmm")</f>
        <v>Feb</v>
      </c>
      <c r="AD1781" s="4" t="str">
        <f>"Q"&amp;ROUNDUP(MONTH(excelsalesdata[[#This Row],[Order_Date]])/3,0)</f>
        <v>Q1</v>
      </c>
    </row>
    <row r="1782" spans="1:30" x14ac:dyDescent="0.35">
      <c r="A1782" t="s">
        <v>2623</v>
      </c>
      <c r="B1782" s="3">
        <v>47540</v>
      </c>
      <c r="C1782" t="s">
        <v>561</v>
      </c>
      <c r="D1782" t="s">
        <v>34</v>
      </c>
      <c r="E1782" t="str">
        <f>TRIM(excelsalesdata[[#This Row],[Customer_Name]])</f>
        <v>Priya Singh</v>
      </c>
      <c r="F1782" t="s">
        <v>44</v>
      </c>
      <c r="G1782">
        <v>36</v>
      </c>
      <c r="H1782" t="s">
        <v>185</v>
      </c>
      <c r="I1782" t="str">
        <f>TRIM(excelsalesdata[[#This Row],[City]])</f>
        <v>Lucknow</v>
      </c>
      <c r="J1782" t="s">
        <v>186</v>
      </c>
      <c r="K1782" t="s">
        <v>61</v>
      </c>
      <c r="L1782" t="s">
        <v>103</v>
      </c>
      <c r="M1782" t="s">
        <v>238</v>
      </c>
      <c r="N1782" t="s">
        <v>238</v>
      </c>
      <c r="O1782">
        <v>1</v>
      </c>
      <c r="P1782">
        <v>4340</v>
      </c>
      <c r="Q1782">
        <v>0.25</v>
      </c>
      <c r="R1782">
        <v>2610</v>
      </c>
      <c r="S1782" t="s">
        <v>29</v>
      </c>
      <c r="T1782" t="s">
        <v>30</v>
      </c>
      <c r="U1782">
        <v>5</v>
      </c>
      <c r="V1782" t="s">
        <v>31</v>
      </c>
      <c r="W1782">
        <f>excelsalesdata[[#This Row],[Quantity]]*excelsalesdata[[#This Row],[Unit_Price]]</f>
        <v>4340</v>
      </c>
      <c r="X1782">
        <f>excelsalesdata[[#This Row],[Gross_sales]]*excelsalesdata[[#This Row],[Discount_%]]</f>
        <v>1085</v>
      </c>
      <c r="Y1782">
        <f>excelsalesdata[[#This Row],[Gross_sales]]-excelsalesdata[[#This Row],[Discount_amt]]</f>
        <v>3255</v>
      </c>
      <c r="Z1782" s="4">
        <f>excelsalesdata[[#This Row],[Net_sales]]-excelsalesdata[[#This Row],[Cost]]</f>
        <v>645</v>
      </c>
      <c r="AA1782" s="5">
        <f>excelsalesdata[[#This Row],[Profit]]/excelsalesdata[[#This Row],[Net_sales]]</f>
        <v>0.19815668202764977</v>
      </c>
      <c r="AB1782" s="4">
        <f>YEAR(excelsalesdata[[#This Row],[Order_Date]])</f>
        <v>2030</v>
      </c>
      <c r="AC1782" s="4" t="str">
        <f>TEXT(excelsalesdata[[#This Row],[Order_Date]],"mmm")</f>
        <v>Feb</v>
      </c>
      <c r="AD1782" s="4" t="str">
        <f>"Q"&amp;ROUNDUP(MONTH(excelsalesdata[[#This Row],[Order_Date]])/3,0)</f>
        <v>Q1</v>
      </c>
    </row>
    <row r="1783" spans="1:30" x14ac:dyDescent="0.35">
      <c r="A1783" t="s">
        <v>2624</v>
      </c>
      <c r="B1783" s="3">
        <v>47541</v>
      </c>
      <c r="C1783" t="s">
        <v>96</v>
      </c>
      <c r="D1783" t="s">
        <v>211</v>
      </c>
      <c r="E1783" t="str">
        <f>TRIM(excelsalesdata[[#This Row],[Customer_Name]])</f>
        <v>Aarav Iyer</v>
      </c>
      <c r="F1783" t="s">
        <v>23</v>
      </c>
      <c r="G1783">
        <v>51</v>
      </c>
      <c r="H1783" t="s">
        <v>109</v>
      </c>
      <c r="I1783" t="str">
        <f>TRIM(excelsalesdata[[#This Row],[City]])</f>
        <v>Mysuru</v>
      </c>
      <c r="J1783" t="s">
        <v>53</v>
      </c>
      <c r="K1783" t="s">
        <v>47</v>
      </c>
      <c r="L1783" t="s">
        <v>54</v>
      </c>
      <c r="M1783" t="s">
        <v>157</v>
      </c>
      <c r="N1783" t="s">
        <v>157</v>
      </c>
      <c r="O1783">
        <v>1</v>
      </c>
      <c r="P1783">
        <v>55200</v>
      </c>
      <c r="Q1783">
        <v>0.15</v>
      </c>
      <c r="R1783">
        <v>40220</v>
      </c>
      <c r="S1783" t="s">
        <v>105</v>
      </c>
      <c r="T1783" t="s">
        <v>30</v>
      </c>
      <c r="U1783">
        <v>4</v>
      </c>
      <c r="V1783" t="s">
        <v>31</v>
      </c>
      <c r="W1783">
        <f>excelsalesdata[[#This Row],[Quantity]]*excelsalesdata[[#This Row],[Unit_Price]]</f>
        <v>55200</v>
      </c>
      <c r="X1783">
        <f>excelsalesdata[[#This Row],[Gross_sales]]*excelsalesdata[[#This Row],[Discount_%]]</f>
        <v>8280</v>
      </c>
      <c r="Y1783">
        <f>excelsalesdata[[#This Row],[Gross_sales]]-excelsalesdata[[#This Row],[Discount_amt]]</f>
        <v>46920</v>
      </c>
      <c r="Z1783" s="4">
        <f>excelsalesdata[[#This Row],[Net_sales]]-excelsalesdata[[#This Row],[Cost]]</f>
        <v>6700</v>
      </c>
      <c r="AA1783" s="5">
        <f>excelsalesdata[[#This Row],[Profit]]/excelsalesdata[[#This Row],[Net_sales]]</f>
        <v>0.14279624893435636</v>
      </c>
      <c r="AB1783" s="4">
        <f>YEAR(excelsalesdata[[#This Row],[Order_Date]])</f>
        <v>2030</v>
      </c>
      <c r="AC1783" s="4" t="str">
        <f>TEXT(excelsalesdata[[#This Row],[Order_Date]],"mmm")</f>
        <v>Feb</v>
      </c>
      <c r="AD1783" s="4" t="str">
        <f>"Q"&amp;ROUNDUP(MONTH(excelsalesdata[[#This Row],[Order_Date]])/3,0)</f>
        <v>Q1</v>
      </c>
    </row>
    <row r="1784" spans="1:30" x14ac:dyDescent="0.35">
      <c r="A1784" t="s">
        <v>2625</v>
      </c>
      <c r="B1784" s="3">
        <v>47542</v>
      </c>
      <c r="C1784" t="s">
        <v>454</v>
      </c>
      <c r="D1784" t="s">
        <v>335</v>
      </c>
      <c r="E1784" t="str">
        <f>TRIM(excelsalesdata[[#This Row],[Customer_Name]])</f>
        <v>Vikram Joshi</v>
      </c>
      <c r="F1784" t="s">
        <v>44</v>
      </c>
      <c r="G1784">
        <v>47</v>
      </c>
      <c r="H1784" t="s">
        <v>109</v>
      </c>
      <c r="I1784" t="str">
        <f>TRIM(excelsalesdata[[#This Row],[City]])</f>
        <v>Mysuru</v>
      </c>
      <c r="J1784" t="s">
        <v>53</v>
      </c>
      <c r="K1784" t="s">
        <v>47</v>
      </c>
      <c r="L1784" t="s">
        <v>103</v>
      </c>
      <c r="M1784" t="s">
        <v>238</v>
      </c>
      <c r="N1784" t="s">
        <v>238</v>
      </c>
      <c r="O1784">
        <v>2</v>
      </c>
      <c r="P1784">
        <v>4430</v>
      </c>
      <c r="Q1784">
        <v>0.1</v>
      </c>
      <c r="R1784">
        <v>2690</v>
      </c>
      <c r="S1784" t="s">
        <v>105</v>
      </c>
      <c r="T1784" t="s">
        <v>30</v>
      </c>
      <c r="U1784">
        <v>3</v>
      </c>
      <c r="V1784" t="s">
        <v>40</v>
      </c>
      <c r="W1784">
        <f>excelsalesdata[[#This Row],[Quantity]]*excelsalesdata[[#This Row],[Unit_Price]]</f>
        <v>8860</v>
      </c>
      <c r="X1784">
        <f>excelsalesdata[[#This Row],[Gross_sales]]*excelsalesdata[[#This Row],[Discount_%]]</f>
        <v>886</v>
      </c>
      <c r="Y1784">
        <f>excelsalesdata[[#This Row],[Gross_sales]]-excelsalesdata[[#This Row],[Discount_amt]]</f>
        <v>7974</v>
      </c>
      <c r="Z1784" s="4">
        <f>excelsalesdata[[#This Row],[Net_sales]]-excelsalesdata[[#This Row],[Cost]]</f>
        <v>5284</v>
      </c>
      <c r="AA1784" s="5">
        <f>excelsalesdata[[#This Row],[Profit]]/excelsalesdata[[#This Row],[Net_sales]]</f>
        <v>0.66265362427890639</v>
      </c>
      <c r="AB1784" s="4">
        <f>YEAR(excelsalesdata[[#This Row],[Order_Date]])</f>
        <v>2030</v>
      </c>
      <c r="AC1784" s="4" t="str">
        <f>TEXT(excelsalesdata[[#This Row],[Order_Date]],"mmm")</f>
        <v>Feb</v>
      </c>
      <c r="AD1784" s="4" t="str">
        <f>"Q"&amp;ROUNDUP(MONTH(excelsalesdata[[#This Row],[Order_Date]])/3,0)</f>
        <v>Q1</v>
      </c>
    </row>
    <row r="1785" spans="1:30" x14ac:dyDescent="0.35">
      <c r="A1785" t="s">
        <v>2626</v>
      </c>
      <c r="B1785" s="3">
        <v>47543</v>
      </c>
      <c r="C1785" t="s">
        <v>816</v>
      </c>
      <c r="D1785" t="s">
        <v>550</v>
      </c>
      <c r="E1785" t="str">
        <f>TRIM(excelsalesdata[[#This Row],[Customer_Name]])</f>
        <v>Rohan Reddy</v>
      </c>
      <c r="F1785" t="s">
        <v>44</v>
      </c>
      <c r="G1785">
        <v>40</v>
      </c>
      <c r="H1785" t="s">
        <v>168</v>
      </c>
      <c r="I1785" t="str">
        <f>TRIM(excelsalesdata[[#This Row],[City]])</f>
        <v>Delhi</v>
      </c>
      <c r="J1785" t="s">
        <v>168</v>
      </c>
      <c r="K1785" t="s">
        <v>61</v>
      </c>
      <c r="L1785" t="s">
        <v>27</v>
      </c>
      <c r="M1785" t="s">
        <v>195</v>
      </c>
      <c r="N1785" t="s">
        <v>195</v>
      </c>
      <c r="O1785">
        <v>2</v>
      </c>
      <c r="P1785">
        <v>2260</v>
      </c>
      <c r="Q1785">
        <v>0.1</v>
      </c>
      <c r="R1785">
        <v>1240</v>
      </c>
      <c r="S1785" t="s">
        <v>29</v>
      </c>
      <c r="T1785" t="s">
        <v>74</v>
      </c>
      <c r="U1785">
        <v>3</v>
      </c>
      <c r="V1785" t="s">
        <v>40</v>
      </c>
      <c r="W1785">
        <f>excelsalesdata[[#This Row],[Quantity]]*excelsalesdata[[#This Row],[Unit_Price]]</f>
        <v>4520</v>
      </c>
      <c r="X1785">
        <f>excelsalesdata[[#This Row],[Gross_sales]]*excelsalesdata[[#This Row],[Discount_%]]</f>
        <v>452</v>
      </c>
      <c r="Y1785">
        <f>excelsalesdata[[#This Row],[Gross_sales]]-excelsalesdata[[#This Row],[Discount_amt]]</f>
        <v>4068</v>
      </c>
      <c r="Z1785" s="4">
        <f>excelsalesdata[[#This Row],[Net_sales]]-excelsalesdata[[#This Row],[Cost]]</f>
        <v>2828</v>
      </c>
      <c r="AA1785" s="5">
        <f>excelsalesdata[[#This Row],[Profit]]/excelsalesdata[[#This Row],[Net_sales]]</f>
        <v>0.69518190757128806</v>
      </c>
      <c r="AB1785" s="4">
        <f>YEAR(excelsalesdata[[#This Row],[Order_Date]])</f>
        <v>2030</v>
      </c>
      <c r="AC1785" s="4" t="str">
        <f>TEXT(excelsalesdata[[#This Row],[Order_Date]],"mmm")</f>
        <v>Mar</v>
      </c>
      <c r="AD1785" s="4" t="str">
        <f>"Q"&amp;ROUNDUP(MONTH(excelsalesdata[[#This Row],[Order_Date]])/3,0)</f>
        <v>Q1</v>
      </c>
    </row>
    <row r="1786" spans="1:30" x14ac:dyDescent="0.35">
      <c r="A1786" t="s">
        <v>2627</v>
      </c>
      <c r="B1786" s="3">
        <v>47544</v>
      </c>
      <c r="C1786" t="s">
        <v>743</v>
      </c>
      <c r="D1786" t="s">
        <v>1016</v>
      </c>
      <c r="E1786" t="str">
        <f>TRIM(excelsalesdata[[#This Row],[Customer_Name]])</f>
        <v>Meera Reddy</v>
      </c>
      <c r="F1786" t="s">
        <v>44</v>
      </c>
      <c r="G1786">
        <v>40</v>
      </c>
      <c r="H1786" t="s">
        <v>52</v>
      </c>
      <c r="I1786" t="str">
        <f>TRIM(excelsalesdata[[#This Row],[City]])</f>
        <v>Bengaluru</v>
      </c>
      <c r="J1786" t="s">
        <v>53</v>
      </c>
      <c r="K1786" t="s">
        <v>47</v>
      </c>
      <c r="L1786" t="s">
        <v>103</v>
      </c>
      <c r="M1786" t="s">
        <v>238</v>
      </c>
      <c r="N1786" t="s">
        <v>238</v>
      </c>
      <c r="O1786">
        <v>1</v>
      </c>
      <c r="P1786">
        <v>4000</v>
      </c>
      <c r="Q1786">
        <v>0.1</v>
      </c>
      <c r="R1786">
        <v>2730</v>
      </c>
      <c r="S1786" t="s">
        <v>105</v>
      </c>
      <c r="T1786" t="s">
        <v>30</v>
      </c>
      <c r="U1786">
        <v>8</v>
      </c>
      <c r="V1786" t="s">
        <v>31</v>
      </c>
      <c r="W1786">
        <f>excelsalesdata[[#This Row],[Quantity]]*excelsalesdata[[#This Row],[Unit_Price]]</f>
        <v>4000</v>
      </c>
      <c r="X1786">
        <f>excelsalesdata[[#This Row],[Gross_sales]]*excelsalesdata[[#This Row],[Discount_%]]</f>
        <v>400</v>
      </c>
      <c r="Y1786">
        <f>excelsalesdata[[#This Row],[Gross_sales]]-excelsalesdata[[#This Row],[Discount_amt]]</f>
        <v>3600</v>
      </c>
      <c r="Z1786" s="4">
        <f>excelsalesdata[[#This Row],[Net_sales]]-excelsalesdata[[#This Row],[Cost]]</f>
        <v>870</v>
      </c>
      <c r="AA1786" s="5">
        <f>excelsalesdata[[#This Row],[Profit]]/excelsalesdata[[#This Row],[Net_sales]]</f>
        <v>0.24166666666666667</v>
      </c>
      <c r="AB1786" s="4">
        <f>YEAR(excelsalesdata[[#This Row],[Order_Date]])</f>
        <v>2030</v>
      </c>
      <c r="AC1786" s="4" t="str">
        <f>TEXT(excelsalesdata[[#This Row],[Order_Date]],"mmm")</f>
        <v>Mar</v>
      </c>
      <c r="AD1786" s="4" t="str">
        <f>"Q"&amp;ROUNDUP(MONTH(excelsalesdata[[#This Row],[Order_Date]])/3,0)</f>
        <v>Q1</v>
      </c>
    </row>
    <row r="1787" spans="1:30" x14ac:dyDescent="0.35">
      <c r="A1787" t="s">
        <v>2628</v>
      </c>
      <c r="B1787" s="3">
        <v>47545</v>
      </c>
      <c r="C1787" t="s">
        <v>127</v>
      </c>
      <c r="D1787" t="s">
        <v>849</v>
      </c>
      <c r="E1787" t="str">
        <f>TRIM(excelsalesdata[[#This Row],[Customer_Name]])</f>
        <v>Rohan Nair</v>
      </c>
      <c r="F1787" t="s">
        <v>44</v>
      </c>
      <c r="G1787">
        <v>57</v>
      </c>
      <c r="H1787" t="s">
        <v>78</v>
      </c>
      <c r="I1787" t="str">
        <f>TRIM(excelsalesdata[[#This Row],[City]])</f>
        <v>Guwahati</v>
      </c>
      <c r="J1787" t="s">
        <v>79</v>
      </c>
      <c r="K1787" t="s">
        <v>37</v>
      </c>
      <c r="L1787" t="s">
        <v>38</v>
      </c>
      <c r="M1787" t="s">
        <v>73</v>
      </c>
      <c r="N1787" t="s">
        <v>73</v>
      </c>
      <c r="O1787">
        <v>1</v>
      </c>
      <c r="P1787">
        <v>5180</v>
      </c>
      <c r="Q1787">
        <v>0.05</v>
      </c>
      <c r="R1787">
        <v>3040</v>
      </c>
      <c r="S1787" t="s">
        <v>80</v>
      </c>
      <c r="T1787" t="s">
        <v>30</v>
      </c>
      <c r="U1787">
        <v>8</v>
      </c>
      <c r="V1787" t="s">
        <v>40</v>
      </c>
      <c r="W1787">
        <f>excelsalesdata[[#This Row],[Quantity]]*excelsalesdata[[#This Row],[Unit_Price]]</f>
        <v>5180</v>
      </c>
      <c r="X1787">
        <f>excelsalesdata[[#This Row],[Gross_sales]]*excelsalesdata[[#This Row],[Discount_%]]</f>
        <v>259</v>
      </c>
      <c r="Y1787">
        <f>excelsalesdata[[#This Row],[Gross_sales]]-excelsalesdata[[#This Row],[Discount_amt]]</f>
        <v>4921</v>
      </c>
      <c r="Z1787" s="4">
        <f>excelsalesdata[[#This Row],[Net_sales]]-excelsalesdata[[#This Row],[Cost]]</f>
        <v>1881</v>
      </c>
      <c r="AA1787" s="5">
        <f>excelsalesdata[[#This Row],[Profit]]/excelsalesdata[[#This Row],[Net_sales]]</f>
        <v>0.38223938223938225</v>
      </c>
      <c r="AB1787" s="4">
        <f>YEAR(excelsalesdata[[#This Row],[Order_Date]])</f>
        <v>2030</v>
      </c>
      <c r="AC1787" s="4" t="str">
        <f>TEXT(excelsalesdata[[#This Row],[Order_Date]],"mmm")</f>
        <v>Mar</v>
      </c>
      <c r="AD1787" s="4" t="str">
        <f>"Q"&amp;ROUNDUP(MONTH(excelsalesdata[[#This Row],[Order_Date]])/3,0)</f>
        <v>Q1</v>
      </c>
    </row>
    <row r="1788" spans="1:30" x14ac:dyDescent="0.35">
      <c r="A1788" t="s">
        <v>2629</v>
      </c>
      <c r="B1788" s="3">
        <v>47546</v>
      </c>
      <c r="C1788" t="s">
        <v>2630</v>
      </c>
      <c r="D1788" t="s">
        <v>786</v>
      </c>
      <c r="E1788" t="str">
        <f>TRIM(excelsalesdata[[#This Row],[Customer_Name]])</f>
        <v>Aarav Patel</v>
      </c>
      <c r="F1788" t="s">
        <v>44</v>
      </c>
      <c r="G1788">
        <v>18</v>
      </c>
      <c r="H1788" t="s">
        <v>60</v>
      </c>
      <c r="I1788" t="str">
        <f>TRIM(excelsalesdata[[#This Row],[City]])</f>
        <v>Chandigarh</v>
      </c>
      <c r="J1788" t="s">
        <v>60</v>
      </c>
      <c r="K1788" t="s">
        <v>61</v>
      </c>
      <c r="L1788" t="s">
        <v>54</v>
      </c>
      <c r="M1788" t="s">
        <v>66</v>
      </c>
      <c r="N1788" t="s">
        <v>66</v>
      </c>
      <c r="O1788">
        <v>2</v>
      </c>
      <c r="P1788">
        <v>2320</v>
      </c>
      <c r="Q1788">
        <v>0.05</v>
      </c>
      <c r="R1788">
        <v>1550</v>
      </c>
      <c r="S1788" t="s">
        <v>80</v>
      </c>
      <c r="T1788" t="s">
        <v>30</v>
      </c>
      <c r="U1788">
        <v>4</v>
      </c>
      <c r="V1788" t="s">
        <v>40</v>
      </c>
      <c r="W1788">
        <f>excelsalesdata[[#This Row],[Quantity]]*excelsalesdata[[#This Row],[Unit_Price]]</f>
        <v>4640</v>
      </c>
      <c r="X1788">
        <f>excelsalesdata[[#This Row],[Gross_sales]]*excelsalesdata[[#This Row],[Discount_%]]</f>
        <v>232</v>
      </c>
      <c r="Y1788">
        <f>excelsalesdata[[#This Row],[Gross_sales]]-excelsalesdata[[#This Row],[Discount_amt]]</f>
        <v>4408</v>
      </c>
      <c r="Z1788" s="4">
        <f>excelsalesdata[[#This Row],[Net_sales]]-excelsalesdata[[#This Row],[Cost]]</f>
        <v>2858</v>
      </c>
      <c r="AA1788" s="5">
        <f>excelsalesdata[[#This Row],[Profit]]/excelsalesdata[[#This Row],[Net_sales]]</f>
        <v>0.64836660617059894</v>
      </c>
      <c r="AB1788" s="4">
        <f>YEAR(excelsalesdata[[#This Row],[Order_Date]])</f>
        <v>2030</v>
      </c>
      <c r="AC1788" s="4" t="str">
        <f>TEXT(excelsalesdata[[#This Row],[Order_Date]],"mmm")</f>
        <v>Mar</v>
      </c>
      <c r="AD1788" s="4" t="str">
        <f>"Q"&amp;ROUNDUP(MONTH(excelsalesdata[[#This Row],[Order_Date]])/3,0)</f>
        <v>Q1</v>
      </c>
    </row>
    <row r="1789" spans="1:30" x14ac:dyDescent="0.35">
      <c r="A1789" t="s">
        <v>2631</v>
      </c>
      <c r="B1789" s="3">
        <v>47547</v>
      </c>
      <c r="C1789" t="s">
        <v>1560</v>
      </c>
      <c r="D1789" t="s">
        <v>2343</v>
      </c>
      <c r="E1789" t="str">
        <f>TRIM(excelsalesdata[[#This Row],[Customer_Name]])</f>
        <v>Aarav Rao</v>
      </c>
      <c r="F1789" t="s">
        <v>23</v>
      </c>
      <c r="G1789">
        <v>48</v>
      </c>
      <c r="H1789" t="s">
        <v>168</v>
      </c>
      <c r="I1789" t="str">
        <f>TRIM(excelsalesdata[[#This Row],[City]])</f>
        <v>Delhi</v>
      </c>
      <c r="J1789" t="s">
        <v>168</v>
      </c>
      <c r="K1789" t="s">
        <v>61</v>
      </c>
      <c r="L1789" t="s">
        <v>54</v>
      </c>
      <c r="M1789" t="s">
        <v>62</v>
      </c>
      <c r="N1789" t="s">
        <v>62</v>
      </c>
      <c r="O1789">
        <v>1</v>
      </c>
      <c r="P1789">
        <v>22990</v>
      </c>
      <c r="Q1789">
        <v>0</v>
      </c>
      <c r="R1789">
        <v>15200</v>
      </c>
      <c r="S1789" t="s">
        <v>105</v>
      </c>
      <c r="T1789" t="s">
        <v>30</v>
      </c>
      <c r="U1789">
        <v>3</v>
      </c>
      <c r="V1789" t="s">
        <v>31</v>
      </c>
      <c r="W1789">
        <f>excelsalesdata[[#This Row],[Quantity]]*excelsalesdata[[#This Row],[Unit_Price]]</f>
        <v>22990</v>
      </c>
      <c r="X1789">
        <f>excelsalesdata[[#This Row],[Gross_sales]]*excelsalesdata[[#This Row],[Discount_%]]</f>
        <v>0</v>
      </c>
      <c r="Y1789">
        <f>excelsalesdata[[#This Row],[Gross_sales]]-excelsalesdata[[#This Row],[Discount_amt]]</f>
        <v>22990</v>
      </c>
      <c r="Z1789" s="4">
        <f>excelsalesdata[[#This Row],[Net_sales]]-excelsalesdata[[#This Row],[Cost]]</f>
        <v>7790</v>
      </c>
      <c r="AA1789" s="5">
        <f>excelsalesdata[[#This Row],[Profit]]/excelsalesdata[[#This Row],[Net_sales]]</f>
        <v>0.33884297520661155</v>
      </c>
      <c r="AB1789" s="4">
        <f>YEAR(excelsalesdata[[#This Row],[Order_Date]])</f>
        <v>2030</v>
      </c>
      <c r="AC1789" s="4" t="str">
        <f>TEXT(excelsalesdata[[#This Row],[Order_Date]],"mmm")</f>
        <v>Mar</v>
      </c>
      <c r="AD1789" s="4" t="str">
        <f>"Q"&amp;ROUNDUP(MONTH(excelsalesdata[[#This Row],[Order_Date]])/3,0)</f>
        <v>Q1</v>
      </c>
    </row>
    <row r="1790" spans="1:30" x14ac:dyDescent="0.35">
      <c r="A1790" t="s">
        <v>2632</v>
      </c>
      <c r="B1790" s="3">
        <v>47548</v>
      </c>
      <c r="C1790" t="s">
        <v>1458</v>
      </c>
      <c r="D1790" t="s">
        <v>635</v>
      </c>
      <c r="E1790" t="str">
        <f>TRIM(excelsalesdata[[#This Row],[Customer_Name]])</f>
        <v>Arjun Singh</v>
      </c>
      <c r="F1790" t="s">
        <v>44</v>
      </c>
      <c r="G1790">
        <v>49</v>
      </c>
      <c r="H1790" t="s">
        <v>45</v>
      </c>
      <c r="I1790" t="str">
        <f>TRIM(excelsalesdata[[#This Row],[City]])</f>
        <v>Kochi</v>
      </c>
      <c r="J1790" t="s">
        <v>46</v>
      </c>
      <c r="K1790" t="s">
        <v>47</v>
      </c>
      <c r="L1790" t="s">
        <v>27</v>
      </c>
      <c r="M1790" t="s">
        <v>28</v>
      </c>
      <c r="N1790" t="s">
        <v>28</v>
      </c>
      <c r="O1790">
        <v>2</v>
      </c>
      <c r="P1790">
        <v>3660</v>
      </c>
      <c r="Q1790">
        <v>0.15</v>
      </c>
      <c r="R1790">
        <v>2190</v>
      </c>
      <c r="S1790" t="s">
        <v>67</v>
      </c>
      <c r="T1790" t="s">
        <v>30</v>
      </c>
      <c r="U1790">
        <v>3</v>
      </c>
      <c r="V1790" t="s">
        <v>31</v>
      </c>
      <c r="W1790">
        <f>excelsalesdata[[#This Row],[Quantity]]*excelsalesdata[[#This Row],[Unit_Price]]</f>
        <v>7320</v>
      </c>
      <c r="X1790">
        <f>excelsalesdata[[#This Row],[Gross_sales]]*excelsalesdata[[#This Row],[Discount_%]]</f>
        <v>1098</v>
      </c>
      <c r="Y1790">
        <f>excelsalesdata[[#This Row],[Gross_sales]]-excelsalesdata[[#This Row],[Discount_amt]]</f>
        <v>6222</v>
      </c>
      <c r="Z1790" s="4">
        <f>excelsalesdata[[#This Row],[Net_sales]]-excelsalesdata[[#This Row],[Cost]]</f>
        <v>4032</v>
      </c>
      <c r="AA1790" s="5">
        <f>excelsalesdata[[#This Row],[Profit]]/excelsalesdata[[#This Row],[Net_sales]]</f>
        <v>0.64802314368370295</v>
      </c>
      <c r="AB1790" s="4">
        <f>YEAR(excelsalesdata[[#This Row],[Order_Date]])</f>
        <v>2030</v>
      </c>
      <c r="AC1790" s="4" t="str">
        <f>TEXT(excelsalesdata[[#This Row],[Order_Date]],"mmm")</f>
        <v>Mar</v>
      </c>
      <c r="AD1790" s="4" t="str">
        <f>"Q"&amp;ROUNDUP(MONTH(excelsalesdata[[#This Row],[Order_Date]])/3,0)</f>
        <v>Q1</v>
      </c>
    </row>
    <row r="1791" spans="1:30" x14ac:dyDescent="0.35">
      <c r="A1791" t="s">
        <v>2633</v>
      </c>
      <c r="B1791" s="3">
        <v>47549</v>
      </c>
      <c r="C1791" t="s">
        <v>2630</v>
      </c>
      <c r="D1791" t="s">
        <v>265</v>
      </c>
      <c r="E1791" t="str">
        <f>TRIM(excelsalesdata[[#This Row],[Customer_Name]])</f>
        <v>Arjun Bhat</v>
      </c>
      <c r="F1791" t="s">
        <v>23</v>
      </c>
      <c r="G1791">
        <v>40</v>
      </c>
      <c r="H1791" t="s">
        <v>35</v>
      </c>
      <c r="I1791" t="str">
        <f>TRIM(excelsalesdata[[#This Row],[City]])</f>
        <v>Kolkata</v>
      </c>
      <c r="J1791" t="s">
        <v>36</v>
      </c>
      <c r="K1791" t="s">
        <v>37</v>
      </c>
      <c r="L1791" t="s">
        <v>93</v>
      </c>
      <c r="M1791" t="s">
        <v>206</v>
      </c>
      <c r="N1791" t="s">
        <v>206</v>
      </c>
      <c r="O1791">
        <v>2</v>
      </c>
      <c r="P1791">
        <v>640</v>
      </c>
      <c r="Q1791">
        <v>0.25</v>
      </c>
      <c r="R1791">
        <v>310</v>
      </c>
      <c r="S1791" t="s">
        <v>80</v>
      </c>
      <c r="T1791" t="s">
        <v>30</v>
      </c>
      <c r="U1791">
        <v>5</v>
      </c>
      <c r="V1791" t="s">
        <v>40</v>
      </c>
      <c r="W1791">
        <f>excelsalesdata[[#This Row],[Quantity]]*excelsalesdata[[#This Row],[Unit_Price]]</f>
        <v>1280</v>
      </c>
      <c r="X1791">
        <f>excelsalesdata[[#This Row],[Gross_sales]]*excelsalesdata[[#This Row],[Discount_%]]</f>
        <v>320</v>
      </c>
      <c r="Y1791">
        <f>excelsalesdata[[#This Row],[Gross_sales]]-excelsalesdata[[#This Row],[Discount_amt]]</f>
        <v>960</v>
      </c>
      <c r="Z1791" s="4">
        <f>excelsalesdata[[#This Row],[Net_sales]]-excelsalesdata[[#This Row],[Cost]]</f>
        <v>650</v>
      </c>
      <c r="AA1791" s="5">
        <f>excelsalesdata[[#This Row],[Profit]]/excelsalesdata[[#This Row],[Net_sales]]</f>
        <v>0.67708333333333337</v>
      </c>
      <c r="AB1791" s="4">
        <f>YEAR(excelsalesdata[[#This Row],[Order_Date]])</f>
        <v>2030</v>
      </c>
      <c r="AC1791" s="4" t="str">
        <f>TEXT(excelsalesdata[[#This Row],[Order_Date]],"mmm")</f>
        <v>Mar</v>
      </c>
      <c r="AD1791" s="4" t="str">
        <f>"Q"&amp;ROUNDUP(MONTH(excelsalesdata[[#This Row],[Order_Date]])/3,0)</f>
        <v>Q1</v>
      </c>
    </row>
    <row r="1792" spans="1:30" x14ac:dyDescent="0.35">
      <c r="A1792" t="s">
        <v>2634</v>
      </c>
      <c r="B1792" s="3">
        <v>47550</v>
      </c>
      <c r="C1792" t="s">
        <v>812</v>
      </c>
      <c r="D1792" t="s">
        <v>476</v>
      </c>
      <c r="E1792" t="str">
        <f>TRIM(excelsalesdata[[#This Row],[Customer_Name]])</f>
        <v>Sneha Kumar</v>
      </c>
      <c r="F1792" t="s">
        <v>44</v>
      </c>
      <c r="G1792">
        <v>46</v>
      </c>
      <c r="H1792" t="s">
        <v>109</v>
      </c>
      <c r="I1792" t="str">
        <f>TRIM(excelsalesdata[[#This Row],[City]])</f>
        <v>Mysuru</v>
      </c>
      <c r="J1792" t="s">
        <v>53</v>
      </c>
      <c r="K1792" t="s">
        <v>47</v>
      </c>
      <c r="L1792" t="s">
        <v>27</v>
      </c>
      <c r="M1792" t="s">
        <v>48</v>
      </c>
      <c r="N1792" t="s">
        <v>48</v>
      </c>
      <c r="O1792">
        <v>1</v>
      </c>
      <c r="P1792">
        <v>920</v>
      </c>
      <c r="Q1792">
        <v>0.05</v>
      </c>
      <c r="R1792">
        <v>460</v>
      </c>
      <c r="S1792" t="s">
        <v>80</v>
      </c>
      <c r="T1792" t="s">
        <v>99</v>
      </c>
      <c r="U1792">
        <v>4</v>
      </c>
      <c r="V1792" t="s">
        <v>31</v>
      </c>
      <c r="W1792">
        <f>excelsalesdata[[#This Row],[Quantity]]*excelsalesdata[[#This Row],[Unit_Price]]</f>
        <v>920</v>
      </c>
      <c r="X1792">
        <f>excelsalesdata[[#This Row],[Gross_sales]]*excelsalesdata[[#This Row],[Discount_%]]</f>
        <v>46</v>
      </c>
      <c r="Y1792">
        <f>excelsalesdata[[#This Row],[Gross_sales]]-excelsalesdata[[#This Row],[Discount_amt]]</f>
        <v>874</v>
      </c>
      <c r="Z1792" s="4">
        <f>excelsalesdata[[#This Row],[Net_sales]]-excelsalesdata[[#This Row],[Cost]]</f>
        <v>414</v>
      </c>
      <c r="AA1792" s="5">
        <f>excelsalesdata[[#This Row],[Profit]]/excelsalesdata[[#This Row],[Net_sales]]</f>
        <v>0.47368421052631576</v>
      </c>
      <c r="AB1792" s="4">
        <f>YEAR(excelsalesdata[[#This Row],[Order_Date]])</f>
        <v>2030</v>
      </c>
      <c r="AC1792" s="4" t="str">
        <f>TEXT(excelsalesdata[[#This Row],[Order_Date]],"mmm")</f>
        <v>Mar</v>
      </c>
      <c r="AD1792" s="4" t="str">
        <f>"Q"&amp;ROUNDUP(MONTH(excelsalesdata[[#This Row],[Order_Date]])/3,0)</f>
        <v>Q1</v>
      </c>
    </row>
    <row r="1793" spans="1:30" x14ac:dyDescent="0.35">
      <c r="A1793" t="s">
        <v>2635</v>
      </c>
      <c r="B1793" s="3">
        <v>47551</v>
      </c>
      <c r="C1793" t="s">
        <v>267</v>
      </c>
      <c r="D1793" t="s">
        <v>499</v>
      </c>
      <c r="E1793" t="str">
        <f>TRIM(excelsalesdata[[#This Row],[Customer_Name]])</f>
        <v>Aditya Nair</v>
      </c>
      <c r="F1793" t="s">
        <v>44</v>
      </c>
      <c r="G1793">
        <v>31</v>
      </c>
      <c r="H1793" t="s">
        <v>52</v>
      </c>
      <c r="I1793" t="str">
        <f>TRIM(excelsalesdata[[#This Row],[City]])</f>
        <v>Bengaluru</v>
      </c>
      <c r="J1793" t="s">
        <v>53</v>
      </c>
      <c r="K1793" t="s">
        <v>47</v>
      </c>
      <c r="L1793" t="s">
        <v>38</v>
      </c>
      <c r="M1793" t="s">
        <v>161</v>
      </c>
      <c r="N1793" t="s">
        <v>161</v>
      </c>
      <c r="O1793">
        <v>2</v>
      </c>
      <c r="P1793">
        <v>28490</v>
      </c>
      <c r="Q1793">
        <v>0.2</v>
      </c>
      <c r="R1793">
        <v>19860</v>
      </c>
      <c r="S1793" t="s">
        <v>80</v>
      </c>
      <c r="T1793" t="s">
        <v>74</v>
      </c>
      <c r="U1793">
        <v>3</v>
      </c>
      <c r="V1793" t="s">
        <v>31</v>
      </c>
      <c r="W1793">
        <f>excelsalesdata[[#This Row],[Quantity]]*excelsalesdata[[#This Row],[Unit_Price]]</f>
        <v>56980</v>
      </c>
      <c r="X1793">
        <f>excelsalesdata[[#This Row],[Gross_sales]]*excelsalesdata[[#This Row],[Discount_%]]</f>
        <v>11396</v>
      </c>
      <c r="Y1793">
        <f>excelsalesdata[[#This Row],[Gross_sales]]-excelsalesdata[[#This Row],[Discount_amt]]</f>
        <v>45584</v>
      </c>
      <c r="Z1793" s="4">
        <f>excelsalesdata[[#This Row],[Net_sales]]-excelsalesdata[[#This Row],[Cost]]</f>
        <v>25724</v>
      </c>
      <c r="AA1793" s="5">
        <f>excelsalesdata[[#This Row],[Profit]]/excelsalesdata[[#This Row],[Net_sales]]</f>
        <v>0.56432081432081427</v>
      </c>
      <c r="AB1793" s="4">
        <f>YEAR(excelsalesdata[[#This Row],[Order_Date]])</f>
        <v>2030</v>
      </c>
      <c r="AC1793" s="4" t="str">
        <f>TEXT(excelsalesdata[[#This Row],[Order_Date]],"mmm")</f>
        <v>Mar</v>
      </c>
      <c r="AD1793" s="4" t="str">
        <f>"Q"&amp;ROUNDUP(MONTH(excelsalesdata[[#This Row],[Order_Date]])/3,0)</f>
        <v>Q1</v>
      </c>
    </row>
    <row r="1794" spans="1:30" x14ac:dyDescent="0.35">
      <c r="A1794" t="s">
        <v>2636</v>
      </c>
      <c r="B1794" s="3">
        <v>47552</v>
      </c>
      <c r="C1794" t="s">
        <v>1285</v>
      </c>
      <c r="D1794" t="s">
        <v>147</v>
      </c>
      <c r="E1794" t="str">
        <f>TRIM(excelsalesdata[[#This Row],[Customer_Name]])</f>
        <v>Rohan Sharma</v>
      </c>
      <c r="F1794" t="s">
        <v>44</v>
      </c>
      <c r="G1794">
        <v>26</v>
      </c>
      <c r="H1794" t="s">
        <v>168</v>
      </c>
      <c r="I1794" t="str">
        <f>TRIM(excelsalesdata[[#This Row],[City]])</f>
        <v>Delhi</v>
      </c>
      <c r="J1794" t="s">
        <v>168</v>
      </c>
      <c r="K1794" t="s">
        <v>61</v>
      </c>
      <c r="L1794" t="s">
        <v>54</v>
      </c>
      <c r="M1794" t="s">
        <v>157</v>
      </c>
      <c r="N1794" t="s">
        <v>157</v>
      </c>
      <c r="O1794">
        <v>3</v>
      </c>
      <c r="P1794">
        <v>56360</v>
      </c>
      <c r="Q1794">
        <v>0.05</v>
      </c>
      <c r="R1794">
        <v>43990</v>
      </c>
      <c r="S1794" t="s">
        <v>105</v>
      </c>
      <c r="T1794" t="s">
        <v>81</v>
      </c>
      <c r="U1794">
        <v>0</v>
      </c>
      <c r="V1794" t="s">
        <v>31</v>
      </c>
      <c r="W1794">
        <f>excelsalesdata[[#This Row],[Quantity]]*excelsalesdata[[#This Row],[Unit_Price]]</f>
        <v>169080</v>
      </c>
      <c r="X1794">
        <f>excelsalesdata[[#This Row],[Gross_sales]]*excelsalesdata[[#This Row],[Discount_%]]</f>
        <v>8454</v>
      </c>
      <c r="Y1794">
        <f>excelsalesdata[[#This Row],[Gross_sales]]-excelsalesdata[[#This Row],[Discount_amt]]</f>
        <v>160626</v>
      </c>
      <c r="Z1794" s="4">
        <f>excelsalesdata[[#This Row],[Net_sales]]-excelsalesdata[[#This Row],[Cost]]</f>
        <v>116636</v>
      </c>
      <c r="AA1794" s="5">
        <f>excelsalesdata[[#This Row],[Profit]]/excelsalesdata[[#This Row],[Net_sales]]</f>
        <v>0.72613400072217449</v>
      </c>
      <c r="AB1794" s="4">
        <f>YEAR(excelsalesdata[[#This Row],[Order_Date]])</f>
        <v>2030</v>
      </c>
      <c r="AC1794" s="4" t="str">
        <f>TEXT(excelsalesdata[[#This Row],[Order_Date]],"mmm")</f>
        <v>Mar</v>
      </c>
      <c r="AD1794" s="4" t="str">
        <f>"Q"&amp;ROUNDUP(MONTH(excelsalesdata[[#This Row],[Order_Date]])/3,0)</f>
        <v>Q1</v>
      </c>
    </row>
    <row r="1795" spans="1:30" x14ac:dyDescent="0.35">
      <c r="A1795" t="s">
        <v>2637</v>
      </c>
      <c r="B1795" s="3">
        <v>47553</v>
      </c>
      <c r="C1795" t="s">
        <v>69</v>
      </c>
      <c r="D1795" t="s">
        <v>291</v>
      </c>
      <c r="E1795" t="str">
        <f>TRIM(excelsalesdata[[#This Row],[Customer_Name]])</f>
        <v>Vikram Patel</v>
      </c>
      <c r="F1795" t="s">
        <v>44</v>
      </c>
      <c r="G1795">
        <v>29</v>
      </c>
      <c r="H1795" t="s">
        <v>185</v>
      </c>
      <c r="I1795" t="str">
        <f>TRIM(excelsalesdata[[#This Row],[City]])</f>
        <v>Lucknow</v>
      </c>
      <c r="J1795" t="s">
        <v>186</v>
      </c>
      <c r="K1795" t="s">
        <v>61</v>
      </c>
      <c r="L1795" t="s">
        <v>27</v>
      </c>
      <c r="M1795" t="s">
        <v>295</v>
      </c>
      <c r="N1795" t="s">
        <v>295</v>
      </c>
      <c r="O1795">
        <v>1</v>
      </c>
      <c r="P1795">
        <v>4330</v>
      </c>
      <c r="Q1795">
        <v>0.05</v>
      </c>
      <c r="R1795">
        <v>2530</v>
      </c>
      <c r="S1795" t="s">
        <v>151</v>
      </c>
      <c r="T1795" t="s">
        <v>30</v>
      </c>
      <c r="U1795">
        <v>2</v>
      </c>
      <c r="V1795" t="s">
        <v>31</v>
      </c>
      <c r="W1795">
        <f>excelsalesdata[[#This Row],[Quantity]]*excelsalesdata[[#This Row],[Unit_Price]]</f>
        <v>4330</v>
      </c>
      <c r="X1795">
        <f>excelsalesdata[[#This Row],[Gross_sales]]*excelsalesdata[[#This Row],[Discount_%]]</f>
        <v>216.5</v>
      </c>
      <c r="Y1795">
        <f>excelsalesdata[[#This Row],[Gross_sales]]-excelsalesdata[[#This Row],[Discount_amt]]</f>
        <v>4113.5</v>
      </c>
      <c r="Z1795" s="4">
        <f>excelsalesdata[[#This Row],[Net_sales]]-excelsalesdata[[#This Row],[Cost]]</f>
        <v>1583.5</v>
      </c>
      <c r="AA1795" s="5">
        <f>excelsalesdata[[#This Row],[Profit]]/excelsalesdata[[#This Row],[Net_sales]]</f>
        <v>0.38495198735869696</v>
      </c>
      <c r="AB1795" s="4">
        <f>YEAR(excelsalesdata[[#This Row],[Order_Date]])</f>
        <v>2030</v>
      </c>
      <c r="AC1795" s="4" t="str">
        <f>TEXT(excelsalesdata[[#This Row],[Order_Date]],"mmm")</f>
        <v>Mar</v>
      </c>
      <c r="AD1795" s="4" t="str">
        <f>"Q"&amp;ROUNDUP(MONTH(excelsalesdata[[#This Row],[Order_Date]])/3,0)</f>
        <v>Q1</v>
      </c>
    </row>
    <row r="1796" spans="1:30" x14ac:dyDescent="0.35">
      <c r="A1796" t="s">
        <v>2638</v>
      </c>
      <c r="B1796" s="3">
        <v>47554</v>
      </c>
      <c r="C1796" t="s">
        <v>1837</v>
      </c>
      <c r="D1796" t="s">
        <v>610</v>
      </c>
      <c r="E1796" t="str">
        <f>TRIM(excelsalesdata[[#This Row],[Customer_Name]])</f>
        <v>Priya Das</v>
      </c>
      <c r="F1796" t="s">
        <v>23</v>
      </c>
      <c r="G1796">
        <v>23</v>
      </c>
      <c r="H1796" t="s">
        <v>190</v>
      </c>
      <c r="I1796" t="str">
        <f>TRIM(excelsalesdata[[#This Row],[City]])</f>
        <v>Ahmedabad</v>
      </c>
      <c r="J1796" t="s">
        <v>191</v>
      </c>
      <c r="K1796" t="s">
        <v>26</v>
      </c>
      <c r="L1796" t="s">
        <v>38</v>
      </c>
      <c r="M1796" t="s">
        <v>39</v>
      </c>
      <c r="N1796" t="s">
        <v>39</v>
      </c>
      <c r="O1796">
        <v>1</v>
      </c>
      <c r="P1796">
        <v>6680</v>
      </c>
      <c r="Q1796">
        <v>0.1</v>
      </c>
      <c r="R1796">
        <v>4050</v>
      </c>
      <c r="S1796" t="s">
        <v>29</v>
      </c>
      <c r="T1796" t="s">
        <v>30</v>
      </c>
      <c r="U1796">
        <v>5</v>
      </c>
      <c r="V1796" t="s">
        <v>40</v>
      </c>
      <c r="W1796">
        <f>excelsalesdata[[#This Row],[Quantity]]*excelsalesdata[[#This Row],[Unit_Price]]</f>
        <v>6680</v>
      </c>
      <c r="X1796">
        <f>excelsalesdata[[#This Row],[Gross_sales]]*excelsalesdata[[#This Row],[Discount_%]]</f>
        <v>668</v>
      </c>
      <c r="Y1796">
        <f>excelsalesdata[[#This Row],[Gross_sales]]-excelsalesdata[[#This Row],[Discount_amt]]</f>
        <v>6012</v>
      </c>
      <c r="Z1796" s="4">
        <f>excelsalesdata[[#This Row],[Net_sales]]-excelsalesdata[[#This Row],[Cost]]</f>
        <v>1962</v>
      </c>
      <c r="AA1796" s="5">
        <f>excelsalesdata[[#This Row],[Profit]]/excelsalesdata[[#This Row],[Net_sales]]</f>
        <v>0.32634730538922158</v>
      </c>
      <c r="AB1796" s="4">
        <f>YEAR(excelsalesdata[[#This Row],[Order_Date]])</f>
        <v>2030</v>
      </c>
      <c r="AC1796" s="4" t="str">
        <f>TEXT(excelsalesdata[[#This Row],[Order_Date]],"mmm")</f>
        <v>Mar</v>
      </c>
      <c r="AD1796" s="4" t="str">
        <f>"Q"&amp;ROUNDUP(MONTH(excelsalesdata[[#This Row],[Order_Date]])/3,0)</f>
        <v>Q1</v>
      </c>
    </row>
    <row r="1797" spans="1:30" x14ac:dyDescent="0.35">
      <c r="A1797" t="s">
        <v>2639</v>
      </c>
      <c r="B1797" s="3">
        <v>47555</v>
      </c>
      <c r="C1797" t="s">
        <v>1446</v>
      </c>
      <c r="D1797" t="s">
        <v>1335</v>
      </c>
      <c r="E1797" t="str">
        <f>TRIM(excelsalesdata[[#This Row],[Customer_Name]])</f>
        <v>Kavya Patel</v>
      </c>
      <c r="F1797" t="s">
        <v>23</v>
      </c>
      <c r="G1797">
        <v>20</v>
      </c>
      <c r="H1797" t="s">
        <v>155</v>
      </c>
      <c r="I1797" t="str">
        <f>TRIM(excelsalesdata[[#This Row],[City]])</f>
        <v>Chennai</v>
      </c>
      <c r="J1797" t="s">
        <v>156</v>
      </c>
      <c r="K1797" t="s">
        <v>47</v>
      </c>
      <c r="L1797" t="s">
        <v>54</v>
      </c>
      <c r="M1797" t="s">
        <v>157</v>
      </c>
      <c r="N1797" t="s">
        <v>157</v>
      </c>
      <c r="O1797">
        <v>1</v>
      </c>
      <c r="P1797">
        <v>53740</v>
      </c>
      <c r="Q1797">
        <v>0.3</v>
      </c>
      <c r="R1797">
        <v>42130</v>
      </c>
      <c r="S1797" t="s">
        <v>80</v>
      </c>
      <c r="T1797" t="s">
        <v>30</v>
      </c>
      <c r="U1797">
        <v>2</v>
      </c>
      <c r="V1797" t="s">
        <v>40</v>
      </c>
      <c r="W1797">
        <f>excelsalesdata[[#This Row],[Quantity]]*excelsalesdata[[#This Row],[Unit_Price]]</f>
        <v>53740</v>
      </c>
      <c r="X1797">
        <f>excelsalesdata[[#This Row],[Gross_sales]]*excelsalesdata[[#This Row],[Discount_%]]</f>
        <v>16122</v>
      </c>
      <c r="Y1797">
        <f>excelsalesdata[[#This Row],[Gross_sales]]-excelsalesdata[[#This Row],[Discount_amt]]</f>
        <v>37618</v>
      </c>
      <c r="Z1797" s="4">
        <f>excelsalesdata[[#This Row],[Net_sales]]-excelsalesdata[[#This Row],[Cost]]</f>
        <v>-4512</v>
      </c>
      <c r="AA1797" s="5">
        <f>excelsalesdata[[#This Row],[Profit]]/excelsalesdata[[#This Row],[Net_sales]]</f>
        <v>-0.11994258067946197</v>
      </c>
      <c r="AB1797" s="4">
        <f>YEAR(excelsalesdata[[#This Row],[Order_Date]])</f>
        <v>2030</v>
      </c>
      <c r="AC1797" s="4" t="str">
        <f>TEXT(excelsalesdata[[#This Row],[Order_Date]],"mmm")</f>
        <v>Mar</v>
      </c>
      <c r="AD1797" s="4" t="str">
        <f>"Q"&amp;ROUNDUP(MONTH(excelsalesdata[[#This Row],[Order_Date]])/3,0)</f>
        <v>Q1</v>
      </c>
    </row>
    <row r="1798" spans="1:30" x14ac:dyDescent="0.35">
      <c r="A1798" t="s">
        <v>2640</v>
      </c>
      <c r="B1798" s="3">
        <v>47556</v>
      </c>
      <c r="C1798" t="s">
        <v>379</v>
      </c>
      <c r="D1798" t="s">
        <v>1197</v>
      </c>
      <c r="E1798" t="str">
        <f>TRIM(excelsalesdata[[#This Row],[Customer_Name]])</f>
        <v>Rahul Rao</v>
      </c>
      <c r="F1798" t="s">
        <v>44</v>
      </c>
      <c r="G1798">
        <v>54</v>
      </c>
      <c r="H1798" t="s">
        <v>114</v>
      </c>
      <c r="I1798" t="str">
        <f>TRIM(excelsalesdata[[#This Row],[City]])</f>
        <v>Hyderabad</v>
      </c>
      <c r="J1798" t="s">
        <v>115</v>
      </c>
      <c r="K1798" t="s">
        <v>47</v>
      </c>
      <c r="L1798" t="s">
        <v>27</v>
      </c>
      <c r="M1798" t="s">
        <v>123</v>
      </c>
      <c r="N1798" t="s">
        <v>123</v>
      </c>
      <c r="O1798">
        <v>1</v>
      </c>
      <c r="P1798">
        <v>2670</v>
      </c>
      <c r="Q1798">
        <v>0.05</v>
      </c>
      <c r="R1798">
        <v>1660</v>
      </c>
      <c r="S1798" t="s">
        <v>80</v>
      </c>
      <c r="T1798" t="s">
        <v>30</v>
      </c>
      <c r="U1798">
        <v>5</v>
      </c>
      <c r="V1798" t="s">
        <v>40</v>
      </c>
      <c r="W1798">
        <f>excelsalesdata[[#This Row],[Quantity]]*excelsalesdata[[#This Row],[Unit_Price]]</f>
        <v>2670</v>
      </c>
      <c r="X1798">
        <f>excelsalesdata[[#This Row],[Gross_sales]]*excelsalesdata[[#This Row],[Discount_%]]</f>
        <v>133.5</v>
      </c>
      <c r="Y1798">
        <f>excelsalesdata[[#This Row],[Gross_sales]]-excelsalesdata[[#This Row],[Discount_amt]]</f>
        <v>2536.5</v>
      </c>
      <c r="Z1798" s="4">
        <f>excelsalesdata[[#This Row],[Net_sales]]-excelsalesdata[[#This Row],[Cost]]</f>
        <v>876.5</v>
      </c>
      <c r="AA1798" s="5">
        <f>excelsalesdata[[#This Row],[Profit]]/excelsalesdata[[#This Row],[Net_sales]]</f>
        <v>0.34555489848216048</v>
      </c>
      <c r="AB1798" s="4">
        <f>YEAR(excelsalesdata[[#This Row],[Order_Date]])</f>
        <v>2030</v>
      </c>
      <c r="AC1798" s="4" t="str">
        <f>TEXT(excelsalesdata[[#This Row],[Order_Date]],"mmm")</f>
        <v>Mar</v>
      </c>
      <c r="AD1798" s="4" t="str">
        <f>"Q"&amp;ROUNDUP(MONTH(excelsalesdata[[#This Row],[Order_Date]])/3,0)</f>
        <v>Q1</v>
      </c>
    </row>
    <row r="1799" spans="1:30" x14ac:dyDescent="0.35">
      <c r="A1799" t="s">
        <v>2641</v>
      </c>
      <c r="B1799" s="3">
        <v>47557</v>
      </c>
      <c r="C1799" t="s">
        <v>1713</v>
      </c>
      <c r="D1799" t="s">
        <v>368</v>
      </c>
      <c r="E1799" t="str">
        <f>TRIM(excelsalesdata[[#This Row],[Customer_Name]])</f>
        <v>Aditya Naidu</v>
      </c>
      <c r="F1799" t="s">
        <v>23</v>
      </c>
      <c r="G1799">
        <v>56</v>
      </c>
      <c r="H1799" t="s">
        <v>185</v>
      </c>
      <c r="I1799" t="str">
        <f>TRIM(excelsalesdata[[#This Row],[City]])</f>
        <v>Lucknow</v>
      </c>
      <c r="J1799" t="s">
        <v>186</v>
      </c>
      <c r="K1799" t="s">
        <v>61</v>
      </c>
      <c r="L1799" t="s">
        <v>54</v>
      </c>
      <c r="M1799" t="s">
        <v>157</v>
      </c>
      <c r="N1799" t="s">
        <v>157</v>
      </c>
      <c r="O1799">
        <v>2</v>
      </c>
      <c r="P1799">
        <v>55150</v>
      </c>
      <c r="Q1799">
        <v>0</v>
      </c>
      <c r="R1799">
        <v>40230</v>
      </c>
      <c r="S1799" t="s">
        <v>151</v>
      </c>
      <c r="T1799" t="s">
        <v>30</v>
      </c>
      <c r="U1799">
        <v>5</v>
      </c>
      <c r="V1799" t="s">
        <v>40</v>
      </c>
      <c r="W1799">
        <f>excelsalesdata[[#This Row],[Quantity]]*excelsalesdata[[#This Row],[Unit_Price]]</f>
        <v>110300</v>
      </c>
      <c r="X1799">
        <f>excelsalesdata[[#This Row],[Gross_sales]]*excelsalesdata[[#This Row],[Discount_%]]</f>
        <v>0</v>
      </c>
      <c r="Y1799">
        <f>excelsalesdata[[#This Row],[Gross_sales]]-excelsalesdata[[#This Row],[Discount_amt]]</f>
        <v>110300</v>
      </c>
      <c r="Z1799" s="4">
        <f>excelsalesdata[[#This Row],[Net_sales]]-excelsalesdata[[#This Row],[Cost]]</f>
        <v>70070</v>
      </c>
      <c r="AA1799" s="5">
        <f>excelsalesdata[[#This Row],[Profit]]/excelsalesdata[[#This Row],[Net_sales]]</f>
        <v>0.63526745240253857</v>
      </c>
      <c r="AB1799" s="4">
        <f>YEAR(excelsalesdata[[#This Row],[Order_Date]])</f>
        <v>2030</v>
      </c>
      <c r="AC1799" s="4" t="str">
        <f>TEXT(excelsalesdata[[#This Row],[Order_Date]],"mmm")</f>
        <v>Mar</v>
      </c>
      <c r="AD1799" s="4" t="str">
        <f>"Q"&amp;ROUNDUP(MONTH(excelsalesdata[[#This Row],[Order_Date]])/3,0)</f>
        <v>Q1</v>
      </c>
    </row>
    <row r="1800" spans="1:30" x14ac:dyDescent="0.35">
      <c r="A1800" t="s">
        <v>2642</v>
      </c>
      <c r="B1800" s="3">
        <v>47558</v>
      </c>
      <c r="C1800" t="s">
        <v>1065</v>
      </c>
      <c r="D1800" t="s">
        <v>755</v>
      </c>
      <c r="E1800" t="str">
        <f>TRIM(excelsalesdata[[#This Row],[Customer_Name]])</f>
        <v>Rahul Singh</v>
      </c>
      <c r="F1800" t="s">
        <v>23</v>
      </c>
      <c r="G1800">
        <v>19</v>
      </c>
      <c r="H1800" t="s">
        <v>133</v>
      </c>
      <c r="I1800" t="str">
        <f>TRIM(excelsalesdata[[#This Row],[City]])</f>
        <v>Jaipur</v>
      </c>
      <c r="J1800" t="s">
        <v>134</v>
      </c>
      <c r="K1800" t="s">
        <v>61</v>
      </c>
      <c r="L1800" t="s">
        <v>54</v>
      </c>
      <c r="M1800" t="s">
        <v>62</v>
      </c>
      <c r="N1800" t="s">
        <v>62</v>
      </c>
      <c r="O1800">
        <v>2</v>
      </c>
      <c r="P1800">
        <v>23700</v>
      </c>
      <c r="Q1800">
        <v>0.2</v>
      </c>
      <c r="R1800">
        <v>15640</v>
      </c>
      <c r="S1800" t="s">
        <v>67</v>
      </c>
      <c r="T1800" t="s">
        <v>30</v>
      </c>
      <c r="U1800">
        <v>3</v>
      </c>
      <c r="V1800" t="s">
        <v>31</v>
      </c>
      <c r="W1800">
        <f>excelsalesdata[[#This Row],[Quantity]]*excelsalesdata[[#This Row],[Unit_Price]]</f>
        <v>47400</v>
      </c>
      <c r="X1800">
        <f>excelsalesdata[[#This Row],[Gross_sales]]*excelsalesdata[[#This Row],[Discount_%]]</f>
        <v>9480</v>
      </c>
      <c r="Y1800">
        <f>excelsalesdata[[#This Row],[Gross_sales]]-excelsalesdata[[#This Row],[Discount_amt]]</f>
        <v>37920</v>
      </c>
      <c r="Z1800" s="4">
        <f>excelsalesdata[[#This Row],[Net_sales]]-excelsalesdata[[#This Row],[Cost]]</f>
        <v>22280</v>
      </c>
      <c r="AA1800" s="5">
        <f>excelsalesdata[[#This Row],[Profit]]/excelsalesdata[[#This Row],[Net_sales]]</f>
        <v>0.58755274261603374</v>
      </c>
      <c r="AB1800" s="4">
        <f>YEAR(excelsalesdata[[#This Row],[Order_Date]])</f>
        <v>2030</v>
      </c>
      <c r="AC1800" s="4" t="str">
        <f>TEXT(excelsalesdata[[#This Row],[Order_Date]],"mmm")</f>
        <v>Mar</v>
      </c>
      <c r="AD1800" s="4" t="str">
        <f>"Q"&amp;ROUNDUP(MONTH(excelsalesdata[[#This Row],[Order_Date]])/3,0)</f>
        <v>Q1</v>
      </c>
    </row>
    <row r="1801" spans="1:30" x14ac:dyDescent="0.35">
      <c r="A1801" t="s">
        <v>2643</v>
      </c>
      <c r="B1801" s="3">
        <v>47559</v>
      </c>
      <c r="C1801" t="s">
        <v>1103</v>
      </c>
      <c r="D1801" t="s">
        <v>77</v>
      </c>
      <c r="E1801" t="str">
        <f>TRIM(excelsalesdata[[#This Row],[Customer_Name]])</f>
        <v>Kavya Rao</v>
      </c>
      <c r="F1801" t="s">
        <v>44</v>
      </c>
      <c r="G1801">
        <v>33</v>
      </c>
      <c r="H1801" t="s">
        <v>155</v>
      </c>
      <c r="I1801" t="str">
        <f>TRIM(excelsalesdata[[#This Row],[City]])</f>
        <v>Chennai</v>
      </c>
      <c r="J1801" t="s">
        <v>156</v>
      </c>
      <c r="K1801" t="s">
        <v>47</v>
      </c>
      <c r="L1801" t="s">
        <v>93</v>
      </c>
      <c r="M1801" t="s">
        <v>135</v>
      </c>
      <c r="N1801" t="s">
        <v>135</v>
      </c>
      <c r="O1801">
        <v>3</v>
      </c>
      <c r="P1801">
        <v>1880</v>
      </c>
      <c r="Q1801">
        <v>0.1</v>
      </c>
      <c r="R1801">
        <v>1040</v>
      </c>
      <c r="S1801" t="s">
        <v>29</v>
      </c>
      <c r="T1801" t="s">
        <v>30</v>
      </c>
      <c r="U1801">
        <v>4</v>
      </c>
      <c r="V1801" t="s">
        <v>31</v>
      </c>
      <c r="W1801">
        <f>excelsalesdata[[#This Row],[Quantity]]*excelsalesdata[[#This Row],[Unit_Price]]</f>
        <v>5640</v>
      </c>
      <c r="X1801">
        <f>excelsalesdata[[#This Row],[Gross_sales]]*excelsalesdata[[#This Row],[Discount_%]]</f>
        <v>564</v>
      </c>
      <c r="Y1801">
        <f>excelsalesdata[[#This Row],[Gross_sales]]-excelsalesdata[[#This Row],[Discount_amt]]</f>
        <v>5076</v>
      </c>
      <c r="Z1801" s="4">
        <f>excelsalesdata[[#This Row],[Net_sales]]-excelsalesdata[[#This Row],[Cost]]</f>
        <v>4036</v>
      </c>
      <c r="AA1801" s="5">
        <f>excelsalesdata[[#This Row],[Profit]]/excelsalesdata[[#This Row],[Net_sales]]</f>
        <v>0.79511426319936962</v>
      </c>
      <c r="AB1801" s="4">
        <f>YEAR(excelsalesdata[[#This Row],[Order_Date]])</f>
        <v>2030</v>
      </c>
      <c r="AC1801" s="4" t="str">
        <f>TEXT(excelsalesdata[[#This Row],[Order_Date]],"mmm")</f>
        <v>Mar</v>
      </c>
      <c r="AD1801" s="4" t="str">
        <f>"Q"&amp;ROUNDUP(MONTH(excelsalesdata[[#This Row],[Order_Date]])/3,0)</f>
        <v>Q1</v>
      </c>
    </row>
    <row r="1802" spans="1:30" x14ac:dyDescent="0.35">
      <c r="A1802" t="s">
        <v>2644</v>
      </c>
      <c r="B1802" s="3">
        <v>47560</v>
      </c>
      <c r="C1802" t="s">
        <v>715</v>
      </c>
      <c r="D1802" t="s">
        <v>1592</v>
      </c>
      <c r="E1802" t="str">
        <f>TRIM(excelsalesdata[[#This Row],[Customer_Name]])</f>
        <v>Aditya Iyer</v>
      </c>
      <c r="F1802" t="s">
        <v>44</v>
      </c>
      <c r="G1802">
        <v>55</v>
      </c>
      <c r="H1802" t="s">
        <v>168</v>
      </c>
      <c r="I1802" t="str">
        <f>TRIM(excelsalesdata[[#This Row],[City]])</f>
        <v>Delhi</v>
      </c>
      <c r="J1802" t="s">
        <v>168</v>
      </c>
      <c r="K1802" t="s">
        <v>61</v>
      </c>
      <c r="L1802" t="s">
        <v>103</v>
      </c>
      <c r="M1802" t="s">
        <v>312</v>
      </c>
      <c r="N1802" t="s">
        <v>312</v>
      </c>
      <c r="O1802">
        <v>1</v>
      </c>
      <c r="P1802">
        <v>6450</v>
      </c>
      <c r="Q1802">
        <v>0.05</v>
      </c>
      <c r="R1802">
        <v>4370</v>
      </c>
      <c r="S1802" t="s">
        <v>80</v>
      </c>
      <c r="T1802" t="s">
        <v>30</v>
      </c>
      <c r="U1802">
        <v>3</v>
      </c>
      <c r="V1802" t="s">
        <v>40</v>
      </c>
      <c r="W1802">
        <f>excelsalesdata[[#This Row],[Quantity]]*excelsalesdata[[#This Row],[Unit_Price]]</f>
        <v>6450</v>
      </c>
      <c r="X1802">
        <f>excelsalesdata[[#This Row],[Gross_sales]]*excelsalesdata[[#This Row],[Discount_%]]</f>
        <v>322.5</v>
      </c>
      <c r="Y1802">
        <f>excelsalesdata[[#This Row],[Gross_sales]]-excelsalesdata[[#This Row],[Discount_amt]]</f>
        <v>6127.5</v>
      </c>
      <c r="Z1802" s="4">
        <f>excelsalesdata[[#This Row],[Net_sales]]-excelsalesdata[[#This Row],[Cost]]</f>
        <v>1757.5</v>
      </c>
      <c r="AA1802" s="5">
        <f>excelsalesdata[[#This Row],[Profit]]/excelsalesdata[[#This Row],[Net_sales]]</f>
        <v>0.2868217054263566</v>
      </c>
      <c r="AB1802" s="4">
        <f>YEAR(excelsalesdata[[#This Row],[Order_Date]])</f>
        <v>2030</v>
      </c>
      <c r="AC1802" s="4" t="str">
        <f>TEXT(excelsalesdata[[#This Row],[Order_Date]],"mmm")</f>
        <v>Mar</v>
      </c>
      <c r="AD1802" s="4" t="str">
        <f>"Q"&amp;ROUNDUP(MONTH(excelsalesdata[[#This Row],[Order_Date]])/3,0)</f>
        <v>Q1</v>
      </c>
    </row>
    <row r="1803" spans="1:30" x14ac:dyDescent="0.35">
      <c r="A1803" t="s">
        <v>2645</v>
      </c>
      <c r="B1803" s="3">
        <v>47561</v>
      </c>
      <c r="C1803" t="s">
        <v>2517</v>
      </c>
      <c r="D1803" t="s">
        <v>132</v>
      </c>
      <c r="E1803" t="str">
        <f>TRIM(excelsalesdata[[#This Row],[Customer_Name]])</f>
        <v>Vivaan Das</v>
      </c>
      <c r="F1803" t="s">
        <v>23</v>
      </c>
      <c r="G1803">
        <v>22</v>
      </c>
      <c r="H1803" t="s">
        <v>114</v>
      </c>
      <c r="I1803" t="str">
        <f>TRIM(excelsalesdata[[#This Row],[City]])</f>
        <v>Hyderabad</v>
      </c>
      <c r="J1803" t="s">
        <v>115</v>
      </c>
      <c r="K1803" t="s">
        <v>47</v>
      </c>
      <c r="L1803" t="s">
        <v>103</v>
      </c>
      <c r="M1803" t="s">
        <v>238</v>
      </c>
      <c r="N1803" t="s">
        <v>238</v>
      </c>
      <c r="O1803">
        <v>1</v>
      </c>
      <c r="P1803">
        <v>4290</v>
      </c>
      <c r="Q1803">
        <v>0.15</v>
      </c>
      <c r="R1803">
        <v>2730</v>
      </c>
      <c r="S1803" t="s">
        <v>29</v>
      </c>
      <c r="T1803" t="s">
        <v>30</v>
      </c>
      <c r="U1803">
        <v>3</v>
      </c>
      <c r="V1803" t="s">
        <v>40</v>
      </c>
      <c r="W1803">
        <f>excelsalesdata[[#This Row],[Quantity]]*excelsalesdata[[#This Row],[Unit_Price]]</f>
        <v>4290</v>
      </c>
      <c r="X1803">
        <f>excelsalesdata[[#This Row],[Gross_sales]]*excelsalesdata[[#This Row],[Discount_%]]</f>
        <v>643.5</v>
      </c>
      <c r="Y1803">
        <f>excelsalesdata[[#This Row],[Gross_sales]]-excelsalesdata[[#This Row],[Discount_amt]]</f>
        <v>3646.5</v>
      </c>
      <c r="Z1803" s="4">
        <f>excelsalesdata[[#This Row],[Net_sales]]-excelsalesdata[[#This Row],[Cost]]</f>
        <v>916.5</v>
      </c>
      <c r="AA1803" s="5">
        <f>excelsalesdata[[#This Row],[Profit]]/excelsalesdata[[#This Row],[Net_sales]]</f>
        <v>0.25133689839572193</v>
      </c>
      <c r="AB1803" s="4">
        <f>YEAR(excelsalesdata[[#This Row],[Order_Date]])</f>
        <v>2030</v>
      </c>
      <c r="AC1803" s="4" t="str">
        <f>TEXT(excelsalesdata[[#This Row],[Order_Date]],"mmm")</f>
        <v>Mar</v>
      </c>
      <c r="AD1803" s="4" t="str">
        <f>"Q"&amp;ROUNDUP(MONTH(excelsalesdata[[#This Row],[Order_Date]])/3,0)</f>
        <v>Q1</v>
      </c>
    </row>
    <row r="1804" spans="1:30" x14ac:dyDescent="0.35">
      <c r="A1804" t="s">
        <v>2646</v>
      </c>
      <c r="B1804" s="3">
        <v>47562</v>
      </c>
      <c r="C1804" t="s">
        <v>2261</v>
      </c>
      <c r="D1804" t="s">
        <v>1256</v>
      </c>
      <c r="E1804" t="str">
        <f>TRIM(excelsalesdata[[#This Row],[Customer_Name]])</f>
        <v>Kavya Bhat</v>
      </c>
      <c r="F1804" t="s">
        <v>44</v>
      </c>
      <c r="G1804">
        <v>39</v>
      </c>
      <c r="H1804" t="s">
        <v>71</v>
      </c>
      <c r="I1804" t="str">
        <f>TRIM(excelsalesdata[[#This Row],[City]])</f>
        <v>Bhubaneswar</v>
      </c>
      <c r="J1804" t="s">
        <v>72</v>
      </c>
      <c r="K1804" t="s">
        <v>37</v>
      </c>
      <c r="L1804" t="s">
        <v>54</v>
      </c>
      <c r="M1804" t="s">
        <v>66</v>
      </c>
      <c r="N1804" t="s">
        <v>66</v>
      </c>
      <c r="O1804">
        <v>1</v>
      </c>
      <c r="P1804">
        <v>2350</v>
      </c>
      <c r="Q1804">
        <v>0</v>
      </c>
      <c r="R1804">
        <v>1570</v>
      </c>
      <c r="S1804" t="s">
        <v>151</v>
      </c>
      <c r="T1804" t="s">
        <v>30</v>
      </c>
      <c r="U1804">
        <v>2</v>
      </c>
      <c r="V1804" t="s">
        <v>40</v>
      </c>
      <c r="W1804">
        <f>excelsalesdata[[#This Row],[Quantity]]*excelsalesdata[[#This Row],[Unit_Price]]</f>
        <v>2350</v>
      </c>
      <c r="X1804">
        <f>excelsalesdata[[#This Row],[Gross_sales]]*excelsalesdata[[#This Row],[Discount_%]]</f>
        <v>0</v>
      </c>
      <c r="Y1804">
        <f>excelsalesdata[[#This Row],[Gross_sales]]-excelsalesdata[[#This Row],[Discount_amt]]</f>
        <v>2350</v>
      </c>
      <c r="Z1804" s="4">
        <f>excelsalesdata[[#This Row],[Net_sales]]-excelsalesdata[[#This Row],[Cost]]</f>
        <v>780</v>
      </c>
      <c r="AA1804" s="5">
        <f>excelsalesdata[[#This Row],[Profit]]/excelsalesdata[[#This Row],[Net_sales]]</f>
        <v>0.33191489361702126</v>
      </c>
      <c r="AB1804" s="4">
        <f>YEAR(excelsalesdata[[#This Row],[Order_Date]])</f>
        <v>2030</v>
      </c>
      <c r="AC1804" s="4" t="str">
        <f>TEXT(excelsalesdata[[#This Row],[Order_Date]],"mmm")</f>
        <v>Mar</v>
      </c>
      <c r="AD1804" s="4" t="str">
        <f>"Q"&amp;ROUNDUP(MONTH(excelsalesdata[[#This Row],[Order_Date]])/3,0)</f>
        <v>Q1</v>
      </c>
    </row>
    <row r="1805" spans="1:30" x14ac:dyDescent="0.35">
      <c r="A1805" t="s">
        <v>2647</v>
      </c>
      <c r="B1805" s="3">
        <v>47563</v>
      </c>
      <c r="C1805" t="s">
        <v>389</v>
      </c>
      <c r="D1805" t="s">
        <v>108</v>
      </c>
      <c r="E1805" t="str">
        <f>TRIM(excelsalesdata[[#This Row],[Customer_Name]])</f>
        <v>Vikram Sharma</v>
      </c>
      <c r="F1805" t="s">
        <v>23</v>
      </c>
      <c r="G1805">
        <v>54</v>
      </c>
      <c r="H1805" t="s">
        <v>185</v>
      </c>
      <c r="I1805" t="str">
        <f>TRIM(excelsalesdata[[#This Row],[City]])</f>
        <v>Lucknow</v>
      </c>
      <c r="J1805" t="s">
        <v>186</v>
      </c>
      <c r="K1805" t="s">
        <v>61</v>
      </c>
      <c r="L1805" t="s">
        <v>38</v>
      </c>
      <c r="M1805" t="s">
        <v>255</v>
      </c>
      <c r="N1805" t="s">
        <v>255</v>
      </c>
      <c r="O1805">
        <v>2</v>
      </c>
      <c r="P1805">
        <v>4170</v>
      </c>
      <c r="Q1805">
        <v>0</v>
      </c>
      <c r="R1805">
        <v>2790</v>
      </c>
      <c r="S1805" t="s">
        <v>105</v>
      </c>
      <c r="T1805" t="s">
        <v>30</v>
      </c>
      <c r="U1805">
        <v>2</v>
      </c>
      <c r="V1805" t="s">
        <v>40</v>
      </c>
      <c r="W1805">
        <f>excelsalesdata[[#This Row],[Quantity]]*excelsalesdata[[#This Row],[Unit_Price]]</f>
        <v>8340</v>
      </c>
      <c r="X1805">
        <f>excelsalesdata[[#This Row],[Gross_sales]]*excelsalesdata[[#This Row],[Discount_%]]</f>
        <v>0</v>
      </c>
      <c r="Y1805">
        <f>excelsalesdata[[#This Row],[Gross_sales]]-excelsalesdata[[#This Row],[Discount_amt]]</f>
        <v>8340</v>
      </c>
      <c r="Z1805" s="4">
        <f>excelsalesdata[[#This Row],[Net_sales]]-excelsalesdata[[#This Row],[Cost]]</f>
        <v>5550</v>
      </c>
      <c r="AA1805" s="5">
        <f>excelsalesdata[[#This Row],[Profit]]/excelsalesdata[[#This Row],[Net_sales]]</f>
        <v>0.66546762589928055</v>
      </c>
      <c r="AB1805" s="4">
        <f>YEAR(excelsalesdata[[#This Row],[Order_Date]])</f>
        <v>2030</v>
      </c>
      <c r="AC1805" s="4" t="str">
        <f>TEXT(excelsalesdata[[#This Row],[Order_Date]],"mmm")</f>
        <v>Mar</v>
      </c>
      <c r="AD1805" s="4" t="str">
        <f>"Q"&amp;ROUNDUP(MONTH(excelsalesdata[[#This Row],[Order_Date]])/3,0)</f>
        <v>Q1</v>
      </c>
    </row>
    <row r="1806" spans="1:30" x14ac:dyDescent="0.35">
      <c r="A1806" t="s">
        <v>2648</v>
      </c>
      <c r="B1806" s="3">
        <v>47564</v>
      </c>
      <c r="C1806" t="s">
        <v>724</v>
      </c>
      <c r="D1806" t="s">
        <v>141</v>
      </c>
      <c r="E1806" t="str">
        <f>TRIM(excelsalesdata[[#This Row],[Customer_Name]])</f>
        <v>Aarav Kumar</v>
      </c>
      <c r="F1806" t="s">
        <v>44</v>
      </c>
      <c r="G1806">
        <v>44</v>
      </c>
      <c r="H1806" t="s">
        <v>109</v>
      </c>
      <c r="I1806" t="str">
        <f>TRIM(excelsalesdata[[#This Row],[City]])</f>
        <v>Mysuru</v>
      </c>
      <c r="J1806" t="s">
        <v>53</v>
      </c>
      <c r="K1806" t="s">
        <v>47</v>
      </c>
      <c r="L1806" t="s">
        <v>54</v>
      </c>
      <c r="M1806" t="s">
        <v>55</v>
      </c>
      <c r="N1806" t="s">
        <v>55</v>
      </c>
      <c r="O1806">
        <v>1</v>
      </c>
      <c r="P1806">
        <v>7070</v>
      </c>
      <c r="Q1806">
        <v>0.2</v>
      </c>
      <c r="R1806">
        <v>4380</v>
      </c>
      <c r="S1806" t="s">
        <v>67</v>
      </c>
      <c r="T1806" t="s">
        <v>81</v>
      </c>
      <c r="U1806">
        <v>0</v>
      </c>
      <c r="V1806" t="s">
        <v>40</v>
      </c>
      <c r="W1806">
        <f>excelsalesdata[[#This Row],[Quantity]]*excelsalesdata[[#This Row],[Unit_Price]]</f>
        <v>7070</v>
      </c>
      <c r="X1806">
        <f>excelsalesdata[[#This Row],[Gross_sales]]*excelsalesdata[[#This Row],[Discount_%]]</f>
        <v>1414</v>
      </c>
      <c r="Y1806">
        <f>excelsalesdata[[#This Row],[Gross_sales]]-excelsalesdata[[#This Row],[Discount_amt]]</f>
        <v>5656</v>
      </c>
      <c r="Z1806" s="4">
        <f>excelsalesdata[[#This Row],[Net_sales]]-excelsalesdata[[#This Row],[Cost]]</f>
        <v>1276</v>
      </c>
      <c r="AA1806" s="5">
        <f>excelsalesdata[[#This Row],[Profit]]/excelsalesdata[[#This Row],[Net_sales]]</f>
        <v>0.22560113154172559</v>
      </c>
      <c r="AB1806" s="4">
        <f>YEAR(excelsalesdata[[#This Row],[Order_Date]])</f>
        <v>2030</v>
      </c>
      <c r="AC1806" s="4" t="str">
        <f>TEXT(excelsalesdata[[#This Row],[Order_Date]],"mmm")</f>
        <v>Mar</v>
      </c>
      <c r="AD1806" s="4" t="str">
        <f>"Q"&amp;ROUNDUP(MONTH(excelsalesdata[[#This Row],[Order_Date]])/3,0)</f>
        <v>Q1</v>
      </c>
    </row>
    <row r="1807" spans="1:30" x14ac:dyDescent="0.35">
      <c r="A1807" t="s">
        <v>2649</v>
      </c>
      <c r="B1807" s="3">
        <v>47565</v>
      </c>
      <c r="C1807" t="s">
        <v>2111</v>
      </c>
      <c r="D1807" t="s">
        <v>499</v>
      </c>
      <c r="E1807" t="str">
        <f>TRIM(excelsalesdata[[#This Row],[Customer_Name]])</f>
        <v>Aditya Nair</v>
      </c>
      <c r="F1807" t="s">
        <v>23</v>
      </c>
      <c r="G1807">
        <v>49</v>
      </c>
      <c r="H1807" t="s">
        <v>185</v>
      </c>
      <c r="I1807" t="str">
        <f>TRIM(excelsalesdata[[#This Row],[City]])</f>
        <v>Lucknow</v>
      </c>
      <c r="J1807" t="s">
        <v>186</v>
      </c>
      <c r="K1807" t="s">
        <v>61</v>
      </c>
      <c r="L1807" t="s">
        <v>27</v>
      </c>
      <c r="M1807" t="s">
        <v>195</v>
      </c>
      <c r="N1807" t="s">
        <v>195</v>
      </c>
      <c r="O1807">
        <v>1</v>
      </c>
      <c r="P1807">
        <v>2190</v>
      </c>
      <c r="Q1807">
        <v>0.15</v>
      </c>
      <c r="R1807">
        <v>1250</v>
      </c>
      <c r="S1807" t="s">
        <v>105</v>
      </c>
      <c r="T1807" t="s">
        <v>74</v>
      </c>
      <c r="U1807">
        <v>6</v>
      </c>
      <c r="V1807" t="s">
        <v>40</v>
      </c>
      <c r="W1807">
        <f>excelsalesdata[[#This Row],[Quantity]]*excelsalesdata[[#This Row],[Unit_Price]]</f>
        <v>2190</v>
      </c>
      <c r="X1807">
        <f>excelsalesdata[[#This Row],[Gross_sales]]*excelsalesdata[[#This Row],[Discount_%]]</f>
        <v>328.5</v>
      </c>
      <c r="Y1807">
        <f>excelsalesdata[[#This Row],[Gross_sales]]-excelsalesdata[[#This Row],[Discount_amt]]</f>
        <v>1861.5</v>
      </c>
      <c r="Z1807" s="4">
        <f>excelsalesdata[[#This Row],[Net_sales]]-excelsalesdata[[#This Row],[Cost]]</f>
        <v>611.5</v>
      </c>
      <c r="AA1807" s="5">
        <f>excelsalesdata[[#This Row],[Profit]]/excelsalesdata[[#This Row],[Net_sales]]</f>
        <v>0.32849852269674995</v>
      </c>
      <c r="AB1807" s="4">
        <f>YEAR(excelsalesdata[[#This Row],[Order_Date]])</f>
        <v>2030</v>
      </c>
      <c r="AC1807" s="4" t="str">
        <f>TEXT(excelsalesdata[[#This Row],[Order_Date]],"mmm")</f>
        <v>Mar</v>
      </c>
      <c r="AD1807" s="4" t="str">
        <f>"Q"&amp;ROUNDUP(MONTH(excelsalesdata[[#This Row],[Order_Date]])/3,0)</f>
        <v>Q1</v>
      </c>
    </row>
    <row r="1808" spans="1:30" x14ac:dyDescent="0.35">
      <c r="A1808" t="s">
        <v>2650</v>
      </c>
      <c r="B1808" s="3">
        <v>47566</v>
      </c>
      <c r="C1808" t="s">
        <v>599</v>
      </c>
      <c r="D1808" t="s">
        <v>219</v>
      </c>
      <c r="E1808" t="str">
        <f>TRIM(excelsalesdata[[#This Row],[Customer_Name]])</f>
        <v>Rohan Patel</v>
      </c>
      <c r="F1808" t="s">
        <v>44</v>
      </c>
      <c r="G1808">
        <v>41</v>
      </c>
      <c r="H1808" t="s">
        <v>133</v>
      </c>
      <c r="I1808" t="str">
        <f>TRIM(excelsalesdata[[#This Row],[City]])</f>
        <v>Jaipur</v>
      </c>
      <c r="J1808" t="s">
        <v>134</v>
      </c>
      <c r="K1808" t="s">
        <v>61</v>
      </c>
      <c r="L1808" t="s">
        <v>54</v>
      </c>
      <c r="M1808" t="s">
        <v>129</v>
      </c>
      <c r="N1808" t="s">
        <v>129</v>
      </c>
      <c r="O1808">
        <v>3</v>
      </c>
      <c r="P1808">
        <v>19370</v>
      </c>
      <c r="Q1808">
        <v>0</v>
      </c>
      <c r="R1808">
        <v>12890</v>
      </c>
      <c r="S1808" t="s">
        <v>67</v>
      </c>
      <c r="T1808" t="s">
        <v>30</v>
      </c>
      <c r="U1808">
        <v>3</v>
      </c>
      <c r="V1808" t="s">
        <v>31</v>
      </c>
      <c r="W1808">
        <f>excelsalesdata[[#This Row],[Quantity]]*excelsalesdata[[#This Row],[Unit_Price]]</f>
        <v>58110</v>
      </c>
      <c r="X1808">
        <f>excelsalesdata[[#This Row],[Gross_sales]]*excelsalesdata[[#This Row],[Discount_%]]</f>
        <v>0</v>
      </c>
      <c r="Y1808">
        <f>excelsalesdata[[#This Row],[Gross_sales]]-excelsalesdata[[#This Row],[Discount_amt]]</f>
        <v>58110</v>
      </c>
      <c r="Z1808" s="4">
        <f>excelsalesdata[[#This Row],[Net_sales]]-excelsalesdata[[#This Row],[Cost]]</f>
        <v>45220</v>
      </c>
      <c r="AA1808" s="5">
        <f>excelsalesdata[[#This Row],[Profit]]/excelsalesdata[[#This Row],[Net_sales]]</f>
        <v>0.77817931509206673</v>
      </c>
      <c r="AB1808" s="4">
        <f>YEAR(excelsalesdata[[#This Row],[Order_Date]])</f>
        <v>2030</v>
      </c>
      <c r="AC1808" s="4" t="str">
        <f>TEXT(excelsalesdata[[#This Row],[Order_Date]],"mmm")</f>
        <v>Mar</v>
      </c>
      <c r="AD1808" s="4" t="str">
        <f>"Q"&amp;ROUNDUP(MONTH(excelsalesdata[[#This Row],[Order_Date]])/3,0)</f>
        <v>Q1</v>
      </c>
    </row>
    <row r="1809" spans="1:30" x14ac:dyDescent="0.35">
      <c r="A1809" t="s">
        <v>2651</v>
      </c>
      <c r="B1809" s="3">
        <v>47567</v>
      </c>
      <c r="C1809" t="s">
        <v>1131</v>
      </c>
      <c r="D1809" t="s">
        <v>1381</v>
      </c>
      <c r="E1809" t="str">
        <f>TRIM(excelsalesdata[[#This Row],[Customer_Name]])</f>
        <v>Aditya Joshi</v>
      </c>
      <c r="F1809" t="s">
        <v>44</v>
      </c>
      <c r="G1809">
        <v>19</v>
      </c>
      <c r="H1809" t="s">
        <v>185</v>
      </c>
      <c r="I1809" t="str">
        <f>TRIM(excelsalesdata[[#This Row],[City]])</f>
        <v>Lucknow</v>
      </c>
      <c r="J1809" t="s">
        <v>186</v>
      </c>
      <c r="K1809" t="s">
        <v>61</v>
      </c>
      <c r="L1809" t="s">
        <v>93</v>
      </c>
      <c r="M1809" t="s">
        <v>94</v>
      </c>
      <c r="N1809" t="s">
        <v>94</v>
      </c>
      <c r="O1809">
        <v>4</v>
      </c>
      <c r="P1809">
        <v>520</v>
      </c>
      <c r="Q1809">
        <v>0</v>
      </c>
      <c r="R1809">
        <v>240</v>
      </c>
      <c r="S1809" t="s">
        <v>151</v>
      </c>
      <c r="T1809" t="s">
        <v>30</v>
      </c>
      <c r="U1809">
        <v>4</v>
      </c>
      <c r="V1809" t="s">
        <v>40</v>
      </c>
      <c r="W1809">
        <f>excelsalesdata[[#This Row],[Quantity]]*excelsalesdata[[#This Row],[Unit_Price]]</f>
        <v>2080</v>
      </c>
      <c r="X1809">
        <f>excelsalesdata[[#This Row],[Gross_sales]]*excelsalesdata[[#This Row],[Discount_%]]</f>
        <v>0</v>
      </c>
      <c r="Y1809">
        <f>excelsalesdata[[#This Row],[Gross_sales]]-excelsalesdata[[#This Row],[Discount_amt]]</f>
        <v>2080</v>
      </c>
      <c r="Z1809" s="4">
        <f>excelsalesdata[[#This Row],[Net_sales]]-excelsalesdata[[#This Row],[Cost]]</f>
        <v>1840</v>
      </c>
      <c r="AA1809" s="5">
        <f>excelsalesdata[[#This Row],[Profit]]/excelsalesdata[[#This Row],[Net_sales]]</f>
        <v>0.88461538461538458</v>
      </c>
      <c r="AB1809" s="4">
        <f>YEAR(excelsalesdata[[#This Row],[Order_Date]])</f>
        <v>2030</v>
      </c>
      <c r="AC1809" s="4" t="str">
        <f>TEXT(excelsalesdata[[#This Row],[Order_Date]],"mmm")</f>
        <v>Mar</v>
      </c>
      <c r="AD1809" s="4" t="str">
        <f>"Q"&amp;ROUNDUP(MONTH(excelsalesdata[[#This Row],[Order_Date]])/3,0)</f>
        <v>Q1</v>
      </c>
    </row>
    <row r="1810" spans="1:30" x14ac:dyDescent="0.35">
      <c r="A1810" t="s">
        <v>2652</v>
      </c>
      <c r="B1810" s="3">
        <v>47568</v>
      </c>
      <c r="C1810" t="s">
        <v>1426</v>
      </c>
      <c r="D1810" t="s">
        <v>34</v>
      </c>
      <c r="E1810" t="str">
        <f>TRIM(excelsalesdata[[#This Row],[Customer_Name]])</f>
        <v>Priya Singh</v>
      </c>
      <c r="F1810" t="s">
        <v>44</v>
      </c>
      <c r="G1810">
        <v>33</v>
      </c>
      <c r="H1810" t="s">
        <v>190</v>
      </c>
      <c r="I1810" t="str">
        <f>TRIM(excelsalesdata[[#This Row],[City]])</f>
        <v>Ahmedabad</v>
      </c>
      <c r="J1810" t="s">
        <v>191</v>
      </c>
      <c r="K1810" t="s">
        <v>26</v>
      </c>
      <c r="L1810" t="s">
        <v>27</v>
      </c>
      <c r="M1810" t="s">
        <v>195</v>
      </c>
      <c r="N1810" t="s">
        <v>195</v>
      </c>
      <c r="O1810">
        <v>1</v>
      </c>
      <c r="P1810">
        <v>2150</v>
      </c>
      <c r="Q1810">
        <v>0</v>
      </c>
      <c r="R1810">
        <v>1180</v>
      </c>
      <c r="S1810" t="s">
        <v>29</v>
      </c>
      <c r="T1810" t="s">
        <v>81</v>
      </c>
      <c r="U1810">
        <v>0</v>
      </c>
      <c r="V1810" t="s">
        <v>40</v>
      </c>
      <c r="W1810">
        <f>excelsalesdata[[#This Row],[Quantity]]*excelsalesdata[[#This Row],[Unit_Price]]</f>
        <v>2150</v>
      </c>
      <c r="X1810">
        <f>excelsalesdata[[#This Row],[Gross_sales]]*excelsalesdata[[#This Row],[Discount_%]]</f>
        <v>0</v>
      </c>
      <c r="Y1810">
        <f>excelsalesdata[[#This Row],[Gross_sales]]-excelsalesdata[[#This Row],[Discount_amt]]</f>
        <v>2150</v>
      </c>
      <c r="Z1810" s="4">
        <f>excelsalesdata[[#This Row],[Net_sales]]-excelsalesdata[[#This Row],[Cost]]</f>
        <v>970</v>
      </c>
      <c r="AA1810" s="5">
        <f>excelsalesdata[[#This Row],[Profit]]/excelsalesdata[[#This Row],[Net_sales]]</f>
        <v>0.4511627906976744</v>
      </c>
      <c r="AB1810" s="4">
        <f>YEAR(excelsalesdata[[#This Row],[Order_Date]])</f>
        <v>2030</v>
      </c>
      <c r="AC1810" s="4" t="str">
        <f>TEXT(excelsalesdata[[#This Row],[Order_Date]],"mmm")</f>
        <v>Mar</v>
      </c>
      <c r="AD1810" s="4" t="str">
        <f>"Q"&amp;ROUNDUP(MONTH(excelsalesdata[[#This Row],[Order_Date]])/3,0)</f>
        <v>Q1</v>
      </c>
    </row>
    <row r="1811" spans="1:30" x14ac:dyDescent="0.35">
      <c r="A1811" t="s">
        <v>2653</v>
      </c>
      <c r="B1811" s="3">
        <v>47569</v>
      </c>
      <c r="C1811" t="s">
        <v>1189</v>
      </c>
      <c r="D1811" t="s">
        <v>1528</v>
      </c>
      <c r="E1811" t="str">
        <f>TRIM(excelsalesdata[[#This Row],[Customer_Name]])</f>
        <v>Nisha Patel</v>
      </c>
      <c r="F1811" t="s">
        <v>44</v>
      </c>
      <c r="G1811">
        <v>49</v>
      </c>
      <c r="H1811" t="s">
        <v>114</v>
      </c>
      <c r="I1811" t="str">
        <f>TRIM(excelsalesdata[[#This Row],[City]])</f>
        <v>Hyderabad</v>
      </c>
      <c r="J1811" t="s">
        <v>115</v>
      </c>
      <c r="K1811" t="s">
        <v>47</v>
      </c>
      <c r="L1811" t="s">
        <v>38</v>
      </c>
      <c r="M1811" t="s">
        <v>73</v>
      </c>
      <c r="N1811" t="s">
        <v>73</v>
      </c>
      <c r="O1811">
        <v>3</v>
      </c>
      <c r="P1811">
        <v>5050</v>
      </c>
      <c r="Q1811">
        <v>0.2</v>
      </c>
      <c r="R1811">
        <v>3170</v>
      </c>
      <c r="S1811" t="s">
        <v>80</v>
      </c>
      <c r="T1811" t="s">
        <v>30</v>
      </c>
      <c r="U1811">
        <v>1</v>
      </c>
      <c r="V1811" t="s">
        <v>40</v>
      </c>
      <c r="W1811">
        <f>excelsalesdata[[#This Row],[Quantity]]*excelsalesdata[[#This Row],[Unit_Price]]</f>
        <v>15150</v>
      </c>
      <c r="X1811">
        <f>excelsalesdata[[#This Row],[Gross_sales]]*excelsalesdata[[#This Row],[Discount_%]]</f>
        <v>3030</v>
      </c>
      <c r="Y1811">
        <f>excelsalesdata[[#This Row],[Gross_sales]]-excelsalesdata[[#This Row],[Discount_amt]]</f>
        <v>12120</v>
      </c>
      <c r="Z1811" s="4">
        <f>excelsalesdata[[#This Row],[Net_sales]]-excelsalesdata[[#This Row],[Cost]]</f>
        <v>8950</v>
      </c>
      <c r="AA1811" s="5">
        <f>excelsalesdata[[#This Row],[Profit]]/excelsalesdata[[#This Row],[Net_sales]]</f>
        <v>0.73844884488448848</v>
      </c>
      <c r="AB1811" s="4">
        <f>YEAR(excelsalesdata[[#This Row],[Order_Date]])</f>
        <v>2030</v>
      </c>
      <c r="AC1811" s="4" t="str">
        <f>TEXT(excelsalesdata[[#This Row],[Order_Date]],"mmm")</f>
        <v>Mar</v>
      </c>
      <c r="AD1811" s="4" t="str">
        <f>"Q"&amp;ROUNDUP(MONTH(excelsalesdata[[#This Row],[Order_Date]])/3,0)</f>
        <v>Q1</v>
      </c>
    </row>
    <row r="1812" spans="1:30" x14ac:dyDescent="0.35">
      <c r="A1812" t="s">
        <v>2654</v>
      </c>
      <c r="B1812" s="3">
        <v>47570</v>
      </c>
      <c r="C1812" t="s">
        <v>1023</v>
      </c>
      <c r="D1812" t="s">
        <v>132</v>
      </c>
      <c r="E1812" t="str">
        <f>TRIM(excelsalesdata[[#This Row],[Customer_Name]])</f>
        <v>Vivaan Das</v>
      </c>
      <c r="F1812" t="s">
        <v>23</v>
      </c>
      <c r="G1812">
        <v>23</v>
      </c>
      <c r="H1812" t="s">
        <v>168</v>
      </c>
      <c r="I1812" t="str">
        <f>TRIM(excelsalesdata[[#This Row],[City]])</f>
        <v>Delhi</v>
      </c>
      <c r="J1812" t="s">
        <v>168</v>
      </c>
      <c r="K1812" t="s">
        <v>61</v>
      </c>
      <c r="L1812" t="s">
        <v>38</v>
      </c>
      <c r="M1812" t="s">
        <v>161</v>
      </c>
      <c r="N1812" t="s">
        <v>161</v>
      </c>
      <c r="O1812">
        <v>1</v>
      </c>
      <c r="P1812">
        <v>28210</v>
      </c>
      <c r="Q1812">
        <v>0.1</v>
      </c>
      <c r="R1812">
        <v>20960</v>
      </c>
      <c r="S1812" t="s">
        <v>29</v>
      </c>
      <c r="T1812" t="s">
        <v>81</v>
      </c>
      <c r="U1812">
        <v>0</v>
      </c>
      <c r="V1812" t="s">
        <v>40</v>
      </c>
      <c r="W1812">
        <f>excelsalesdata[[#This Row],[Quantity]]*excelsalesdata[[#This Row],[Unit_Price]]</f>
        <v>28210</v>
      </c>
      <c r="X1812">
        <f>excelsalesdata[[#This Row],[Gross_sales]]*excelsalesdata[[#This Row],[Discount_%]]</f>
        <v>2821</v>
      </c>
      <c r="Y1812">
        <f>excelsalesdata[[#This Row],[Gross_sales]]-excelsalesdata[[#This Row],[Discount_amt]]</f>
        <v>25389</v>
      </c>
      <c r="Z1812" s="4">
        <f>excelsalesdata[[#This Row],[Net_sales]]-excelsalesdata[[#This Row],[Cost]]</f>
        <v>4429</v>
      </c>
      <c r="AA1812" s="5">
        <f>excelsalesdata[[#This Row],[Profit]]/excelsalesdata[[#This Row],[Net_sales]]</f>
        <v>0.17444562605852929</v>
      </c>
      <c r="AB1812" s="4">
        <f>YEAR(excelsalesdata[[#This Row],[Order_Date]])</f>
        <v>2030</v>
      </c>
      <c r="AC1812" s="4" t="str">
        <f>TEXT(excelsalesdata[[#This Row],[Order_Date]],"mmm")</f>
        <v>Mar</v>
      </c>
      <c r="AD1812" s="4" t="str">
        <f>"Q"&amp;ROUNDUP(MONTH(excelsalesdata[[#This Row],[Order_Date]])/3,0)</f>
        <v>Q1</v>
      </c>
    </row>
    <row r="1813" spans="1:30" x14ac:dyDescent="0.35">
      <c r="A1813" t="s">
        <v>2655</v>
      </c>
      <c r="B1813" s="3">
        <v>47571</v>
      </c>
      <c r="C1813" t="s">
        <v>832</v>
      </c>
      <c r="D1813" t="s">
        <v>786</v>
      </c>
      <c r="E1813" t="str">
        <f>TRIM(excelsalesdata[[#This Row],[Customer_Name]])</f>
        <v>Aarav Patel</v>
      </c>
      <c r="F1813" t="s">
        <v>44</v>
      </c>
      <c r="G1813">
        <v>42</v>
      </c>
      <c r="H1813" t="s">
        <v>78</v>
      </c>
      <c r="I1813" t="str">
        <f>TRIM(excelsalesdata[[#This Row],[City]])</f>
        <v>Guwahati</v>
      </c>
      <c r="J1813" t="s">
        <v>79</v>
      </c>
      <c r="K1813" t="s">
        <v>37</v>
      </c>
      <c r="L1813" t="s">
        <v>27</v>
      </c>
      <c r="M1813" t="s">
        <v>48</v>
      </c>
      <c r="N1813" t="s">
        <v>48</v>
      </c>
      <c r="O1813">
        <v>3</v>
      </c>
      <c r="P1813">
        <v>890</v>
      </c>
      <c r="Q1813">
        <v>0.05</v>
      </c>
      <c r="R1813">
        <v>440</v>
      </c>
      <c r="S1813" t="s">
        <v>80</v>
      </c>
      <c r="T1813" t="s">
        <v>30</v>
      </c>
      <c r="U1813">
        <v>6</v>
      </c>
      <c r="V1813" t="s">
        <v>40</v>
      </c>
      <c r="W1813">
        <f>excelsalesdata[[#This Row],[Quantity]]*excelsalesdata[[#This Row],[Unit_Price]]</f>
        <v>2670</v>
      </c>
      <c r="X1813">
        <f>excelsalesdata[[#This Row],[Gross_sales]]*excelsalesdata[[#This Row],[Discount_%]]</f>
        <v>133.5</v>
      </c>
      <c r="Y1813">
        <f>excelsalesdata[[#This Row],[Gross_sales]]-excelsalesdata[[#This Row],[Discount_amt]]</f>
        <v>2536.5</v>
      </c>
      <c r="Z1813" s="4">
        <f>excelsalesdata[[#This Row],[Net_sales]]-excelsalesdata[[#This Row],[Cost]]</f>
        <v>2096.5</v>
      </c>
      <c r="AA1813" s="5">
        <f>excelsalesdata[[#This Row],[Profit]]/excelsalesdata[[#This Row],[Net_sales]]</f>
        <v>0.82653262369406666</v>
      </c>
      <c r="AB1813" s="4">
        <f>YEAR(excelsalesdata[[#This Row],[Order_Date]])</f>
        <v>2030</v>
      </c>
      <c r="AC1813" s="4" t="str">
        <f>TEXT(excelsalesdata[[#This Row],[Order_Date]],"mmm")</f>
        <v>Mar</v>
      </c>
      <c r="AD1813" s="4" t="str">
        <f>"Q"&amp;ROUNDUP(MONTH(excelsalesdata[[#This Row],[Order_Date]])/3,0)</f>
        <v>Q1</v>
      </c>
    </row>
    <row r="1814" spans="1:30" x14ac:dyDescent="0.35">
      <c r="A1814" t="s">
        <v>2656</v>
      </c>
      <c r="B1814" s="3">
        <v>47572</v>
      </c>
      <c r="C1814" t="s">
        <v>121</v>
      </c>
      <c r="D1814" t="s">
        <v>755</v>
      </c>
      <c r="E1814" t="str">
        <f>TRIM(excelsalesdata[[#This Row],[Customer_Name]])</f>
        <v>Rahul Singh</v>
      </c>
      <c r="F1814" t="s">
        <v>44</v>
      </c>
      <c r="G1814">
        <v>56</v>
      </c>
      <c r="H1814" t="s">
        <v>78</v>
      </c>
      <c r="I1814" t="str">
        <f>TRIM(excelsalesdata[[#This Row],[City]])</f>
        <v>Guwahati</v>
      </c>
      <c r="J1814" t="s">
        <v>79</v>
      </c>
      <c r="K1814" t="s">
        <v>37</v>
      </c>
      <c r="L1814" t="s">
        <v>27</v>
      </c>
      <c r="M1814" t="s">
        <v>295</v>
      </c>
      <c r="N1814" t="s">
        <v>295</v>
      </c>
      <c r="O1814">
        <v>1</v>
      </c>
      <c r="P1814">
        <v>4360</v>
      </c>
      <c r="Q1814">
        <v>0.2</v>
      </c>
      <c r="R1814">
        <v>2610</v>
      </c>
      <c r="S1814" t="s">
        <v>80</v>
      </c>
      <c r="T1814" t="s">
        <v>74</v>
      </c>
      <c r="U1814">
        <v>2</v>
      </c>
      <c r="V1814" t="s">
        <v>31</v>
      </c>
      <c r="W1814">
        <f>excelsalesdata[[#This Row],[Quantity]]*excelsalesdata[[#This Row],[Unit_Price]]</f>
        <v>4360</v>
      </c>
      <c r="X1814">
        <f>excelsalesdata[[#This Row],[Gross_sales]]*excelsalesdata[[#This Row],[Discount_%]]</f>
        <v>872</v>
      </c>
      <c r="Y1814">
        <f>excelsalesdata[[#This Row],[Gross_sales]]-excelsalesdata[[#This Row],[Discount_amt]]</f>
        <v>3488</v>
      </c>
      <c r="Z1814" s="4">
        <f>excelsalesdata[[#This Row],[Net_sales]]-excelsalesdata[[#This Row],[Cost]]</f>
        <v>878</v>
      </c>
      <c r="AA1814" s="5">
        <f>excelsalesdata[[#This Row],[Profit]]/excelsalesdata[[#This Row],[Net_sales]]</f>
        <v>0.25172018348623854</v>
      </c>
      <c r="AB1814" s="4">
        <f>YEAR(excelsalesdata[[#This Row],[Order_Date]])</f>
        <v>2030</v>
      </c>
      <c r="AC1814" s="4" t="str">
        <f>TEXT(excelsalesdata[[#This Row],[Order_Date]],"mmm")</f>
        <v>Mar</v>
      </c>
      <c r="AD1814" s="4" t="str">
        <f>"Q"&amp;ROUNDUP(MONTH(excelsalesdata[[#This Row],[Order_Date]])/3,0)</f>
        <v>Q1</v>
      </c>
    </row>
    <row r="1815" spans="1:30" x14ac:dyDescent="0.35">
      <c r="A1815" t="s">
        <v>2657</v>
      </c>
      <c r="B1815" s="3">
        <v>47573</v>
      </c>
      <c r="C1815" t="s">
        <v>789</v>
      </c>
      <c r="D1815" t="s">
        <v>806</v>
      </c>
      <c r="E1815" t="str">
        <f>TRIM(excelsalesdata[[#This Row],[Customer_Name]])</f>
        <v>Karan Patel</v>
      </c>
      <c r="F1815" t="s">
        <v>44</v>
      </c>
      <c r="G1815">
        <v>49</v>
      </c>
      <c r="H1815" t="s">
        <v>190</v>
      </c>
      <c r="I1815" t="str">
        <f>TRIM(excelsalesdata[[#This Row],[City]])</f>
        <v>Ahmedabad</v>
      </c>
      <c r="J1815" t="s">
        <v>191</v>
      </c>
      <c r="K1815" t="s">
        <v>26</v>
      </c>
      <c r="L1815" t="s">
        <v>27</v>
      </c>
      <c r="M1815" t="s">
        <v>195</v>
      </c>
      <c r="N1815" t="s">
        <v>195</v>
      </c>
      <c r="O1815">
        <v>2</v>
      </c>
      <c r="P1815">
        <v>2320</v>
      </c>
      <c r="Q1815">
        <v>0.1</v>
      </c>
      <c r="R1815">
        <v>1140</v>
      </c>
      <c r="S1815" t="s">
        <v>67</v>
      </c>
      <c r="T1815" t="s">
        <v>30</v>
      </c>
      <c r="U1815">
        <v>3</v>
      </c>
      <c r="V1815" t="s">
        <v>40</v>
      </c>
      <c r="W1815">
        <f>excelsalesdata[[#This Row],[Quantity]]*excelsalesdata[[#This Row],[Unit_Price]]</f>
        <v>4640</v>
      </c>
      <c r="X1815">
        <f>excelsalesdata[[#This Row],[Gross_sales]]*excelsalesdata[[#This Row],[Discount_%]]</f>
        <v>464</v>
      </c>
      <c r="Y1815">
        <f>excelsalesdata[[#This Row],[Gross_sales]]-excelsalesdata[[#This Row],[Discount_amt]]</f>
        <v>4176</v>
      </c>
      <c r="Z1815" s="4">
        <f>excelsalesdata[[#This Row],[Net_sales]]-excelsalesdata[[#This Row],[Cost]]</f>
        <v>3036</v>
      </c>
      <c r="AA1815" s="5">
        <f>excelsalesdata[[#This Row],[Profit]]/excelsalesdata[[#This Row],[Net_sales]]</f>
        <v>0.72701149425287359</v>
      </c>
      <c r="AB1815" s="4">
        <f>YEAR(excelsalesdata[[#This Row],[Order_Date]])</f>
        <v>2030</v>
      </c>
      <c r="AC1815" s="4" t="str">
        <f>TEXT(excelsalesdata[[#This Row],[Order_Date]],"mmm")</f>
        <v>Mar</v>
      </c>
      <c r="AD1815" s="4" t="str">
        <f>"Q"&amp;ROUNDUP(MONTH(excelsalesdata[[#This Row],[Order_Date]])/3,0)</f>
        <v>Q1</v>
      </c>
    </row>
    <row r="1816" spans="1:30" x14ac:dyDescent="0.35">
      <c r="A1816" t="s">
        <v>2658</v>
      </c>
      <c r="B1816" s="3">
        <v>47574</v>
      </c>
      <c r="C1816" t="s">
        <v>1186</v>
      </c>
      <c r="D1816" t="s">
        <v>711</v>
      </c>
      <c r="E1816" t="str">
        <f>TRIM(excelsalesdata[[#This Row],[Customer_Name]])</f>
        <v>Rohan Naidu</v>
      </c>
      <c r="F1816" t="s">
        <v>44</v>
      </c>
      <c r="G1816">
        <v>49</v>
      </c>
      <c r="H1816" t="s">
        <v>114</v>
      </c>
      <c r="I1816" t="str">
        <f>TRIM(excelsalesdata[[#This Row],[City]])</f>
        <v>Hyderabad</v>
      </c>
      <c r="J1816" t="s">
        <v>115</v>
      </c>
      <c r="K1816" t="s">
        <v>47</v>
      </c>
      <c r="L1816" t="s">
        <v>38</v>
      </c>
      <c r="M1816" t="s">
        <v>119</v>
      </c>
      <c r="N1816" t="s">
        <v>119</v>
      </c>
      <c r="O1816">
        <v>1</v>
      </c>
      <c r="P1816">
        <v>8870</v>
      </c>
      <c r="Q1816">
        <v>0.2</v>
      </c>
      <c r="R1816">
        <v>5350</v>
      </c>
      <c r="S1816" t="s">
        <v>105</v>
      </c>
      <c r="T1816" t="s">
        <v>30</v>
      </c>
      <c r="U1816">
        <v>4</v>
      </c>
      <c r="V1816" t="s">
        <v>40</v>
      </c>
      <c r="W1816">
        <f>excelsalesdata[[#This Row],[Quantity]]*excelsalesdata[[#This Row],[Unit_Price]]</f>
        <v>8870</v>
      </c>
      <c r="X1816">
        <f>excelsalesdata[[#This Row],[Gross_sales]]*excelsalesdata[[#This Row],[Discount_%]]</f>
        <v>1774</v>
      </c>
      <c r="Y1816">
        <f>excelsalesdata[[#This Row],[Gross_sales]]-excelsalesdata[[#This Row],[Discount_amt]]</f>
        <v>7096</v>
      </c>
      <c r="Z1816" s="4">
        <f>excelsalesdata[[#This Row],[Net_sales]]-excelsalesdata[[#This Row],[Cost]]</f>
        <v>1746</v>
      </c>
      <c r="AA1816" s="5">
        <f>excelsalesdata[[#This Row],[Profit]]/excelsalesdata[[#This Row],[Net_sales]]</f>
        <v>0.24605411499436303</v>
      </c>
      <c r="AB1816" s="4">
        <f>YEAR(excelsalesdata[[#This Row],[Order_Date]])</f>
        <v>2030</v>
      </c>
      <c r="AC1816" s="4" t="str">
        <f>TEXT(excelsalesdata[[#This Row],[Order_Date]],"mmm")</f>
        <v>Apr</v>
      </c>
      <c r="AD1816" s="4" t="str">
        <f>"Q"&amp;ROUNDUP(MONTH(excelsalesdata[[#This Row],[Order_Date]])/3,0)</f>
        <v>Q2</v>
      </c>
    </row>
    <row r="1817" spans="1:30" x14ac:dyDescent="0.35">
      <c r="A1817" t="s">
        <v>2659</v>
      </c>
      <c r="B1817" s="3">
        <v>47575</v>
      </c>
      <c r="C1817" t="s">
        <v>644</v>
      </c>
      <c r="D1817" t="s">
        <v>84</v>
      </c>
      <c r="E1817" t="str">
        <f>TRIM(excelsalesdata[[#This Row],[Customer_Name]])</f>
        <v>Arjun Verma</v>
      </c>
      <c r="F1817" t="s">
        <v>44</v>
      </c>
      <c r="G1817">
        <v>55</v>
      </c>
      <c r="H1817" t="s">
        <v>35</v>
      </c>
      <c r="I1817" t="str">
        <f>TRIM(excelsalesdata[[#This Row],[City]])</f>
        <v>Kolkata</v>
      </c>
      <c r="J1817" t="s">
        <v>36</v>
      </c>
      <c r="K1817" t="s">
        <v>37</v>
      </c>
      <c r="L1817" t="s">
        <v>54</v>
      </c>
      <c r="M1817" t="s">
        <v>157</v>
      </c>
      <c r="N1817" t="s">
        <v>157</v>
      </c>
      <c r="O1817">
        <v>1</v>
      </c>
      <c r="P1817">
        <v>51430</v>
      </c>
      <c r="Q1817">
        <v>0.1</v>
      </c>
      <c r="R1817">
        <v>43040</v>
      </c>
      <c r="S1817" t="s">
        <v>80</v>
      </c>
      <c r="T1817" t="s">
        <v>30</v>
      </c>
      <c r="U1817">
        <v>3</v>
      </c>
      <c r="V1817" t="s">
        <v>31</v>
      </c>
      <c r="W1817">
        <f>excelsalesdata[[#This Row],[Quantity]]*excelsalesdata[[#This Row],[Unit_Price]]</f>
        <v>51430</v>
      </c>
      <c r="X1817">
        <f>excelsalesdata[[#This Row],[Gross_sales]]*excelsalesdata[[#This Row],[Discount_%]]</f>
        <v>5143</v>
      </c>
      <c r="Y1817">
        <f>excelsalesdata[[#This Row],[Gross_sales]]-excelsalesdata[[#This Row],[Discount_amt]]</f>
        <v>46287</v>
      </c>
      <c r="Z1817" s="4">
        <f>excelsalesdata[[#This Row],[Net_sales]]-excelsalesdata[[#This Row],[Cost]]</f>
        <v>3247</v>
      </c>
      <c r="AA1817" s="5">
        <f>excelsalesdata[[#This Row],[Profit]]/excelsalesdata[[#This Row],[Net_sales]]</f>
        <v>7.0149285976624107E-2</v>
      </c>
      <c r="AB1817" s="4">
        <f>YEAR(excelsalesdata[[#This Row],[Order_Date]])</f>
        <v>2030</v>
      </c>
      <c r="AC1817" s="4" t="str">
        <f>TEXT(excelsalesdata[[#This Row],[Order_Date]],"mmm")</f>
        <v>Apr</v>
      </c>
      <c r="AD1817" s="4" t="str">
        <f>"Q"&amp;ROUNDUP(MONTH(excelsalesdata[[#This Row],[Order_Date]])/3,0)</f>
        <v>Q2</v>
      </c>
    </row>
    <row r="1818" spans="1:30" x14ac:dyDescent="0.35">
      <c r="A1818" t="s">
        <v>2660</v>
      </c>
      <c r="B1818" s="3">
        <v>47576</v>
      </c>
      <c r="C1818" t="s">
        <v>951</v>
      </c>
      <c r="D1818" t="s">
        <v>524</v>
      </c>
      <c r="E1818" t="str">
        <f>TRIM(excelsalesdata[[#This Row],[Customer_Name]])</f>
        <v>Arjun Das</v>
      </c>
      <c r="F1818" t="s">
        <v>44</v>
      </c>
      <c r="G1818">
        <v>40</v>
      </c>
      <c r="H1818" t="s">
        <v>168</v>
      </c>
      <c r="I1818" t="str">
        <f>TRIM(excelsalesdata[[#This Row],[City]])</f>
        <v>Delhi</v>
      </c>
      <c r="J1818" t="s">
        <v>168</v>
      </c>
      <c r="K1818" t="s">
        <v>61</v>
      </c>
      <c r="L1818" t="s">
        <v>85</v>
      </c>
      <c r="M1818" t="s">
        <v>86</v>
      </c>
      <c r="N1818" t="s">
        <v>86</v>
      </c>
      <c r="O1818">
        <v>2</v>
      </c>
      <c r="P1818">
        <v>2600</v>
      </c>
      <c r="Q1818">
        <v>0.1</v>
      </c>
      <c r="R1818">
        <v>1510</v>
      </c>
      <c r="S1818" t="s">
        <v>29</v>
      </c>
      <c r="T1818" t="s">
        <v>30</v>
      </c>
      <c r="U1818">
        <v>1</v>
      </c>
      <c r="V1818" t="s">
        <v>31</v>
      </c>
      <c r="W1818">
        <f>excelsalesdata[[#This Row],[Quantity]]*excelsalesdata[[#This Row],[Unit_Price]]</f>
        <v>5200</v>
      </c>
      <c r="X1818">
        <f>excelsalesdata[[#This Row],[Gross_sales]]*excelsalesdata[[#This Row],[Discount_%]]</f>
        <v>520</v>
      </c>
      <c r="Y1818">
        <f>excelsalesdata[[#This Row],[Gross_sales]]-excelsalesdata[[#This Row],[Discount_amt]]</f>
        <v>4680</v>
      </c>
      <c r="Z1818" s="4">
        <f>excelsalesdata[[#This Row],[Net_sales]]-excelsalesdata[[#This Row],[Cost]]</f>
        <v>3170</v>
      </c>
      <c r="AA1818" s="5">
        <f>excelsalesdata[[#This Row],[Profit]]/excelsalesdata[[#This Row],[Net_sales]]</f>
        <v>0.67735042735042739</v>
      </c>
      <c r="AB1818" s="4">
        <f>YEAR(excelsalesdata[[#This Row],[Order_Date]])</f>
        <v>2030</v>
      </c>
      <c r="AC1818" s="4" t="str">
        <f>TEXT(excelsalesdata[[#This Row],[Order_Date]],"mmm")</f>
        <v>Apr</v>
      </c>
      <c r="AD1818" s="4" t="str">
        <f>"Q"&amp;ROUNDUP(MONTH(excelsalesdata[[#This Row],[Order_Date]])/3,0)</f>
        <v>Q2</v>
      </c>
    </row>
    <row r="1819" spans="1:30" x14ac:dyDescent="0.35">
      <c r="A1819" t="s">
        <v>2661</v>
      </c>
      <c r="B1819" s="3">
        <v>47577</v>
      </c>
      <c r="C1819" t="s">
        <v>1362</v>
      </c>
      <c r="D1819" t="s">
        <v>844</v>
      </c>
      <c r="E1819" t="str">
        <f>TRIM(excelsalesdata[[#This Row],[Customer_Name]])</f>
        <v>Vikram Gupta</v>
      </c>
      <c r="F1819" t="s">
        <v>44</v>
      </c>
      <c r="G1819">
        <v>22</v>
      </c>
      <c r="H1819" t="s">
        <v>35</v>
      </c>
      <c r="I1819" t="str">
        <f>TRIM(excelsalesdata[[#This Row],[City]])</f>
        <v>Kolkata</v>
      </c>
      <c r="J1819" t="s">
        <v>36</v>
      </c>
      <c r="K1819" t="s">
        <v>37</v>
      </c>
      <c r="L1819" t="s">
        <v>103</v>
      </c>
      <c r="M1819" t="s">
        <v>178</v>
      </c>
      <c r="N1819" t="s">
        <v>178</v>
      </c>
      <c r="O1819">
        <v>2</v>
      </c>
      <c r="P1819">
        <v>1850</v>
      </c>
      <c r="Q1819">
        <v>0.05</v>
      </c>
      <c r="R1819">
        <v>940</v>
      </c>
      <c r="S1819" t="s">
        <v>105</v>
      </c>
      <c r="T1819" t="s">
        <v>30</v>
      </c>
      <c r="U1819">
        <v>5</v>
      </c>
      <c r="V1819" t="s">
        <v>31</v>
      </c>
      <c r="W1819">
        <f>excelsalesdata[[#This Row],[Quantity]]*excelsalesdata[[#This Row],[Unit_Price]]</f>
        <v>3700</v>
      </c>
      <c r="X1819">
        <f>excelsalesdata[[#This Row],[Gross_sales]]*excelsalesdata[[#This Row],[Discount_%]]</f>
        <v>185</v>
      </c>
      <c r="Y1819">
        <f>excelsalesdata[[#This Row],[Gross_sales]]-excelsalesdata[[#This Row],[Discount_amt]]</f>
        <v>3515</v>
      </c>
      <c r="Z1819" s="4">
        <f>excelsalesdata[[#This Row],[Net_sales]]-excelsalesdata[[#This Row],[Cost]]</f>
        <v>2575</v>
      </c>
      <c r="AA1819" s="5">
        <f>excelsalesdata[[#This Row],[Profit]]/excelsalesdata[[#This Row],[Net_sales]]</f>
        <v>0.73257467994310099</v>
      </c>
      <c r="AB1819" s="4">
        <f>YEAR(excelsalesdata[[#This Row],[Order_Date]])</f>
        <v>2030</v>
      </c>
      <c r="AC1819" s="4" t="str">
        <f>TEXT(excelsalesdata[[#This Row],[Order_Date]],"mmm")</f>
        <v>Apr</v>
      </c>
      <c r="AD1819" s="4" t="str">
        <f>"Q"&amp;ROUNDUP(MONTH(excelsalesdata[[#This Row],[Order_Date]])/3,0)</f>
        <v>Q2</v>
      </c>
    </row>
    <row r="1820" spans="1:30" x14ac:dyDescent="0.35">
      <c r="A1820" t="s">
        <v>2662</v>
      </c>
      <c r="B1820" s="3">
        <v>47578</v>
      </c>
      <c r="C1820" t="s">
        <v>881</v>
      </c>
      <c r="D1820" t="s">
        <v>830</v>
      </c>
      <c r="E1820" t="str">
        <f>TRIM(excelsalesdata[[#This Row],[Customer_Name]])</f>
        <v>Rohan Bhat</v>
      </c>
      <c r="F1820" t="s">
        <v>44</v>
      </c>
      <c r="G1820">
        <v>21</v>
      </c>
      <c r="H1820" t="s">
        <v>45</v>
      </c>
      <c r="I1820" t="str">
        <f>TRIM(excelsalesdata[[#This Row],[City]])</f>
        <v>Kochi</v>
      </c>
      <c r="J1820" t="s">
        <v>46</v>
      </c>
      <c r="K1820" t="s">
        <v>47</v>
      </c>
      <c r="L1820" t="s">
        <v>27</v>
      </c>
      <c r="M1820" t="s">
        <v>28</v>
      </c>
      <c r="N1820" t="s">
        <v>28</v>
      </c>
      <c r="O1820">
        <v>1</v>
      </c>
      <c r="P1820">
        <v>3600</v>
      </c>
      <c r="Q1820">
        <v>0.1</v>
      </c>
      <c r="R1820">
        <v>2030</v>
      </c>
      <c r="S1820" t="s">
        <v>29</v>
      </c>
      <c r="T1820" t="s">
        <v>30</v>
      </c>
      <c r="U1820">
        <v>2</v>
      </c>
      <c r="V1820" t="s">
        <v>31</v>
      </c>
      <c r="W1820">
        <f>excelsalesdata[[#This Row],[Quantity]]*excelsalesdata[[#This Row],[Unit_Price]]</f>
        <v>3600</v>
      </c>
      <c r="X1820">
        <f>excelsalesdata[[#This Row],[Gross_sales]]*excelsalesdata[[#This Row],[Discount_%]]</f>
        <v>360</v>
      </c>
      <c r="Y1820">
        <f>excelsalesdata[[#This Row],[Gross_sales]]-excelsalesdata[[#This Row],[Discount_amt]]</f>
        <v>3240</v>
      </c>
      <c r="Z1820" s="4">
        <f>excelsalesdata[[#This Row],[Net_sales]]-excelsalesdata[[#This Row],[Cost]]</f>
        <v>1210</v>
      </c>
      <c r="AA1820" s="5">
        <f>excelsalesdata[[#This Row],[Profit]]/excelsalesdata[[#This Row],[Net_sales]]</f>
        <v>0.37345679012345678</v>
      </c>
      <c r="AB1820" s="4">
        <f>YEAR(excelsalesdata[[#This Row],[Order_Date]])</f>
        <v>2030</v>
      </c>
      <c r="AC1820" s="4" t="str">
        <f>TEXT(excelsalesdata[[#This Row],[Order_Date]],"mmm")</f>
        <v>Apr</v>
      </c>
      <c r="AD1820" s="4" t="str">
        <f>"Q"&amp;ROUNDUP(MONTH(excelsalesdata[[#This Row],[Order_Date]])/3,0)</f>
        <v>Q2</v>
      </c>
    </row>
    <row r="1821" spans="1:30" x14ac:dyDescent="0.35">
      <c r="A1821" t="s">
        <v>2663</v>
      </c>
      <c r="B1821" s="3">
        <v>47579</v>
      </c>
      <c r="C1821" t="s">
        <v>349</v>
      </c>
      <c r="D1821" t="s">
        <v>550</v>
      </c>
      <c r="E1821" t="str">
        <f>TRIM(excelsalesdata[[#This Row],[Customer_Name]])</f>
        <v>Rohan Reddy</v>
      </c>
      <c r="F1821" t="s">
        <v>23</v>
      </c>
      <c r="G1821">
        <v>43</v>
      </c>
      <c r="H1821" t="s">
        <v>168</v>
      </c>
      <c r="I1821" t="str">
        <f>TRIM(excelsalesdata[[#This Row],[City]])</f>
        <v>Delhi</v>
      </c>
      <c r="J1821" t="s">
        <v>168</v>
      </c>
      <c r="K1821" t="s">
        <v>61</v>
      </c>
      <c r="L1821" t="s">
        <v>103</v>
      </c>
      <c r="M1821" t="s">
        <v>347</v>
      </c>
      <c r="N1821" t="s">
        <v>347</v>
      </c>
      <c r="O1821">
        <v>3</v>
      </c>
      <c r="P1821">
        <v>12440</v>
      </c>
      <c r="Q1821">
        <v>0.2</v>
      </c>
      <c r="R1821">
        <v>7960</v>
      </c>
      <c r="S1821" t="s">
        <v>105</v>
      </c>
      <c r="T1821" t="s">
        <v>30</v>
      </c>
      <c r="U1821">
        <v>1</v>
      </c>
      <c r="V1821" t="s">
        <v>40</v>
      </c>
      <c r="W1821">
        <f>excelsalesdata[[#This Row],[Quantity]]*excelsalesdata[[#This Row],[Unit_Price]]</f>
        <v>37320</v>
      </c>
      <c r="X1821">
        <f>excelsalesdata[[#This Row],[Gross_sales]]*excelsalesdata[[#This Row],[Discount_%]]</f>
        <v>7464</v>
      </c>
      <c r="Y1821">
        <f>excelsalesdata[[#This Row],[Gross_sales]]-excelsalesdata[[#This Row],[Discount_amt]]</f>
        <v>29856</v>
      </c>
      <c r="Z1821" s="4">
        <f>excelsalesdata[[#This Row],[Net_sales]]-excelsalesdata[[#This Row],[Cost]]</f>
        <v>21896</v>
      </c>
      <c r="AA1821" s="5">
        <f>excelsalesdata[[#This Row],[Profit]]/excelsalesdata[[#This Row],[Net_sales]]</f>
        <v>0.73338692390139337</v>
      </c>
      <c r="AB1821" s="4">
        <f>YEAR(excelsalesdata[[#This Row],[Order_Date]])</f>
        <v>2030</v>
      </c>
      <c r="AC1821" s="4" t="str">
        <f>TEXT(excelsalesdata[[#This Row],[Order_Date]],"mmm")</f>
        <v>Apr</v>
      </c>
      <c r="AD1821" s="4" t="str">
        <f>"Q"&amp;ROUNDUP(MONTH(excelsalesdata[[#This Row],[Order_Date]])/3,0)</f>
        <v>Q2</v>
      </c>
    </row>
    <row r="1822" spans="1:30" x14ac:dyDescent="0.35">
      <c r="A1822" t="s">
        <v>2664</v>
      </c>
      <c r="B1822" s="3">
        <v>47580</v>
      </c>
      <c r="C1822" t="s">
        <v>428</v>
      </c>
      <c r="D1822" t="s">
        <v>972</v>
      </c>
      <c r="E1822" t="str">
        <f>TRIM(excelsalesdata[[#This Row],[Customer_Name]])</f>
        <v>Ananya Reddy</v>
      </c>
      <c r="F1822" t="s">
        <v>23</v>
      </c>
      <c r="G1822">
        <v>21</v>
      </c>
      <c r="H1822" t="s">
        <v>98</v>
      </c>
      <c r="I1822" t="str">
        <f>TRIM(excelsalesdata[[#This Row],[City]])</f>
        <v>Mumbai</v>
      </c>
      <c r="J1822" t="s">
        <v>25</v>
      </c>
      <c r="K1822" t="s">
        <v>26</v>
      </c>
      <c r="L1822" t="s">
        <v>38</v>
      </c>
      <c r="M1822" t="s">
        <v>119</v>
      </c>
      <c r="N1822" t="s">
        <v>119</v>
      </c>
      <c r="O1822">
        <v>2</v>
      </c>
      <c r="P1822">
        <v>8950</v>
      </c>
      <c r="Q1822">
        <v>0.1</v>
      </c>
      <c r="R1822">
        <v>5780</v>
      </c>
      <c r="S1822" t="s">
        <v>151</v>
      </c>
      <c r="T1822" t="s">
        <v>81</v>
      </c>
      <c r="U1822">
        <v>0</v>
      </c>
      <c r="V1822" t="s">
        <v>40</v>
      </c>
      <c r="W1822">
        <f>excelsalesdata[[#This Row],[Quantity]]*excelsalesdata[[#This Row],[Unit_Price]]</f>
        <v>17900</v>
      </c>
      <c r="X1822">
        <f>excelsalesdata[[#This Row],[Gross_sales]]*excelsalesdata[[#This Row],[Discount_%]]</f>
        <v>1790</v>
      </c>
      <c r="Y1822">
        <f>excelsalesdata[[#This Row],[Gross_sales]]-excelsalesdata[[#This Row],[Discount_amt]]</f>
        <v>16110</v>
      </c>
      <c r="Z1822" s="4">
        <f>excelsalesdata[[#This Row],[Net_sales]]-excelsalesdata[[#This Row],[Cost]]</f>
        <v>10330</v>
      </c>
      <c r="AA1822" s="5">
        <f>excelsalesdata[[#This Row],[Profit]]/excelsalesdata[[#This Row],[Net_sales]]</f>
        <v>0.6412166356300435</v>
      </c>
      <c r="AB1822" s="4">
        <f>YEAR(excelsalesdata[[#This Row],[Order_Date]])</f>
        <v>2030</v>
      </c>
      <c r="AC1822" s="4" t="str">
        <f>TEXT(excelsalesdata[[#This Row],[Order_Date]],"mmm")</f>
        <v>Apr</v>
      </c>
      <c r="AD1822" s="4" t="str">
        <f>"Q"&amp;ROUNDUP(MONTH(excelsalesdata[[#This Row],[Order_Date]])/3,0)</f>
        <v>Q2</v>
      </c>
    </row>
    <row r="1823" spans="1:30" x14ac:dyDescent="0.35">
      <c r="A1823" t="s">
        <v>2665</v>
      </c>
      <c r="B1823" s="3">
        <v>47581</v>
      </c>
      <c r="C1823" t="s">
        <v>920</v>
      </c>
      <c r="D1823" t="s">
        <v>22</v>
      </c>
      <c r="E1823" t="str">
        <f>TRIM(excelsalesdata[[#This Row],[Customer_Name]])</f>
        <v>Sneha Naidu</v>
      </c>
      <c r="F1823" t="s">
        <v>44</v>
      </c>
      <c r="G1823">
        <v>32</v>
      </c>
      <c r="H1823" t="s">
        <v>71</v>
      </c>
      <c r="I1823" t="str">
        <f>TRIM(excelsalesdata[[#This Row],[City]])</f>
        <v>Bhubaneswar</v>
      </c>
      <c r="J1823" t="s">
        <v>72</v>
      </c>
      <c r="K1823" t="s">
        <v>37</v>
      </c>
      <c r="L1823" t="s">
        <v>93</v>
      </c>
      <c r="M1823" t="s">
        <v>135</v>
      </c>
      <c r="N1823" t="s">
        <v>135</v>
      </c>
      <c r="O1823">
        <v>1</v>
      </c>
      <c r="P1823">
        <v>1860</v>
      </c>
      <c r="Q1823">
        <v>0</v>
      </c>
      <c r="R1823">
        <v>980</v>
      </c>
      <c r="S1823" t="s">
        <v>29</v>
      </c>
      <c r="T1823" t="s">
        <v>30</v>
      </c>
      <c r="U1823">
        <v>6</v>
      </c>
      <c r="V1823" t="s">
        <v>40</v>
      </c>
      <c r="W1823">
        <f>excelsalesdata[[#This Row],[Quantity]]*excelsalesdata[[#This Row],[Unit_Price]]</f>
        <v>1860</v>
      </c>
      <c r="X1823">
        <f>excelsalesdata[[#This Row],[Gross_sales]]*excelsalesdata[[#This Row],[Discount_%]]</f>
        <v>0</v>
      </c>
      <c r="Y1823">
        <f>excelsalesdata[[#This Row],[Gross_sales]]-excelsalesdata[[#This Row],[Discount_amt]]</f>
        <v>1860</v>
      </c>
      <c r="Z1823" s="4">
        <f>excelsalesdata[[#This Row],[Net_sales]]-excelsalesdata[[#This Row],[Cost]]</f>
        <v>880</v>
      </c>
      <c r="AA1823" s="5">
        <f>excelsalesdata[[#This Row],[Profit]]/excelsalesdata[[#This Row],[Net_sales]]</f>
        <v>0.4731182795698925</v>
      </c>
      <c r="AB1823" s="4">
        <f>YEAR(excelsalesdata[[#This Row],[Order_Date]])</f>
        <v>2030</v>
      </c>
      <c r="AC1823" s="4" t="str">
        <f>TEXT(excelsalesdata[[#This Row],[Order_Date]],"mmm")</f>
        <v>Apr</v>
      </c>
      <c r="AD1823" s="4" t="str">
        <f>"Q"&amp;ROUNDUP(MONTH(excelsalesdata[[#This Row],[Order_Date]])/3,0)</f>
        <v>Q2</v>
      </c>
    </row>
    <row r="1824" spans="1:30" x14ac:dyDescent="0.35">
      <c r="A1824" t="s">
        <v>2666</v>
      </c>
      <c r="B1824" s="3">
        <v>47582</v>
      </c>
      <c r="C1824" t="s">
        <v>228</v>
      </c>
      <c r="D1824" t="s">
        <v>150</v>
      </c>
      <c r="E1824" t="str">
        <f>TRIM(excelsalesdata[[#This Row],[Customer_Name]])</f>
        <v>Nisha Reddy</v>
      </c>
      <c r="F1824" t="s">
        <v>44</v>
      </c>
      <c r="G1824">
        <v>57</v>
      </c>
      <c r="H1824" t="s">
        <v>133</v>
      </c>
      <c r="I1824" t="str">
        <f>TRIM(excelsalesdata[[#This Row],[City]])</f>
        <v>Jaipur</v>
      </c>
      <c r="J1824" t="s">
        <v>134</v>
      </c>
      <c r="K1824" t="s">
        <v>61</v>
      </c>
      <c r="L1824" t="s">
        <v>27</v>
      </c>
      <c r="M1824" t="s">
        <v>28</v>
      </c>
      <c r="N1824" t="s">
        <v>28</v>
      </c>
      <c r="O1824">
        <v>4</v>
      </c>
      <c r="P1824">
        <v>3670</v>
      </c>
      <c r="Q1824">
        <v>0</v>
      </c>
      <c r="R1824">
        <v>2050</v>
      </c>
      <c r="S1824" t="s">
        <v>151</v>
      </c>
      <c r="T1824" t="s">
        <v>30</v>
      </c>
      <c r="U1824">
        <v>7</v>
      </c>
      <c r="V1824" t="s">
        <v>40</v>
      </c>
      <c r="W1824">
        <f>excelsalesdata[[#This Row],[Quantity]]*excelsalesdata[[#This Row],[Unit_Price]]</f>
        <v>14680</v>
      </c>
      <c r="X1824">
        <f>excelsalesdata[[#This Row],[Gross_sales]]*excelsalesdata[[#This Row],[Discount_%]]</f>
        <v>0</v>
      </c>
      <c r="Y1824">
        <f>excelsalesdata[[#This Row],[Gross_sales]]-excelsalesdata[[#This Row],[Discount_amt]]</f>
        <v>14680</v>
      </c>
      <c r="Z1824" s="4">
        <f>excelsalesdata[[#This Row],[Net_sales]]-excelsalesdata[[#This Row],[Cost]]</f>
        <v>12630</v>
      </c>
      <c r="AA1824" s="5">
        <f>excelsalesdata[[#This Row],[Profit]]/excelsalesdata[[#This Row],[Net_sales]]</f>
        <v>0.86035422343324253</v>
      </c>
      <c r="AB1824" s="4">
        <f>YEAR(excelsalesdata[[#This Row],[Order_Date]])</f>
        <v>2030</v>
      </c>
      <c r="AC1824" s="4" t="str">
        <f>TEXT(excelsalesdata[[#This Row],[Order_Date]],"mmm")</f>
        <v>Apr</v>
      </c>
      <c r="AD1824" s="4" t="str">
        <f>"Q"&amp;ROUNDUP(MONTH(excelsalesdata[[#This Row],[Order_Date]])/3,0)</f>
        <v>Q2</v>
      </c>
    </row>
    <row r="1825" spans="1:30" x14ac:dyDescent="0.35">
      <c r="A1825" t="s">
        <v>2667</v>
      </c>
      <c r="B1825" s="3">
        <v>47583</v>
      </c>
      <c r="C1825" t="s">
        <v>1619</v>
      </c>
      <c r="D1825" t="s">
        <v>792</v>
      </c>
      <c r="E1825" t="str">
        <f>TRIM(excelsalesdata[[#This Row],[Customer_Name]])</f>
        <v>Nisha Das</v>
      </c>
      <c r="F1825" t="s">
        <v>44</v>
      </c>
      <c r="G1825">
        <v>42</v>
      </c>
      <c r="H1825" t="s">
        <v>52</v>
      </c>
      <c r="I1825" t="str">
        <f>TRIM(excelsalesdata[[#This Row],[City]])</f>
        <v>Bengaluru</v>
      </c>
      <c r="J1825" t="s">
        <v>53</v>
      </c>
      <c r="K1825" t="s">
        <v>47</v>
      </c>
      <c r="L1825" t="s">
        <v>93</v>
      </c>
      <c r="M1825" t="s">
        <v>94</v>
      </c>
      <c r="N1825" t="s">
        <v>94</v>
      </c>
      <c r="O1825">
        <v>3</v>
      </c>
      <c r="P1825">
        <v>500</v>
      </c>
      <c r="Q1825">
        <v>0.2</v>
      </c>
      <c r="R1825">
        <v>220</v>
      </c>
      <c r="S1825" t="s">
        <v>80</v>
      </c>
      <c r="T1825" t="s">
        <v>30</v>
      </c>
      <c r="U1825">
        <v>7</v>
      </c>
      <c r="V1825" t="s">
        <v>40</v>
      </c>
      <c r="W1825">
        <f>excelsalesdata[[#This Row],[Quantity]]*excelsalesdata[[#This Row],[Unit_Price]]</f>
        <v>1500</v>
      </c>
      <c r="X1825">
        <f>excelsalesdata[[#This Row],[Gross_sales]]*excelsalesdata[[#This Row],[Discount_%]]</f>
        <v>300</v>
      </c>
      <c r="Y1825">
        <f>excelsalesdata[[#This Row],[Gross_sales]]-excelsalesdata[[#This Row],[Discount_amt]]</f>
        <v>1200</v>
      </c>
      <c r="Z1825" s="4">
        <f>excelsalesdata[[#This Row],[Net_sales]]-excelsalesdata[[#This Row],[Cost]]</f>
        <v>980</v>
      </c>
      <c r="AA1825" s="5">
        <f>excelsalesdata[[#This Row],[Profit]]/excelsalesdata[[#This Row],[Net_sales]]</f>
        <v>0.81666666666666665</v>
      </c>
      <c r="AB1825" s="4">
        <f>YEAR(excelsalesdata[[#This Row],[Order_Date]])</f>
        <v>2030</v>
      </c>
      <c r="AC1825" s="4" t="str">
        <f>TEXT(excelsalesdata[[#This Row],[Order_Date]],"mmm")</f>
        <v>Apr</v>
      </c>
      <c r="AD1825" s="4" t="str">
        <f>"Q"&amp;ROUNDUP(MONTH(excelsalesdata[[#This Row],[Order_Date]])/3,0)</f>
        <v>Q2</v>
      </c>
    </row>
    <row r="1826" spans="1:30" x14ac:dyDescent="0.35">
      <c r="A1826" t="s">
        <v>2668</v>
      </c>
      <c r="B1826" s="3">
        <v>47584</v>
      </c>
      <c r="C1826" t="s">
        <v>257</v>
      </c>
      <c r="D1826" t="s">
        <v>189</v>
      </c>
      <c r="E1826" t="str">
        <f>TRIM(excelsalesdata[[#This Row],[Customer_Name]])</f>
        <v>Aarav Reddy</v>
      </c>
      <c r="F1826" t="s">
        <v>23</v>
      </c>
      <c r="G1826">
        <v>53</v>
      </c>
      <c r="H1826" t="s">
        <v>190</v>
      </c>
      <c r="I1826" t="str">
        <f>TRIM(excelsalesdata[[#This Row],[City]])</f>
        <v>Ahmedabad</v>
      </c>
      <c r="J1826" t="s">
        <v>191</v>
      </c>
      <c r="K1826" t="s">
        <v>26</v>
      </c>
      <c r="L1826" t="s">
        <v>103</v>
      </c>
      <c r="M1826" t="s">
        <v>238</v>
      </c>
      <c r="N1826" t="s">
        <v>238</v>
      </c>
      <c r="O1826">
        <v>1</v>
      </c>
      <c r="P1826">
        <v>4450</v>
      </c>
      <c r="Q1826">
        <v>0.15</v>
      </c>
      <c r="R1826">
        <v>2620</v>
      </c>
      <c r="S1826" t="s">
        <v>105</v>
      </c>
      <c r="T1826" t="s">
        <v>30</v>
      </c>
      <c r="U1826">
        <v>2</v>
      </c>
      <c r="V1826" t="s">
        <v>40</v>
      </c>
      <c r="W1826">
        <f>excelsalesdata[[#This Row],[Quantity]]*excelsalesdata[[#This Row],[Unit_Price]]</f>
        <v>4450</v>
      </c>
      <c r="X1826">
        <f>excelsalesdata[[#This Row],[Gross_sales]]*excelsalesdata[[#This Row],[Discount_%]]</f>
        <v>667.5</v>
      </c>
      <c r="Y1826">
        <f>excelsalesdata[[#This Row],[Gross_sales]]-excelsalesdata[[#This Row],[Discount_amt]]</f>
        <v>3782.5</v>
      </c>
      <c r="Z1826" s="4">
        <f>excelsalesdata[[#This Row],[Net_sales]]-excelsalesdata[[#This Row],[Cost]]</f>
        <v>1162.5</v>
      </c>
      <c r="AA1826" s="5">
        <f>excelsalesdata[[#This Row],[Profit]]/excelsalesdata[[#This Row],[Net_sales]]</f>
        <v>0.30733641771315268</v>
      </c>
      <c r="AB1826" s="4">
        <f>YEAR(excelsalesdata[[#This Row],[Order_Date]])</f>
        <v>2030</v>
      </c>
      <c r="AC1826" s="4" t="str">
        <f>TEXT(excelsalesdata[[#This Row],[Order_Date]],"mmm")</f>
        <v>Apr</v>
      </c>
      <c r="AD1826" s="4" t="str">
        <f>"Q"&amp;ROUNDUP(MONTH(excelsalesdata[[#This Row],[Order_Date]])/3,0)</f>
        <v>Q2</v>
      </c>
    </row>
    <row r="1827" spans="1:30" x14ac:dyDescent="0.35">
      <c r="A1827" t="s">
        <v>2669</v>
      </c>
      <c r="B1827" s="3">
        <v>47585</v>
      </c>
      <c r="C1827" t="s">
        <v>1515</v>
      </c>
      <c r="D1827" t="s">
        <v>1839</v>
      </c>
      <c r="E1827" t="str">
        <f>TRIM(excelsalesdata[[#This Row],[Customer_Name]])</f>
        <v>Diya Nair</v>
      </c>
      <c r="F1827" t="s">
        <v>44</v>
      </c>
      <c r="G1827">
        <v>60</v>
      </c>
      <c r="H1827" t="s">
        <v>24</v>
      </c>
      <c r="I1827" t="str">
        <f>TRIM(excelsalesdata[[#This Row],[City]])</f>
        <v>Pune</v>
      </c>
      <c r="J1827" t="s">
        <v>25</v>
      </c>
      <c r="K1827" t="s">
        <v>26</v>
      </c>
      <c r="L1827" t="s">
        <v>27</v>
      </c>
      <c r="M1827" t="s">
        <v>295</v>
      </c>
      <c r="N1827" t="s">
        <v>295</v>
      </c>
      <c r="O1827">
        <v>3</v>
      </c>
      <c r="P1827">
        <v>4050</v>
      </c>
      <c r="Q1827">
        <v>0.1</v>
      </c>
      <c r="R1827">
        <v>2640</v>
      </c>
      <c r="S1827" t="s">
        <v>67</v>
      </c>
      <c r="T1827" t="s">
        <v>81</v>
      </c>
      <c r="U1827">
        <v>0</v>
      </c>
      <c r="V1827" t="s">
        <v>31</v>
      </c>
      <c r="W1827">
        <f>excelsalesdata[[#This Row],[Quantity]]*excelsalesdata[[#This Row],[Unit_Price]]</f>
        <v>12150</v>
      </c>
      <c r="X1827">
        <f>excelsalesdata[[#This Row],[Gross_sales]]*excelsalesdata[[#This Row],[Discount_%]]</f>
        <v>1215</v>
      </c>
      <c r="Y1827">
        <f>excelsalesdata[[#This Row],[Gross_sales]]-excelsalesdata[[#This Row],[Discount_amt]]</f>
        <v>10935</v>
      </c>
      <c r="Z1827" s="4">
        <f>excelsalesdata[[#This Row],[Net_sales]]-excelsalesdata[[#This Row],[Cost]]</f>
        <v>8295</v>
      </c>
      <c r="AA1827" s="5">
        <f>excelsalesdata[[#This Row],[Profit]]/excelsalesdata[[#This Row],[Net_sales]]</f>
        <v>0.75857338820301778</v>
      </c>
      <c r="AB1827" s="4">
        <f>YEAR(excelsalesdata[[#This Row],[Order_Date]])</f>
        <v>2030</v>
      </c>
      <c r="AC1827" s="4" t="str">
        <f>TEXT(excelsalesdata[[#This Row],[Order_Date]],"mmm")</f>
        <v>Apr</v>
      </c>
      <c r="AD1827" s="4" t="str">
        <f>"Q"&amp;ROUNDUP(MONTH(excelsalesdata[[#This Row],[Order_Date]])/3,0)</f>
        <v>Q2</v>
      </c>
    </row>
    <row r="1828" spans="1:30" x14ac:dyDescent="0.35">
      <c r="A1828" t="s">
        <v>2670</v>
      </c>
      <c r="B1828" s="3">
        <v>47586</v>
      </c>
      <c r="C1828" t="s">
        <v>979</v>
      </c>
      <c r="D1828" t="s">
        <v>362</v>
      </c>
      <c r="E1828" t="str">
        <f>TRIM(excelsalesdata[[#This Row],[Customer_Name]])</f>
        <v>Diya Gupta</v>
      </c>
      <c r="F1828" t="s">
        <v>23</v>
      </c>
      <c r="G1828">
        <v>57</v>
      </c>
      <c r="H1828" t="s">
        <v>168</v>
      </c>
      <c r="I1828" t="str">
        <f>TRIM(excelsalesdata[[#This Row],[City]])</f>
        <v>Delhi</v>
      </c>
      <c r="J1828" t="s">
        <v>168</v>
      </c>
      <c r="K1828" t="s">
        <v>61</v>
      </c>
      <c r="L1828" t="s">
        <v>27</v>
      </c>
      <c r="M1828" t="s">
        <v>48</v>
      </c>
      <c r="N1828" t="s">
        <v>48</v>
      </c>
      <c r="O1828">
        <v>1</v>
      </c>
      <c r="P1828">
        <v>850</v>
      </c>
      <c r="Q1828">
        <v>0.1</v>
      </c>
      <c r="R1828">
        <v>450</v>
      </c>
      <c r="S1828" t="s">
        <v>29</v>
      </c>
      <c r="T1828" t="s">
        <v>30</v>
      </c>
      <c r="U1828">
        <v>3</v>
      </c>
      <c r="V1828" t="s">
        <v>31</v>
      </c>
      <c r="W1828">
        <f>excelsalesdata[[#This Row],[Quantity]]*excelsalesdata[[#This Row],[Unit_Price]]</f>
        <v>850</v>
      </c>
      <c r="X1828">
        <f>excelsalesdata[[#This Row],[Gross_sales]]*excelsalesdata[[#This Row],[Discount_%]]</f>
        <v>85</v>
      </c>
      <c r="Y1828">
        <f>excelsalesdata[[#This Row],[Gross_sales]]-excelsalesdata[[#This Row],[Discount_amt]]</f>
        <v>765</v>
      </c>
      <c r="Z1828" s="4">
        <f>excelsalesdata[[#This Row],[Net_sales]]-excelsalesdata[[#This Row],[Cost]]</f>
        <v>315</v>
      </c>
      <c r="AA1828" s="5">
        <f>excelsalesdata[[#This Row],[Profit]]/excelsalesdata[[#This Row],[Net_sales]]</f>
        <v>0.41176470588235292</v>
      </c>
      <c r="AB1828" s="4">
        <f>YEAR(excelsalesdata[[#This Row],[Order_Date]])</f>
        <v>2030</v>
      </c>
      <c r="AC1828" s="4" t="str">
        <f>TEXT(excelsalesdata[[#This Row],[Order_Date]],"mmm")</f>
        <v>Apr</v>
      </c>
      <c r="AD1828" s="4" t="str">
        <f>"Q"&amp;ROUNDUP(MONTH(excelsalesdata[[#This Row],[Order_Date]])/3,0)</f>
        <v>Q2</v>
      </c>
    </row>
    <row r="1829" spans="1:30" x14ac:dyDescent="0.35">
      <c r="A1829" t="s">
        <v>2671</v>
      </c>
      <c r="B1829" s="3">
        <v>47587</v>
      </c>
      <c r="C1829" t="s">
        <v>2488</v>
      </c>
      <c r="D1829" t="s">
        <v>144</v>
      </c>
      <c r="E1829" t="str">
        <f>TRIM(excelsalesdata[[#This Row],[Customer_Name]])</f>
        <v>Karan Iyer</v>
      </c>
      <c r="F1829" t="s">
        <v>23</v>
      </c>
      <c r="G1829">
        <v>59</v>
      </c>
      <c r="H1829" t="s">
        <v>24</v>
      </c>
      <c r="I1829" t="str">
        <f>TRIM(excelsalesdata[[#This Row],[City]])</f>
        <v>Pune</v>
      </c>
      <c r="J1829" t="s">
        <v>25</v>
      </c>
      <c r="K1829" t="s">
        <v>26</v>
      </c>
      <c r="L1829" t="s">
        <v>38</v>
      </c>
      <c r="M1829" t="s">
        <v>119</v>
      </c>
      <c r="N1829" t="s">
        <v>119</v>
      </c>
      <c r="O1829">
        <v>1</v>
      </c>
      <c r="P1829">
        <v>8770</v>
      </c>
      <c r="Q1829">
        <v>0.1</v>
      </c>
      <c r="R1829">
        <v>5370</v>
      </c>
      <c r="S1829" t="s">
        <v>105</v>
      </c>
      <c r="T1829" t="s">
        <v>30</v>
      </c>
      <c r="U1829">
        <v>3</v>
      </c>
      <c r="V1829" t="s">
        <v>31</v>
      </c>
      <c r="W1829">
        <f>excelsalesdata[[#This Row],[Quantity]]*excelsalesdata[[#This Row],[Unit_Price]]</f>
        <v>8770</v>
      </c>
      <c r="X1829">
        <f>excelsalesdata[[#This Row],[Gross_sales]]*excelsalesdata[[#This Row],[Discount_%]]</f>
        <v>877</v>
      </c>
      <c r="Y1829">
        <f>excelsalesdata[[#This Row],[Gross_sales]]-excelsalesdata[[#This Row],[Discount_amt]]</f>
        <v>7893</v>
      </c>
      <c r="Z1829" s="4">
        <f>excelsalesdata[[#This Row],[Net_sales]]-excelsalesdata[[#This Row],[Cost]]</f>
        <v>2523</v>
      </c>
      <c r="AA1829" s="5">
        <f>excelsalesdata[[#This Row],[Profit]]/excelsalesdata[[#This Row],[Net_sales]]</f>
        <v>0.31965032307107566</v>
      </c>
      <c r="AB1829" s="4">
        <f>YEAR(excelsalesdata[[#This Row],[Order_Date]])</f>
        <v>2030</v>
      </c>
      <c r="AC1829" s="4" t="str">
        <f>TEXT(excelsalesdata[[#This Row],[Order_Date]],"mmm")</f>
        <v>Apr</v>
      </c>
      <c r="AD1829" s="4" t="str">
        <f>"Q"&amp;ROUNDUP(MONTH(excelsalesdata[[#This Row],[Order_Date]])/3,0)</f>
        <v>Q2</v>
      </c>
    </row>
    <row r="1830" spans="1:30" x14ac:dyDescent="0.35">
      <c r="A1830" t="s">
        <v>2672</v>
      </c>
      <c r="B1830" s="3">
        <v>47588</v>
      </c>
      <c r="C1830" t="s">
        <v>1945</v>
      </c>
      <c r="D1830" t="s">
        <v>254</v>
      </c>
      <c r="E1830" t="str">
        <f>TRIM(excelsalesdata[[#This Row],[Customer_Name]])</f>
        <v>Meera Sharma</v>
      </c>
      <c r="F1830" t="s">
        <v>23</v>
      </c>
      <c r="G1830">
        <v>27</v>
      </c>
      <c r="H1830" t="s">
        <v>98</v>
      </c>
      <c r="I1830" t="str">
        <f>TRIM(excelsalesdata[[#This Row],[City]])</f>
        <v>Mumbai</v>
      </c>
      <c r="J1830" t="s">
        <v>25</v>
      </c>
      <c r="K1830" t="s">
        <v>26</v>
      </c>
      <c r="L1830" t="s">
        <v>93</v>
      </c>
      <c r="M1830" t="s">
        <v>135</v>
      </c>
      <c r="N1830" t="s">
        <v>135</v>
      </c>
      <c r="O1830">
        <v>2</v>
      </c>
      <c r="P1830">
        <v>1810</v>
      </c>
      <c r="Q1830">
        <v>0.1</v>
      </c>
      <c r="R1830">
        <v>1030</v>
      </c>
      <c r="S1830" t="s">
        <v>80</v>
      </c>
      <c r="T1830" t="s">
        <v>99</v>
      </c>
      <c r="U1830">
        <v>7</v>
      </c>
      <c r="V1830" t="s">
        <v>40</v>
      </c>
      <c r="W1830">
        <f>excelsalesdata[[#This Row],[Quantity]]*excelsalesdata[[#This Row],[Unit_Price]]</f>
        <v>3620</v>
      </c>
      <c r="X1830">
        <f>excelsalesdata[[#This Row],[Gross_sales]]*excelsalesdata[[#This Row],[Discount_%]]</f>
        <v>362</v>
      </c>
      <c r="Y1830">
        <f>excelsalesdata[[#This Row],[Gross_sales]]-excelsalesdata[[#This Row],[Discount_amt]]</f>
        <v>3258</v>
      </c>
      <c r="Z1830" s="4">
        <f>excelsalesdata[[#This Row],[Net_sales]]-excelsalesdata[[#This Row],[Cost]]</f>
        <v>2228</v>
      </c>
      <c r="AA1830" s="5">
        <f>excelsalesdata[[#This Row],[Profit]]/excelsalesdata[[#This Row],[Net_sales]]</f>
        <v>0.68385512584407615</v>
      </c>
      <c r="AB1830" s="4">
        <f>YEAR(excelsalesdata[[#This Row],[Order_Date]])</f>
        <v>2030</v>
      </c>
      <c r="AC1830" s="4" t="str">
        <f>TEXT(excelsalesdata[[#This Row],[Order_Date]],"mmm")</f>
        <v>Apr</v>
      </c>
      <c r="AD1830" s="4" t="str">
        <f>"Q"&amp;ROUNDUP(MONTH(excelsalesdata[[#This Row],[Order_Date]])/3,0)</f>
        <v>Q2</v>
      </c>
    </row>
    <row r="1831" spans="1:30" x14ac:dyDescent="0.35">
      <c r="A1831" t="s">
        <v>2673</v>
      </c>
      <c r="B1831" s="3">
        <v>47589</v>
      </c>
      <c r="C1831" t="s">
        <v>1151</v>
      </c>
      <c r="D1831" t="s">
        <v>752</v>
      </c>
      <c r="E1831" t="str">
        <f>TRIM(excelsalesdata[[#This Row],[Customer_Name]])</f>
        <v>Kavya Mehta</v>
      </c>
      <c r="F1831" t="s">
        <v>23</v>
      </c>
      <c r="G1831">
        <v>39</v>
      </c>
      <c r="H1831" t="s">
        <v>133</v>
      </c>
      <c r="I1831" t="str">
        <f>TRIM(excelsalesdata[[#This Row],[City]])</f>
        <v>Jaipur</v>
      </c>
      <c r="J1831" t="s">
        <v>134</v>
      </c>
      <c r="K1831" t="s">
        <v>61</v>
      </c>
      <c r="L1831" t="s">
        <v>27</v>
      </c>
      <c r="M1831" t="s">
        <v>48</v>
      </c>
      <c r="N1831" t="s">
        <v>48</v>
      </c>
      <c r="O1831">
        <v>4</v>
      </c>
      <c r="P1831">
        <v>910</v>
      </c>
      <c r="Q1831">
        <v>0.05</v>
      </c>
      <c r="R1831">
        <v>460</v>
      </c>
      <c r="S1831" t="s">
        <v>29</v>
      </c>
      <c r="T1831" t="s">
        <v>30</v>
      </c>
      <c r="U1831">
        <v>5</v>
      </c>
      <c r="V1831" t="s">
        <v>31</v>
      </c>
      <c r="W1831">
        <f>excelsalesdata[[#This Row],[Quantity]]*excelsalesdata[[#This Row],[Unit_Price]]</f>
        <v>3640</v>
      </c>
      <c r="X1831">
        <f>excelsalesdata[[#This Row],[Gross_sales]]*excelsalesdata[[#This Row],[Discount_%]]</f>
        <v>182</v>
      </c>
      <c r="Y1831">
        <f>excelsalesdata[[#This Row],[Gross_sales]]-excelsalesdata[[#This Row],[Discount_amt]]</f>
        <v>3458</v>
      </c>
      <c r="Z1831" s="4">
        <f>excelsalesdata[[#This Row],[Net_sales]]-excelsalesdata[[#This Row],[Cost]]</f>
        <v>2998</v>
      </c>
      <c r="AA1831" s="5">
        <f>excelsalesdata[[#This Row],[Profit]]/excelsalesdata[[#This Row],[Net_sales]]</f>
        <v>0.86697513013302485</v>
      </c>
      <c r="AB1831" s="4">
        <f>YEAR(excelsalesdata[[#This Row],[Order_Date]])</f>
        <v>2030</v>
      </c>
      <c r="AC1831" s="4" t="str">
        <f>TEXT(excelsalesdata[[#This Row],[Order_Date]],"mmm")</f>
        <v>Apr</v>
      </c>
      <c r="AD1831" s="4" t="str">
        <f>"Q"&amp;ROUNDUP(MONTH(excelsalesdata[[#This Row],[Order_Date]])/3,0)</f>
        <v>Q2</v>
      </c>
    </row>
    <row r="1832" spans="1:30" x14ac:dyDescent="0.35">
      <c r="A1832" t="s">
        <v>2674</v>
      </c>
      <c r="B1832" s="3">
        <v>47590</v>
      </c>
      <c r="C1832" t="s">
        <v>364</v>
      </c>
      <c r="D1832" t="s">
        <v>413</v>
      </c>
      <c r="E1832" t="str">
        <f>TRIM(excelsalesdata[[#This Row],[Customer_Name]])</f>
        <v>Rahul Mehta</v>
      </c>
      <c r="F1832" t="s">
        <v>23</v>
      </c>
      <c r="G1832">
        <v>58</v>
      </c>
      <c r="H1832" t="s">
        <v>71</v>
      </c>
      <c r="I1832" t="str">
        <f>TRIM(excelsalesdata[[#This Row],[City]])</f>
        <v>Bhubaneswar</v>
      </c>
      <c r="J1832" t="s">
        <v>72</v>
      </c>
      <c r="K1832" t="s">
        <v>37</v>
      </c>
      <c r="L1832" t="s">
        <v>54</v>
      </c>
      <c r="M1832" t="s">
        <v>157</v>
      </c>
      <c r="N1832" t="s">
        <v>157</v>
      </c>
      <c r="O1832">
        <v>4</v>
      </c>
      <c r="P1832">
        <v>57160</v>
      </c>
      <c r="Q1832">
        <v>0.1</v>
      </c>
      <c r="R1832">
        <v>42420</v>
      </c>
      <c r="S1832" t="s">
        <v>29</v>
      </c>
      <c r="T1832" t="s">
        <v>30</v>
      </c>
      <c r="U1832">
        <v>4</v>
      </c>
      <c r="V1832" t="s">
        <v>31</v>
      </c>
      <c r="W1832">
        <f>excelsalesdata[[#This Row],[Quantity]]*excelsalesdata[[#This Row],[Unit_Price]]</f>
        <v>228640</v>
      </c>
      <c r="X1832">
        <f>excelsalesdata[[#This Row],[Gross_sales]]*excelsalesdata[[#This Row],[Discount_%]]</f>
        <v>22864</v>
      </c>
      <c r="Y1832">
        <f>excelsalesdata[[#This Row],[Gross_sales]]-excelsalesdata[[#This Row],[Discount_amt]]</f>
        <v>205776</v>
      </c>
      <c r="Z1832" s="4">
        <f>excelsalesdata[[#This Row],[Net_sales]]-excelsalesdata[[#This Row],[Cost]]</f>
        <v>163356</v>
      </c>
      <c r="AA1832" s="5">
        <f>excelsalesdata[[#This Row],[Profit]]/excelsalesdata[[#This Row],[Net_sales]]</f>
        <v>0.79385351061348264</v>
      </c>
      <c r="AB1832" s="4">
        <f>YEAR(excelsalesdata[[#This Row],[Order_Date]])</f>
        <v>2030</v>
      </c>
      <c r="AC1832" s="4" t="str">
        <f>TEXT(excelsalesdata[[#This Row],[Order_Date]],"mmm")</f>
        <v>Apr</v>
      </c>
      <c r="AD1832" s="4" t="str">
        <f>"Q"&amp;ROUNDUP(MONTH(excelsalesdata[[#This Row],[Order_Date]])/3,0)</f>
        <v>Q2</v>
      </c>
    </row>
    <row r="1833" spans="1:30" x14ac:dyDescent="0.35">
      <c r="A1833" t="s">
        <v>2675</v>
      </c>
      <c r="B1833" s="3">
        <v>47591</v>
      </c>
      <c r="C1833" t="s">
        <v>1782</v>
      </c>
      <c r="D1833" t="s">
        <v>436</v>
      </c>
      <c r="E1833" t="str">
        <f>TRIM(excelsalesdata[[#This Row],[Customer_Name]])</f>
        <v>Meera Shah</v>
      </c>
      <c r="F1833" t="s">
        <v>44</v>
      </c>
      <c r="G1833">
        <v>57</v>
      </c>
      <c r="H1833" t="s">
        <v>60</v>
      </c>
      <c r="I1833" t="str">
        <f>TRIM(excelsalesdata[[#This Row],[City]])</f>
        <v>Chandigarh</v>
      </c>
      <c r="J1833" t="s">
        <v>60</v>
      </c>
      <c r="K1833" t="s">
        <v>61</v>
      </c>
      <c r="L1833" t="s">
        <v>85</v>
      </c>
      <c r="M1833" t="s">
        <v>202</v>
      </c>
      <c r="N1833" t="s">
        <v>202</v>
      </c>
      <c r="O1833">
        <v>2</v>
      </c>
      <c r="P1833">
        <v>970</v>
      </c>
      <c r="Q1833">
        <v>0.2</v>
      </c>
      <c r="R1833">
        <v>420</v>
      </c>
      <c r="S1833" t="s">
        <v>151</v>
      </c>
      <c r="T1833" t="s">
        <v>30</v>
      </c>
      <c r="U1833">
        <v>5</v>
      </c>
      <c r="V1833" t="s">
        <v>40</v>
      </c>
      <c r="W1833">
        <f>excelsalesdata[[#This Row],[Quantity]]*excelsalesdata[[#This Row],[Unit_Price]]</f>
        <v>1940</v>
      </c>
      <c r="X1833">
        <f>excelsalesdata[[#This Row],[Gross_sales]]*excelsalesdata[[#This Row],[Discount_%]]</f>
        <v>388</v>
      </c>
      <c r="Y1833">
        <f>excelsalesdata[[#This Row],[Gross_sales]]-excelsalesdata[[#This Row],[Discount_amt]]</f>
        <v>1552</v>
      </c>
      <c r="Z1833" s="4">
        <f>excelsalesdata[[#This Row],[Net_sales]]-excelsalesdata[[#This Row],[Cost]]</f>
        <v>1132</v>
      </c>
      <c r="AA1833" s="5">
        <f>excelsalesdata[[#This Row],[Profit]]/excelsalesdata[[#This Row],[Net_sales]]</f>
        <v>0.72938144329896903</v>
      </c>
      <c r="AB1833" s="4">
        <f>YEAR(excelsalesdata[[#This Row],[Order_Date]])</f>
        <v>2030</v>
      </c>
      <c r="AC1833" s="4" t="str">
        <f>TEXT(excelsalesdata[[#This Row],[Order_Date]],"mmm")</f>
        <v>Apr</v>
      </c>
      <c r="AD1833" s="4" t="str">
        <f>"Q"&amp;ROUNDUP(MONTH(excelsalesdata[[#This Row],[Order_Date]])/3,0)</f>
        <v>Q2</v>
      </c>
    </row>
    <row r="1834" spans="1:30" x14ac:dyDescent="0.35">
      <c r="A1834" t="s">
        <v>2676</v>
      </c>
      <c r="B1834" s="3">
        <v>47592</v>
      </c>
      <c r="C1834" t="s">
        <v>614</v>
      </c>
      <c r="D1834" t="s">
        <v>770</v>
      </c>
      <c r="E1834" t="str">
        <f>TRIM(excelsalesdata[[#This Row],[Customer_Name]])</f>
        <v>Karan Naidu</v>
      </c>
      <c r="F1834" t="s">
        <v>23</v>
      </c>
      <c r="G1834">
        <v>34</v>
      </c>
      <c r="H1834" t="s">
        <v>185</v>
      </c>
      <c r="I1834" t="str">
        <f>TRIM(excelsalesdata[[#This Row],[City]])</f>
        <v>Lucknow</v>
      </c>
      <c r="J1834" t="s">
        <v>186</v>
      </c>
      <c r="K1834" t="s">
        <v>61</v>
      </c>
      <c r="L1834" t="s">
        <v>54</v>
      </c>
      <c r="M1834" t="s">
        <v>55</v>
      </c>
      <c r="N1834" t="s">
        <v>55</v>
      </c>
      <c r="O1834">
        <v>1</v>
      </c>
      <c r="P1834">
        <v>7110</v>
      </c>
      <c r="Q1834">
        <v>0.2</v>
      </c>
      <c r="R1834">
        <v>4450</v>
      </c>
      <c r="S1834" t="s">
        <v>151</v>
      </c>
      <c r="T1834" t="s">
        <v>30</v>
      </c>
      <c r="U1834">
        <v>2</v>
      </c>
      <c r="V1834" t="s">
        <v>31</v>
      </c>
      <c r="W1834">
        <f>excelsalesdata[[#This Row],[Quantity]]*excelsalesdata[[#This Row],[Unit_Price]]</f>
        <v>7110</v>
      </c>
      <c r="X1834">
        <f>excelsalesdata[[#This Row],[Gross_sales]]*excelsalesdata[[#This Row],[Discount_%]]</f>
        <v>1422</v>
      </c>
      <c r="Y1834">
        <f>excelsalesdata[[#This Row],[Gross_sales]]-excelsalesdata[[#This Row],[Discount_amt]]</f>
        <v>5688</v>
      </c>
      <c r="Z1834" s="4">
        <f>excelsalesdata[[#This Row],[Net_sales]]-excelsalesdata[[#This Row],[Cost]]</f>
        <v>1238</v>
      </c>
      <c r="AA1834" s="5">
        <f>excelsalesdata[[#This Row],[Profit]]/excelsalesdata[[#This Row],[Net_sales]]</f>
        <v>0.21765119549929676</v>
      </c>
      <c r="AB1834" s="4">
        <f>YEAR(excelsalesdata[[#This Row],[Order_Date]])</f>
        <v>2030</v>
      </c>
      <c r="AC1834" s="4" t="str">
        <f>TEXT(excelsalesdata[[#This Row],[Order_Date]],"mmm")</f>
        <v>Apr</v>
      </c>
      <c r="AD1834" s="4" t="str">
        <f>"Q"&amp;ROUNDUP(MONTH(excelsalesdata[[#This Row],[Order_Date]])/3,0)</f>
        <v>Q2</v>
      </c>
    </row>
    <row r="1835" spans="1:30" x14ac:dyDescent="0.35">
      <c r="A1835" t="s">
        <v>2677</v>
      </c>
      <c r="B1835" s="3">
        <v>47593</v>
      </c>
      <c r="C1835" t="s">
        <v>568</v>
      </c>
      <c r="D1835" t="s">
        <v>1394</v>
      </c>
      <c r="E1835" t="str">
        <f>TRIM(excelsalesdata[[#This Row],[Customer_Name]])</f>
        <v>Vikram Kumar</v>
      </c>
      <c r="F1835" t="s">
        <v>44</v>
      </c>
      <c r="G1835">
        <v>19</v>
      </c>
      <c r="H1835" t="s">
        <v>24</v>
      </c>
      <c r="I1835" t="str">
        <f>TRIM(excelsalesdata[[#This Row],[City]])</f>
        <v>Pune</v>
      </c>
      <c r="J1835" t="s">
        <v>25</v>
      </c>
      <c r="K1835" t="s">
        <v>26</v>
      </c>
      <c r="L1835" t="s">
        <v>38</v>
      </c>
      <c r="M1835" t="s">
        <v>255</v>
      </c>
      <c r="N1835" t="s">
        <v>255</v>
      </c>
      <c r="O1835">
        <v>2</v>
      </c>
      <c r="P1835">
        <v>4660</v>
      </c>
      <c r="Q1835">
        <v>0.2</v>
      </c>
      <c r="R1835">
        <v>2880</v>
      </c>
      <c r="S1835" t="s">
        <v>80</v>
      </c>
      <c r="T1835" t="s">
        <v>99</v>
      </c>
      <c r="U1835">
        <v>8</v>
      </c>
      <c r="V1835" t="s">
        <v>31</v>
      </c>
      <c r="W1835">
        <f>excelsalesdata[[#This Row],[Quantity]]*excelsalesdata[[#This Row],[Unit_Price]]</f>
        <v>9320</v>
      </c>
      <c r="X1835">
        <f>excelsalesdata[[#This Row],[Gross_sales]]*excelsalesdata[[#This Row],[Discount_%]]</f>
        <v>1864</v>
      </c>
      <c r="Y1835">
        <f>excelsalesdata[[#This Row],[Gross_sales]]-excelsalesdata[[#This Row],[Discount_amt]]</f>
        <v>7456</v>
      </c>
      <c r="Z1835" s="4">
        <f>excelsalesdata[[#This Row],[Net_sales]]-excelsalesdata[[#This Row],[Cost]]</f>
        <v>4576</v>
      </c>
      <c r="AA1835" s="5">
        <f>excelsalesdata[[#This Row],[Profit]]/excelsalesdata[[#This Row],[Net_sales]]</f>
        <v>0.61373390557939911</v>
      </c>
      <c r="AB1835" s="4">
        <f>YEAR(excelsalesdata[[#This Row],[Order_Date]])</f>
        <v>2030</v>
      </c>
      <c r="AC1835" s="4" t="str">
        <f>TEXT(excelsalesdata[[#This Row],[Order_Date]],"mmm")</f>
        <v>Apr</v>
      </c>
      <c r="AD1835" s="4" t="str">
        <f>"Q"&amp;ROUNDUP(MONTH(excelsalesdata[[#This Row],[Order_Date]])/3,0)</f>
        <v>Q2</v>
      </c>
    </row>
    <row r="1836" spans="1:30" x14ac:dyDescent="0.35">
      <c r="A1836" t="s">
        <v>2678</v>
      </c>
      <c r="B1836" s="3">
        <v>47594</v>
      </c>
      <c r="C1836" t="s">
        <v>1616</v>
      </c>
      <c r="D1836" t="s">
        <v>1070</v>
      </c>
      <c r="E1836" t="str">
        <f>TRIM(excelsalesdata[[#This Row],[Customer_Name]])</f>
        <v>Ishita Patel</v>
      </c>
      <c r="F1836" t="s">
        <v>44</v>
      </c>
      <c r="G1836">
        <v>41</v>
      </c>
      <c r="H1836" t="s">
        <v>78</v>
      </c>
      <c r="I1836" t="str">
        <f>TRIM(excelsalesdata[[#This Row],[City]])</f>
        <v>Guwahati</v>
      </c>
      <c r="J1836" t="s">
        <v>79</v>
      </c>
      <c r="K1836" t="s">
        <v>37</v>
      </c>
      <c r="L1836" t="s">
        <v>38</v>
      </c>
      <c r="M1836" t="s">
        <v>73</v>
      </c>
      <c r="N1836" t="s">
        <v>73</v>
      </c>
      <c r="O1836">
        <v>1</v>
      </c>
      <c r="P1836">
        <v>5210</v>
      </c>
      <c r="Q1836">
        <v>0.25</v>
      </c>
      <c r="R1836">
        <v>3340</v>
      </c>
      <c r="S1836" t="s">
        <v>105</v>
      </c>
      <c r="T1836" t="s">
        <v>30</v>
      </c>
      <c r="U1836">
        <v>2</v>
      </c>
      <c r="V1836" t="s">
        <v>31</v>
      </c>
      <c r="W1836">
        <f>excelsalesdata[[#This Row],[Quantity]]*excelsalesdata[[#This Row],[Unit_Price]]</f>
        <v>5210</v>
      </c>
      <c r="X1836">
        <f>excelsalesdata[[#This Row],[Gross_sales]]*excelsalesdata[[#This Row],[Discount_%]]</f>
        <v>1302.5</v>
      </c>
      <c r="Y1836">
        <f>excelsalesdata[[#This Row],[Gross_sales]]-excelsalesdata[[#This Row],[Discount_amt]]</f>
        <v>3907.5</v>
      </c>
      <c r="Z1836" s="4">
        <f>excelsalesdata[[#This Row],[Net_sales]]-excelsalesdata[[#This Row],[Cost]]</f>
        <v>567.5</v>
      </c>
      <c r="AA1836" s="5">
        <f>excelsalesdata[[#This Row],[Profit]]/excelsalesdata[[#This Row],[Net_sales]]</f>
        <v>0.14523352527191299</v>
      </c>
      <c r="AB1836" s="4">
        <f>YEAR(excelsalesdata[[#This Row],[Order_Date]])</f>
        <v>2030</v>
      </c>
      <c r="AC1836" s="4" t="str">
        <f>TEXT(excelsalesdata[[#This Row],[Order_Date]],"mmm")</f>
        <v>Apr</v>
      </c>
      <c r="AD1836" s="4" t="str">
        <f>"Q"&amp;ROUNDUP(MONTH(excelsalesdata[[#This Row],[Order_Date]])/3,0)</f>
        <v>Q2</v>
      </c>
    </row>
    <row r="1837" spans="1:30" x14ac:dyDescent="0.35">
      <c r="A1837" t="s">
        <v>2679</v>
      </c>
      <c r="B1837" s="3">
        <v>47595</v>
      </c>
      <c r="C1837" t="s">
        <v>146</v>
      </c>
      <c r="D1837" t="s">
        <v>833</v>
      </c>
      <c r="E1837" t="str">
        <f>TRIM(excelsalesdata[[#This Row],[Customer_Name]])</f>
        <v>Rohan Mehta</v>
      </c>
      <c r="F1837" t="s">
        <v>23</v>
      </c>
      <c r="G1837">
        <v>41</v>
      </c>
      <c r="H1837" t="s">
        <v>78</v>
      </c>
      <c r="I1837" t="str">
        <f>TRIM(excelsalesdata[[#This Row],[City]])</f>
        <v>Guwahati</v>
      </c>
      <c r="J1837" t="s">
        <v>79</v>
      </c>
      <c r="K1837" t="s">
        <v>37</v>
      </c>
      <c r="L1837" t="s">
        <v>38</v>
      </c>
      <c r="M1837" t="s">
        <v>255</v>
      </c>
      <c r="N1837" t="s">
        <v>255</v>
      </c>
      <c r="O1837">
        <v>5</v>
      </c>
      <c r="P1837">
        <v>4300</v>
      </c>
      <c r="Q1837">
        <v>0</v>
      </c>
      <c r="R1837">
        <v>2830</v>
      </c>
      <c r="S1837" t="s">
        <v>80</v>
      </c>
      <c r="T1837" t="s">
        <v>30</v>
      </c>
      <c r="U1837">
        <v>4</v>
      </c>
      <c r="V1837" t="s">
        <v>31</v>
      </c>
      <c r="W1837">
        <f>excelsalesdata[[#This Row],[Quantity]]*excelsalesdata[[#This Row],[Unit_Price]]</f>
        <v>21500</v>
      </c>
      <c r="X1837">
        <f>excelsalesdata[[#This Row],[Gross_sales]]*excelsalesdata[[#This Row],[Discount_%]]</f>
        <v>0</v>
      </c>
      <c r="Y1837">
        <f>excelsalesdata[[#This Row],[Gross_sales]]-excelsalesdata[[#This Row],[Discount_amt]]</f>
        <v>21500</v>
      </c>
      <c r="Z1837" s="4">
        <f>excelsalesdata[[#This Row],[Net_sales]]-excelsalesdata[[#This Row],[Cost]]</f>
        <v>18670</v>
      </c>
      <c r="AA1837" s="5">
        <f>excelsalesdata[[#This Row],[Profit]]/excelsalesdata[[#This Row],[Net_sales]]</f>
        <v>0.8683720930232558</v>
      </c>
      <c r="AB1837" s="4">
        <f>YEAR(excelsalesdata[[#This Row],[Order_Date]])</f>
        <v>2030</v>
      </c>
      <c r="AC1837" s="4" t="str">
        <f>TEXT(excelsalesdata[[#This Row],[Order_Date]],"mmm")</f>
        <v>Apr</v>
      </c>
      <c r="AD1837" s="4" t="str">
        <f>"Q"&amp;ROUNDUP(MONTH(excelsalesdata[[#This Row],[Order_Date]])/3,0)</f>
        <v>Q2</v>
      </c>
    </row>
    <row r="1838" spans="1:30" x14ac:dyDescent="0.35">
      <c r="A1838" t="s">
        <v>2680</v>
      </c>
      <c r="B1838" s="3">
        <v>47596</v>
      </c>
      <c r="C1838" t="s">
        <v>949</v>
      </c>
      <c r="D1838" t="s">
        <v>362</v>
      </c>
      <c r="E1838" t="str">
        <f>TRIM(excelsalesdata[[#This Row],[Customer_Name]])</f>
        <v>Diya Gupta</v>
      </c>
      <c r="F1838" t="s">
        <v>23</v>
      </c>
      <c r="G1838">
        <v>38</v>
      </c>
      <c r="H1838" t="s">
        <v>45</v>
      </c>
      <c r="I1838" t="str">
        <f>TRIM(excelsalesdata[[#This Row],[City]])</f>
        <v>Kochi</v>
      </c>
      <c r="J1838" t="s">
        <v>46</v>
      </c>
      <c r="K1838" t="s">
        <v>47</v>
      </c>
      <c r="L1838" t="s">
        <v>54</v>
      </c>
      <c r="M1838" t="s">
        <v>157</v>
      </c>
      <c r="N1838" t="s">
        <v>157</v>
      </c>
      <c r="O1838">
        <v>1</v>
      </c>
      <c r="P1838">
        <v>51150</v>
      </c>
      <c r="Q1838">
        <v>0.1</v>
      </c>
      <c r="R1838">
        <v>41440</v>
      </c>
      <c r="S1838" t="s">
        <v>80</v>
      </c>
      <c r="T1838" t="s">
        <v>30</v>
      </c>
      <c r="U1838">
        <v>10</v>
      </c>
      <c r="V1838" t="s">
        <v>40</v>
      </c>
      <c r="W1838">
        <f>excelsalesdata[[#This Row],[Quantity]]*excelsalesdata[[#This Row],[Unit_Price]]</f>
        <v>51150</v>
      </c>
      <c r="X1838">
        <f>excelsalesdata[[#This Row],[Gross_sales]]*excelsalesdata[[#This Row],[Discount_%]]</f>
        <v>5115</v>
      </c>
      <c r="Y1838">
        <f>excelsalesdata[[#This Row],[Gross_sales]]-excelsalesdata[[#This Row],[Discount_amt]]</f>
        <v>46035</v>
      </c>
      <c r="Z1838" s="4">
        <f>excelsalesdata[[#This Row],[Net_sales]]-excelsalesdata[[#This Row],[Cost]]</f>
        <v>4595</v>
      </c>
      <c r="AA1838" s="5">
        <f>excelsalesdata[[#This Row],[Profit]]/excelsalesdata[[#This Row],[Net_sales]]</f>
        <v>9.9815357879874014E-2</v>
      </c>
      <c r="AB1838" s="4">
        <f>YEAR(excelsalesdata[[#This Row],[Order_Date]])</f>
        <v>2030</v>
      </c>
      <c r="AC1838" s="4" t="str">
        <f>TEXT(excelsalesdata[[#This Row],[Order_Date]],"mmm")</f>
        <v>Apr</v>
      </c>
      <c r="AD1838" s="4" t="str">
        <f>"Q"&amp;ROUNDUP(MONTH(excelsalesdata[[#This Row],[Order_Date]])/3,0)</f>
        <v>Q2</v>
      </c>
    </row>
    <row r="1839" spans="1:30" x14ac:dyDescent="0.35">
      <c r="A1839" t="s">
        <v>2681</v>
      </c>
      <c r="B1839" s="3">
        <v>47597</v>
      </c>
      <c r="C1839" t="s">
        <v>408</v>
      </c>
      <c r="D1839" t="s">
        <v>563</v>
      </c>
      <c r="E1839" t="str">
        <f>TRIM(excelsalesdata[[#This Row],[Customer_Name]])</f>
        <v>Sneha Verma</v>
      </c>
      <c r="F1839" t="s">
        <v>23</v>
      </c>
      <c r="G1839">
        <v>28</v>
      </c>
      <c r="H1839" t="s">
        <v>60</v>
      </c>
      <c r="I1839" t="str">
        <f>TRIM(excelsalesdata[[#This Row],[City]])</f>
        <v>Chandigarh</v>
      </c>
      <c r="J1839" t="s">
        <v>60</v>
      </c>
      <c r="K1839" t="s">
        <v>61</v>
      </c>
      <c r="L1839" t="s">
        <v>103</v>
      </c>
      <c r="M1839" t="s">
        <v>347</v>
      </c>
      <c r="N1839" t="s">
        <v>347</v>
      </c>
      <c r="O1839">
        <v>3</v>
      </c>
      <c r="P1839">
        <v>11410</v>
      </c>
      <c r="Q1839">
        <v>0.15</v>
      </c>
      <c r="R1839">
        <v>8200</v>
      </c>
      <c r="S1839" t="s">
        <v>151</v>
      </c>
      <c r="T1839" t="s">
        <v>30</v>
      </c>
      <c r="U1839">
        <v>2</v>
      </c>
      <c r="V1839" t="s">
        <v>40</v>
      </c>
      <c r="W1839">
        <f>excelsalesdata[[#This Row],[Quantity]]*excelsalesdata[[#This Row],[Unit_Price]]</f>
        <v>34230</v>
      </c>
      <c r="X1839">
        <f>excelsalesdata[[#This Row],[Gross_sales]]*excelsalesdata[[#This Row],[Discount_%]]</f>
        <v>5134.5</v>
      </c>
      <c r="Y1839">
        <f>excelsalesdata[[#This Row],[Gross_sales]]-excelsalesdata[[#This Row],[Discount_amt]]</f>
        <v>29095.5</v>
      </c>
      <c r="Z1839" s="4">
        <f>excelsalesdata[[#This Row],[Net_sales]]-excelsalesdata[[#This Row],[Cost]]</f>
        <v>20895.5</v>
      </c>
      <c r="AA1839" s="5">
        <f>excelsalesdata[[#This Row],[Profit]]/excelsalesdata[[#This Row],[Net_sales]]</f>
        <v>0.7181694763795089</v>
      </c>
      <c r="AB1839" s="4">
        <f>YEAR(excelsalesdata[[#This Row],[Order_Date]])</f>
        <v>2030</v>
      </c>
      <c r="AC1839" s="4" t="str">
        <f>TEXT(excelsalesdata[[#This Row],[Order_Date]],"mmm")</f>
        <v>Apr</v>
      </c>
      <c r="AD1839" s="4" t="str">
        <f>"Q"&amp;ROUNDUP(MONTH(excelsalesdata[[#This Row],[Order_Date]])/3,0)</f>
        <v>Q2</v>
      </c>
    </row>
    <row r="1840" spans="1:30" x14ac:dyDescent="0.35">
      <c r="A1840" t="s">
        <v>2682</v>
      </c>
      <c r="B1840" s="3">
        <v>47598</v>
      </c>
      <c r="C1840" t="s">
        <v>2683</v>
      </c>
      <c r="D1840" t="s">
        <v>879</v>
      </c>
      <c r="E1840" t="str">
        <f>TRIM(excelsalesdata[[#This Row],[Customer_Name]])</f>
        <v>Ishita Das</v>
      </c>
      <c r="F1840" t="s">
        <v>44</v>
      </c>
      <c r="G1840">
        <v>34</v>
      </c>
      <c r="H1840" t="s">
        <v>45</v>
      </c>
      <c r="I1840" t="str">
        <f>TRIM(excelsalesdata[[#This Row],[City]])</f>
        <v>Kochi</v>
      </c>
      <c r="J1840" t="s">
        <v>46</v>
      </c>
      <c r="K1840" t="s">
        <v>47</v>
      </c>
      <c r="L1840" t="s">
        <v>103</v>
      </c>
      <c r="M1840" t="s">
        <v>347</v>
      </c>
      <c r="N1840" t="s">
        <v>347</v>
      </c>
      <c r="O1840">
        <v>1</v>
      </c>
      <c r="P1840">
        <v>11340</v>
      </c>
      <c r="Q1840">
        <v>0</v>
      </c>
      <c r="R1840">
        <v>8140</v>
      </c>
      <c r="S1840" t="s">
        <v>29</v>
      </c>
      <c r="T1840" t="s">
        <v>30</v>
      </c>
      <c r="U1840">
        <v>3</v>
      </c>
      <c r="V1840" t="s">
        <v>31</v>
      </c>
      <c r="W1840">
        <f>excelsalesdata[[#This Row],[Quantity]]*excelsalesdata[[#This Row],[Unit_Price]]</f>
        <v>11340</v>
      </c>
      <c r="X1840">
        <f>excelsalesdata[[#This Row],[Gross_sales]]*excelsalesdata[[#This Row],[Discount_%]]</f>
        <v>0</v>
      </c>
      <c r="Y1840">
        <f>excelsalesdata[[#This Row],[Gross_sales]]-excelsalesdata[[#This Row],[Discount_amt]]</f>
        <v>11340</v>
      </c>
      <c r="Z1840" s="4">
        <f>excelsalesdata[[#This Row],[Net_sales]]-excelsalesdata[[#This Row],[Cost]]</f>
        <v>3200</v>
      </c>
      <c r="AA1840" s="5">
        <f>excelsalesdata[[#This Row],[Profit]]/excelsalesdata[[#This Row],[Net_sales]]</f>
        <v>0.2821869488536155</v>
      </c>
      <c r="AB1840" s="4">
        <f>YEAR(excelsalesdata[[#This Row],[Order_Date]])</f>
        <v>2030</v>
      </c>
      <c r="AC1840" s="4" t="str">
        <f>TEXT(excelsalesdata[[#This Row],[Order_Date]],"mmm")</f>
        <v>Apr</v>
      </c>
      <c r="AD1840" s="4" t="str">
        <f>"Q"&amp;ROUNDUP(MONTH(excelsalesdata[[#This Row],[Order_Date]])/3,0)</f>
        <v>Q2</v>
      </c>
    </row>
    <row r="1841" spans="1:30" x14ac:dyDescent="0.35">
      <c r="A1841" t="s">
        <v>2684</v>
      </c>
      <c r="B1841" s="3">
        <v>47599</v>
      </c>
      <c r="C1841" t="s">
        <v>1229</v>
      </c>
      <c r="D1841" t="s">
        <v>1159</v>
      </c>
      <c r="E1841" t="str">
        <f>TRIM(excelsalesdata[[#This Row],[Customer_Name]])</f>
        <v>Aditya Patel</v>
      </c>
      <c r="F1841" t="s">
        <v>23</v>
      </c>
      <c r="G1841">
        <v>35</v>
      </c>
      <c r="H1841" t="s">
        <v>71</v>
      </c>
      <c r="I1841" t="str">
        <f>TRIM(excelsalesdata[[#This Row],[City]])</f>
        <v>Bhubaneswar</v>
      </c>
      <c r="J1841" t="s">
        <v>72</v>
      </c>
      <c r="K1841" t="s">
        <v>37</v>
      </c>
      <c r="L1841" t="s">
        <v>103</v>
      </c>
      <c r="M1841" t="s">
        <v>312</v>
      </c>
      <c r="N1841" t="s">
        <v>312</v>
      </c>
      <c r="O1841">
        <v>1</v>
      </c>
      <c r="P1841">
        <v>6040</v>
      </c>
      <c r="Q1841">
        <v>0.2</v>
      </c>
      <c r="R1841">
        <v>4130</v>
      </c>
      <c r="S1841" t="s">
        <v>67</v>
      </c>
      <c r="T1841" t="s">
        <v>30</v>
      </c>
      <c r="U1841">
        <v>1</v>
      </c>
      <c r="V1841" t="s">
        <v>31</v>
      </c>
      <c r="W1841">
        <f>excelsalesdata[[#This Row],[Quantity]]*excelsalesdata[[#This Row],[Unit_Price]]</f>
        <v>6040</v>
      </c>
      <c r="X1841">
        <f>excelsalesdata[[#This Row],[Gross_sales]]*excelsalesdata[[#This Row],[Discount_%]]</f>
        <v>1208</v>
      </c>
      <c r="Y1841">
        <f>excelsalesdata[[#This Row],[Gross_sales]]-excelsalesdata[[#This Row],[Discount_amt]]</f>
        <v>4832</v>
      </c>
      <c r="Z1841" s="4">
        <f>excelsalesdata[[#This Row],[Net_sales]]-excelsalesdata[[#This Row],[Cost]]</f>
        <v>702</v>
      </c>
      <c r="AA1841" s="5">
        <f>excelsalesdata[[#This Row],[Profit]]/excelsalesdata[[#This Row],[Net_sales]]</f>
        <v>0.14528145695364239</v>
      </c>
      <c r="AB1841" s="4">
        <f>YEAR(excelsalesdata[[#This Row],[Order_Date]])</f>
        <v>2030</v>
      </c>
      <c r="AC1841" s="4" t="str">
        <f>TEXT(excelsalesdata[[#This Row],[Order_Date]],"mmm")</f>
        <v>Apr</v>
      </c>
      <c r="AD1841" s="4" t="str">
        <f>"Q"&amp;ROUNDUP(MONTH(excelsalesdata[[#This Row],[Order_Date]])/3,0)</f>
        <v>Q2</v>
      </c>
    </row>
    <row r="1842" spans="1:30" x14ac:dyDescent="0.35">
      <c r="A1842" t="s">
        <v>2685</v>
      </c>
      <c r="B1842" s="3">
        <v>47600</v>
      </c>
      <c r="C1842" t="s">
        <v>415</v>
      </c>
      <c r="D1842" t="s">
        <v>1038</v>
      </c>
      <c r="E1842" t="str">
        <f>TRIM(excelsalesdata[[#This Row],[Customer_Name]])</f>
        <v>Ananya Joshi</v>
      </c>
      <c r="F1842" t="s">
        <v>23</v>
      </c>
      <c r="G1842">
        <v>23</v>
      </c>
      <c r="H1842" t="s">
        <v>114</v>
      </c>
      <c r="I1842" t="str">
        <f>TRIM(excelsalesdata[[#This Row],[City]])</f>
        <v>Hyderabad</v>
      </c>
      <c r="J1842" t="s">
        <v>115</v>
      </c>
      <c r="K1842" t="s">
        <v>47</v>
      </c>
      <c r="L1842" t="s">
        <v>38</v>
      </c>
      <c r="M1842" t="s">
        <v>73</v>
      </c>
      <c r="N1842" t="s">
        <v>73</v>
      </c>
      <c r="O1842">
        <v>1</v>
      </c>
      <c r="P1842">
        <v>4850</v>
      </c>
      <c r="Q1842">
        <v>0</v>
      </c>
      <c r="R1842">
        <v>3060</v>
      </c>
      <c r="S1842" t="s">
        <v>105</v>
      </c>
      <c r="T1842" t="s">
        <v>30</v>
      </c>
      <c r="U1842">
        <v>1</v>
      </c>
      <c r="V1842" t="s">
        <v>40</v>
      </c>
      <c r="W1842">
        <f>excelsalesdata[[#This Row],[Quantity]]*excelsalesdata[[#This Row],[Unit_Price]]</f>
        <v>4850</v>
      </c>
      <c r="X1842">
        <f>excelsalesdata[[#This Row],[Gross_sales]]*excelsalesdata[[#This Row],[Discount_%]]</f>
        <v>0</v>
      </c>
      <c r="Y1842">
        <f>excelsalesdata[[#This Row],[Gross_sales]]-excelsalesdata[[#This Row],[Discount_amt]]</f>
        <v>4850</v>
      </c>
      <c r="Z1842" s="4">
        <f>excelsalesdata[[#This Row],[Net_sales]]-excelsalesdata[[#This Row],[Cost]]</f>
        <v>1790</v>
      </c>
      <c r="AA1842" s="5">
        <f>excelsalesdata[[#This Row],[Profit]]/excelsalesdata[[#This Row],[Net_sales]]</f>
        <v>0.36907216494845363</v>
      </c>
      <c r="AB1842" s="4">
        <f>YEAR(excelsalesdata[[#This Row],[Order_Date]])</f>
        <v>2030</v>
      </c>
      <c r="AC1842" s="4" t="str">
        <f>TEXT(excelsalesdata[[#This Row],[Order_Date]],"mmm")</f>
        <v>Apr</v>
      </c>
      <c r="AD1842" s="4" t="str">
        <f>"Q"&amp;ROUNDUP(MONTH(excelsalesdata[[#This Row],[Order_Date]])/3,0)</f>
        <v>Q2</v>
      </c>
    </row>
    <row r="1843" spans="1:30" x14ac:dyDescent="0.35">
      <c r="A1843" t="s">
        <v>2686</v>
      </c>
      <c r="B1843" s="3">
        <v>47601</v>
      </c>
      <c r="C1843" t="s">
        <v>450</v>
      </c>
      <c r="D1843" t="s">
        <v>519</v>
      </c>
      <c r="E1843" t="str">
        <f>TRIM(excelsalesdata[[#This Row],[Customer_Name]])</f>
        <v>Kavya Das</v>
      </c>
      <c r="F1843" t="s">
        <v>23</v>
      </c>
      <c r="G1843">
        <v>32</v>
      </c>
      <c r="H1843" t="s">
        <v>109</v>
      </c>
      <c r="I1843" t="str">
        <f>TRIM(excelsalesdata[[#This Row],[City]])</f>
        <v>Mysuru</v>
      </c>
      <c r="J1843" t="s">
        <v>53</v>
      </c>
      <c r="K1843" t="s">
        <v>47</v>
      </c>
      <c r="L1843" t="s">
        <v>85</v>
      </c>
      <c r="M1843" t="s">
        <v>86</v>
      </c>
      <c r="N1843" t="s">
        <v>86</v>
      </c>
      <c r="O1843">
        <v>3</v>
      </c>
      <c r="P1843">
        <v>2650</v>
      </c>
      <c r="Q1843">
        <v>0.05</v>
      </c>
      <c r="R1843">
        <v>1570</v>
      </c>
      <c r="S1843" t="s">
        <v>151</v>
      </c>
      <c r="T1843" t="s">
        <v>30</v>
      </c>
      <c r="U1843">
        <v>3</v>
      </c>
      <c r="V1843" t="s">
        <v>40</v>
      </c>
      <c r="W1843">
        <f>excelsalesdata[[#This Row],[Quantity]]*excelsalesdata[[#This Row],[Unit_Price]]</f>
        <v>7950</v>
      </c>
      <c r="X1843">
        <f>excelsalesdata[[#This Row],[Gross_sales]]*excelsalesdata[[#This Row],[Discount_%]]</f>
        <v>397.5</v>
      </c>
      <c r="Y1843">
        <f>excelsalesdata[[#This Row],[Gross_sales]]-excelsalesdata[[#This Row],[Discount_amt]]</f>
        <v>7552.5</v>
      </c>
      <c r="Z1843" s="4">
        <f>excelsalesdata[[#This Row],[Net_sales]]-excelsalesdata[[#This Row],[Cost]]</f>
        <v>5982.5</v>
      </c>
      <c r="AA1843" s="5">
        <f>excelsalesdata[[#This Row],[Profit]]/excelsalesdata[[#This Row],[Net_sales]]</f>
        <v>0.79212181396888448</v>
      </c>
      <c r="AB1843" s="4">
        <f>YEAR(excelsalesdata[[#This Row],[Order_Date]])</f>
        <v>2030</v>
      </c>
      <c r="AC1843" s="4" t="str">
        <f>TEXT(excelsalesdata[[#This Row],[Order_Date]],"mmm")</f>
        <v>Apr</v>
      </c>
      <c r="AD1843" s="4" t="str">
        <f>"Q"&amp;ROUNDUP(MONTH(excelsalesdata[[#This Row],[Order_Date]])/3,0)</f>
        <v>Q2</v>
      </c>
    </row>
    <row r="1844" spans="1:30" x14ac:dyDescent="0.35">
      <c r="A1844" t="s">
        <v>2687</v>
      </c>
      <c r="B1844" s="3">
        <v>47602</v>
      </c>
      <c r="C1844" t="s">
        <v>1253</v>
      </c>
      <c r="D1844" t="s">
        <v>593</v>
      </c>
      <c r="E1844" t="str">
        <f>TRIM(excelsalesdata[[#This Row],[Customer_Name]])</f>
        <v>Nisha Gupta</v>
      </c>
      <c r="F1844" t="s">
        <v>44</v>
      </c>
      <c r="G1844">
        <v>26</v>
      </c>
      <c r="H1844" t="s">
        <v>190</v>
      </c>
      <c r="I1844" t="str">
        <f>TRIM(excelsalesdata[[#This Row],[City]])</f>
        <v>Ahmedabad</v>
      </c>
      <c r="J1844" t="s">
        <v>191</v>
      </c>
      <c r="K1844" t="s">
        <v>26</v>
      </c>
      <c r="L1844" t="s">
        <v>38</v>
      </c>
      <c r="M1844" t="s">
        <v>119</v>
      </c>
      <c r="N1844" t="s">
        <v>119</v>
      </c>
      <c r="O1844">
        <v>2</v>
      </c>
      <c r="P1844">
        <v>9150</v>
      </c>
      <c r="Q1844">
        <v>0.1</v>
      </c>
      <c r="R1844">
        <v>5850</v>
      </c>
      <c r="S1844" t="s">
        <v>80</v>
      </c>
      <c r="T1844" t="s">
        <v>30</v>
      </c>
      <c r="U1844">
        <v>3</v>
      </c>
      <c r="V1844" t="s">
        <v>40</v>
      </c>
      <c r="W1844">
        <f>excelsalesdata[[#This Row],[Quantity]]*excelsalesdata[[#This Row],[Unit_Price]]</f>
        <v>18300</v>
      </c>
      <c r="X1844">
        <f>excelsalesdata[[#This Row],[Gross_sales]]*excelsalesdata[[#This Row],[Discount_%]]</f>
        <v>1830</v>
      </c>
      <c r="Y1844">
        <f>excelsalesdata[[#This Row],[Gross_sales]]-excelsalesdata[[#This Row],[Discount_amt]]</f>
        <v>16470</v>
      </c>
      <c r="Z1844" s="4">
        <f>excelsalesdata[[#This Row],[Net_sales]]-excelsalesdata[[#This Row],[Cost]]</f>
        <v>10620</v>
      </c>
      <c r="AA1844" s="5">
        <f>excelsalesdata[[#This Row],[Profit]]/excelsalesdata[[#This Row],[Net_sales]]</f>
        <v>0.64480874316939896</v>
      </c>
      <c r="AB1844" s="4">
        <f>YEAR(excelsalesdata[[#This Row],[Order_Date]])</f>
        <v>2030</v>
      </c>
      <c r="AC1844" s="4" t="str">
        <f>TEXT(excelsalesdata[[#This Row],[Order_Date]],"mmm")</f>
        <v>Apr</v>
      </c>
      <c r="AD1844" s="4" t="str">
        <f>"Q"&amp;ROUNDUP(MONTH(excelsalesdata[[#This Row],[Order_Date]])/3,0)</f>
        <v>Q2</v>
      </c>
    </row>
    <row r="1845" spans="1:30" x14ac:dyDescent="0.35">
      <c r="A1845" t="s">
        <v>2688</v>
      </c>
      <c r="B1845" s="3">
        <v>47603</v>
      </c>
      <c r="C1845" t="s">
        <v>724</v>
      </c>
      <c r="D1845" t="s">
        <v>92</v>
      </c>
      <c r="E1845" t="str">
        <f>TRIM(excelsalesdata[[#This Row],[Customer_Name]])</f>
        <v>Nisha Iyer</v>
      </c>
      <c r="F1845" t="s">
        <v>23</v>
      </c>
      <c r="G1845">
        <v>41</v>
      </c>
      <c r="H1845" t="s">
        <v>98</v>
      </c>
      <c r="I1845" t="str">
        <f>TRIM(excelsalesdata[[#This Row],[City]])</f>
        <v>Mumbai</v>
      </c>
      <c r="J1845" t="s">
        <v>25</v>
      </c>
      <c r="K1845" t="s">
        <v>26</v>
      </c>
      <c r="L1845" t="s">
        <v>38</v>
      </c>
      <c r="M1845" t="s">
        <v>39</v>
      </c>
      <c r="N1845" t="s">
        <v>39</v>
      </c>
      <c r="O1845">
        <v>1</v>
      </c>
      <c r="P1845">
        <v>6860</v>
      </c>
      <c r="Q1845">
        <v>0.2</v>
      </c>
      <c r="R1845">
        <v>4190</v>
      </c>
      <c r="S1845" t="s">
        <v>56</v>
      </c>
      <c r="T1845" t="s">
        <v>30</v>
      </c>
      <c r="U1845">
        <v>8</v>
      </c>
      <c r="V1845" t="s">
        <v>40</v>
      </c>
      <c r="W1845">
        <f>excelsalesdata[[#This Row],[Quantity]]*excelsalesdata[[#This Row],[Unit_Price]]</f>
        <v>6860</v>
      </c>
      <c r="X1845">
        <f>excelsalesdata[[#This Row],[Gross_sales]]*excelsalesdata[[#This Row],[Discount_%]]</f>
        <v>1372</v>
      </c>
      <c r="Y1845">
        <f>excelsalesdata[[#This Row],[Gross_sales]]-excelsalesdata[[#This Row],[Discount_amt]]</f>
        <v>5488</v>
      </c>
      <c r="Z1845" s="4">
        <f>excelsalesdata[[#This Row],[Net_sales]]-excelsalesdata[[#This Row],[Cost]]</f>
        <v>1298</v>
      </c>
      <c r="AA1845" s="5">
        <f>excelsalesdata[[#This Row],[Profit]]/excelsalesdata[[#This Row],[Net_sales]]</f>
        <v>0.23651603498542273</v>
      </c>
      <c r="AB1845" s="4">
        <f>YEAR(excelsalesdata[[#This Row],[Order_Date]])</f>
        <v>2030</v>
      </c>
      <c r="AC1845" s="4" t="str">
        <f>TEXT(excelsalesdata[[#This Row],[Order_Date]],"mmm")</f>
        <v>Apr</v>
      </c>
      <c r="AD1845" s="4" t="str">
        <f>"Q"&amp;ROUNDUP(MONTH(excelsalesdata[[#This Row],[Order_Date]])/3,0)</f>
        <v>Q2</v>
      </c>
    </row>
    <row r="1846" spans="1:30" x14ac:dyDescent="0.35">
      <c r="A1846" t="s">
        <v>2689</v>
      </c>
      <c r="B1846" s="3">
        <v>47604</v>
      </c>
      <c r="C1846" t="s">
        <v>671</v>
      </c>
      <c r="D1846" t="s">
        <v>164</v>
      </c>
      <c r="E1846" t="str">
        <f>TRIM(excelsalesdata[[#This Row],[Customer_Name]])</f>
        <v>Priya Naidu</v>
      </c>
      <c r="F1846" t="s">
        <v>44</v>
      </c>
      <c r="G1846">
        <v>32</v>
      </c>
      <c r="H1846" t="s">
        <v>133</v>
      </c>
      <c r="I1846" t="str">
        <f>TRIM(excelsalesdata[[#This Row],[City]])</f>
        <v>Jaipur</v>
      </c>
      <c r="J1846" t="s">
        <v>134</v>
      </c>
      <c r="K1846" t="s">
        <v>61</v>
      </c>
      <c r="L1846" t="s">
        <v>38</v>
      </c>
      <c r="M1846" t="s">
        <v>39</v>
      </c>
      <c r="N1846" t="s">
        <v>39</v>
      </c>
      <c r="O1846">
        <v>1</v>
      </c>
      <c r="P1846">
        <v>6450</v>
      </c>
      <c r="Q1846">
        <v>0.2</v>
      </c>
      <c r="R1846">
        <v>4320</v>
      </c>
      <c r="S1846" t="s">
        <v>67</v>
      </c>
      <c r="T1846" t="s">
        <v>30</v>
      </c>
      <c r="U1846">
        <v>4</v>
      </c>
      <c r="V1846" t="s">
        <v>40</v>
      </c>
      <c r="W1846">
        <f>excelsalesdata[[#This Row],[Quantity]]*excelsalesdata[[#This Row],[Unit_Price]]</f>
        <v>6450</v>
      </c>
      <c r="X1846">
        <f>excelsalesdata[[#This Row],[Gross_sales]]*excelsalesdata[[#This Row],[Discount_%]]</f>
        <v>1290</v>
      </c>
      <c r="Y1846">
        <f>excelsalesdata[[#This Row],[Gross_sales]]-excelsalesdata[[#This Row],[Discount_amt]]</f>
        <v>5160</v>
      </c>
      <c r="Z1846" s="4">
        <f>excelsalesdata[[#This Row],[Net_sales]]-excelsalesdata[[#This Row],[Cost]]</f>
        <v>840</v>
      </c>
      <c r="AA1846" s="5">
        <f>excelsalesdata[[#This Row],[Profit]]/excelsalesdata[[#This Row],[Net_sales]]</f>
        <v>0.16279069767441862</v>
      </c>
      <c r="AB1846" s="4">
        <f>YEAR(excelsalesdata[[#This Row],[Order_Date]])</f>
        <v>2030</v>
      </c>
      <c r="AC1846" s="4" t="str">
        <f>TEXT(excelsalesdata[[#This Row],[Order_Date]],"mmm")</f>
        <v>May</v>
      </c>
      <c r="AD1846" s="4" t="str">
        <f>"Q"&amp;ROUNDUP(MONTH(excelsalesdata[[#This Row],[Order_Date]])/3,0)</f>
        <v>Q2</v>
      </c>
    </row>
    <row r="1847" spans="1:30" x14ac:dyDescent="0.35">
      <c r="A1847" t="s">
        <v>2690</v>
      </c>
      <c r="B1847" s="3">
        <v>47605</v>
      </c>
      <c r="C1847" t="s">
        <v>2307</v>
      </c>
      <c r="D1847" t="s">
        <v>291</v>
      </c>
      <c r="E1847" t="str">
        <f>TRIM(excelsalesdata[[#This Row],[Customer_Name]])</f>
        <v>Vikram Patel</v>
      </c>
      <c r="F1847" t="s">
        <v>23</v>
      </c>
      <c r="G1847">
        <v>58</v>
      </c>
      <c r="H1847" t="s">
        <v>190</v>
      </c>
      <c r="I1847" t="str">
        <f>TRIM(excelsalesdata[[#This Row],[City]])</f>
        <v>Ahmedabad</v>
      </c>
      <c r="J1847" t="s">
        <v>191</v>
      </c>
      <c r="K1847" t="s">
        <v>26</v>
      </c>
      <c r="L1847" t="s">
        <v>27</v>
      </c>
      <c r="M1847" t="s">
        <v>123</v>
      </c>
      <c r="N1847" t="s">
        <v>123</v>
      </c>
      <c r="O1847">
        <v>3</v>
      </c>
      <c r="P1847">
        <v>2640</v>
      </c>
      <c r="Q1847">
        <v>0.15</v>
      </c>
      <c r="R1847">
        <v>1680</v>
      </c>
      <c r="S1847" t="s">
        <v>67</v>
      </c>
      <c r="T1847" t="s">
        <v>30</v>
      </c>
      <c r="U1847">
        <v>4</v>
      </c>
      <c r="V1847" t="s">
        <v>40</v>
      </c>
      <c r="W1847">
        <f>excelsalesdata[[#This Row],[Quantity]]*excelsalesdata[[#This Row],[Unit_Price]]</f>
        <v>7920</v>
      </c>
      <c r="X1847">
        <f>excelsalesdata[[#This Row],[Gross_sales]]*excelsalesdata[[#This Row],[Discount_%]]</f>
        <v>1188</v>
      </c>
      <c r="Y1847">
        <f>excelsalesdata[[#This Row],[Gross_sales]]-excelsalesdata[[#This Row],[Discount_amt]]</f>
        <v>6732</v>
      </c>
      <c r="Z1847" s="4">
        <f>excelsalesdata[[#This Row],[Net_sales]]-excelsalesdata[[#This Row],[Cost]]</f>
        <v>5052</v>
      </c>
      <c r="AA1847" s="5">
        <f>excelsalesdata[[#This Row],[Profit]]/excelsalesdata[[#This Row],[Net_sales]]</f>
        <v>0.75044563279857401</v>
      </c>
      <c r="AB1847" s="4">
        <f>YEAR(excelsalesdata[[#This Row],[Order_Date]])</f>
        <v>2030</v>
      </c>
      <c r="AC1847" s="4" t="str">
        <f>TEXT(excelsalesdata[[#This Row],[Order_Date]],"mmm")</f>
        <v>May</v>
      </c>
      <c r="AD1847" s="4" t="str">
        <f>"Q"&amp;ROUNDUP(MONTH(excelsalesdata[[#This Row],[Order_Date]])/3,0)</f>
        <v>Q2</v>
      </c>
    </row>
    <row r="1848" spans="1:30" x14ac:dyDescent="0.35">
      <c r="A1848" t="s">
        <v>2691</v>
      </c>
      <c r="B1848" s="3">
        <v>47606</v>
      </c>
      <c r="C1848" t="s">
        <v>775</v>
      </c>
      <c r="D1848" t="s">
        <v>1392</v>
      </c>
      <c r="E1848" t="str">
        <f>TRIM(excelsalesdata[[#This Row],[Customer_Name]])</f>
        <v>Rohan Das</v>
      </c>
      <c r="F1848" t="s">
        <v>23</v>
      </c>
      <c r="G1848">
        <v>23</v>
      </c>
      <c r="H1848" t="s">
        <v>52</v>
      </c>
      <c r="I1848" t="str">
        <f>TRIM(excelsalesdata[[#This Row],[City]])</f>
        <v>Bengaluru</v>
      </c>
      <c r="J1848" t="s">
        <v>53</v>
      </c>
      <c r="K1848" t="s">
        <v>47</v>
      </c>
      <c r="L1848" t="s">
        <v>27</v>
      </c>
      <c r="M1848" t="s">
        <v>195</v>
      </c>
      <c r="N1848" t="s">
        <v>195</v>
      </c>
      <c r="O1848">
        <v>1</v>
      </c>
      <c r="P1848">
        <v>2160</v>
      </c>
      <c r="Q1848">
        <v>0</v>
      </c>
      <c r="R1848">
        <v>1190</v>
      </c>
      <c r="S1848" t="s">
        <v>151</v>
      </c>
      <c r="T1848" t="s">
        <v>30</v>
      </c>
      <c r="U1848">
        <v>1</v>
      </c>
      <c r="V1848" t="s">
        <v>40</v>
      </c>
      <c r="W1848">
        <f>excelsalesdata[[#This Row],[Quantity]]*excelsalesdata[[#This Row],[Unit_Price]]</f>
        <v>2160</v>
      </c>
      <c r="X1848">
        <f>excelsalesdata[[#This Row],[Gross_sales]]*excelsalesdata[[#This Row],[Discount_%]]</f>
        <v>0</v>
      </c>
      <c r="Y1848">
        <f>excelsalesdata[[#This Row],[Gross_sales]]-excelsalesdata[[#This Row],[Discount_amt]]</f>
        <v>2160</v>
      </c>
      <c r="Z1848" s="4">
        <f>excelsalesdata[[#This Row],[Net_sales]]-excelsalesdata[[#This Row],[Cost]]</f>
        <v>970</v>
      </c>
      <c r="AA1848" s="5">
        <f>excelsalesdata[[#This Row],[Profit]]/excelsalesdata[[#This Row],[Net_sales]]</f>
        <v>0.44907407407407407</v>
      </c>
      <c r="AB1848" s="4">
        <f>YEAR(excelsalesdata[[#This Row],[Order_Date]])</f>
        <v>2030</v>
      </c>
      <c r="AC1848" s="4" t="str">
        <f>TEXT(excelsalesdata[[#This Row],[Order_Date]],"mmm")</f>
        <v>May</v>
      </c>
      <c r="AD1848" s="4" t="str">
        <f>"Q"&amp;ROUNDUP(MONTH(excelsalesdata[[#This Row],[Order_Date]])/3,0)</f>
        <v>Q2</v>
      </c>
    </row>
    <row r="1849" spans="1:30" x14ac:dyDescent="0.35">
      <c r="A1849" t="s">
        <v>2692</v>
      </c>
      <c r="B1849" s="3">
        <v>47607</v>
      </c>
      <c r="C1849" t="s">
        <v>246</v>
      </c>
      <c r="D1849" t="s">
        <v>1604</v>
      </c>
      <c r="E1849" t="str">
        <f>TRIM(excelsalesdata[[#This Row],[Customer_Name]])</f>
        <v>Vivaan Gupta</v>
      </c>
      <c r="F1849" t="s">
        <v>23</v>
      </c>
      <c r="G1849">
        <v>55</v>
      </c>
      <c r="H1849" t="s">
        <v>45</v>
      </c>
      <c r="I1849" t="str">
        <f>TRIM(excelsalesdata[[#This Row],[City]])</f>
        <v>Kochi</v>
      </c>
      <c r="J1849" t="s">
        <v>46</v>
      </c>
      <c r="K1849" t="s">
        <v>47</v>
      </c>
      <c r="L1849" t="s">
        <v>38</v>
      </c>
      <c r="M1849" t="s">
        <v>119</v>
      </c>
      <c r="N1849" t="s">
        <v>119</v>
      </c>
      <c r="O1849">
        <v>3</v>
      </c>
      <c r="P1849">
        <v>8120</v>
      </c>
      <c r="Q1849">
        <v>0.1</v>
      </c>
      <c r="R1849">
        <v>5730</v>
      </c>
      <c r="S1849" t="s">
        <v>80</v>
      </c>
      <c r="T1849" t="s">
        <v>30</v>
      </c>
      <c r="U1849">
        <v>3</v>
      </c>
      <c r="V1849" t="s">
        <v>31</v>
      </c>
      <c r="W1849">
        <f>excelsalesdata[[#This Row],[Quantity]]*excelsalesdata[[#This Row],[Unit_Price]]</f>
        <v>24360</v>
      </c>
      <c r="X1849">
        <f>excelsalesdata[[#This Row],[Gross_sales]]*excelsalesdata[[#This Row],[Discount_%]]</f>
        <v>2436</v>
      </c>
      <c r="Y1849">
        <f>excelsalesdata[[#This Row],[Gross_sales]]-excelsalesdata[[#This Row],[Discount_amt]]</f>
        <v>21924</v>
      </c>
      <c r="Z1849" s="4">
        <f>excelsalesdata[[#This Row],[Net_sales]]-excelsalesdata[[#This Row],[Cost]]</f>
        <v>16194</v>
      </c>
      <c r="AA1849" s="5">
        <f>excelsalesdata[[#This Row],[Profit]]/excelsalesdata[[#This Row],[Net_sales]]</f>
        <v>0.73864258347016964</v>
      </c>
      <c r="AB1849" s="4">
        <f>YEAR(excelsalesdata[[#This Row],[Order_Date]])</f>
        <v>2030</v>
      </c>
      <c r="AC1849" s="4" t="str">
        <f>TEXT(excelsalesdata[[#This Row],[Order_Date]],"mmm")</f>
        <v>May</v>
      </c>
      <c r="AD1849" s="4" t="str">
        <f>"Q"&amp;ROUNDUP(MONTH(excelsalesdata[[#This Row],[Order_Date]])/3,0)</f>
        <v>Q2</v>
      </c>
    </row>
    <row r="1850" spans="1:30" x14ac:dyDescent="0.35">
      <c r="A1850" t="s">
        <v>2693</v>
      </c>
      <c r="B1850" s="3">
        <v>47608</v>
      </c>
      <c r="C1850" t="s">
        <v>320</v>
      </c>
      <c r="D1850" t="s">
        <v>524</v>
      </c>
      <c r="E1850" t="str">
        <f>TRIM(excelsalesdata[[#This Row],[Customer_Name]])</f>
        <v>Arjun Das</v>
      </c>
      <c r="F1850" t="s">
        <v>44</v>
      </c>
      <c r="G1850">
        <v>45</v>
      </c>
      <c r="H1850" t="s">
        <v>78</v>
      </c>
      <c r="I1850" t="str">
        <f>TRIM(excelsalesdata[[#This Row],[City]])</f>
        <v>Guwahati</v>
      </c>
      <c r="J1850" t="s">
        <v>79</v>
      </c>
      <c r="K1850" t="s">
        <v>37</v>
      </c>
      <c r="L1850" t="s">
        <v>27</v>
      </c>
      <c r="M1850" t="s">
        <v>295</v>
      </c>
      <c r="N1850" t="s">
        <v>295</v>
      </c>
      <c r="O1850">
        <v>2</v>
      </c>
      <c r="P1850">
        <v>3970</v>
      </c>
      <c r="Q1850">
        <v>0.05</v>
      </c>
      <c r="R1850">
        <v>2670</v>
      </c>
      <c r="S1850" t="s">
        <v>80</v>
      </c>
      <c r="T1850" t="s">
        <v>99</v>
      </c>
      <c r="U1850">
        <v>3</v>
      </c>
      <c r="V1850" t="s">
        <v>31</v>
      </c>
      <c r="W1850">
        <f>excelsalesdata[[#This Row],[Quantity]]*excelsalesdata[[#This Row],[Unit_Price]]</f>
        <v>7940</v>
      </c>
      <c r="X1850">
        <f>excelsalesdata[[#This Row],[Gross_sales]]*excelsalesdata[[#This Row],[Discount_%]]</f>
        <v>397</v>
      </c>
      <c r="Y1850">
        <f>excelsalesdata[[#This Row],[Gross_sales]]-excelsalesdata[[#This Row],[Discount_amt]]</f>
        <v>7543</v>
      </c>
      <c r="Z1850" s="4">
        <f>excelsalesdata[[#This Row],[Net_sales]]-excelsalesdata[[#This Row],[Cost]]</f>
        <v>4873</v>
      </c>
      <c r="AA1850" s="5">
        <f>excelsalesdata[[#This Row],[Profit]]/excelsalesdata[[#This Row],[Net_sales]]</f>
        <v>0.64602943126077161</v>
      </c>
      <c r="AB1850" s="4">
        <f>YEAR(excelsalesdata[[#This Row],[Order_Date]])</f>
        <v>2030</v>
      </c>
      <c r="AC1850" s="4" t="str">
        <f>TEXT(excelsalesdata[[#This Row],[Order_Date]],"mmm")</f>
        <v>May</v>
      </c>
      <c r="AD1850" s="4" t="str">
        <f>"Q"&amp;ROUNDUP(MONTH(excelsalesdata[[#This Row],[Order_Date]])/3,0)</f>
        <v>Q2</v>
      </c>
    </row>
    <row r="1851" spans="1:30" x14ac:dyDescent="0.35">
      <c r="A1851" t="s">
        <v>2694</v>
      </c>
      <c r="B1851" s="3">
        <v>47609</v>
      </c>
      <c r="C1851" t="s">
        <v>521</v>
      </c>
      <c r="D1851" t="s">
        <v>532</v>
      </c>
      <c r="E1851" t="str">
        <f>TRIM(excelsalesdata[[#This Row],[Customer_Name]])</f>
        <v>Ananya Mehta</v>
      </c>
      <c r="F1851" t="s">
        <v>23</v>
      </c>
      <c r="G1851">
        <v>56</v>
      </c>
      <c r="H1851" t="s">
        <v>98</v>
      </c>
      <c r="I1851" t="str">
        <f>TRIM(excelsalesdata[[#This Row],[City]])</f>
        <v>Mumbai</v>
      </c>
      <c r="J1851" t="s">
        <v>25</v>
      </c>
      <c r="K1851" t="s">
        <v>26</v>
      </c>
      <c r="L1851" t="s">
        <v>38</v>
      </c>
      <c r="M1851" t="s">
        <v>73</v>
      </c>
      <c r="N1851" t="s">
        <v>73</v>
      </c>
      <c r="O1851">
        <v>2</v>
      </c>
      <c r="P1851">
        <v>5370</v>
      </c>
      <c r="Q1851">
        <v>0</v>
      </c>
      <c r="R1851">
        <v>3120</v>
      </c>
      <c r="S1851" t="s">
        <v>29</v>
      </c>
      <c r="T1851" t="s">
        <v>74</v>
      </c>
      <c r="U1851">
        <v>2</v>
      </c>
      <c r="V1851" t="s">
        <v>31</v>
      </c>
      <c r="W1851">
        <f>excelsalesdata[[#This Row],[Quantity]]*excelsalesdata[[#This Row],[Unit_Price]]</f>
        <v>10740</v>
      </c>
      <c r="X1851">
        <f>excelsalesdata[[#This Row],[Gross_sales]]*excelsalesdata[[#This Row],[Discount_%]]</f>
        <v>0</v>
      </c>
      <c r="Y1851">
        <f>excelsalesdata[[#This Row],[Gross_sales]]-excelsalesdata[[#This Row],[Discount_amt]]</f>
        <v>10740</v>
      </c>
      <c r="Z1851" s="4">
        <f>excelsalesdata[[#This Row],[Net_sales]]-excelsalesdata[[#This Row],[Cost]]</f>
        <v>7620</v>
      </c>
      <c r="AA1851" s="5">
        <f>excelsalesdata[[#This Row],[Profit]]/excelsalesdata[[#This Row],[Net_sales]]</f>
        <v>0.70949720670391059</v>
      </c>
      <c r="AB1851" s="4">
        <f>YEAR(excelsalesdata[[#This Row],[Order_Date]])</f>
        <v>2030</v>
      </c>
      <c r="AC1851" s="4" t="str">
        <f>TEXT(excelsalesdata[[#This Row],[Order_Date]],"mmm")</f>
        <v>May</v>
      </c>
      <c r="AD1851" s="4" t="str">
        <f>"Q"&amp;ROUNDUP(MONTH(excelsalesdata[[#This Row],[Order_Date]])/3,0)</f>
        <v>Q2</v>
      </c>
    </row>
    <row r="1852" spans="1:30" x14ac:dyDescent="0.35">
      <c r="A1852" t="s">
        <v>2695</v>
      </c>
      <c r="B1852" s="3">
        <v>47610</v>
      </c>
      <c r="C1852" t="s">
        <v>1513</v>
      </c>
      <c r="D1852" t="s">
        <v>591</v>
      </c>
      <c r="E1852" t="str">
        <f>TRIM(excelsalesdata[[#This Row],[Customer_Name]])</f>
        <v>Ishita Rao</v>
      </c>
      <c r="F1852" t="s">
        <v>23</v>
      </c>
      <c r="G1852">
        <v>22</v>
      </c>
      <c r="H1852" t="s">
        <v>35</v>
      </c>
      <c r="I1852" t="str">
        <f>TRIM(excelsalesdata[[#This Row],[City]])</f>
        <v>Kolkata</v>
      </c>
      <c r="J1852" t="s">
        <v>36</v>
      </c>
      <c r="K1852" t="s">
        <v>37</v>
      </c>
      <c r="L1852" t="s">
        <v>38</v>
      </c>
      <c r="M1852" t="s">
        <v>39</v>
      </c>
      <c r="N1852" t="s">
        <v>39</v>
      </c>
      <c r="O1852">
        <v>4</v>
      </c>
      <c r="P1852">
        <v>6290</v>
      </c>
      <c r="Q1852">
        <v>0.05</v>
      </c>
      <c r="R1852">
        <v>4290</v>
      </c>
      <c r="S1852" t="s">
        <v>151</v>
      </c>
      <c r="T1852" t="s">
        <v>30</v>
      </c>
      <c r="U1852">
        <v>2</v>
      </c>
      <c r="V1852" t="s">
        <v>40</v>
      </c>
      <c r="W1852">
        <f>excelsalesdata[[#This Row],[Quantity]]*excelsalesdata[[#This Row],[Unit_Price]]</f>
        <v>25160</v>
      </c>
      <c r="X1852">
        <f>excelsalesdata[[#This Row],[Gross_sales]]*excelsalesdata[[#This Row],[Discount_%]]</f>
        <v>1258</v>
      </c>
      <c r="Y1852">
        <f>excelsalesdata[[#This Row],[Gross_sales]]-excelsalesdata[[#This Row],[Discount_amt]]</f>
        <v>23902</v>
      </c>
      <c r="Z1852" s="4">
        <f>excelsalesdata[[#This Row],[Net_sales]]-excelsalesdata[[#This Row],[Cost]]</f>
        <v>19612</v>
      </c>
      <c r="AA1852" s="5">
        <f>excelsalesdata[[#This Row],[Profit]]/excelsalesdata[[#This Row],[Net_sales]]</f>
        <v>0.82051711153878337</v>
      </c>
      <c r="AB1852" s="4">
        <f>YEAR(excelsalesdata[[#This Row],[Order_Date]])</f>
        <v>2030</v>
      </c>
      <c r="AC1852" s="4" t="str">
        <f>TEXT(excelsalesdata[[#This Row],[Order_Date]],"mmm")</f>
        <v>May</v>
      </c>
      <c r="AD1852" s="4" t="str">
        <f>"Q"&amp;ROUNDUP(MONTH(excelsalesdata[[#This Row],[Order_Date]])/3,0)</f>
        <v>Q2</v>
      </c>
    </row>
    <row r="1853" spans="1:30" x14ac:dyDescent="0.35">
      <c r="A1853" t="s">
        <v>2696</v>
      </c>
      <c r="B1853" s="3">
        <v>47611</v>
      </c>
      <c r="C1853" t="s">
        <v>216</v>
      </c>
      <c r="D1853" t="s">
        <v>476</v>
      </c>
      <c r="E1853" t="str">
        <f>TRIM(excelsalesdata[[#This Row],[Customer_Name]])</f>
        <v>Sneha Kumar</v>
      </c>
      <c r="F1853" t="s">
        <v>23</v>
      </c>
      <c r="G1853">
        <v>41</v>
      </c>
      <c r="H1853" t="s">
        <v>71</v>
      </c>
      <c r="I1853" t="str">
        <f>TRIM(excelsalesdata[[#This Row],[City]])</f>
        <v>Bhubaneswar</v>
      </c>
      <c r="J1853" t="s">
        <v>72</v>
      </c>
      <c r="K1853" t="s">
        <v>37</v>
      </c>
      <c r="L1853" t="s">
        <v>93</v>
      </c>
      <c r="M1853" t="s">
        <v>135</v>
      </c>
      <c r="N1853" t="s">
        <v>135</v>
      </c>
      <c r="O1853">
        <v>3</v>
      </c>
      <c r="P1853">
        <v>1820</v>
      </c>
      <c r="Q1853">
        <v>0.15</v>
      </c>
      <c r="R1853">
        <v>960</v>
      </c>
      <c r="S1853" t="s">
        <v>29</v>
      </c>
      <c r="T1853" t="s">
        <v>30</v>
      </c>
      <c r="U1853">
        <v>5</v>
      </c>
      <c r="V1853" t="s">
        <v>31</v>
      </c>
      <c r="W1853">
        <f>excelsalesdata[[#This Row],[Quantity]]*excelsalesdata[[#This Row],[Unit_Price]]</f>
        <v>5460</v>
      </c>
      <c r="X1853">
        <f>excelsalesdata[[#This Row],[Gross_sales]]*excelsalesdata[[#This Row],[Discount_%]]</f>
        <v>819</v>
      </c>
      <c r="Y1853">
        <f>excelsalesdata[[#This Row],[Gross_sales]]-excelsalesdata[[#This Row],[Discount_amt]]</f>
        <v>4641</v>
      </c>
      <c r="Z1853" s="4">
        <f>excelsalesdata[[#This Row],[Net_sales]]-excelsalesdata[[#This Row],[Cost]]</f>
        <v>3681</v>
      </c>
      <c r="AA1853" s="5">
        <f>excelsalesdata[[#This Row],[Profit]]/excelsalesdata[[#This Row],[Net_sales]]</f>
        <v>0.79314802844214605</v>
      </c>
      <c r="AB1853" s="4">
        <f>YEAR(excelsalesdata[[#This Row],[Order_Date]])</f>
        <v>2030</v>
      </c>
      <c r="AC1853" s="4" t="str">
        <f>TEXT(excelsalesdata[[#This Row],[Order_Date]],"mmm")</f>
        <v>May</v>
      </c>
      <c r="AD1853" s="4" t="str">
        <f>"Q"&amp;ROUNDUP(MONTH(excelsalesdata[[#This Row],[Order_Date]])/3,0)</f>
        <v>Q2</v>
      </c>
    </row>
    <row r="1854" spans="1:30" x14ac:dyDescent="0.35">
      <c r="A1854" t="s">
        <v>2697</v>
      </c>
      <c r="B1854" s="3">
        <v>47612</v>
      </c>
      <c r="C1854" t="s">
        <v>221</v>
      </c>
      <c r="D1854" t="s">
        <v>583</v>
      </c>
      <c r="E1854" t="str">
        <f>TRIM(excelsalesdata[[#This Row],[Customer_Name]])</f>
        <v>Ishita Gupta</v>
      </c>
      <c r="F1854" t="s">
        <v>23</v>
      </c>
      <c r="G1854">
        <v>60</v>
      </c>
      <c r="H1854" t="s">
        <v>45</v>
      </c>
      <c r="I1854" t="str">
        <f>TRIM(excelsalesdata[[#This Row],[City]])</f>
        <v>Kochi</v>
      </c>
      <c r="J1854" t="s">
        <v>46</v>
      </c>
      <c r="K1854" t="s">
        <v>47</v>
      </c>
      <c r="L1854" t="s">
        <v>103</v>
      </c>
      <c r="M1854" t="s">
        <v>104</v>
      </c>
      <c r="N1854" t="s">
        <v>104</v>
      </c>
      <c r="O1854">
        <v>2</v>
      </c>
      <c r="P1854">
        <v>8780</v>
      </c>
      <c r="Q1854">
        <v>0.1</v>
      </c>
      <c r="R1854">
        <v>5820</v>
      </c>
      <c r="S1854" t="s">
        <v>56</v>
      </c>
      <c r="T1854" t="s">
        <v>30</v>
      </c>
      <c r="U1854">
        <v>6</v>
      </c>
      <c r="V1854" t="s">
        <v>40</v>
      </c>
      <c r="W1854">
        <f>excelsalesdata[[#This Row],[Quantity]]*excelsalesdata[[#This Row],[Unit_Price]]</f>
        <v>17560</v>
      </c>
      <c r="X1854">
        <f>excelsalesdata[[#This Row],[Gross_sales]]*excelsalesdata[[#This Row],[Discount_%]]</f>
        <v>1756</v>
      </c>
      <c r="Y1854">
        <f>excelsalesdata[[#This Row],[Gross_sales]]-excelsalesdata[[#This Row],[Discount_amt]]</f>
        <v>15804</v>
      </c>
      <c r="Z1854" s="4">
        <f>excelsalesdata[[#This Row],[Net_sales]]-excelsalesdata[[#This Row],[Cost]]</f>
        <v>9984</v>
      </c>
      <c r="AA1854" s="5">
        <f>excelsalesdata[[#This Row],[Profit]]/excelsalesdata[[#This Row],[Net_sales]]</f>
        <v>0.63173880030372054</v>
      </c>
      <c r="AB1854" s="4">
        <f>YEAR(excelsalesdata[[#This Row],[Order_Date]])</f>
        <v>2030</v>
      </c>
      <c r="AC1854" s="4" t="str">
        <f>TEXT(excelsalesdata[[#This Row],[Order_Date]],"mmm")</f>
        <v>May</v>
      </c>
      <c r="AD1854" s="4" t="str">
        <f>"Q"&amp;ROUNDUP(MONTH(excelsalesdata[[#This Row],[Order_Date]])/3,0)</f>
        <v>Q2</v>
      </c>
    </row>
    <row r="1855" spans="1:30" x14ac:dyDescent="0.35">
      <c r="A1855" t="s">
        <v>2698</v>
      </c>
      <c r="B1855" s="3">
        <v>47613</v>
      </c>
      <c r="C1855" t="s">
        <v>2446</v>
      </c>
      <c r="D1855" t="s">
        <v>325</v>
      </c>
      <c r="E1855" t="str">
        <f>TRIM(excelsalesdata[[#This Row],[Customer_Name]])</f>
        <v>Ishita Iyer</v>
      </c>
      <c r="F1855" t="s">
        <v>23</v>
      </c>
      <c r="G1855">
        <v>31</v>
      </c>
      <c r="H1855" t="s">
        <v>78</v>
      </c>
      <c r="I1855" t="str">
        <f>TRIM(excelsalesdata[[#This Row],[City]])</f>
        <v>Guwahati</v>
      </c>
      <c r="J1855" t="s">
        <v>79</v>
      </c>
      <c r="K1855" t="s">
        <v>37</v>
      </c>
      <c r="L1855" t="s">
        <v>27</v>
      </c>
      <c r="M1855" t="s">
        <v>28</v>
      </c>
      <c r="N1855" t="s">
        <v>28</v>
      </c>
      <c r="O1855">
        <v>1</v>
      </c>
      <c r="P1855">
        <v>3420</v>
      </c>
      <c r="Q1855">
        <v>0.15</v>
      </c>
      <c r="R1855">
        <v>2010</v>
      </c>
      <c r="S1855" t="s">
        <v>105</v>
      </c>
      <c r="T1855" t="s">
        <v>30</v>
      </c>
      <c r="U1855">
        <v>3</v>
      </c>
      <c r="V1855" t="s">
        <v>40</v>
      </c>
      <c r="W1855">
        <f>excelsalesdata[[#This Row],[Quantity]]*excelsalesdata[[#This Row],[Unit_Price]]</f>
        <v>3420</v>
      </c>
      <c r="X1855">
        <f>excelsalesdata[[#This Row],[Gross_sales]]*excelsalesdata[[#This Row],[Discount_%]]</f>
        <v>513</v>
      </c>
      <c r="Y1855">
        <f>excelsalesdata[[#This Row],[Gross_sales]]-excelsalesdata[[#This Row],[Discount_amt]]</f>
        <v>2907</v>
      </c>
      <c r="Z1855" s="4">
        <f>excelsalesdata[[#This Row],[Net_sales]]-excelsalesdata[[#This Row],[Cost]]</f>
        <v>897</v>
      </c>
      <c r="AA1855" s="5">
        <f>excelsalesdata[[#This Row],[Profit]]/excelsalesdata[[#This Row],[Net_sales]]</f>
        <v>0.30856553147574817</v>
      </c>
      <c r="AB1855" s="4">
        <f>YEAR(excelsalesdata[[#This Row],[Order_Date]])</f>
        <v>2030</v>
      </c>
      <c r="AC1855" s="4" t="str">
        <f>TEXT(excelsalesdata[[#This Row],[Order_Date]],"mmm")</f>
        <v>May</v>
      </c>
      <c r="AD1855" s="4" t="str">
        <f>"Q"&amp;ROUNDUP(MONTH(excelsalesdata[[#This Row],[Order_Date]])/3,0)</f>
        <v>Q2</v>
      </c>
    </row>
    <row r="1856" spans="1:30" x14ac:dyDescent="0.35">
      <c r="A1856" t="s">
        <v>2699</v>
      </c>
      <c r="B1856" s="3">
        <v>47614</v>
      </c>
      <c r="C1856" t="s">
        <v>1818</v>
      </c>
      <c r="D1856" t="s">
        <v>830</v>
      </c>
      <c r="E1856" t="str">
        <f>TRIM(excelsalesdata[[#This Row],[Customer_Name]])</f>
        <v>Rohan Bhat</v>
      </c>
      <c r="F1856" t="s">
        <v>23</v>
      </c>
      <c r="G1856">
        <v>49</v>
      </c>
      <c r="H1856" t="s">
        <v>98</v>
      </c>
      <c r="I1856" t="str">
        <f>TRIM(excelsalesdata[[#This Row],[City]])</f>
        <v>Mumbai</v>
      </c>
      <c r="J1856" t="s">
        <v>25</v>
      </c>
      <c r="K1856" t="s">
        <v>26</v>
      </c>
      <c r="L1856" t="s">
        <v>27</v>
      </c>
      <c r="M1856" t="s">
        <v>295</v>
      </c>
      <c r="N1856" t="s">
        <v>295</v>
      </c>
      <c r="O1856">
        <v>1</v>
      </c>
      <c r="P1856">
        <v>3930</v>
      </c>
      <c r="Q1856">
        <v>0.1</v>
      </c>
      <c r="R1856">
        <v>2550</v>
      </c>
      <c r="S1856" t="s">
        <v>105</v>
      </c>
      <c r="T1856" t="s">
        <v>30</v>
      </c>
      <c r="U1856">
        <v>3</v>
      </c>
      <c r="V1856" t="s">
        <v>40</v>
      </c>
      <c r="W1856">
        <f>excelsalesdata[[#This Row],[Quantity]]*excelsalesdata[[#This Row],[Unit_Price]]</f>
        <v>3930</v>
      </c>
      <c r="X1856">
        <f>excelsalesdata[[#This Row],[Gross_sales]]*excelsalesdata[[#This Row],[Discount_%]]</f>
        <v>393</v>
      </c>
      <c r="Y1856">
        <f>excelsalesdata[[#This Row],[Gross_sales]]-excelsalesdata[[#This Row],[Discount_amt]]</f>
        <v>3537</v>
      </c>
      <c r="Z1856" s="4">
        <f>excelsalesdata[[#This Row],[Net_sales]]-excelsalesdata[[#This Row],[Cost]]</f>
        <v>987</v>
      </c>
      <c r="AA1856" s="5">
        <f>excelsalesdata[[#This Row],[Profit]]/excelsalesdata[[#This Row],[Net_sales]]</f>
        <v>0.27905004240882103</v>
      </c>
      <c r="AB1856" s="4">
        <f>YEAR(excelsalesdata[[#This Row],[Order_Date]])</f>
        <v>2030</v>
      </c>
      <c r="AC1856" s="4" t="str">
        <f>TEXT(excelsalesdata[[#This Row],[Order_Date]],"mmm")</f>
        <v>May</v>
      </c>
      <c r="AD1856" s="4" t="str">
        <f>"Q"&amp;ROUNDUP(MONTH(excelsalesdata[[#This Row],[Order_Date]])/3,0)</f>
        <v>Q2</v>
      </c>
    </row>
    <row r="1857" spans="1:30" x14ac:dyDescent="0.35">
      <c r="A1857" t="s">
        <v>2700</v>
      </c>
      <c r="B1857" s="3">
        <v>47615</v>
      </c>
      <c r="C1857" t="s">
        <v>2534</v>
      </c>
      <c r="D1857" t="s">
        <v>619</v>
      </c>
      <c r="E1857" t="str">
        <f>TRIM(excelsalesdata[[#This Row],[Customer_Name]])</f>
        <v>Aarav Naidu</v>
      </c>
      <c r="F1857" t="s">
        <v>44</v>
      </c>
      <c r="G1857">
        <v>22</v>
      </c>
      <c r="H1857" t="s">
        <v>114</v>
      </c>
      <c r="I1857" t="str">
        <f>TRIM(excelsalesdata[[#This Row],[City]])</f>
        <v>Hyderabad</v>
      </c>
      <c r="J1857" t="s">
        <v>115</v>
      </c>
      <c r="K1857" t="s">
        <v>47</v>
      </c>
      <c r="L1857" t="s">
        <v>27</v>
      </c>
      <c r="M1857" t="s">
        <v>195</v>
      </c>
      <c r="N1857" t="s">
        <v>195</v>
      </c>
      <c r="O1857">
        <v>1</v>
      </c>
      <c r="P1857">
        <v>2100</v>
      </c>
      <c r="Q1857">
        <v>0.15</v>
      </c>
      <c r="R1857">
        <v>1150</v>
      </c>
      <c r="S1857" t="s">
        <v>80</v>
      </c>
      <c r="T1857" t="s">
        <v>30</v>
      </c>
      <c r="U1857">
        <v>2</v>
      </c>
      <c r="V1857" t="s">
        <v>40</v>
      </c>
      <c r="W1857">
        <f>excelsalesdata[[#This Row],[Quantity]]*excelsalesdata[[#This Row],[Unit_Price]]</f>
        <v>2100</v>
      </c>
      <c r="X1857">
        <f>excelsalesdata[[#This Row],[Gross_sales]]*excelsalesdata[[#This Row],[Discount_%]]</f>
        <v>315</v>
      </c>
      <c r="Y1857">
        <f>excelsalesdata[[#This Row],[Gross_sales]]-excelsalesdata[[#This Row],[Discount_amt]]</f>
        <v>1785</v>
      </c>
      <c r="Z1857" s="4">
        <f>excelsalesdata[[#This Row],[Net_sales]]-excelsalesdata[[#This Row],[Cost]]</f>
        <v>635</v>
      </c>
      <c r="AA1857" s="5">
        <f>excelsalesdata[[#This Row],[Profit]]/excelsalesdata[[#This Row],[Net_sales]]</f>
        <v>0.35574229691876752</v>
      </c>
      <c r="AB1857" s="4">
        <f>YEAR(excelsalesdata[[#This Row],[Order_Date]])</f>
        <v>2030</v>
      </c>
      <c r="AC1857" s="4" t="str">
        <f>TEXT(excelsalesdata[[#This Row],[Order_Date]],"mmm")</f>
        <v>May</v>
      </c>
      <c r="AD1857" s="4" t="str">
        <f>"Q"&amp;ROUNDUP(MONTH(excelsalesdata[[#This Row],[Order_Date]])/3,0)</f>
        <v>Q2</v>
      </c>
    </row>
    <row r="1858" spans="1:30" x14ac:dyDescent="0.35">
      <c r="A1858" t="s">
        <v>2701</v>
      </c>
      <c r="B1858" s="3">
        <v>47616</v>
      </c>
      <c r="C1858" t="s">
        <v>367</v>
      </c>
      <c r="D1858" t="s">
        <v>359</v>
      </c>
      <c r="E1858" t="str">
        <f>TRIM(excelsalesdata[[#This Row],[Customer_Name]])</f>
        <v>Vikram Nair</v>
      </c>
      <c r="F1858" t="s">
        <v>44</v>
      </c>
      <c r="G1858">
        <v>50</v>
      </c>
      <c r="H1858" t="s">
        <v>133</v>
      </c>
      <c r="I1858" t="str">
        <f>TRIM(excelsalesdata[[#This Row],[City]])</f>
        <v>Jaipur</v>
      </c>
      <c r="J1858" t="s">
        <v>134</v>
      </c>
      <c r="K1858" t="s">
        <v>61</v>
      </c>
      <c r="L1858" t="s">
        <v>93</v>
      </c>
      <c r="M1858" t="s">
        <v>135</v>
      </c>
      <c r="N1858" t="s">
        <v>135</v>
      </c>
      <c r="O1858">
        <v>1</v>
      </c>
      <c r="P1858">
        <v>1880</v>
      </c>
      <c r="Q1858">
        <v>0.1</v>
      </c>
      <c r="R1858">
        <v>1050</v>
      </c>
      <c r="S1858" t="s">
        <v>80</v>
      </c>
      <c r="T1858" t="s">
        <v>74</v>
      </c>
      <c r="U1858">
        <v>5</v>
      </c>
      <c r="V1858" t="s">
        <v>31</v>
      </c>
      <c r="W1858">
        <f>excelsalesdata[[#This Row],[Quantity]]*excelsalesdata[[#This Row],[Unit_Price]]</f>
        <v>1880</v>
      </c>
      <c r="X1858">
        <f>excelsalesdata[[#This Row],[Gross_sales]]*excelsalesdata[[#This Row],[Discount_%]]</f>
        <v>188</v>
      </c>
      <c r="Y1858">
        <f>excelsalesdata[[#This Row],[Gross_sales]]-excelsalesdata[[#This Row],[Discount_amt]]</f>
        <v>1692</v>
      </c>
      <c r="Z1858" s="4">
        <f>excelsalesdata[[#This Row],[Net_sales]]-excelsalesdata[[#This Row],[Cost]]</f>
        <v>642</v>
      </c>
      <c r="AA1858" s="5">
        <f>excelsalesdata[[#This Row],[Profit]]/excelsalesdata[[#This Row],[Net_sales]]</f>
        <v>0.37943262411347517</v>
      </c>
      <c r="AB1858" s="4">
        <f>YEAR(excelsalesdata[[#This Row],[Order_Date]])</f>
        <v>2030</v>
      </c>
      <c r="AC1858" s="4" t="str">
        <f>TEXT(excelsalesdata[[#This Row],[Order_Date]],"mmm")</f>
        <v>May</v>
      </c>
      <c r="AD1858" s="4" t="str">
        <f>"Q"&amp;ROUNDUP(MONTH(excelsalesdata[[#This Row],[Order_Date]])/3,0)</f>
        <v>Q2</v>
      </c>
    </row>
    <row r="1859" spans="1:30" x14ac:dyDescent="0.35">
      <c r="A1859" t="s">
        <v>2702</v>
      </c>
      <c r="B1859" s="3">
        <v>47617</v>
      </c>
      <c r="C1859" t="s">
        <v>746</v>
      </c>
      <c r="D1859" t="s">
        <v>362</v>
      </c>
      <c r="E1859" t="str">
        <f>TRIM(excelsalesdata[[#This Row],[Customer_Name]])</f>
        <v>Diya Gupta</v>
      </c>
      <c r="F1859" t="s">
        <v>23</v>
      </c>
      <c r="G1859">
        <v>32</v>
      </c>
      <c r="H1859" t="s">
        <v>190</v>
      </c>
      <c r="I1859" t="str">
        <f>TRIM(excelsalesdata[[#This Row],[City]])</f>
        <v>Ahmedabad</v>
      </c>
      <c r="J1859" t="s">
        <v>191</v>
      </c>
      <c r="K1859" t="s">
        <v>26</v>
      </c>
      <c r="L1859" t="s">
        <v>27</v>
      </c>
      <c r="M1859" t="s">
        <v>48</v>
      </c>
      <c r="N1859" t="s">
        <v>48</v>
      </c>
      <c r="O1859">
        <v>3</v>
      </c>
      <c r="P1859">
        <v>830</v>
      </c>
      <c r="Q1859">
        <v>0.2</v>
      </c>
      <c r="R1859">
        <v>430</v>
      </c>
      <c r="S1859" t="s">
        <v>29</v>
      </c>
      <c r="T1859" t="s">
        <v>99</v>
      </c>
      <c r="U1859">
        <v>1</v>
      </c>
      <c r="V1859" t="s">
        <v>31</v>
      </c>
      <c r="W1859">
        <f>excelsalesdata[[#This Row],[Quantity]]*excelsalesdata[[#This Row],[Unit_Price]]</f>
        <v>2490</v>
      </c>
      <c r="X1859">
        <f>excelsalesdata[[#This Row],[Gross_sales]]*excelsalesdata[[#This Row],[Discount_%]]</f>
        <v>498</v>
      </c>
      <c r="Y1859">
        <f>excelsalesdata[[#This Row],[Gross_sales]]-excelsalesdata[[#This Row],[Discount_amt]]</f>
        <v>1992</v>
      </c>
      <c r="Z1859" s="4">
        <f>excelsalesdata[[#This Row],[Net_sales]]-excelsalesdata[[#This Row],[Cost]]</f>
        <v>1562</v>
      </c>
      <c r="AA1859" s="5">
        <f>excelsalesdata[[#This Row],[Profit]]/excelsalesdata[[#This Row],[Net_sales]]</f>
        <v>0.78413654618473894</v>
      </c>
      <c r="AB1859" s="4">
        <f>YEAR(excelsalesdata[[#This Row],[Order_Date]])</f>
        <v>2030</v>
      </c>
      <c r="AC1859" s="4" t="str">
        <f>TEXT(excelsalesdata[[#This Row],[Order_Date]],"mmm")</f>
        <v>May</v>
      </c>
      <c r="AD1859" s="4" t="str">
        <f>"Q"&amp;ROUNDUP(MONTH(excelsalesdata[[#This Row],[Order_Date]])/3,0)</f>
        <v>Q2</v>
      </c>
    </row>
    <row r="1860" spans="1:30" x14ac:dyDescent="0.35">
      <c r="A1860" t="s">
        <v>2703</v>
      </c>
      <c r="B1860" s="3">
        <v>47618</v>
      </c>
      <c r="C1860" t="s">
        <v>668</v>
      </c>
      <c r="D1860" t="s">
        <v>925</v>
      </c>
      <c r="E1860" t="str">
        <f>TRIM(excelsalesdata[[#This Row],[Customer_Name]])</f>
        <v>Ananya Rao</v>
      </c>
      <c r="F1860" t="s">
        <v>23</v>
      </c>
      <c r="G1860">
        <v>41</v>
      </c>
      <c r="H1860" t="s">
        <v>71</v>
      </c>
      <c r="I1860" t="str">
        <f>TRIM(excelsalesdata[[#This Row],[City]])</f>
        <v>Bhubaneswar</v>
      </c>
      <c r="J1860" t="s">
        <v>72</v>
      </c>
      <c r="K1860" t="s">
        <v>37</v>
      </c>
      <c r="L1860" t="s">
        <v>103</v>
      </c>
      <c r="M1860" t="s">
        <v>104</v>
      </c>
      <c r="N1860" t="s">
        <v>104</v>
      </c>
      <c r="O1860">
        <v>1</v>
      </c>
      <c r="P1860">
        <v>7820</v>
      </c>
      <c r="Q1860">
        <v>0.05</v>
      </c>
      <c r="R1860">
        <v>5610</v>
      </c>
      <c r="S1860" t="s">
        <v>105</v>
      </c>
      <c r="T1860" t="s">
        <v>30</v>
      </c>
      <c r="U1860">
        <v>2</v>
      </c>
      <c r="V1860" t="s">
        <v>40</v>
      </c>
      <c r="W1860">
        <f>excelsalesdata[[#This Row],[Quantity]]*excelsalesdata[[#This Row],[Unit_Price]]</f>
        <v>7820</v>
      </c>
      <c r="X1860">
        <f>excelsalesdata[[#This Row],[Gross_sales]]*excelsalesdata[[#This Row],[Discount_%]]</f>
        <v>391</v>
      </c>
      <c r="Y1860">
        <f>excelsalesdata[[#This Row],[Gross_sales]]-excelsalesdata[[#This Row],[Discount_amt]]</f>
        <v>7429</v>
      </c>
      <c r="Z1860" s="4">
        <f>excelsalesdata[[#This Row],[Net_sales]]-excelsalesdata[[#This Row],[Cost]]</f>
        <v>1819</v>
      </c>
      <c r="AA1860" s="5">
        <f>excelsalesdata[[#This Row],[Profit]]/excelsalesdata[[#This Row],[Net_sales]]</f>
        <v>0.24485125858123569</v>
      </c>
      <c r="AB1860" s="4">
        <f>YEAR(excelsalesdata[[#This Row],[Order_Date]])</f>
        <v>2030</v>
      </c>
      <c r="AC1860" s="4" t="str">
        <f>TEXT(excelsalesdata[[#This Row],[Order_Date]],"mmm")</f>
        <v>May</v>
      </c>
      <c r="AD1860" s="4" t="str">
        <f>"Q"&amp;ROUNDUP(MONTH(excelsalesdata[[#This Row],[Order_Date]])/3,0)</f>
        <v>Q2</v>
      </c>
    </row>
    <row r="1861" spans="1:30" x14ac:dyDescent="0.35">
      <c r="A1861" t="s">
        <v>2704</v>
      </c>
      <c r="B1861" s="3">
        <v>47619</v>
      </c>
      <c r="C1861" t="s">
        <v>2557</v>
      </c>
      <c r="D1861" t="s">
        <v>184</v>
      </c>
      <c r="E1861" t="str">
        <f>TRIM(excelsalesdata[[#This Row],[Customer_Name]])</f>
        <v>Aditya Verma</v>
      </c>
      <c r="F1861" t="s">
        <v>44</v>
      </c>
      <c r="G1861">
        <v>27</v>
      </c>
      <c r="H1861" t="s">
        <v>133</v>
      </c>
      <c r="I1861" t="str">
        <f>TRIM(excelsalesdata[[#This Row],[City]])</f>
        <v>Jaipur</v>
      </c>
      <c r="J1861" t="s">
        <v>134</v>
      </c>
      <c r="K1861" t="s">
        <v>61</v>
      </c>
      <c r="L1861" t="s">
        <v>54</v>
      </c>
      <c r="M1861" t="s">
        <v>66</v>
      </c>
      <c r="N1861" t="s">
        <v>66</v>
      </c>
      <c r="O1861">
        <v>1</v>
      </c>
      <c r="P1861">
        <v>2390</v>
      </c>
      <c r="Q1861">
        <v>0</v>
      </c>
      <c r="R1861">
        <v>1570</v>
      </c>
      <c r="S1861" t="s">
        <v>105</v>
      </c>
      <c r="T1861" t="s">
        <v>30</v>
      </c>
      <c r="U1861">
        <v>4</v>
      </c>
      <c r="V1861" t="s">
        <v>31</v>
      </c>
      <c r="W1861">
        <f>excelsalesdata[[#This Row],[Quantity]]*excelsalesdata[[#This Row],[Unit_Price]]</f>
        <v>2390</v>
      </c>
      <c r="X1861">
        <f>excelsalesdata[[#This Row],[Gross_sales]]*excelsalesdata[[#This Row],[Discount_%]]</f>
        <v>0</v>
      </c>
      <c r="Y1861">
        <f>excelsalesdata[[#This Row],[Gross_sales]]-excelsalesdata[[#This Row],[Discount_amt]]</f>
        <v>2390</v>
      </c>
      <c r="Z1861" s="4">
        <f>excelsalesdata[[#This Row],[Net_sales]]-excelsalesdata[[#This Row],[Cost]]</f>
        <v>820</v>
      </c>
      <c r="AA1861" s="5">
        <f>excelsalesdata[[#This Row],[Profit]]/excelsalesdata[[#This Row],[Net_sales]]</f>
        <v>0.34309623430962344</v>
      </c>
      <c r="AB1861" s="4">
        <f>YEAR(excelsalesdata[[#This Row],[Order_Date]])</f>
        <v>2030</v>
      </c>
      <c r="AC1861" s="4" t="str">
        <f>TEXT(excelsalesdata[[#This Row],[Order_Date]],"mmm")</f>
        <v>May</v>
      </c>
      <c r="AD1861" s="4" t="str">
        <f>"Q"&amp;ROUNDUP(MONTH(excelsalesdata[[#This Row],[Order_Date]])/3,0)</f>
        <v>Q2</v>
      </c>
    </row>
    <row r="1862" spans="1:30" x14ac:dyDescent="0.35">
      <c r="A1862" t="s">
        <v>2705</v>
      </c>
      <c r="B1862" s="3">
        <v>47620</v>
      </c>
      <c r="C1862" t="s">
        <v>1308</v>
      </c>
      <c r="D1862" t="s">
        <v>1449</v>
      </c>
      <c r="E1862" t="str">
        <f>TRIM(excelsalesdata[[#This Row],[Customer_Name]])</f>
        <v>Ananya Nair</v>
      </c>
      <c r="F1862" t="s">
        <v>23</v>
      </c>
      <c r="G1862">
        <v>44</v>
      </c>
      <c r="H1862" t="s">
        <v>185</v>
      </c>
      <c r="I1862" t="str">
        <f>TRIM(excelsalesdata[[#This Row],[City]])</f>
        <v>Lucknow</v>
      </c>
      <c r="J1862" t="s">
        <v>186</v>
      </c>
      <c r="K1862" t="s">
        <v>61</v>
      </c>
      <c r="L1862" t="s">
        <v>38</v>
      </c>
      <c r="M1862" t="s">
        <v>39</v>
      </c>
      <c r="N1862" t="s">
        <v>39</v>
      </c>
      <c r="O1862">
        <v>1</v>
      </c>
      <c r="P1862">
        <v>6020</v>
      </c>
      <c r="Q1862">
        <v>0.2</v>
      </c>
      <c r="R1862">
        <v>4290</v>
      </c>
      <c r="S1862" t="s">
        <v>29</v>
      </c>
      <c r="T1862" t="s">
        <v>30</v>
      </c>
      <c r="U1862">
        <v>6</v>
      </c>
      <c r="V1862" t="s">
        <v>31</v>
      </c>
      <c r="W1862">
        <f>excelsalesdata[[#This Row],[Quantity]]*excelsalesdata[[#This Row],[Unit_Price]]</f>
        <v>6020</v>
      </c>
      <c r="X1862">
        <f>excelsalesdata[[#This Row],[Gross_sales]]*excelsalesdata[[#This Row],[Discount_%]]</f>
        <v>1204</v>
      </c>
      <c r="Y1862">
        <f>excelsalesdata[[#This Row],[Gross_sales]]-excelsalesdata[[#This Row],[Discount_amt]]</f>
        <v>4816</v>
      </c>
      <c r="Z1862" s="4">
        <f>excelsalesdata[[#This Row],[Net_sales]]-excelsalesdata[[#This Row],[Cost]]</f>
        <v>526</v>
      </c>
      <c r="AA1862" s="5">
        <f>excelsalesdata[[#This Row],[Profit]]/excelsalesdata[[#This Row],[Net_sales]]</f>
        <v>0.10921926910299003</v>
      </c>
      <c r="AB1862" s="4">
        <f>YEAR(excelsalesdata[[#This Row],[Order_Date]])</f>
        <v>2030</v>
      </c>
      <c r="AC1862" s="4" t="str">
        <f>TEXT(excelsalesdata[[#This Row],[Order_Date]],"mmm")</f>
        <v>May</v>
      </c>
      <c r="AD1862" s="4" t="str">
        <f>"Q"&amp;ROUNDUP(MONTH(excelsalesdata[[#This Row],[Order_Date]])/3,0)</f>
        <v>Q2</v>
      </c>
    </row>
    <row r="1863" spans="1:30" x14ac:dyDescent="0.35">
      <c r="A1863" t="s">
        <v>2706</v>
      </c>
      <c r="B1863" s="3">
        <v>47621</v>
      </c>
      <c r="C1863" t="s">
        <v>188</v>
      </c>
      <c r="D1863" t="s">
        <v>792</v>
      </c>
      <c r="E1863" t="str">
        <f>TRIM(excelsalesdata[[#This Row],[Customer_Name]])</f>
        <v>Nisha Das</v>
      </c>
      <c r="F1863" t="s">
        <v>44</v>
      </c>
      <c r="G1863">
        <v>23</v>
      </c>
      <c r="H1863" t="s">
        <v>71</v>
      </c>
      <c r="I1863" t="str">
        <f>TRIM(excelsalesdata[[#This Row],[City]])</f>
        <v>Bhubaneswar</v>
      </c>
      <c r="J1863" t="s">
        <v>72</v>
      </c>
      <c r="K1863" t="s">
        <v>37</v>
      </c>
      <c r="L1863" t="s">
        <v>54</v>
      </c>
      <c r="M1863" t="s">
        <v>157</v>
      </c>
      <c r="N1863" t="s">
        <v>157</v>
      </c>
      <c r="O1863">
        <v>4</v>
      </c>
      <c r="P1863">
        <v>55430</v>
      </c>
      <c r="Q1863">
        <v>0.1</v>
      </c>
      <c r="R1863">
        <v>40460</v>
      </c>
      <c r="S1863" t="s">
        <v>151</v>
      </c>
      <c r="T1863" t="s">
        <v>30</v>
      </c>
      <c r="U1863">
        <v>4</v>
      </c>
      <c r="V1863" t="s">
        <v>31</v>
      </c>
      <c r="W1863">
        <f>excelsalesdata[[#This Row],[Quantity]]*excelsalesdata[[#This Row],[Unit_Price]]</f>
        <v>221720</v>
      </c>
      <c r="X1863">
        <f>excelsalesdata[[#This Row],[Gross_sales]]*excelsalesdata[[#This Row],[Discount_%]]</f>
        <v>22172</v>
      </c>
      <c r="Y1863">
        <f>excelsalesdata[[#This Row],[Gross_sales]]-excelsalesdata[[#This Row],[Discount_amt]]</f>
        <v>199548</v>
      </c>
      <c r="Z1863" s="4">
        <f>excelsalesdata[[#This Row],[Net_sales]]-excelsalesdata[[#This Row],[Cost]]</f>
        <v>159088</v>
      </c>
      <c r="AA1863" s="5">
        <f>excelsalesdata[[#This Row],[Profit]]/excelsalesdata[[#This Row],[Net_sales]]</f>
        <v>0.79724176639204603</v>
      </c>
      <c r="AB1863" s="4">
        <f>YEAR(excelsalesdata[[#This Row],[Order_Date]])</f>
        <v>2030</v>
      </c>
      <c r="AC1863" s="4" t="str">
        <f>TEXT(excelsalesdata[[#This Row],[Order_Date]],"mmm")</f>
        <v>May</v>
      </c>
      <c r="AD1863" s="4" t="str">
        <f>"Q"&amp;ROUNDUP(MONTH(excelsalesdata[[#This Row],[Order_Date]])/3,0)</f>
        <v>Q2</v>
      </c>
    </row>
    <row r="1864" spans="1:30" x14ac:dyDescent="0.35">
      <c r="A1864" t="s">
        <v>2707</v>
      </c>
      <c r="B1864" s="3">
        <v>47622</v>
      </c>
      <c r="C1864" t="s">
        <v>324</v>
      </c>
      <c r="D1864" t="s">
        <v>519</v>
      </c>
      <c r="E1864" t="str">
        <f>TRIM(excelsalesdata[[#This Row],[Customer_Name]])</f>
        <v>Kavya Das</v>
      </c>
      <c r="F1864" t="s">
        <v>44</v>
      </c>
      <c r="G1864">
        <v>59</v>
      </c>
      <c r="H1864" t="s">
        <v>168</v>
      </c>
      <c r="I1864" t="str">
        <f>TRIM(excelsalesdata[[#This Row],[City]])</f>
        <v>Delhi</v>
      </c>
      <c r="J1864" t="s">
        <v>168</v>
      </c>
      <c r="K1864" t="s">
        <v>61</v>
      </c>
      <c r="L1864" t="s">
        <v>103</v>
      </c>
      <c r="M1864" t="s">
        <v>178</v>
      </c>
      <c r="N1864" t="s">
        <v>178</v>
      </c>
      <c r="O1864">
        <v>1</v>
      </c>
      <c r="P1864">
        <v>1800</v>
      </c>
      <c r="Q1864">
        <v>0.1</v>
      </c>
      <c r="R1864">
        <v>930</v>
      </c>
      <c r="S1864" t="s">
        <v>105</v>
      </c>
      <c r="T1864" t="s">
        <v>30</v>
      </c>
      <c r="U1864">
        <v>3</v>
      </c>
      <c r="V1864" t="s">
        <v>40</v>
      </c>
      <c r="W1864">
        <f>excelsalesdata[[#This Row],[Quantity]]*excelsalesdata[[#This Row],[Unit_Price]]</f>
        <v>1800</v>
      </c>
      <c r="X1864">
        <f>excelsalesdata[[#This Row],[Gross_sales]]*excelsalesdata[[#This Row],[Discount_%]]</f>
        <v>180</v>
      </c>
      <c r="Y1864">
        <f>excelsalesdata[[#This Row],[Gross_sales]]-excelsalesdata[[#This Row],[Discount_amt]]</f>
        <v>1620</v>
      </c>
      <c r="Z1864" s="4">
        <f>excelsalesdata[[#This Row],[Net_sales]]-excelsalesdata[[#This Row],[Cost]]</f>
        <v>690</v>
      </c>
      <c r="AA1864" s="5">
        <f>excelsalesdata[[#This Row],[Profit]]/excelsalesdata[[#This Row],[Net_sales]]</f>
        <v>0.42592592592592593</v>
      </c>
      <c r="AB1864" s="4">
        <f>YEAR(excelsalesdata[[#This Row],[Order_Date]])</f>
        <v>2030</v>
      </c>
      <c r="AC1864" s="4" t="str">
        <f>TEXT(excelsalesdata[[#This Row],[Order_Date]],"mmm")</f>
        <v>May</v>
      </c>
      <c r="AD1864" s="4" t="str">
        <f>"Q"&amp;ROUNDUP(MONTH(excelsalesdata[[#This Row],[Order_Date]])/3,0)</f>
        <v>Q2</v>
      </c>
    </row>
    <row r="1865" spans="1:30" x14ac:dyDescent="0.35">
      <c r="A1865" t="s">
        <v>2708</v>
      </c>
      <c r="B1865" s="3">
        <v>47623</v>
      </c>
      <c r="C1865" t="s">
        <v>1314</v>
      </c>
      <c r="D1865" t="s">
        <v>262</v>
      </c>
      <c r="E1865" t="str">
        <f>TRIM(excelsalesdata[[#This Row],[Customer_Name]])</f>
        <v>Arjun Joshi</v>
      </c>
      <c r="F1865" t="s">
        <v>23</v>
      </c>
      <c r="G1865">
        <v>43</v>
      </c>
      <c r="H1865" t="s">
        <v>98</v>
      </c>
      <c r="I1865" t="str">
        <f>TRIM(excelsalesdata[[#This Row],[City]])</f>
        <v>Mumbai</v>
      </c>
      <c r="J1865" t="s">
        <v>25</v>
      </c>
      <c r="K1865" t="s">
        <v>26</v>
      </c>
      <c r="L1865" t="s">
        <v>54</v>
      </c>
      <c r="M1865" t="s">
        <v>157</v>
      </c>
      <c r="N1865" t="s">
        <v>157</v>
      </c>
      <c r="O1865">
        <v>1</v>
      </c>
      <c r="P1865">
        <v>52020</v>
      </c>
      <c r="Q1865">
        <v>0.1</v>
      </c>
      <c r="R1865">
        <v>43980</v>
      </c>
      <c r="S1865" t="s">
        <v>80</v>
      </c>
      <c r="T1865" t="s">
        <v>81</v>
      </c>
      <c r="U1865">
        <v>0</v>
      </c>
      <c r="V1865" t="s">
        <v>40</v>
      </c>
      <c r="W1865">
        <f>excelsalesdata[[#This Row],[Quantity]]*excelsalesdata[[#This Row],[Unit_Price]]</f>
        <v>52020</v>
      </c>
      <c r="X1865">
        <f>excelsalesdata[[#This Row],[Gross_sales]]*excelsalesdata[[#This Row],[Discount_%]]</f>
        <v>5202</v>
      </c>
      <c r="Y1865">
        <f>excelsalesdata[[#This Row],[Gross_sales]]-excelsalesdata[[#This Row],[Discount_amt]]</f>
        <v>46818</v>
      </c>
      <c r="Z1865" s="4">
        <f>excelsalesdata[[#This Row],[Net_sales]]-excelsalesdata[[#This Row],[Cost]]</f>
        <v>2838</v>
      </c>
      <c r="AA1865" s="5">
        <f>excelsalesdata[[#This Row],[Profit]]/excelsalesdata[[#This Row],[Net_sales]]</f>
        <v>6.0617711136742282E-2</v>
      </c>
      <c r="AB1865" s="4">
        <f>YEAR(excelsalesdata[[#This Row],[Order_Date]])</f>
        <v>2030</v>
      </c>
      <c r="AC1865" s="4" t="str">
        <f>TEXT(excelsalesdata[[#This Row],[Order_Date]],"mmm")</f>
        <v>May</v>
      </c>
      <c r="AD1865" s="4" t="str">
        <f>"Q"&amp;ROUNDUP(MONTH(excelsalesdata[[#This Row],[Order_Date]])/3,0)</f>
        <v>Q2</v>
      </c>
    </row>
    <row r="1866" spans="1:30" x14ac:dyDescent="0.35">
      <c r="A1866" t="s">
        <v>2709</v>
      </c>
      <c r="B1866" s="3">
        <v>47624</v>
      </c>
      <c r="C1866" t="s">
        <v>2307</v>
      </c>
      <c r="D1866" t="s">
        <v>392</v>
      </c>
      <c r="E1866" t="str">
        <f>TRIM(excelsalesdata[[#This Row],[Customer_Name]])</f>
        <v>Meera Joshi</v>
      </c>
      <c r="F1866" t="s">
        <v>44</v>
      </c>
      <c r="G1866">
        <v>45</v>
      </c>
      <c r="H1866" t="s">
        <v>155</v>
      </c>
      <c r="I1866" t="str">
        <f>TRIM(excelsalesdata[[#This Row],[City]])</f>
        <v>Chennai</v>
      </c>
      <c r="J1866" t="s">
        <v>156</v>
      </c>
      <c r="K1866" t="s">
        <v>47</v>
      </c>
      <c r="L1866" t="s">
        <v>103</v>
      </c>
      <c r="M1866" t="s">
        <v>347</v>
      </c>
      <c r="N1866" t="s">
        <v>347</v>
      </c>
      <c r="O1866">
        <v>1</v>
      </c>
      <c r="P1866">
        <v>12350</v>
      </c>
      <c r="Q1866">
        <v>0.1</v>
      </c>
      <c r="R1866">
        <v>8410</v>
      </c>
      <c r="S1866" t="s">
        <v>151</v>
      </c>
      <c r="T1866" t="s">
        <v>30</v>
      </c>
      <c r="U1866">
        <v>5</v>
      </c>
      <c r="V1866" t="s">
        <v>40</v>
      </c>
      <c r="W1866">
        <f>excelsalesdata[[#This Row],[Quantity]]*excelsalesdata[[#This Row],[Unit_Price]]</f>
        <v>12350</v>
      </c>
      <c r="X1866">
        <f>excelsalesdata[[#This Row],[Gross_sales]]*excelsalesdata[[#This Row],[Discount_%]]</f>
        <v>1235</v>
      </c>
      <c r="Y1866">
        <f>excelsalesdata[[#This Row],[Gross_sales]]-excelsalesdata[[#This Row],[Discount_amt]]</f>
        <v>11115</v>
      </c>
      <c r="Z1866" s="4">
        <f>excelsalesdata[[#This Row],[Net_sales]]-excelsalesdata[[#This Row],[Cost]]</f>
        <v>2705</v>
      </c>
      <c r="AA1866" s="5">
        <f>excelsalesdata[[#This Row],[Profit]]/excelsalesdata[[#This Row],[Net_sales]]</f>
        <v>0.24336482231219073</v>
      </c>
      <c r="AB1866" s="4">
        <f>YEAR(excelsalesdata[[#This Row],[Order_Date]])</f>
        <v>2030</v>
      </c>
      <c r="AC1866" s="4" t="str">
        <f>TEXT(excelsalesdata[[#This Row],[Order_Date]],"mmm")</f>
        <v>May</v>
      </c>
      <c r="AD1866" s="4" t="str">
        <f>"Q"&amp;ROUNDUP(MONTH(excelsalesdata[[#This Row],[Order_Date]])/3,0)</f>
        <v>Q2</v>
      </c>
    </row>
    <row r="1867" spans="1:30" x14ac:dyDescent="0.35">
      <c r="A1867" t="s">
        <v>2710</v>
      </c>
      <c r="B1867" s="3">
        <v>47625</v>
      </c>
      <c r="C1867" t="s">
        <v>1365</v>
      </c>
      <c r="D1867" t="s">
        <v>672</v>
      </c>
      <c r="E1867" t="str">
        <f>TRIM(excelsalesdata[[#This Row],[Customer_Name]])</f>
        <v>Aditya Kumar</v>
      </c>
      <c r="F1867" t="s">
        <v>23</v>
      </c>
      <c r="G1867">
        <v>40</v>
      </c>
      <c r="H1867" t="s">
        <v>114</v>
      </c>
      <c r="I1867" t="str">
        <f>TRIM(excelsalesdata[[#This Row],[City]])</f>
        <v>Hyderabad</v>
      </c>
      <c r="J1867" t="s">
        <v>115</v>
      </c>
      <c r="K1867" t="s">
        <v>47</v>
      </c>
      <c r="L1867" t="s">
        <v>38</v>
      </c>
      <c r="M1867" t="s">
        <v>119</v>
      </c>
      <c r="N1867" t="s">
        <v>119</v>
      </c>
      <c r="O1867">
        <v>1</v>
      </c>
      <c r="P1867">
        <v>7830</v>
      </c>
      <c r="Q1867">
        <v>0.2</v>
      </c>
      <c r="R1867">
        <v>5630</v>
      </c>
      <c r="S1867" t="s">
        <v>80</v>
      </c>
      <c r="T1867" t="s">
        <v>30</v>
      </c>
      <c r="U1867">
        <v>3</v>
      </c>
      <c r="V1867" t="s">
        <v>31</v>
      </c>
      <c r="W1867">
        <f>excelsalesdata[[#This Row],[Quantity]]*excelsalesdata[[#This Row],[Unit_Price]]</f>
        <v>7830</v>
      </c>
      <c r="X1867">
        <f>excelsalesdata[[#This Row],[Gross_sales]]*excelsalesdata[[#This Row],[Discount_%]]</f>
        <v>1566</v>
      </c>
      <c r="Y1867">
        <f>excelsalesdata[[#This Row],[Gross_sales]]-excelsalesdata[[#This Row],[Discount_amt]]</f>
        <v>6264</v>
      </c>
      <c r="Z1867" s="4">
        <f>excelsalesdata[[#This Row],[Net_sales]]-excelsalesdata[[#This Row],[Cost]]</f>
        <v>634</v>
      </c>
      <c r="AA1867" s="5">
        <f>excelsalesdata[[#This Row],[Profit]]/excelsalesdata[[#This Row],[Net_sales]]</f>
        <v>0.101213282247765</v>
      </c>
      <c r="AB1867" s="4">
        <f>YEAR(excelsalesdata[[#This Row],[Order_Date]])</f>
        <v>2030</v>
      </c>
      <c r="AC1867" s="4" t="str">
        <f>TEXT(excelsalesdata[[#This Row],[Order_Date]],"mmm")</f>
        <v>May</v>
      </c>
      <c r="AD1867" s="4" t="str">
        <f>"Q"&amp;ROUNDUP(MONTH(excelsalesdata[[#This Row],[Order_Date]])/3,0)</f>
        <v>Q2</v>
      </c>
    </row>
    <row r="1868" spans="1:30" x14ac:dyDescent="0.35">
      <c r="A1868" t="s">
        <v>2711</v>
      </c>
      <c r="B1868" s="3">
        <v>47626</v>
      </c>
      <c r="C1868" t="s">
        <v>1186</v>
      </c>
      <c r="D1868" t="s">
        <v>1256</v>
      </c>
      <c r="E1868" t="str">
        <f>TRIM(excelsalesdata[[#This Row],[Customer_Name]])</f>
        <v>Kavya Bhat</v>
      </c>
      <c r="F1868" t="s">
        <v>44</v>
      </c>
      <c r="G1868">
        <v>34</v>
      </c>
      <c r="H1868" t="s">
        <v>98</v>
      </c>
      <c r="I1868" t="str">
        <f>TRIM(excelsalesdata[[#This Row],[City]])</f>
        <v>Mumbai</v>
      </c>
      <c r="J1868" t="s">
        <v>25</v>
      </c>
      <c r="K1868" t="s">
        <v>26</v>
      </c>
      <c r="L1868" t="s">
        <v>27</v>
      </c>
      <c r="M1868" t="s">
        <v>195</v>
      </c>
      <c r="N1868" t="s">
        <v>195</v>
      </c>
      <c r="O1868">
        <v>3</v>
      </c>
      <c r="P1868">
        <v>2280</v>
      </c>
      <c r="Q1868">
        <v>0.1</v>
      </c>
      <c r="R1868">
        <v>1240</v>
      </c>
      <c r="S1868" t="s">
        <v>67</v>
      </c>
      <c r="T1868" t="s">
        <v>30</v>
      </c>
      <c r="U1868">
        <v>2</v>
      </c>
      <c r="V1868" t="s">
        <v>40</v>
      </c>
      <c r="W1868">
        <f>excelsalesdata[[#This Row],[Quantity]]*excelsalesdata[[#This Row],[Unit_Price]]</f>
        <v>6840</v>
      </c>
      <c r="X1868">
        <f>excelsalesdata[[#This Row],[Gross_sales]]*excelsalesdata[[#This Row],[Discount_%]]</f>
        <v>684</v>
      </c>
      <c r="Y1868">
        <f>excelsalesdata[[#This Row],[Gross_sales]]-excelsalesdata[[#This Row],[Discount_amt]]</f>
        <v>6156</v>
      </c>
      <c r="Z1868" s="4">
        <f>excelsalesdata[[#This Row],[Net_sales]]-excelsalesdata[[#This Row],[Cost]]</f>
        <v>4916</v>
      </c>
      <c r="AA1868" s="5">
        <f>excelsalesdata[[#This Row],[Profit]]/excelsalesdata[[#This Row],[Net_sales]]</f>
        <v>0.7985705003248863</v>
      </c>
      <c r="AB1868" s="4">
        <f>YEAR(excelsalesdata[[#This Row],[Order_Date]])</f>
        <v>2030</v>
      </c>
      <c r="AC1868" s="4" t="str">
        <f>TEXT(excelsalesdata[[#This Row],[Order_Date]],"mmm")</f>
        <v>May</v>
      </c>
      <c r="AD1868" s="4" t="str">
        <f>"Q"&amp;ROUNDUP(MONTH(excelsalesdata[[#This Row],[Order_Date]])/3,0)</f>
        <v>Q2</v>
      </c>
    </row>
    <row r="1869" spans="1:30" x14ac:dyDescent="0.35">
      <c r="A1869" t="s">
        <v>2712</v>
      </c>
      <c r="B1869" s="3">
        <v>47627</v>
      </c>
      <c r="C1869" t="s">
        <v>91</v>
      </c>
      <c r="D1869" t="s">
        <v>102</v>
      </c>
      <c r="E1869" t="str">
        <f>TRIM(excelsalesdata[[#This Row],[Customer_Name]])</f>
        <v>Nisha Sharma</v>
      </c>
      <c r="F1869" t="s">
        <v>44</v>
      </c>
      <c r="G1869">
        <v>29</v>
      </c>
      <c r="H1869" t="s">
        <v>45</v>
      </c>
      <c r="I1869" t="str">
        <f>TRIM(excelsalesdata[[#This Row],[City]])</f>
        <v>Kochi</v>
      </c>
      <c r="J1869" t="s">
        <v>46</v>
      </c>
      <c r="K1869" t="s">
        <v>47</v>
      </c>
      <c r="L1869" t="s">
        <v>54</v>
      </c>
      <c r="M1869" t="s">
        <v>66</v>
      </c>
      <c r="N1869" t="s">
        <v>66</v>
      </c>
      <c r="O1869">
        <v>4</v>
      </c>
      <c r="P1869">
        <v>2340</v>
      </c>
      <c r="Q1869">
        <v>0</v>
      </c>
      <c r="R1869">
        <v>1520</v>
      </c>
      <c r="S1869" t="s">
        <v>56</v>
      </c>
      <c r="T1869" t="s">
        <v>30</v>
      </c>
      <c r="U1869">
        <v>1</v>
      </c>
      <c r="V1869" t="s">
        <v>40</v>
      </c>
      <c r="W1869">
        <f>excelsalesdata[[#This Row],[Quantity]]*excelsalesdata[[#This Row],[Unit_Price]]</f>
        <v>9360</v>
      </c>
      <c r="X1869">
        <f>excelsalesdata[[#This Row],[Gross_sales]]*excelsalesdata[[#This Row],[Discount_%]]</f>
        <v>0</v>
      </c>
      <c r="Y1869">
        <f>excelsalesdata[[#This Row],[Gross_sales]]-excelsalesdata[[#This Row],[Discount_amt]]</f>
        <v>9360</v>
      </c>
      <c r="Z1869" s="4">
        <f>excelsalesdata[[#This Row],[Net_sales]]-excelsalesdata[[#This Row],[Cost]]</f>
        <v>7840</v>
      </c>
      <c r="AA1869" s="5">
        <f>excelsalesdata[[#This Row],[Profit]]/excelsalesdata[[#This Row],[Net_sales]]</f>
        <v>0.83760683760683763</v>
      </c>
      <c r="AB1869" s="4">
        <f>YEAR(excelsalesdata[[#This Row],[Order_Date]])</f>
        <v>2030</v>
      </c>
      <c r="AC1869" s="4" t="str">
        <f>TEXT(excelsalesdata[[#This Row],[Order_Date]],"mmm")</f>
        <v>May</v>
      </c>
      <c r="AD1869" s="4" t="str">
        <f>"Q"&amp;ROUNDUP(MONTH(excelsalesdata[[#This Row],[Order_Date]])/3,0)</f>
        <v>Q2</v>
      </c>
    </row>
    <row r="1870" spans="1:30" x14ac:dyDescent="0.35">
      <c r="A1870" t="s">
        <v>2713</v>
      </c>
      <c r="B1870" s="3">
        <v>47628</v>
      </c>
      <c r="C1870" t="s">
        <v>1858</v>
      </c>
      <c r="D1870" t="s">
        <v>420</v>
      </c>
      <c r="E1870" t="str">
        <f>TRIM(excelsalesdata[[#This Row],[Customer_Name]])</f>
        <v>Vivaan Mehta</v>
      </c>
      <c r="F1870" t="s">
        <v>44</v>
      </c>
      <c r="G1870">
        <v>51</v>
      </c>
      <c r="H1870" t="s">
        <v>133</v>
      </c>
      <c r="I1870" t="str">
        <f>TRIM(excelsalesdata[[#This Row],[City]])</f>
        <v>Jaipur</v>
      </c>
      <c r="J1870" t="s">
        <v>134</v>
      </c>
      <c r="K1870" t="s">
        <v>61</v>
      </c>
      <c r="L1870" t="s">
        <v>38</v>
      </c>
      <c r="M1870" t="s">
        <v>119</v>
      </c>
      <c r="N1870" t="s">
        <v>119</v>
      </c>
      <c r="O1870">
        <v>2</v>
      </c>
      <c r="P1870">
        <v>7910</v>
      </c>
      <c r="Q1870">
        <v>0</v>
      </c>
      <c r="R1870">
        <v>5650</v>
      </c>
      <c r="S1870" t="s">
        <v>67</v>
      </c>
      <c r="T1870" t="s">
        <v>30</v>
      </c>
      <c r="U1870">
        <v>6</v>
      </c>
      <c r="V1870" t="s">
        <v>40</v>
      </c>
      <c r="W1870">
        <f>excelsalesdata[[#This Row],[Quantity]]*excelsalesdata[[#This Row],[Unit_Price]]</f>
        <v>15820</v>
      </c>
      <c r="X1870">
        <f>excelsalesdata[[#This Row],[Gross_sales]]*excelsalesdata[[#This Row],[Discount_%]]</f>
        <v>0</v>
      </c>
      <c r="Y1870">
        <f>excelsalesdata[[#This Row],[Gross_sales]]-excelsalesdata[[#This Row],[Discount_amt]]</f>
        <v>15820</v>
      </c>
      <c r="Z1870" s="4">
        <f>excelsalesdata[[#This Row],[Net_sales]]-excelsalesdata[[#This Row],[Cost]]</f>
        <v>10170</v>
      </c>
      <c r="AA1870" s="5">
        <f>excelsalesdata[[#This Row],[Profit]]/excelsalesdata[[#This Row],[Net_sales]]</f>
        <v>0.6428571428571429</v>
      </c>
      <c r="AB1870" s="4">
        <f>YEAR(excelsalesdata[[#This Row],[Order_Date]])</f>
        <v>2030</v>
      </c>
      <c r="AC1870" s="4" t="str">
        <f>TEXT(excelsalesdata[[#This Row],[Order_Date]],"mmm")</f>
        <v>May</v>
      </c>
      <c r="AD1870" s="4" t="str">
        <f>"Q"&amp;ROUNDUP(MONTH(excelsalesdata[[#This Row],[Order_Date]])/3,0)</f>
        <v>Q2</v>
      </c>
    </row>
    <row r="1871" spans="1:30" x14ac:dyDescent="0.35">
      <c r="A1871" t="s">
        <v>2714</v>
      </c>
      <c r="B1871" s="3">
        <v>47629</v>
      </c>
      <c r="C1871" t="s">
        <v>1139</v>
      </c>
      <c r="D1871" t="s">
        <v>305</v>
      </c>
      <c r="E1871" t="str">
        <f>TRIM(excelsalesdata[[#This Row],[Customer_Name]])</f>
        <v>Priya Reddy</v>
      </c>
      <c r="F1871" t="s">
        <v>44</v>
      </c>
      <c r="G1871">
        <v>28</v>
      </c>
      <c r="H1871" t="s">
        <v>190</v>
      </c>
      <c r="I1871" t="str">
        <f>TRIM(excelsalesdata[[#This Row],[City]])</f>
        <v>Ahmedabad</v>
      </c>
      <c r="J1871" t="s">
        <v>191</v>
      </c>
      <c r="K1871" t="s">
        <v>26</v>
      </c>
      <c r="L1871" t="s">
        <v>85</v>
      </c>
      <c r="M1871" t="s">
        <v>110</v>
      </c>
      <c r="N1871" t="s">
        <v>110</v>
      </c>
      <c r="O1871">
        <v>1</v>
      </c>
      <c r="P1871">
        <v>1190</v>
      </c>
      <c r="Q1871">
        <v>0.25</v>
      </c>
      <c r="R1871">
        <v>580</v>
      </c>
      <c r="S1871" t="s">
        <v>29</v>
      </c>
      <c r="T1871" t="s">
        <v>30</v>
      </c>
      <c r="U1871">
        <v>4</v>
      </c>
      <c r="V1871" t="s">
        <v>31</v>
      </c>
      <c r="W1871">
        <f>excelsalesdata[[#This Row],[Quantity]]*excelsalesdata[[#This Row],[Unit_Price]]</f>
        <v>1190</v>
      </c>
      <c r="X1871">
        <f>excelsalesdata[[#This Row],[Gross_sales]]*excelsalesdata[[#This Row],[Discount_%]]</f>
        <v>297.5</v>
      </c>
      <c r="Y1871">
        <f>excelsalesdata[[#This Row],[Gross_sales]]-excelsalesdata[[#This Row],[Discount_amt]]</f>
        <v>892.5</v>
      </c>
      <c r="Z1871" s="4">
        <f>excelsalesdata[[#This Row],[Net_sales]]-excelsalesdata[[#This Row],[Cost]]</f>
        <v>312.5</v>
      </c>
      <c r="AA1871" s="5">
        <f>excelsalesdata[[#This Row],[Profit]]/excelsalesdata[[#This Row],[Net_sales]]</f>
        <v>0.35014005602240894</v>
      </c>
      <c r="AB1871" s="4">
        <f>YEAR(excelsalesdata[[#This Row],[Order_Date]])</f>
        <v>2030</v>
      </c>
      <c r="AC1871" s="4" t="str">
        <f>TEXT(excelsalesdata[[#This Row],[Order_Date]],"mmm")</f>
        <v>May</v>
      </c>
      <c r="AD1871" s="4" t="str">
        <f>"Q"&amp;ROUNDUP(MONTH(excelsalesdata[[#This Row],[Order_Date]])/3,0)</f>
        <v>Q2</v>
      </c>
    </row>
    <row r="1872" spans="1:30" x14ac:dyDescent="0.35">
      <c r="A1872" t="s">
        <v>2715</v>
      </c>
      <c r="B1872" s="3">
        <v>47630</v>
      </c>
      <c r="C1872" t="s">
        <v>579</v>
      </c>
      <c r="D1872" t="s">
        <v>524</v>
      </c>
      <c r="E1872" t="str">
        <f>TRIM(excelsalesdata[[#This Row],[Customer_Name]])</f>
        <v>Arjun Das</v>
      </c>
      <c r="F1872" t="s">
        <v>23</v>
      </c>
      <c r="G1872">
        <v>38</v>
      </c>
      <c r="H1872" t="s">
        <v>24</v>
      </c>
      <c r="I1872" t="str">
        <f>TRIM(excelsalesdata[[#This Row],[City]])</f>
        <v>Pune</v>
      </c>
      <c r="J1872" t="s">
        <v>25</v>
      </c>
      <c r="K1872" t="s">
        <v>26</v>
      </c>
      <c r="L1872" t="s">
        <v>54</v>
      </c>
      <c r="M1872" t="s">
        <v>129</v>
      </c>
      <c r="N1872" t="s">
        <v>129</v>
      </c>
      <c r="O1872">
        <v>2</v>
      </c>
      <c r="P1872">
        <v>18080</v>
      </c>
      <c r="Q1872">
        <v>0</v>
      </c>
      <c r="R1872">
        <v>11970</v>
      </c>
      <c r="S1872" t="s">
        <v>29</v>
      </c>
      <c r="T1872" t="s">
        <v>30</v>
      </c>
      <c r="U1872">
        <v>3</v>
      </c>
      <c r="V1872" t="s">
        <v>40</v>
      </c>
      <c r="W1872">
        <f>excelsalesdata[[#This Row],[Quantity]]*excelsalesdata[[#This Row],[Unit_Price]]</f>
        <v>36160</v>
      </c>
      <c r="X1872">
        <f>excelsalesdata[[#This Row],[Gross_sales]]*excelsalesdata[[#This Row],[Discount_%]]</f>
        <v>0</v>
      </c>
      <c r="Y1872">
        <f>excelsalesdata[[#This Row],[Gross_sales]]-excelsalesdata[[#This Row],[Discount_amt]]</f>
        <v>36160</v>
      </c>
      <c r="Z1872" s="4">
        <f>excelsalesdata[[#This Row],[Net_sales]]-excelsalesdata[[#This Row],[Cost]]</f>
        <v>24190</v>
      </c>
      <c r="AA1872" s="5">
        <f>excelsalesdata[[#This Row],[Profit]]/excelsalesdata[[#This Row],[Net_sales]]</f>
        <v>0.6689712389380531</v>
      </c>
      <c r="AB1872" s="4">
        <f>YEAR(excelsalesdata[[#This Row],[Order_Date]])</f>
        <v>2030</v>
      </c>
      <c r="AC1872" s="4" t="str">
        <f>TEXT(excelsalesdata[[#This Row],[Order_Date]],"mmm")</f>
        <v>May</v>
      </c>
      <c r="AD1872" s="4" t="str">
        <f>"Q"&amp;ROUNDUP(MONTH(excelsalesdata[[#This Row],[Order_Date]])/3,0)</f>
        <v>Q2</v>
      </c>
    </row>
    <row r="1873" spans="1:30" x14ac:dyDescent="0.35">
      <c r="A1873" t="s">
        <v>2716</v>
      </c>
      <c r="B1873" s="3">
        <v>47631</v>
      </c>
      <c r="C1873" t="s">
        <v>2142</v>
      </c>
      <c r="D1873" t="s">
        <v>988</v>
      </c>
      <c r="E1873" t="str">
        <f>TRIM(excelsalesdata[[#This Row],[Customer_Name]])</f>
        <v>Vikram Das</v>
      </c>
      <c r="F1873" t="s">
        <v>23</v>
      </c>
      <c r="G1873">
        <v>26</v>
      </c>
      <c r="H1873" t="s">
        <v>114</v>
      </c>
      <c r="I1873" t="str">
        <f>TRIM(excelsalesdata[[#This Row],[City]])</f>
        <v>Hyderabad</v>
      </c>
      <c r="J1873" t="s">
        <v>115</v>
      </c>
      <c r="K1873" t="s">
        <v>47</v>
      </c>
      <c r="L1873" t="s">
        <v>103</v>
      </c>
      <c r="M1873" t="s">
        <v>104</v>
      </c>
      <c r="N1873" t="s">
        <v>104</v>
      </c>
      <c r="O1873">
        <v>4</v>
      </c>
      <c r="P1873">
        <v>7940</v>
      </c>
      <c r="Q1873">
        <v>0.25</v>
      </c>
      <c r="R1873">
        <v>5490</v>
      </c>
      <c r="S1873" t="s">
        <v>80</v>
      </c>
      <c r="T1873" t="s">
        <v>30</v>
      </c>
      <c r="U1873">
        <v>1</v>
      </c>
      <c r="V1873" t="s">
        <v>40</v>
      </c>
      <c r="W1873">
        <f>excelsalesdata[[#This Row],[Quantity]]*excelsalesdata[[#This Row],[Unit_Price]]</f>
        <v>31760</v>
      </c>
      <c r="X1873">
        <f>excelsalesdata[[#This Row],[Gross_sales]]*excelsalesdata[[#This Row],[Discount_%]]</f>
        <v>7940</v>
      </c>
      <c r="Y1873">
        <f>excelsalesdata[[#This Row],[Gross_sales]]-excelsalesdata[[#This Row],[Discount_amt]]</f>
        <v>23820</v>
      </c>
      <c r="Z1873" s="4">
        <f>excelsalesdata[[#This Row],[Net_sales]]-excelsalesdata[[#This Row],[Cost]]</f>
        <v>18330</v>
      </c>
      <c r="AA1873" s="5">
        <f>excelsalesdata[[#This Row],[Profit]]/excelsalesdata[[#This Row],[Net_sales]]</f>
        <v>0.76952141057934509</v>
      </c>
      <c r="AB1873" s="4">
        <f>YEAR(excelsalesdata[[#This Row],[Order_Date]])</f>
        <v>2030</v>
      </c>
      <c r="AC1873" s="4" t="str">
        <f>TEXT(excelsalesdata[[#This Row],[Order_Date]],"mmm")</f>
        <v>May</v>
      </c>
      <c r="AD1873" s="4" t="str">
        <f>"Q"&amp;ROUNDUP(MONTH(excelsalesdata[[#This Row],[Order_Date]])/3,0)</f>
        <v>Q2</v>
      </c>
    </row>
    <row r="1874" spans="1:30" x14ac:dyDescent="0.35">
      <c r="A1874" t="s">
        <v>2717</v>
      </c>
      <c r="B1874" s="3">
        <v>47632</v>
      </c>
      <c r="C1874" t="s">
        <v>349</v>
      </c>
      <c r="D1874" t="s">
        <v>171</v>
      </c>
      <c r="E1874" t="str">
        <f>TRIM(excelsalesdata[[#This Row],[Customer_Name]])</f>
        <v>Sneha Rao</v>
      </c>
      <c r="F1874" t="s">
        <v>44</v>
      </c>
      <c r="G1874">
        <v>58</v>
      </c>
      <c r="H1874" t="s">
        <v>35</v>
      </c>
      <c r="I1874" t="str">
        <f>TRIM(excelsalesdata[[#This Row],[City]])</f>
        <v>Kolkata</v>
      </c>
      <c r="J1874" t="s">
        <v>36</v>
      </c>
      <c r="K1874" t="s">
        <v>37</v>
      </c>
      <c r="L1874" t="s">
        <v>54</v>
      </c>
      <c r="M1874" t="s">
        <v>129</v>
      </c>
      <c r="N1874" t="s">
        <v>129</v>
      </c>
      <c r="O1874">
        <v>1</v>
      </c>
      <c r="P1874">
        <v>17380</v>
      </c>
      <c r="Q1874">
        <v>0.05</v>
      </c>
      <c r="R1874">
        <v>12940</v>
      </c>
      <c r="S1874" t="s">
        <v>67</v>
      </c>
      <c r="T1874" t="s">
        <v>30</v>
      </c>
      <c r="U1874">
        <v>4</v>
      </c>
      <c r="V1874" t="s">
        <v>40</v>
      </c>
      <c r="W1874">
        <f>excelsalesdata[[#This Row],[Quantity]]*excelsalesdata[[#This Row],[Unit_Price]]</f>
        <v>17380</v>
      </c>
      <c r="X1874">
        <f>excelsalesdata[[#This Row],[Gross_sales]]*excelsalesdata[[#This Row],[Discount_%]]</f>
        <v>869</v>
      </c>
      <c r="Y1874">
        <f>excelsalesdata[[#This Row],[Gross_sales]]-excelsalesdata[[#This Row],[Discount_amt]]</f>
        <v>16511</v>
      </c>
      <c r="Z1874" s="4">
        <f>excelsalesdata[[#This Row],[Net_sales]]-excelsalesdata[[#This Row],[Cost]]</f>
        <v>3571</v>
      </c>
      <c r="AA1874" s="5">
        <f>excelsalesdata[[#This Row],[Profit]]/excelsalesdata[[#This Row],[Net_sales]]</f>
        <v>0.2162800557204288</v>
      </c>
      <c r="AB1874" s="4">
        <f>YEAR(excelsalesdata[[#This Row],[Order_Date]])</f>
        <v>2030</v>
      </c>
      <c r="AC1874" s="4" t="str">
        <f>TEXT(excelsalesdata[[#This Row],[Order_Date]],"mmm")</f>
        <v>May</v>
      </c>
      <c r="AD1874" s="4" t="str">
        <f>"Q"&amp;ROUNDUP(MONTH(excelsalesdata[[#This Row],[Order_Date]])/3,0)</f>
        <v>Q2</v>
      </c>
    </row>
    <row r="1875" spans="1:30" x14ac:dyDescent="0.35">
      <c r="A1875" t="s">
        <v>2718</v>
      </c>
      <c r="B1875" s="3">
        <v>47633</v>
      </c>
      <c r="C1875" t="s">
        <v>1193</v>
      </c>
      <c r="D1875" t="s">
        <v>254</v>
      </c>
      <c r="E1875" t="str">
        <f>TRIM(excelsalesdata[[#This Row],[Customer_Name]])</f>
        <v>Meera Sharma</v>
      </c>
      <c r="F1875" t="s">
        <v>44</v>
      </c>
      <c r="G1875">
        <v>33</v>
      </c>
      <c r="H1875" t="s">
        <v>155</v>
      </c>
      <c r="I1875" t="str">
        <f>TRIM(excelsalesdata[[#This Row],[City]])</f>
        <v>Chennai</v>
      </c>
      <c r="J1875" t="s">
        <v>156</v>
      </c>
      <c r="K1875" t="s">
        <v>47</v>
      </c>
      <c r="L1875" t="s">
        <v>85</v>
      </c>
      <c r="M1875" t="s">
        <v>110</v>
      </c>
      <c r="N1875" t="s">
        <v>110</v>
      </c>
      <c r="O1875">
        <v>1</v>
      </c>
      <c r="P1875">
        <v>1140</v>
      </c>
      <c r="Q1875">
        <v>0.25</v>
      </c>
      <c r="R1875">
        <v>570</v>
      </c>
      <c r="S1875" t="s">
        <v>105</v>
      </c>
      <c r="T1875" t="s">
        <v>74</v>
      </c>
      <c r="U1875">
        <v>2</v>
      </c>
      <c r="V1875" t="s">
        <v>40</v>
      </c>
      <c r="W1875">
        <f>excelsalesdata[[#This Row],[Quantity]]*excelsalesdata[[#This Row],[Unit_Price]]</f>
        <v>1140</v>
      </c>
      <c r="X1875">
        <f>excelsalesdata[[#This Row],[Gross_sales]]*excelsalesdata[[#This Row],[Discount_%]]</f>
        <v>285</v>
      </c>
      <c r="Y1875">
        <f>excelsalesdata[[#This Row],[Gross_sales]]-excelsalesdata[[#This Row],[Discount_amt]]</f>
        <v>855</v>
      </c>
      <c r="Z1875" s="4">
        <f>excelsalesdata[[#This Row],[Net_sales]]-excelsalesdata[[#This Row],[Cost]]</f>
        <v>285</v>
      </c>
      <c r="AA1875" s="5">
        <f>excelsalesdata[[#This Row],[Profit]]/excelsalesdata[[#This Row],[Net_sales]]</f>
        <v>0.33333333333333331</v>
      </c>
      <c r="AB1875" s="4">
        <f>YEAR(excelsalesdata[[#This Row],[Order_Date]])</f>
        <v>2030</v>
      </c>
      <c r="AC1875" s="4" t="str">
        <f>TEXT(excelsalesdata[[#This Row],[Order_Date]],"mmm")</f>
        <v>May</v>
      </c>
      <c r="AD1875" s="4" t="str">
        <f>"Q"&amp;ROUNDUP(MONTH(excelsalesdata[[#This Row],[Order_Date]])/3,0)</f>
        <v>Q2</v>
      </c>
    </row>
    <row r="1876" spans="1:30" x14ac:dyDescent="0.35">
      <c r="A1876" t="s">
        <v>2719</v>
      </c>
      <c r="B1876" s="3">
        <v>47634</v>
      </c>
      <c r="C1876" t="s">
        <v>230</v>
      </c>
      <c r="D1876" t="s">
        <v>247</v>
      </c>
      <c r="E1876" t="str">
        <f>TRIM(excelsalesdata[[#This Row],[Customer_Name]])</f>
        <v>Priya Mehta</v>
      </c>
      <c r="F1876" t="s">
        <v>23</v>
      </c>
      <c r="G1876">
        <v>30</v>
      </c>
      <c r="H1876" t="s">
        <v>168</v>
      </c>
      <c r="I1876" t="str">
        <f>TRIM(excelsalesdata[[#This Row],[City]])</f>
        <v>Delhi</v>
      </c>
      <c r="J1876" t="s">
        <v>168</v>
      </c>
      <c r="K1876" t="s">
        <v>61</v>
      </c>
      <c r="L1876" t="s">
        <v>54</v>
      </c>
      <c r="M1876" t="s">
        <v>62</v>
      </c>
      <c r="N1876" t="s">
        <v>62</v>
      </c>
      <c r="O1876">
        <v>1</v>
      </c>
      <c r="P1876">
        <v>21990</v>
      </c>
      <c r="Q1876">
        <v>0.2</v>
      </c>
      <c r="R1876">
        <v>15680</v>
      </c>
      <c r="S1876" t="s">
        <v>67</v>
      </c>
      <c r="T1876" t="s">
        <v>30</v>
      </c>
      <c r="U1876">
        <v>6</v>
      </c>
      <c r="V1876" t="s">
        <v>40</v>
      </c>
      <c r="W1876">
        <f>excelsalesdata[[#This Row],[Quantity]]*excelsalesdata[[#This Row],[Unit_Price]]</f>
        <v>21990</v>
      </c>
      <c r="X1876">
        <f>excelsalesdata[[#This Row],[Gross_sales]]*excelsalesdata[[#This Row],[Discount_%]]</f>
        <v>4398</v>
      </c>
      <c r="Y1876">
        <f>excelsalesdata[[#This Row],[Gross_sales]]-excelsalesdata[[#This Row],[Discount_amt]]</f>
        <v>17592</v>
      </c>
      <c r="Z1876" s="4">
        <f>excelsalesdata[[#This Row],[Net_sales]]-excelsalesdata[[#This Row],[Cost]]</f>
        <v>1912</v>
      </c>
      <c r="AA1876" s="5">
        <f>excelsalesdata[[#This Row],[Profit]]/excelsalesdata[[#This Row],[Net_sales]]</f>
        <v>0.10868576625738972</v>
      </c>
      <c r="AB1876" s="4">
        <f>YEAR(excelsalesdata[[#This Row],[Order_Date]])</f>
        <v>2030</v>
      </c>
      <c r="AC1876" s="4" t="str">
        <f>TEXT(excelsalesdata[[#This Row],[Order_Date]],"mmm")</f>
        <v>May</v>
      </c>
      <c r="AD1876" s="4" t="str">
        <f>"Q"&amp;ROUNDUP(MONTH(excelsalesdata[[#This Row],[Order_Date]])/3,0)</f>
        <v>Q2</v>
      </c>
    </row>
    <row r="1877" spans="1:30" x14ac:dyDescent="0.35">
      <c r="A1877" t="s">
        <v>2720</v>
      </c>
      <c r="B1877" s="3">
        <v>47635</v>
      </c>
      <c r="C1877" t="s">
        <v>1530</v>
      </c>
      <c r="D1877" t="s">
        <v>685</v>
      </c>
      <c r="E1877" t="str">
        <f>TRIM(excelsalesdata[[#This Row],[Customer_Name]])</f>
        <v>Arjun Reddy</v>
      </c>
      <c r="F1877" t="s">
        <v>23</v>
      </c>
      <c r="G1877">
        <v>46</v>
      </c>
      <c r="H1877" t="s">
        <v>78</v>
      </c>
      <c r="I1877" t="str">
        <f>TRIM(excelsalesdata[[#This Row],[City]])</f>
        <v>Guwahati</v>
      </c>
      <c r="J1877" t="s">
        <v>79</v>
      </c>
      <c r="K1877" t="s">
        <v>37</v>
      </c>
      <c r="L1877" t="s">
        <v>85</v>
      </c>
      <c r="M1877" t="s">
        <v>86</v>
      </c>
      <c r="N1877" t="s">
        <v>86</v>
      </c>
      <c r="O1877">
        <v>1</v>
      </c>
      <c r="P1877">
        <v>2490</v>
      </c>
      <c r="Q1877">
        <v>0.1</v>
      </c>
      <c r="R1877">
        <v>1520</v>
      </c>
      <c r="S1877" t="s">
        <v>56</v>
      </c>
      <c r="T1877" t="s">
        <v>81</v>
      </c>
      <c r="U1877">
        <v>0</v>
      </c>
      <c r="V1877" t="s">
        <v>31</v>
      </c>
      <c r="W1877">
        <f>excelsalesdata[[#This Row],[Quantity]]*excelsalesdata[[#This Row],[Unit_Price]]</f>
        <v>2490</v>
      </c>
      <c r="X1877">
        <f>excelsalesdata[[#This Row],[Gross_sales]]*excelsalesdata[[#This Row],[Discount_%]]</f>
        <v>249</v>
      </c>
      <c r="Y1877">
        <f>excelsalesdata[[#This Row],[Gross_sales]]-excelsalesdata[[#This Row],[Discount_amt]]</f>
        <v>2241</v>
      </c>
      <c r="Z1877" s="4">
        <f>excelsalesdata[[#This Row],[Net_sales]]-excelsalesdata[[#This Row],[Cost]]</f>
        <v>721</v>
      </c>
      <c r="AA1877" s="5">
        <f>excelsalesdata[[#This Row],[Profit]]/excelsalesdata[[#This Row],[Net_sales]]</f>
        <v>0.32173136992414103</v>
      </c>
      <c r="AB1877" s="4">
        <f>YEAR(excelsalesdata[[#This Row],[Order_Date]])</f>
        <v>2030</v>
      </c>
      <c r="AC1877" s="4" t="str">
        <f>TEXT(excelsalesdata[[#This Row],[Order_Date]],"mmm")</f>
        <v>Jun</v>
      </c>
      <c r="AD1877" s="4" t="str">
        <f>"Q"&amp;ROUNDUP(MONTH(excelsalesdata[[#This Row],[Order_Date]])/3,0)</f>
        <v>Q2</v>
      </c>
    </row>
    <row r="1878" spans="1:30" x14ac:dyDescent="0.35">
      <c r="A1878" t="s">
        <v>2721</v>
      </c>
      <c r="B1878" s="3">
        <v>47636</v>
      </c>
      <c r="C1878" t="s">
        <v>2722</v>
      </c>
      <c r="D1878" t="s">
        <v>540</v>
      </c>
      <c r="E1878" t="str">
        <f>TRIM(excelsalesdata[[#This Row],[Customer_Name]])</f>
        <v>Priya Kumar</v>
      </c>
      <c r="F1878" t="s">
        <v>44</v>
      </c>
      <c r="G1878">
        <v>56</v>
      </c>
      <c r="H1878" t="s">
        <v>190</v>
      </c>
      <c r="I1878" t="str">
        <f>TRIM(excelsalesdata[[#This Row],[City]])</f>
        <v>Ahmedabad</v>
      </c>
      <c r="J1878" t="s">
        <v>191</v>
      </c>
      <c r="K1878" t="s">
        <v>26</v>
      </c>
      <c r="L1878" t="s">
        <v>38</v>
      </c>
      <c r="M1878" t="s">
        <v>255</v>
      </c>
      <c r="N1878" t="s">
        <v>255</v>
      </c>
      <c r="O1878">
        <v>2</v>
      </c>
      <c r="P1878">
        <v>4270</v>
      </c>
      <c r="Q1878">
        <v>0.1</v>
      </c>
      <c r="R1878">
        <v>3010</v>
      </c>
      <c r="S1878" t="s">
        <v>151</v>
      </c>
      <c r="T1878" t="s">
        <v>30</v>
      </c>
      <c r="U1878">
        <v>6</v>
      </c>
      <c r="V1878" t="s">
        <v>40</v>
      </c>
      <c r="W1878">
        <f>excelsalesdata[[#This Row],[Quantity]]*excelsalesdata[[#This Row],[Unit_Price]]</f>
        <v>8540</v>
      </c>
      <c r="X1878">
        <f>excelsalesdata[[#This Row],[Gross_sales]]*excelsalesdata[[#This Row],[Discount_%]]</f>
        <v>854</v>
      </c>
      <c r="Y1878">
        <f>excelsalesdata[[#This Row],[Gross_sales]]-excelsalesdata[[#This Row],[Discount_amt]]</f>
        <v>7686</v>
      </c>
      <c r="Z1878" s="4">
        <f>excelsalesdata[[#This Row],[Net_sales]]-excelsalesdata[[#This Row],[Cost]]</f>
        <v>4676</v>
      </c>
      <c r="AA1878" s="5">
        <f>excelsalesdata[[#This Row],[Profit]]/excelsalesdata[[#This Row],[Net_sales]]</f>
        <v>0.60837887067395269</v>
      </c>
      <c r="AB1878" s="4">
        <f>YEAR(excelsalesdata[[#This Row],[Order_Date]])</f>
        <v>2030</v>
      </c>
      <c r="AC1878" s="4" t="str">
        <f>TEXT(excelsalesdata[[#This Row],[Order_Date]],"mmm")</f>
        <v>Jun</v>
      </c>
      <c r="AD1878" s="4" t="str">
        <f>"Q"&amp;ROUNDUP(MONTH(excelsalesdata[[#This Row],[Order_Date]])/3,0)</f>
        <v>Q2</v>
      </c>
    </row>
    <row r="1879" spans="1:30" x14ac:dyDescent="0.35">
      <c r="A1879" t="s">
        <v>2723</v>
      </c>
      <c r="B1879" s="3">
        <v>47637</v>
      </c>
      <c r="C1879" t="s">
        <v>2545</v>
      </c>
      <c r="D1879" t="s">
        <v>944</v>
      </c>
      <c r="E1879" t="str">
        <f>TRIM(excelsalesdata[[#This Row],[Customer_Name]])</f>
        <v>Kavya Gupta</v>
      </c>
      <c r="F1879" t="s">
        <v>44</v>
      </c>
      <c r="G1879">
        <v>31</v>
      </c>
      <c r="H1879" t="s">
        <v>60</v>
      </c>
      <c r="I1879" t="str">
        <f>TRIM(excelsalesdata[[#This Row],[City]])</f>
        <v>Chandigarh</v>
      </c>
      <c r="J1879" t="s">
        <v>60</v>
      </c>
      <c r="K1879" t="s">
        <v>61</v>
      </c>
      <c r="L1879" t="s">
        <v>54</v>
      </c>
      <c r="M1879" t="s">
        <v>66</v>
      </c>
      <c r="N1879" t="s">
        <v>66</v>
      </c>
      <c r="O1879">
        <v>2</v>
      </c>
      <c r="P1879">
        <v>2400</v>
      </c>
      <c r="Q1879">
        <v>0.25</v>
      </c>
      <c r="R1879">
        <v>1430</v>
      </c>
      <c r="S1879" t="s">
        <v>67</v>
      </c>
      <c r="T1879" t="s">
        <v>30</v>
      </c>
      <c r="U1879">
        <v>5</v>
      </c>
      <c r="V1879" t="s">
        <v>40</v>
      </c>
      <c r="W1879">
        <f>excelsalesdata[[#This Row],[Quantity]]*excelsalesdata[[#This Row],[Unit_Price]]</f>
        <v>4800</v>
      </c>
      <c r="X1879">
        <f>excelsalesdata[[#This Row],[Gross_sales]]*excelsalesdata[[#This Row],[Discount_%]]</f>
        <v>1200</v>
      </c>
      <c r="Y1879">
        <f>excelsalesdata[[#This Row],[Gross_sales]]-excelsalesdata[[#This Row],[Discount_amt]]</f>
        <v>3600</v>
      </c>
      <c r="Z1879" s="4">
        <f>excelsalesdata[[#This Row],[Net_sales]]-excelsalesdata[[#This Row],[Cost]]</f>
        <v>2170</v>
      </c>
      <c r="AA1879" s="5">
        <f>excelsalesdata[[#This Row],[Profit]]/excelsalesdata[[#This Row],[Net_sales]]</f>
        <v>0.60277777777777775</v>
      </c>
      <c r="AB1879" s="4">
        <f>YEAR(excelsalesdata[[#This Row],[Order_Date]])</f>
        <v>2030</v>
      </c>
      <c r="AC1879" s="4" t="str">
        <f>TEXT(excelsalesdata[[#This Row],[Order_Date]],"mmm")</f>
        <v>Jun</v>
      </c>
      <c r="AD1879" s="4" t="str">
        <f>"Q"&amp;ROUNDUP(MONTH(excelsalesdata[[#This Row],[Order_Date]])/3,0)</f>
        <v>Q2</v>
      </c>
    </row>
    <row r="1880" spans="1:30" x14ac:dyDescent="0.35">
      <c r="A1880" t="s">
        <v>2724</v>
      </c>
      <c r="B1880" s="3">
        <v>47638</v>
      </c>
      <c r="C1880" t="s">
        <v>314</v>
      </c>
      <c r="D1880" t="s">
        <v>655</v>
      </c>
      <c r="E1880" t="str">
        <f>TRIM(excelsalesdata[[#This Row],[Customer_Name]])</f>
        <v>Arjun Naidu</v>
      </c>
      <c r="F1880" t="s">
        <v>44</v>
      </c>
      <c r="G1880">
        <v>42</v>
      </c>
      <c r="H1880" t="s">
        <v>35</v>
      </c>
      <c r="I1880" t="str">
        <f>TRIM(excelsalesdata[[#This Row],[City]])</f>
        <v>Kolkata</v>
      </c>
      <c r="J1880" t="s">
        <v>36</v>
      </c>
      <c r="K1880" t="s">
        <v>37</v>
      </c>
      <c r="L1880" t="s">
        <v>54</v>
      </c>
      <c r="M1880" t="s">
        <v>157</v>
      </c>
      <c r="N1880" t="s">
        <v>157</v>
      </c>
      <c r="O1880">
        <v>1</v>
      </c>
      <c r="P1880">
        <v>53700</v>
      </c>
      <c r="Q1880">
        <v>0.15</v>
      </c>
      <c r="R1880">
        <v>42120</v>
      </c>
      <c r="S1880" t="s">
        <v>67</v>
      </c>
      <c r="T1880" t="s">
        <v>30</v>
      </c>
      <c r="U1880">
        <v>3</v>
      </c>
      <c r="V1880" t="s">
        <v>31</v>
      </c>
      <c r="W1880">
        <f>excelsalesdata[[#This Row],[Quantity]]*excelsalesdata[[#This Row],[Unit_Price]]</f>
        <v>53700</v>
      </c>
      <c r="X1880">
        <f>excelsalesdata[[#This Row],[Gross_sales]]*excelsalesdata[[#This Row],[Discount_%]]</f>
        <v>8055</v>
      </c>
      <c r="Y1880">
        <f>excelsalesdata[[#This Row],[Gross_sales]]-excelsalesdata[[#This Row],[Discount_amt]]</f>
        <v>45645</v>
      </c>
      <c r="Z1880" s="4">
        <f>excelsalesdata[[#This Row],[Net_sales]]-excelsalesdata[[#This Row],[Cost]]</f>
        <v>3525</v>
      </c>
      <c r="AA1880" s="5">
        <f>excelsalesdata[[#This Row],[Profit]]/excelsalesdata[[#This Row],[Net_sales]]</f>
        <v>7.7226421294774888E-2</v>
      </c>
      <c r="AB1880" s="4">
        <f>YEAR(excelsalesdata[[#This Row],[Order_Date]])</f>
        <v>2030</v>
      </c>
      <c r="AC1880" s="4" t="str">
        <f>TEXT(excelsalesdata[[#This Row],[Order_Date]],"mmm")</f>
        <v>Jun</v>
      </c>
      <c r="AD1880" s="4" t="str">
        <f>"Q"&amp;ROUNDUP(MONTH(excelsalesdata[[#This Row],[Order_Date]])/3,0)</f>
        <v>Q2</v>
      </c>
    </row>
    <row r="1881" spans="1:30" x14ac:dyDescent="0.35">
      <c r="A1881" t="s">
        <v>2725</v>
      </c>
      <c r="B1881" s="3">
        <v>47639</v>
      </c>
      <c r="C1881" t="s">
        <v>1186</v>
      </c>
      <c r="D1881" t="s">
        <v>1404</v>
      </c>
      <c r="E1881" t="str">
        <f>TRIM(excelsalesdata[[#This Row],[Customer_Name]])</f>
        <v>Rohan Joshi</v>
      </c>
      <c r="F1881" t="s">
        <v>44</v>
      </c>
      <c r="G1881">
        <v>20</v>
      </c>
      <c r="H1881" t="s">
        <v>133</v>
      </c>
      <c r="I1881" t="str">
        <f>TRIM(excelsalesdata[[#This Row],[City]])</f>
        <v>Jaipur</v>
      </c>
      <c r="J1881" t="s">
        <v>134</v>
      </c>
      <c r="K1881" t="s">
        <v>61</v>
      </c>
      <c r="L1881" t="s">
        <v>93</v>
      </c>
      <c r="M1881" t="s">
        <v>206</v>
      </c>
      <c r="N1881" t="s">
        <v>206</v>
      </c>
      <c r="O1881">
        <v>2</v>
      </c>
      <c r="P1881">
        <v>640</v>
      </c>
      <c r="Q1881">
        <v>0</v>
      </c>
      <c r="R1881">
        <v>310</v>
      </c>
      <c r="S1881" t="s">
        <v>151</v>
      </c>
      <c r="T1881" t="s">
        <v>30</v>
      </c>
      <c r="U1881">
        <v>2</v>
      </c>
      <c r="V1881" t="s">
        <v>40</v>
      </c>
      <c r="W1881">
        <f>excelsalesdata[[#This Row],[Quantity]]*excelsalesdata[[#This Row],[Unit_Price]]</f>
        <v>1280</v>
      </c>
      <c r="X1881">
        <f>excelsalesdata[[#This Row],[Gross_sales]]*excelsalesdata[[#This Row],[Discount_%]]</f>
        <v>0</v>
      </c>
      <c r="Y1881">
        <f>excelsalesdata[[#This Row],[Gross_sales]]-excelsalesdata[[#This Row],[Discount_amt]]</f>
        <v>1280</v>
      </c>
      <c r="Z1881" s="4">
        <f>excelsalesdata[[#This Row],[Net_sales]]-excelsalesdata[[#This Row],[Cost]]</f>
        <v>970</v>
      </c>
      <c r="AA1881" s="5">
        <f>excelsalesdata[[#This Row],[Profit]]/excelsalesdata[[#This Row],[Net_sales]]</f>
        <v>0.7578125</v>
      </c>
      <c r="AB1881" s="4">
        <f>YEAR(excelsalesdata[[#This Row],[Order_Date]])</f>
        <v>2030</v>
      </c>
      <c r="AC1881" s="4" t="str">
        <f>TEXT(excelsalesdata[[#This Row],[Order_Date]],"mmm")</f>
        <v>Jun</v>
      </c>
      <c r="AD1881" s="4" t="str">
        <f>"Q"&amp;ROUNDUP(MONTH(excelsalesdata[[#This Row],[Order_Date]])/3,0)</f>
        <v>Q2</v>
      </c>
    </row>
    <row r="1882" spans="1:30" x14ac:dyDescent="0.35">
      <c r="A1882" t="s">
        <v>2726</v>
      </c>
      <c r="B1882" s="3">
        <v>47640</v>
      </c>
      <c r="C1882" t="s">
        <v>1928</v>
      </c>
      <c r="D1882" t="s">
        <v>1292</v>
      </c>
      <c r="E1882" t="str">
        <f>TRIM(excelsalesdata[[#This Row],[Customer_Name]])</f>
        <v>Sneha Mehta</v>
      </c>
      <c r="F1882" t="s">
        <v>44</v>
      </c>
      <c r="G1882">
        <v>36</v>
      </c>
      <c r="H1882" t="s">
        <v>185</v>
      </c>
      <c r="I1882" t="str">
        <f>TRIM(excelsalesdata[[#This Row],[City]])</f>
        <v>Lucknow</v>
      </c>
      <c r="J1882" t="s">
        <v>186</v>
      </c>
      <c r="K1882" t="s">
        <v>61</v>
      </c>
      <c r="L1882" t="s">
        <v>85</v>
      </c>
      <c r="M1882" t="s">
        <v>110</v>
      </c>
      <c r="N1882" t="s">
        <v>110</v>
      </c>
      <c r="O1882">
        <v>1</v>
      </c>
      <c r="P1882">
        <v>1140</v>
      </c>
      <c r="Q1882">
        <v>0</v>
      </c>
      <c r="R1882">
        <v>590</v>
      </c>
      <c r="S1882" t="s">
        <v>80</v>
      </c>
      <c r="T1882" t="s">
        <v>30</v>
      </c>
      <c r="U1882">
        <v>2</v>
      </c>
      <c r="V1882" t="s">
        <v>31</v>
      </c>
      <c r="W1882">
        <f>excelsalesdata[[#This Row],[Quantity]]*excelsalesdata[[#This Row],[Unit_Price]]</f>
        <v>1140</v>
      </c>
      <c r="X1882">
        <f>excelsalesdata[[#This Row],[Gross_sales]]*excelsalesdata[[#This Row],[Discount_%]]</f>
        <v>0</v>
      </c>
      <c r="Y1882">
        <f>excelsalesdata[[#This Row],[Gross_sales]]-excelsalesdata[[#This Row],[Discount_amt]]</f>
        <v>1140</v>
      </c>
      <c r="Z1882" s="4">
        <f>excelsalesdata[[#This Row],[Net_sales]]-excelsalesdata[[#This Row],[Cost]]</f>
        <v>550</v>
      </c>
      <c r="AA1882" s="5">
        <f>excelsalesdata[[#This Row],[Profit]]/excelsalesdata[[#This Row],[Net_sales]]</f>
        <v>0.48245614035087719</v>
      </c>
      <c r="AB1882" s="4">
        <f>YEAR(excelsalesdata[[#This Row],[Order_Date]])</f>
        <v>2030</v>
      </c>
      <c r="AC1882" s="4" t="str">
        <f>TEXT(excelsalesdata[[#This Row],[Order_Date]],"mmm")</f>
        <v>Jun</v>
      </c>
      <c r="AD1882" s="4" t="str">
        <f>"Q"&amp;ROUNDUP(MONTH(excelsalesdata[[#This Row],[Order_Date]])/3,0)</f>
        <v>Q2</v>
      </c>
    </row>
    <row r="1883" spans="1:30" x14ac:dyDescent="0.35">
      <c r="A1883" t="s">
        <v>2727</v>
      </c>
      <c r="B1883" s="3">
        <v>47641</v>
      </c>
      <c r="C1883" t="s">
        <v>127</v>
      </c>
      <c r="D1883" t="s">
        <v>972</v>
      </c>
      <c r="E1883" t="str">
        <f>TRIM(excelsalesdata[[#This Row],[Customer_Name]])</f>
        <v>Ananya Reddy</v>
      </c>
      <c r="F1883" t="s">
        <v>23</v>
      </c>
      <c r="G1883">
        <v>39</v>
      </c>
      <c r="H1883" t="s">
        <v>185</v>
      </c>
      <c r="I1883" t="str">
        <f>TRIM(excelsalesdata[[#This Row],[City]])</f>
        <v>Lucknow</v>
      </c>
      <c r="J1883" t="s">
        <v>186</v>
      </c>
      <c r="K1883" t="s">
        <v>61</v>
      </c>
      <c r="L1883" t="s">
        <v>54</v>
      </c>
      <c r="M1883" t="s">
        <v>129</v>
      </c>
      <c r="N1883" t="s">
        <v>129</v>
      </c>
      <c r="O1883">
        <v>2</v>
      </c>
      <c r="P1883">
        <v>19180</v>
      </c>
      <c r="Q1883">
        <v>0.25</v>
      </c>
      <c r="R1883">
        <v>12160</v>
      </c>
      <c r="S1883" t="s">
        <v>29</v>
      </c>
      <c r="T1883" t="s">
        <v>30</v>
      </c>
      <c r="U1883">
        <v>3</v>
      </c>
      <c r="V1883" t="s">
        <v>40</v>
      </c>
      <c r="W1883">
        <f>excelsalesdata[[#This Row],[Quantity]]*excelsalesdata[[#This Row],[Unit_Price]]</f>
        <v>38360</v>
      </c>
      <c r="X1883">
        <f>excelsalesdata[[#This Row],[Gross_sales]]*excelsalesdata[[#This Row],[Discount_%]]</f>
        <v>9590</v>
      </c>
      <c r="Y1883">
        <f>excelsalesdata[[#This Row],[Gross_sales]]-excelsalesdata[[#This Row],[Discount_amt]]</f>
        <v>28770</v>
      </c>
      <c r="Z1883" s="4">
        <f>excelsalesdata[[#This Row],[Net_sales]]-excelsalesdata[[#This Row],[Cost]]</f>
        <v>16610</v>
      </c>
      <c r="AA1883" s="5">
        <f>excelsalesdata[[#This Row],[Profit]]/excelsalesdata[[#This Row],[Net_sales]]</f>
        <v>0.57733750434480358</v>
      </c>
      <c r="AB1883" s="4">
        <f>YEAR(excelsalesdata[[#This Row],[Order_Date]])</f>
        <v>2030</v>
      </c>
      <c r="AC1883" s="4" t="str">
        <f>TEXT(excelsalesdata[[#This Row],[Order_Date]],"mmm")</f>
        <v>Jun</v>
      </c>
      <c r="AD1883" s="4" t="str">
        <f>"Q"&amp;ROUNDUP(MONTH(excelsalesdata[[#This Row],[Order_Date]])/3,0)</f>
        <v>Q2</v>
      </c>
    </row>
    <row r="1884" spans="1:30" x14ac:dyDescent="0.35">
      <c r="A1884" t="s">
        <v>2728</v>
      </c>
      <c r="B1884" s="3">
        <v>47642</v>
      </c>
      <c r="C1884" t="s">
        <v>1673</v>
      </c>
      <c r="D1884" t="s">
        <v>519</v>
      </c>
      <c r="E1884" t="str">
        <f>TRIM(excelsalesdata[[#This Row],[Customer_Name]])</f>
        <v>Kavya Das</v>
      </c>
      <c r="F1884" t="s">
        <v>23</v>
      </c>
      <c r="G1884">
        <v>44</v>
      </c>
      <c r="H1884" t="s">
        <v>133</v>
      </c>
      <c r="I1884" t="str">
        <f>TRIM(excelsalesdata[[#This Row],[City]])</f>
        <v>Jaipur</v>
      </c>
      <c r="J1884" t="s">
        <v>134</v>
      </c>
      <c r="K1884" t="s">
        <v>61</v>
      </c>
      <c r="L1884" t="s">
        <v>93</v>
      </c>
      <c r="M1884" t="s">
        <v>135</v>
      </c>
      <c r="N1884" t="s">
        <v>135</v>
      </c>
      <c r="O1884">
        <v>1</v>
      </c>
      <c r="P1884">
        <v>1660</v>
      </c>
      <c r="Q1884">
        <v>0.05</v>
      </c>
      <c r="R1884">
        <v>980</v>
      </c>
      <c r="S1884" t="s">
        <v>56</v>
      </c>
      <c r="T1884" t="s">
        <v>81</v>
      </c>
      <c r="U1884">
        <v>0</v>
      </c>
      <c r="V1884" t="s">
        <v>40</v>
      </c>
      <c r="W1884">
        <f>excelsalesdata[[#This Row],[Quantity]]*excelsalesdata[[#This Row],[Unit_Price]]</f>
        <v>1660</v>
      </c>
      <c r="X1884">
        <f>excelsalesdata[[#This Row],[Gross_sales]]*excelsalesdata[[#This Row],[Discount_%]]</f>
        <v>83</v>
      </c>
      <c r="Y1884">
        <f>excelsalesdata[[#This Row],[Gross_sales]]-excelsalesdata[[#This Row],[Discount_amt]]</f>
        <v>1577</v>
      </c>
      <c r="Z1884" s="4">
        <f>excelsalesdata[[#This Row],[Net_sales]]-excelsalesdata[[#This Row],[Cost]]</f>
        <v>597</v>
      </c>
      <c r="AA1884" s="5">
        <f>excelsalesdata[[#This Row],[Profit]]/excelsalesdata[[#This Row],[Net_sales]]</f>
        <v>0.37856689917564995</v>
      </c>
      <c r="AB1884" s="4">
        <f>YEAR(excelsalesdata[[#This Row],[Order_Date]])</f>
        <v>2030</v>
      </c>
      <c r="AC1884" s="4" t="str">
        <f>TEXT(excelsalesdata[[#This Row],[Order_Date]],"mmm")</f>
        <v>Jun</v>
      </c>
      <c r="AD1884" s="4" t="str">
        <f>"Q"&amp;ROUNDUP(MONTH(excelsalesdata[[#This Row],[Order_Date]])/3,0)</f>
        <v>Q2</v>
      </c>
    </row>
    <row r="1885" spans="1:30" x14ac:dyDescent="0.35">
      <c r="A1885" t="s">
        <v>2729</v>
      </c>
      <c r="B1885" s="3">
        <v>47643</v>
      </c>
      <c r="C1885" t="s">
        <v>159</v>
      </c>
      <c r="D1885" t="s">
        <v>519</v>
      </c>
      <c r="E1885" t="str">
        <f>TRIM(excelsalesdata[[#This Row],[Customer_Name]])</f>
        <v>Kavya Das</v>
      </c>
      <c r="F1885" t="s">
        <v>44</v>
      </c>
      <c r="G1885">
        <v>40</v>
      </c>
      <c r="H1885" t="s">
        <v>78</v>
      </c>
      <c r="I1885" t="str">
        <f>TRIM(excelsalesdata[[#This Row],[City]])</f>
        <v>Guwahati</v>
      </c>
      <c r="J1885" t="s">
        <v>79</v>
      </c>
      <c r="K1885" t="s">
        <v>37</v>
      </c>
      <c r="L1885" t="s">
        <v>27</v>
      </c>
      <c r="M1885" t="s">
        <v>48</v>
      </c>
      <c r="N1885" t="s">
        <v>48</v>
      </c>
      <c r="O1885">
        <v>2</v>
      </c>
      <c r="P1885">
        <v>940</v>
      </c>
      <c r="Q1885">
        <v>0.05</v>
      </c>
      <c r="R1885">
        <v>450</v>
      </c>
      <c r="S1885" t="s">
        <v>67</v>
      </c>
      <c r="T1885" t="s">
        <v>81</v>
      </c>
      <c r="U1885">
        <v>0</v>
      </c>
      <c r="V1885" t="s">
        <v>31</v>
      </c>
      <c r="W1885">
        <f>excelsalesdata[[#This Row],[Quantity]]*excelsalesdata[[#This Row],[Unit_Price]]</f>
        <v>1880</v>
      </c>
      <c r="X1885">
        <f>excelsalesdata[[#This Row],[Gross_sales]]*excelsalesdata[[#This Row],[Discount_%]]</f>
        <v>94</v>
      </c>
      <c r="Y1885">
        <f>excelsalesdata[[#This Row],[Gross_sales]]-excelsalesdata[[#This Row],[Discount_amt]]</f>
        <v>1786</v>
      </c>
      <c r="Z1885" s="4">
        <f>excelsalesdata[[#This Row],[Net_sales]]-excelsalesdata[[#This Row],[Cost]]</f>
        <v>1336</v>
      </c>
      <c r="AA1885" s="5">
        <f>excelsalesdata[[#This Row],[Profit]]/excelsalesdata[[#This Row],[Net_sales]]</f>
        <v>0.74804031354983203</v>
      </c>
      <c r="AB1885" s="4">
        <f>YEAR(excelsalesdata[[#This Row],[Order_Date]])</f>
        <v>2030</v>
      </c>
      <c r="AC1885" s="4" t="str">
        <f>TEXT(excelsalesdata[[#This Row],[Order_Date]],"mmm")</f>
        <v>Jun</v>
      </c>
      <c r="AD1885" s="4" t="str">
        <f>"Q"&amp;ROUNDUP(MONTH(excelsalesdata[[#This Row],[Order_Date]])/3,0)</f>
        <v>Q2</v>
      </c>
    </row>
    <row r="1886" spans="1:30" x14ac:dyDescent="0.35">
      <c r="A1886" t="s">
        <v>2730</v>
      </c>
      <c r="B1886" s="3">
        <v>47644</v>
      </c>
      <c r="C1886" t="s">
        <v>604</v>
      </c>
      <c r="D1886" t="s">
        <v>600</v>
      </c>
      <c r="E1886" t="str">
        <f>TRIM(excelsalesdata[[#This Row],[Customer_Name]])</f>
        <v>Karan Mehta</v>
      </c>
      <c r="F1886" t="s">
        <v>23</v>
      </c>
      <c r="G1886">
        <v>30</v>
      </c>
      <c r="H1886" t="s">
        <v>109</v>
      </c>
      <c r="I1886" t="str">
        <f>TRIM(excelsalesdata[[#This Row],[City]])</f>
        <v>Mysuru</v>
      </c>
      <c r="J1886" t="s">
        <v>53</v>
      </c>
      <c r="K1886" t="s">
        <v>47</v>
      </c>
      <c r="L1886" t="s">
        <v>103</v>
      </c>
      <c r="M1886" t="s">
        <v>238</v>
      </c>
      <c r="N1886" t="s">
        <v>238</v>
      </c>
      <c r="O1886">
        <v>2</v>
      </c>
      <c r="P1886">
        <v>4400</v>
      </c>
      <c r="Q1886">
        <v>0.05</v>
      </c>
      <c r="R1886">
        <v>2600</v>
      </c>
      <c r="S1886" t="s">
        <v>80</v>
      </c>
      <c r="T1886" t="s">
        <v>81</v>
      </c>
      <c r="U1886">
        <v>0</v>
      </c>
      <c r="V1886" t="s">
        <v>31</v>
      </c>
      <c r="W1886">
        <f>excelsalesdata[[#This Row],[Quantity]]*excelsalesdata[[#This Row],[Unit_Price]]</f>
        <v>8800</v>
      </c>
      <c r="X1886">
        <f>excelsalesdata[[#This Row],[Gross_sales]]*excelsalesdata[[#This Row],[Discount_%]]</f>
        <v>440</v>
      </c>
      <c r="Y1886">
        <f>excelsalesdata[[#This Row],[Gross_sales]]-excelsalesdata[[#This Row],[Discount_amt]]</f>
        <v>8360</v>
      </c>
      <c r="Z1886" s="4">
        <f>excelsalesdata[[#This Row],[Net_sales]]-excelsalesdata[[#This Row],[Cost]]</f>
        <v>5760</v>
      </c>
      <c r="AA1886" s="5">
        <f>excelsalesdata[[#This Row],[Profit]]/excelsalesdata[[#This Row],[Net_sales]]</f>
        <v>0.68899521531100483</v>
      </c>
      <c r="AB1886" s="4">
        <f>YEAR(excelsalesdata[[#This Row],[Order_Date]])</f>
        <v>2030</v>
      </c>
      <c r="AC1886" s="4" t="str">
        <f>TEXT(excelsalesdata[[#This Row],[Order_Date]],"mmm")</f>
        <v>Jun</v>
      </c>
      <c r="AD1886" s="4" t="str">
        <f>"Q"&amp;ROUNDUP(MONTH(excelsalesdata[[#This Row],[Order_Date]])/3,0)</f>
        <v>Q2</v>
      </c>
    </row>
    <row r="1887" spans="1:30" x14ac:dyDescent="0.35">
      <c r="A1887" t="s">
        <v>2731</v>
      </c>
      <c r="B1887" s="3">
        <v>47645</v>
      </c>
      <c r="C1887" t="s">
        <v>953</v>
      </c>
      <c r="D1887" t="s">
        <v>219</v>
      </c>
      <c r="E1887" t="str">
        <f>TRIM(excelsalesdata[[#This Row],[Customer_Name]])</f>
        <v>Rohan Patel</v>
      </c>
      <c r="F1887" t="s">
        <v>44</v>
      </c>
      <c r="G1887">
        <v>47</v>
      </c>
      <c r="H1887" t="s">
        <v>109</v>
      </c>
      <c r="I1887" t="str">
        <f>TRIM(excelsalesdata[[#This Row],[City]])</f>
        <v>Mysuru</v>
      </c>
      <c r="J1887" t="s">
        <v>53</v>
      </c>
      <c r="K1887" t="s">
        <v>47</v>
      </c>
      <c r="L1887" t="s">
        <v>103</v>
      </c>
      <c r="M1887" t="s">
        <v>104</v>
      </c>
      <c r="N1887" t="s">
        <v>104</v>
      </c>
      <c r="O1887">
        <v>1</v>
      </c>
      <c r="P1887">
        <v>8380</v>
      </c>
      <c r="Q1887">
        <v>0</v>
      </c>
      <c r="R1887">
        <v>5460</v>
      </c>
      <c r="S1887" t="s">
        <v>80</v>
      </c>
      <c r="T1887" t="s">
        <v>30</v>
      </c>
      <c r="U1887">
        <v>2</v>
      </c>
      <c r="V1887" t="s">
        <v>40</v>
      </c>
      <c r="W1887">
        <f>excelsalesdata[[#This Row],[Quantity]]*excelsalesdata[[#This Row],[Unit_Price]]</f>
        <v>8380</v>
      </c>
      <c r="X1887">
        <f>excelsalesdata[[#This Row],[Gross_sales]]*excelsalesdata[[#This Row],[Discount_%]]</f>
        <v>0</v>
      </c>
      <c r="Y1887">
        <f>excelsalesdata[[#This Row],[Gross_sales]]-excelsalesdata[[#This Row],[Discount_amt]]</f>
        <v>8380</v>
      </c>
      <c r="Z1887" s="4">
        <f>excelsalesdata[[#This Row],[Net_sales]]-excelsalesdata[[#This Row],[Cost]]</f>
        <v>2920</v>
      </c>
      <c r="AA1887" s="5">
        <f>excelsalesdata[[#This Row],[Profit]]/excelsalesdata[[#This Row],[Net_sales]]</f>
        <v>0.34844868735083534</v>
      </c>
      <c r="AB1887" s="4">
        <f>YEAR(excelsalesdata[[#This Row],[Order_Date]])</f>
        <v>2030</v>
      </c>
      <c r="AC1887" s="4" t="str">
        <f>TEXT(excelsalesdata[[#This Row],[Order_Date]],"mmm")</f>
        <v>Jun</v>
      </c>
      <c r="AD1887" s="4" t="str">
        <f>"Q"&amp;ROUNDUP(MONTH(excelsalesdata[[#This Row],[Order_Date]])/3,0)</f>
        <v>Q2</v>
      </c>
    </row>
    <row r="1888" spans="1:30" x14ac:dyDescent="0.35">
      <c r="A1888" t="s">
        <v>2732</v>
      </c>
      <c r="B1888" s="3">
        <v>47646</v>
      </c>
      <c r="C1888" t="s">
        <v>539</v>
      </c>
      <c r="D1888" t="s">
        <v>469</v>
      </c>
      <c r="E1888" t="str">
        <f>TRIM(excelsalesdata[[#This Row],[Customer_Name]])</f>
        <v>Rahul Joshi</v>
      </c>
      <c r="F1888" t="s">
        <v>44</v>
      </c>
      <c r="G1888">
        <v>54</v>
      </c>
      <c r="H1888" t="s">
        <v>24</v>
      </c>
      <c r="I1888" t="str">
        <f>TRIM(excelsalesdata[[#This Row],[City]])</f>
        <v>Pune</v>
      </c>
      <c r="J1888" t="s">
        <v>25</v>
      </c>
      <c r="K1888" t="s">
        <v>26</v>
      </c>
      <c r="L1888" t="s">
        <v>54</v>
      </c>
      <c r="M1888" t="s">
        <v>66</v>
      </c>
      <c r="N1888" t="s">
        <v>66</v>
      </c>
      <c r="O1888">
        <v>1</v>
      </c>
      <c r="P1888">
        <v>2680</v>
      </c>
      <c r="Q1888">
        <v>0.15</v>
      </c>
      <c r="R1888">
        <v>1510</v>
      </c>
      <c r="S1888" t="s">
        <v>29</v>
      </c>
      <c r="T1888" t="s">
        <v>30</v>
      </c>
      <c r="U1888">
        <v>2</v>
      </c>
      <c r="V1888" t="s">
        <v>31</v>
      </c>
      <c r="W1888">
        <f>excelsalesdata[[#This Row],[Quantity]]*excelsalesdata[[#This Row],[Unit_Price]]</f>
        <v>2680</v>
      </c>
      <c r="X1888">
        <f>excelsalesdata[[#This Row],[Gross_sales]]*excelsalesdata[[#This Row],[Discount_%]]</f>
        <v>402</v>
      </c>
      <c r="Y1888">
        <f>excelsalesdata[[#This Row],[Gross_sales]]-excelsalesdata[[#This Row],[Discount_amt]]</f>
        <v>2278</v>
      </c>
      <c r="Z1888" s="4">
        <f>excelsalesdata[[#This Row],[Net_sales]]-excelsalesdata[[#This Row],[Cost]]</f>
        <v>768</v>
      </c>
      <c r="AA1888" s="5">
        <f>excelsalesdata[[#This Row],[Profit]]/excelsalesdata[[#This Row],[Net_sales]]</f>
        <v>0.33713784021071114</v>
      </c>
      <c r="AB1888" s="4">
        <f>YEAR(excelsalesdata[[#This Row],[Order_Date]])</f>
        <v>2030</v>
      </c>
      <c r="AC1888" s="4" t="str">
        <f>TEXT(excelsalesdata[[#This Row],[Order_Date]],"mmm")</f>
        <v>Jun</v>
      </c>
      <c r="AD1888" s="4" t="str">
        <f>"Q"&amp;ROUNDUP(MONTH(excelsalesdata[[#This Row],[Order_Date]])/3,0)</f>
        <v>Q2</v>
      </c>
    </row>
    <row r="1889" spans="1:30" x14ac:dyDescent="0.35">
      <c r="A1889" t="s">
        <v>2733</v>
      </c>
      <c r="B1889" s="3">
        <v>47647</v>
      </c>
      <c r="C1889" t="s">
        <v>1616</v>
      </c>
      <c r="D1889" t="s">
        <v>553</v>
      </c>
      <c r="E1889" t="str">
        <f>TRIM(excelsalesdata[[#This Row],[Customer_Name]])</f>
        <v>Vivaan Reddy</v>
      </c>
      <c r="F1889" t="s">
        <v>44</v>
      </c>
      <c r="G1889">
        <v>41</v>
      </c>
      <c r="H1889" t="s">
        <v>78</v>
      </c>
      <c r="I1889" t="str">
        <f>TRIM(excelsalesdata[[#This Row],[City]])</f>
        <v>Guwahati</v>
      </c>
      <c r="J1889" t="s">
        <v>79</v>
      </c>
      <c r="K1889" t="s">
        <v>37</v>
      </c>
      <c r="L1889" t="s">
        <v>54</v>
      </c>
      <c r="M1889" t="s">
        <v>129</v>
      </c>
      <c r="N1889" t="s">
        <v>129</v>
      </c>
      <c r="O1889">
        <v>4</v>
      </c>
      <c r="P1889">
        <v>18970</v>
      </c>
      <c r="Q1889">
        <v>0.05</v>
      </c>
      <c r="R1889">
        <v>12230</v>
      </c>
      <c r="S1889" t="s">
        <v>67</v>
      </c>
      <c r="T1889" t="s">
        <v>74</v>
      </c>
      <c r="U1889">
        <v>4</v>
      </c>
      <c r="V1889" t="s">
        <v>31</v>
      </c>
      <c r="W1889">
        <f>excelsalesdata[[#This Row],[Quantity]]*excelsalesdata[[#This Row],[Unit_Price]]</f>
        <v>75880</v>
      </c>
      <c r="X1889">
        <f>excelsalesdata[[#This Row],[Gross_sales]]*excelsalesdata[[#This Row],[Discount_%]]</f>
        <v>3794</v>
      </c>
      <c r="Y1889">
        <f>excelsalesdata[[#This Row],[Gross_sales]]-excelsalesdata[[#This Row],[Discount_amt]]</f>
        <v>72086</v>
      </c>
      <c r="Z1889" s="4">
        <f>excelsalesdata[[#This Row],[Net_sales]]-excelsalesdata[[#This Row],[Cost]]</f>
        <v>59856</v>
      </c>
      <c r="AA1889" s="5">
        <f>excelsalesdata[[#This Row],[Profit]]/excelsalesdata[[#This Row],[Net_sales]]</f>
        <v>0.83034153649807174</v>
      </c>
      <c r="AB1889" s="4">
        <f>YEAR(excelsalesdata[[#This Row],[Order_Date]])</f>
        <v>2030</v>
      </c>
      <c r="AC1889" s="4" t="str">
        <f>TEXT(excelsalesdata[[#This Row],[Order_Date]],"mmm")</f>
        <v>Jun</v>
      </c>
      <c r="AD1889" s="4" t="str">
        <f>"Q"&amp;ROUNDUP(MONTH(excelsalesdata[[#This Row],[Order_Date]])/3,0)</f>
        <v>Q2</v>
      </c>
    </row>
    <row r="1890" spans="1:30" x14ac:dyDescent="0.35">
      <c r="A1890" t="s">
        <v>2734</v>
      </c>
      <c r="B1890" s="3">
        <v>47648</v>
      </c>
      <c r="C1890" t="s">
        <v>999</v>
      </c>
      <c r="D1890" t="s">
        <v>338</v>
      </c>
      <c r="E1890" t="str">
        <f>TRIM(excelsalesdata[[#This Row],[Customer_Name]])</f>
        <v>Karan Singh</v>
      </c>
      <c r="F1890" t="s">
        <v>23</v>
      </c>
      <c r="G1890">
        <v>38</v>
      </c>
      <c r="H1890" t="s">
        <v>98</v>
      </c>
      <c r="I1890" t="str">
        <f>TRIM(excelsalesdata[[#This Row],[City]])</f>
        <v>Mumbai</v>
      </c>
      <c r="J1890" t="s">
        <v>25</v>
      </c>
      <c r="K1890" t="s">
        <v>26</v>
      </c>
      <c r="L1890" t="s">
        <v>38</v>
      </c>
      <c r="M1890" t="s">
        <v>255</v>
      </c>
      <c r="N1890" t="s">
        <v>255</v>
      </c>
      <c r="O1890">
        <v>1</v>
      </c>
      <c r="P1890">
        <v>4140</v>
      </c>
      <c r="Q1890">
        <v>0.05</v>
      </c>
      <c r="R1890">
        <v>2960</v>
      </c>
      <c r="S1890" t="s">
        <v>151</v>
      </c>
      <c r="T1890" t="s">
        <v>30</v>
      </c>
      <c r="U1890">
        <v>3</v>
      </c>
      <c r="V1890" t="s">
        <v>40</v>
      </c>
      <c r="W1890">
        <f>excelsalesdata[[#This Row],[Quantity]]*excelsalesdata[[#This Row],[Unit_Price]]</f>
        <v>4140</v>
      </c>
      <c r="X1890">
        <f>excelsalesdata[[#This Row],[Gross_sales]]*excelsalesdata[[#This Row],[Discount_%]]</f>
        <v>207</v>
      </c>
      <c r="Y1890">
        <f>excelsalesdata[[#This Row],[Gross_sales]]-excelsalesdata[[#This Row],[Discount_amt]]</f>
        <v>3933</v>
      </c>
      <c r="Z1890" s="4">
        <f>excelsalesdata[[#This Row],[Net_sales]]-excelsalesdata[[#This Row],[Cost]]</f>
        <v>973</v>
      </c>
      <c r="AA1890" s="5">
        <f>excelsalesdata[[#This Row],[Profit]]/excelsalesdata[[#This Row],[Net_sales]]</f>
        <v>0.24739384693618102</v>
      </c>
      <c r="AB1890" s="4">
        <f>YEAR(excelsalesdata[[#This Row],[Order_Date]])</f>
        <v>2030</v>
      </c>
      <c r="AC1890" s="4" t="str">
        <f>TEXT(excelsalesdata[[#This Row],[Order_Date]],"mmm")</f>
        <v>Jun</v>
      </c>
      <c r="AD1890" s="4" t="str">
        <f>"Q"&amp;ROUNDUP(MONTH(excelsalesdata[[#This Row],[Order_Date]])/3,0)</f>
        <v>Q2</v>
      </c>
    </row>
    <row r="1891" spans="1:30" x14ac:dyDescent="0.35">
      <c r="A1891" t="s">
        <v>2735</v>
      </c>
      <c r="B1891" s="3">
        <v>47649</v>
      </c>
      <c r="C1891" t="s">
        <v>1129</v>
      </c>
      <c r="D1891" t="s">
        <v>184</v>
      </c>
      <c r="E1891" t="str">
        <f>TRIM(excelsalesdata[[#This Row],[Customer_Name]])</f>
        <v>Aditya Verma</v>
      </c>
      <c r="F1891" t="s">
        <v>44</v>
      </c>
      <c r="G1891">
        <v>26</v>
      </c>
      <c r="H1891" t="s">
        <v>24</v>
      </c>
      <c r="I1891" t="str">
        <f>TRIM(excelsalesdata[[#This Row],[City]])</f>
        <v>Pune</v>
      </c>
      <c r="J1891" t="s">
        <v>25</v>
      </c>
      <c r="K1891" t="s">
        <v>26</v>
      </c>
      <c r="L1891" t="s">
        <v>93</v>
      </c>
      <c r="M1891" t="s">
        <v>375</v>
      </c>
      <c r="N1891" t="s">
        <v>375</v>
      </c>
      <c r="O1891">
        <v>2</v>
      </c>
      <c r="P1891">
        <v>2290</v>
      </c>
      <c r="Q1891">
        <v>0.05</v>
      </c>
      <c r="R1891">
        <v>1210</v>
      </c>
      <c r="S1891" t="s">
        <v>67</v>
      </c>
      <c r="T1891" t="s">
        <v>30</v>
      </c>
      <c r="U1891">
        <v>2</v>
      </c>
      <c r="V1891" t="s">
        <v>40</v>
      </c>
      <c r="W1891">
        <f>excelsalesdata[[#This Row],[Quantity]]*excelsalesdata[[#This Row],[Unit_Price]]</f>
        <v>4580</v>
      </c>
      <c r="X1891">
        <f>excelsalesdata[[#This Row],[Gross_sales]]*excelsalesdata[[#This Row],[Discount_%]]</f>
        <v>229</v>
      </c>
      <c r="Y1891">
        <f>excelsalesdata[[#This Row],[Gross_sales]]-excelsalesdata[[#This Row],[Discount_amt]]</f>
        <v>4351</v>
      </c>
      <c r="Z1891" s="4">
        <f>excelsalesdata[[#This Row],[Net_sales]]-excelsalesdata[[#This Row],[Cost]]</f>
        <v>3141</v>
      </c>
      <c r="AA1891" s="5">
        <f>excelsalesdata[[#This Row],[Profit]]/excelsalesdata[[#This Row],[Net_sales]]</f>
        <v>0.7219030108021145</v>
      </c>
      <c r="AB1891" s="4">
        <f>YEAR(excelsalesdata[[#This Row],[Order_Date]])</f>
        <v>2030</v>
      </c>
      <c r="AC1891" s="4" t="str">
        <f>TEXT(excelsalesdata[[#This Row],[Order_Date]],"mmm")</f>
        <v>Jun</v>
      </c>
      <c r="AD1891" s="4" t="str">
        <f>"Q"&amp;ROUNDUP(MONTH(excelsalesdata[[#This Row],[Order_Date]])/3,0)</f>
        <v>Q2</v>
      </c>
    </row>
    <row r="1892" spans="1:30" x14ac:dyDescent="0.35">
      <c r="A1892" t="s">
        <v>2736</v>
      </c>
      <c r="B1892" s="3">
        <v>47650</v>
      </c>
      <c r="C1892" t="s">
        <v>478</v>
      </c>
      <c r="D1892" t="s">
        <v>988</v>
      </c>
      <c r="E1892" t="str">
        <f>TRIM(excelsalesdata[[#This Row],[Customer_Name]])</f>
        <v>Vikram Das</v>
      </c>
      <c r="F1892" t="s">
        <v>44</v>
      </c>
      <c r="G1892">
        <v>20</v>
      </c>
      <c r="H1892" t="s">
        <v>45</v>
      </c>
      <c r="I1892" t="str">
        <f>TRIM(excelsalesdata[[#This Row],[City]])</f>
        <v>Kochi</v>
      </c>
      <c r="J1892" t="s">
        <v>46</v>
      </c>
      <c r="K1892" t="s">
        <v>47</v>
      </c>
      <c r="L1892" t="s">
        <v>38</v>
      </c>
      <c r="M1892" t="s">
        <v>161</v>
      </c>
      <c r="N1892" t="s">
        <v>161</v>
      </c>
      <c r="O1892">
        <v>3</v>
      </c>
      <c r="P1892">
        <v>26370</v>
      </c>
      <c r="Q1892">
        <v>0.15</v>
      </c>
      <c r="R1892">
        <v>21360</v>
      </c>
      <c r="S1892" t="s">
        <v>105</v>
      </c>
      <c r="T1892" t="s">
        <v>30</v>
      </c>
      <c r="U1892">
        <v>2</v>
      </c>
      <c r="V1892" t="s">
        <v>40</v>
      </c>
      <c r="W1892">
        <f>excelsalesdata[[#This Row],[Quantity]]*excelsalesdata[[#This Row],[Unit_Price]]</f>
        <v>79110</v>
      </c>
      <c r="X1892">
        <f>excelsalesdata[[#This Row],[Gross_sales]]*excelsalesdata[[#This Row],[Discount_%]]</f>
        <v>11866.5</v>
      </c>
      <c r="Y1892">
        <f>excelsalesdata[[#This Row],[Gross_sales]]-excelsalesdata[[#This Row],[Discount_amt]]</f>
        <v>67243.5</v>
      </c>
      <c r="Z1892" s="4">
        <f>excelsalesdata[[#This Row],[Net_sales]]-excelsalesdata[[#This Row],[Cost]]</f>
        <v>45883.5</v>
      </c>
      <c r="AA1892" s="5">
        <f>excelsalesdata[[#This Row],[Profit]]/excelsalesdata[[#This Row],[Net_sales]]</f>
        <v>0.68234847977871471</v>
      </c>
      <c r="AB1892" s="4">
        <f>YEAR(excelsalesdata[[#This Row],[Order_Date]])</f>
        <v>2030</v>
      </c>
      <c r="AC1892" s="4" t="str">
        <f>TEXT(excelsalesdata[[#This Row],[Order_Date]],"mmm")</f>
        <v>Jun</v>
      </c>
      <c r="AD1892" s="4" t="str">
        <f>"Q"&amp;ROUNDUP(MONTH(excelsalesdata[[#This Row],[Order_Date]])/3,0)</f>
        <v>Q2</v>
      </c>
    </row>
    <row r="1893" spans="1:30" x14ac:dyDescent="0.35">
      <c r="A1893" t="s">
        <v>2737</v>
      </c>
      <c r="B1893" s="3">
        <v>47651</v>
      </c>
      <c r="C1893" t="s">
        <v>763</v>
      </c>
      <c r="D1893" t="s">
        <v>507</v>
      </c>
      <c r="E1893" t="str">
        <f>TRIM(excelsalesdata[[#This Row],[Customer_Name]])</f>
        <v>Vikram Iyer</v>
      </c>
      <c r="F1893" t="s">
        <v>44</v>
      </c>
      <c r="G1893">
        <v>52</v>
      </c>
      <c r="H1893" t="s">
        <v>24</v>
      </c>
      <c r="I1893" t="str">
        <f>TRIM(excelsalesdata[[#This Row],[City]])</f>
        <v>Pune</v>
      </c>
      <c r="J1893" t="s">
        <v>25</v>
      </c>
      <c r="K1893" t="s">
        <v>26</v>
      </c>
      <c r="L1893" t="s">
        <v>38</v>
      </c>
      <c r="M1893" t="s">
        <v>161</v>
      </c>
      <c r="N1893" t="s">
        <v>161</v>
      </c>
      <c r="O1893">
        <v>1</v>
      </c>
      <c r="P1893">
        <v>26170</v>
      </c>
      <c r="Q1893">
        <v>0</v>
      </c>
      <c r="R1893">
        <v>20940</v>
      </c>
      <c r="S1893" t="s">
        <v>29</v>
      </c>
      <c r="T1893" t="s">
        <v>30</v>
      </c>
      <c r="U1893">
        <v>7</v>
      </c>
      <c r="V1893" t="s">
        <v>40</v>
      </c>
      <c r="W1893">
        <f>excelsalesdata[[#This Row],[Quantity]]*excelsalesdata[[#This Row],[Unit_Price]]</f>
        <v>26170</v>
      </c>
      <c r="X1893">
        <f>excelsalesdata[[#This Row],[Gross_sales]]*excelsalesdata[[#This Row],[Discount_%]]</f>
        <v>0</v>
      </c>
      <c r="Y1893">
        <f>excelsalesdata[[#This Row],[Gross_sales]]-excelsalesdata[[#This Row],[Discount_amt]]</f>
        <v>26170</v>
      </c>
      <c r="Z1893" s="4">
        <f>excelsalesdata[[#This Row],[Net_sales]]-excelsalesdata[[#This Row],[Cost]]</f>
        <v>5230</v>
      </c>
      <c r="AA1893" s="5">
        <f>excelsalesdata[[#This Row],[Profit]]/excelsalesdata[[#This Row],[Net_sales]]</f>
        <v>0.19984715322888805</v>
      </c>
      <c r="AB1893" s="4">
        <f>YEAR(excelsalesdata[[#This Row],[Order_Date]])</f>
        <v>2030</v>
      </c>
      <c r="AC1893" s="4" t="str">
        <f>TEXT(excelsalesdata[[#This Row],[Order_Date]],"mmm")</f>
        <v>Jun</v>
      </c>
      <c r="AD1893" s="4" t="str">
        <f>"Q"&amp;ROUNDUP(MONTH(excelsalesdata[[#This Row],[Order_Date]])/3,0)</f>
        <v>Q2</v>
      </c>
    </row>
    <row r="1894" spans="1:30" x14ac:dyDescent="0.35">
      <c r="A1894" t="s">
        <v>2738</v>
      </c>
      <c r="B1894" s="3">
        <v>47652</v>
      </c>
      <c r="C1894" t="s">
        <v>287</v>
      </c>
      <c r="D1894" t="s">
        <v>488</v>
      </c>
      <c r="E1894" t="str">
        <f>TRIM(excelsalesdata[[#This Row],[Customer_Name]])</f>
        <v>Nisha Singh</v>
      </c>
      <c r="F1894" t="s">
        <v>23</v>
      </c>
      <c r="G1894">
        <v>53</v>
      </c>
      <c r="H1894" t="s">
        <v>24</v>
      </c>
      <c r="I1894" t="str">
        <f>TRIM(excelsalesdata[[#This Row],[City]])</f>
        <v>Pune</v>
      </c>
      <c r="J1894" t="s">
        <v>25</v>
      </c>
      <c r="K1894" t="s">
        <v>26</v>
      </c>
      <c r="L1894" t="s">
        <v>103</v>
      </c>
      <c r="M1894" t="s">
        <v>178</v>
      </c>
      <c r="N1894" t="s">
        <v>178</v>
      </c>
      <c r="O1894">
        <v>3</v>
      </c>
      <c r="P1894">
        <v>1860</v>
      </c>
      <c r="Q1894">
        <v>0.1</v>
      </c>
      <c r="R1894">
        <v>990</v>
      </c>
      <c r="S1894" t="s">
        <v>80</v>
      </c>
      <c r="T1894" t="s">
        <v>30</v>
      </c>
      <c r="U1894">
        <v>3</v>
      </c>
      <c r="V1894" t="s">
        <v>40</v>
      </c>
      <c r="W1894">
        <f>excelsalesdata[[#This Row],[Quantity]]*excelsalesdata[[#This Row],[Unit_Price]]</f>
        <v>5580</v>
      </c>
      <c r="X1894">
        <f>excelsalesdata[[#This Row],[Gross_sales]]*excelsalesdata[[#This Row],[Discount_%]]</f>
        <v>558</v>
      </c>
      <c r="Y1894">
        <f>excelsalesdata[[#This Row],[Gross_sales]]-excelsalesdata[[#This Row],[Discount_amt]]</f>
        <v>5022</v>
      </c>
      <c r="Z1894" s="4">
        <f>excelsalesdata[[#This Row],[Net_sales]]-excelsalesdata[[#This Row],[Cost]]</f>
        <v>4032</v>
      </c>
      <c r="AA1894" s="5">
        <f>excelsalesdata[[#This Row],[Profit]]/excelsalesdata[[#This Row],[Net_sales]]</f>
        <v>0.80286738351254483</v>
      </c>
      <c r="AB1894" s="4">
        <f>YEAR(excelsalesdata[[#This Row],[Order_Date]])</f>
        <v>2030</v>
      </c>
      <c r="AC1894" s="4" t="str">
        <f>TEXT(excelsalesdata[[#This Row],[Order_Date]],"mmm")</f>
        <v>Jun</v>
      </c>
      <c r="AD1894" s="4" t="str">
        <f>"Q"&amp;ROUNDUP(MONTH(excelsalesdata[[#This Row],[Order_Date]])/3,0)</f>
        <v>Q2</v>
      </c>
    </row>
    <row r="1895" spans="1:30" x14ac:dyDescent="0.35">
      <c r="A1895" t="s">
        <v>2739</v>
      </c>
      <c r="B1895" s="3">
        <v>47653</v>
      </c>
      <c r="C1895" t="s">
        <v>1261</v>
      </c>
      <c r="D1895" t="s">
        <v>469</v>
      </c>
      <c r="E1895" t="str">
        <f>TRIM(excelsalesdata[[#This Row],[Customer_Name]])</f>
        <v>Rahul Joshi</v>
      </c>
      <c r="F1895" t="s">
        <v>44</v>
      </c>
      <c r="G1895">
        <v>47</v>
      </c>
      <c r="H1895" t="s">
        <v>190</v>
      </c>
      <c r="I1895" t="str">
        <f>TRIM(excelsalesdata[[#This Row],[City]])</f>
        <v>Ahmedabad</v>
      </c>
      <c r="J1895" t="s">
        <v>191</v>
      </c>
      <c r="K1895" t="s">
        <v>26</v>
      </c>
      <c r="L1895" t="s">
        <v>54</v>
      </c>
      <c r="M1895" t="s">
        <v>66</v>
      </c>
      <c r="N1895" t="s">
        <v>66</v>
      </c>
      <c r="O1895">
        <v>1</v>
      </c>
      <c r="P1895">
        <v>2570</v>
      </c>
      <c r="Q1895">
        <v>0.25</v>
      </c>
      <c r="R1895">
        <v>1440</v>
      </c>
      <c r="S1895" t="s">
        <v>80</v>
      </c>
      <c r="T1895" t="s">
        <v>30</v>
      </c>
      <c r="U1895">
        <v>3</v>
      </c>
      <c r="V1895" t="s">
        <v>40</v>
      </c>
      <c r="W1895">
        <f>excelsalesdata[[#This Row],[Quantity]]*excelsalesdata[[#This Row],[Unit_Price]]</f>
        <v>2570</v>
      </c>
      <c r="X1895">
        <f>excelsalesdata[[#This Row],[Gross_sales]]*excelsalesdata[[#This Row],[Discount_%]]</f>
        <v>642.5</v>
      </c>
      <c r="Y1895">
        <f>excelsalesdata[[#This Row],[Gross_sales]]-excelsalesdata[[#This Row],[Discount_amt]]</f>
        <v>1927.5</v>
      </c>
      <c r="Z1895" s="4">
        <f>excelsalesdata[[#This Row],[Net_sales]]-excelsalesdata[[#This Row],[Cost]]</f>
        <v>487.5</v>
      </c>
      <c r="AA1895" s="5">
        <f>excelsalesdata[[#This Row],[Profit]]/excelsalesdata[[#This Row],[Net_sales]]</f>
        <v>0.25291828793774318</v>
      </c>
      <c r="AB1895" s="4">
        <f>YEAR(excelsalesdata[[#This Row],[Order_Date]])</f>
        <v>2030</v>
      </c>
      <c r="AC1895" s="4" t="str">
        <f>TEXT(excelsalesdata[[#This Row],[Order_Date]],"mmm")</f>
        <v>Jun</v>
      </c>
      <c r="AD1895" s="4" t="str">
        <f>"Q"&amp;ROUNDUP(MONTH(excelsalesdata[[#This Row],[Order_Date]])/3,0)</f>
        <v>Q2</v>
      </c>
    </row>
    <row r="1896" spans="1:30" x14ac:dyDescent="0.35">
      <c r="A1896" t="s">
        <v>2740</v>
      </c>
      <c r="B1896" s="3">
        <v>47654</v>
      </c>
      <c r="C1896" t="s">
        <v>272</v>
      </c>
      <c r="D1896" t="s">
        <v>479</v>
      </c>
      <c r="E1896" t="str">
        <f>TRIM(excelsalesdata[[#This Row],[Customer_Name]])</f>
        <v>Karan Kumar</v>
      </c>
      <c r="F1896" t="s">
        <v>23</v>
      </c>
      <c r="G1896">
        <v>26</v>
      </c>
      <c r="H1896" t="s">
        <v>190</v>
      </c>
      <c r="I1896" t="str">
        <f>TRIM(excelsalesdata[[#This Row],[City]])</f>
        <v>Ahmedabad</v>
      </c>
      <c r="J1896" t="s">
        <v>191</v>
      </c>
      <c r="K1896" t="s">
        <v>26</v>
      </c>
      <c r="L1896" t="s">
        <v>38</v>
      </c>
      <c r="M1896" t="s">
        <v>39</v>
      </c>
      <c r="N1896" t="s">
        <v>39</v>
      </c>
      <c r="O1896">
        <v>3</v>
      </c>
      <c r="P1896">
        <v>6740</v>
      </c>
      <c r="Q1896">
        <v>0.3</v>
      </c>
      <c r="R1896">
        <v>4110</v>
      </c>
      <c r="S1896" t="s">
        <v>105</v>
      </c>
      <c r="T1896" t="s">
        <v>74</v>
      </c>
      <c r="U1896">
        <v>4</v>
      </c>
      <c r="V1896" t="s">
        <v>31</v>
      </c>
      <c r="W1896">
        <f>excelsalesdata[[#This Row],[Quantity]]*excelsalesdata[[#This Row],[Unit_Price]]</f>
        <v>20220</v>
      </c>
      <c r="X1896">
        <f>excelsalesdata[[#This Row],[Gross_sales]]*excelsalesdata[[#This Row],[Discount_%]]</f>
        <v>6066</v>
      </c>
      <c r="Y1896">
        <f>excelsalesdata[[#This Row],[Gross_sales]]-excelsalesdata[[#This Row],[Discount_amt]]</f>
        <v>14154</v>
      </c>
      <c r="Z1896" s="4">
        <f>excelsalesdata[[#This Row],[Net_sales]]-excelsalesdata[[#This Row],[Cost]]</f>
        <v>10044</v>
      </c>
      <c r="AA1896" s="5">
        <f>excelsalesdata[[#This Row],[Profit]]/excelsalesdata[[#This Row],[Net_sales]]</f>
        <v>0.70962272149215766</v>
      </c>
      <c r="AB1896" s="4">
        <f>YEAR(excelsalesdata[[#This Row],[Order_Date]])</f>
        <v>2030</v>
      </c>
      <c r="AC1896" s="4" t="str">
        <f>TEXT(excelsalesdata[[#This Row],[Order_Date]],"mmm")</f>
        <v>Jun</v>
      </c>
      <c r="AD1896" s="4" t="str">
        <f>"Q"&amp;ROUNDUP(MONTH(excelsalesdata[[#This Row],[Order_Date]])/3,0)</f>
        <v>Q2</v>
      </c>
    </row>
    <row r="1897" spans="1:30" x14ac:dyDescent="0.35">
      <c r="A1897" t="s">
        <v>2741</v>
      </c>
      <c r="B1897" s="3">
        <v>47655</v>
      </c>
      <c r="C1897" t="s">
        <v>951</v>
      </c>
      <c r="D1897" t="s">
        <v>1604</v>
      </c>
      <c r="E1897" t="str">
        <f>TRIM(excelsalesdata[[#This Row],[Customer_Name]])</f>
        <v>Vivaan Gupta</v>
      </c>
      <c r="F1897" t="s">
        <v>23</v>
      </c>
      <c r="G1897">
        <v>49</v>
      </c>
      <c r="H1897" t="s">
        <v>52</v>
      </c>
      <c r="I1897" t="str">
        <f>TRIM(excelsalesdata[[#This Row],[City]])</f>
        <v>Bengaluru</v>
      </c>
      <c r="J1897" t="s">
        <v>53</v>
      </c>
      <c r="K1897" t="s">
        <v>47</v>
      </c>
      <c r="L1897" t="s">
        <v>85</v>
      </c>
      <c r="M1897" t="s">
        <v>172</v>
      </c>
      <c r="N1897" t="s">
        <v>172</v>
      </c>
      <c r="O1897">
        <v>4</v>
      </c>
      <c r="P1897">
        <v>4620</v>
      </c>
      <c r="Q1897">
        <v>0.1</v>
      </c>
      <c r="R1897">
        <v>2860</v>
      </c>
      <c r="S1897" t="s">
        <v>29</v>
      </c>
      <c r="T1897" t="s">
        <v>30</v>
      </c>
      <c r="U1897">
        <v>6</v>
      </c>
      <c r="V1897" t="s">
        <v>31</v>
      </c>
      <c r="W1897">
        <f>excelsalesdata[[#This Row],[Quantity]]*excelsalesdata[[#This Row],[Unit_Price]]</f>
        <v>18480</v>
      </c>
      <c r="X1897">
        <f>excelsalesdata[[#This Row],[Gross_sales]]*excelsalesdata[[#This Row],[Discount_%]]</f>
        <v>1848</v>
      </c>
      <c r="Y1897">
        <f>excelsalesdata[[#This Row],[Gross_sales]]-excelsalesdata[[#This Row],[Discount_amt]]</f>
        <v>16632</v>
      </c>
      <c r="Z1897" s="4">
        <f>excelsalesdata[[#This Row],[Net_sales]]-excelsalesdata[[#This Row],[Cost]]</f>
        <v>13772</v>
      </c>
      <c r="AA1897" s="5">
        <f>excelsalesdata[[#This Row],[Profit]]/excelsalesdata[[#This Row],[Net_sales]]</f>
        <v>0.82804232804232802</v>
      </c>
      <c r="AB1897" s="4">
        <f>YEAR(excelsalesdata[[#This Row],[Order_Date]])</f>
        <v>2030</v>
      </c>
      <c r="AC1897" s="4" t="str">
        <f>TEXT(excelsalesdata[[#This Row],[Order_Date]],"mmm")</f>
        <v>Jun</v>
      </c>
      <c r="AD1897" s="4" t="str">
        <f>"Q"&amp;ROUNDUP(MONTH(excelsalesdata[[#This Row],[Order_Date]])/3,0)</f>
        <v>Q2</v>
      </c>
    </row>
    <row r="1898" spans="1:30" x14ac:dyDescent="0.35">
      <c r="A1898" t="s">
        <v>2742</v>
      </c>
      <c r="B1898" s="3">
        <v>47656</v>
      </c>
      <c r="C1898" t="s">
        <v>2545</v>
      </c>
      <c r="D1898" t="s">
        <v>891</v>
      </c>
      <c r="E1898" t="str">
        <f>TRIM(excelsalesdata[[#This Row],[Customer_Name]])</f>
        <v>Rahul Verma</v>
      </c>
      <c r="F1898" t="s">
        <v>44</v>
      </c>
      <c r="G1898">
        <v>52</v>
      </c>
      <c r="H1898" t="s">
        <v>155</v>
      </c>
      <c r="I1898" t="str">
        <f>TRIM(excelsalesdata[[#This Row],[City]])</f>
        <v>Chennai</v>
      </c>
      <c r="J1898" t="s">
        <v>156</v>
      </c>
      <c r="K1898" t="s">
        <v>47</v>
      </c>
      <c r="L1898" t="s">
        <v>27</v>
      </c>
      <c r="M1898" t="s">
        <v>295</v>
      </c>
      <c r="N1898" t="s">
        <v>295</v>
      </c>
      <c r="O1898">
        <v>3</v>
      </c>
      <c r="P1898">
        <v>4000</v>
      </c>
      <c r="Q1898">
        <v>0.05</v>
      </c>
      <c r="R1898">
        <v>2580</v>
      </c>
      <c r="S1898" t="s">
        <v>56</v>
      </c>
      <c r="T1898" t="s">
        <v>30</v>
      </c>
      <c r="U1898">
        <v>3</v>
      </c>
      <c r="V1898" t="s">
        <v>40</v>
      </c>
      <c r="W1898">
        <f>excelsalesdata[[#This Row],[Quantity]]*excelsalesdata[[#This Row],[Unit_Price]]</f>
        <v>12000</v>
      </c>
      <c r="X1898">
        <f>excelsalesdata[[#This Row],[Gross_sales]]*excelsalesdata[[#This Row],[Discount_%]]</f>
        <v>600</v>
      </c>
      <c r="Y1898">
        <f>excelsalesdata[[#This Row],[Gross_sales]]-excelsalesdata[[#This Row],[Discount_amt]]</f>
        <v>11400</v>
      </c>
      <c r="Z1898" s="4">
        <f>excelsalesdata[[#This Row],[Net_sales]]-excelsalesdata[[#This Row],[Cost]]</f>
        <v>8820</v>
      </c>
      <c r="AA1898" s="5">
        <f>excelsalesdata[[#This Row],[Profit]]/excelsalesdata[[#This Row],[Net_sales]]</f>
        <v>0.77368421052631575</v>
      </c>
      <c r="AB1898" s="4">
        <f>YEAR(excelsalesdata[[#This Row],[Order_Date]])</f>
        <v>2030</v>
      </c>
      <c r="AC1898" s="4" t="str">
        <f>TEXT(excelsalesdata[[#This Row],[Order_Date]],"mmm")</f>
        <v>Jun</v>
      </c>
      <c r="AD1898" s="4" t="str">
        <f>"Q"&amp;ROUNDUP(MONTH(excelsalesdata[[#This Row],[Order_Date]])/3,0)</f>
        <v>Q2</v>
      </c>
    </row>
    <row r="1899" spans="1:30" x14ac:dyDescent="0.35">
      <c r="A1899" t="s">
        <v>2743</v>
      </c>
      <c r="B1899" s="3">
        <v>47657</v>
      </c>
      <c r="C1899" t="s">
        <v>1759</v>
      </c>
      <c r="D1899" t="s">
        <v>205</v>
      </c>
      <c r="E1899" t="str">
        <f>TRIM(excelsalesdata[[#This Row],[Customer_Name]])</f>
        <v>Vivaan Bhat</v>
      </c>
      <c r="F1899" t="s">
        <v>23</v>
      </c>
      <c r="G1899">
        <v>27</v>
      </c>
      <c r="H1899" t="s">
        <v>155</v>
      </c>
      <c r="I1899" t="str">
        <f>TRIM(excelsalesdata[[#This Row],[City]])</f>
        <v>Chennai</v>
      </c>
      <c r="J1899" t="s">
        <v>156</v>
      </c>
      <c r="K1899" t="s">
        <v>47</v>
      </c>
      <c r="L1899" t="s">
        <v>27</v>
      </c>
      <c r="M1899" t="s">
        <v>195</v>
      </c>
      <c r="N1899" t="s">
        <v>195</v>
      </c>
      <c r="O1899">
        <v>1</v>
      </c>
      <c r="P1899">
        <v>2300</v>
      </c>
      <c r="Q1899">
        <v>0.1</v>
      </c>
      <c r="R1899">
        <v>1180</v>
      </c>
      <c r="S1899" t="s">
        <v>80</v>
      </c>
      <c r="T1899" t="s">
        <v>30</v>
      </c>
      <c r="U1899">
        <v>3</v>
      </c>
      <c r="V1899" t="s">
        <v>40</v>
      </c>
      <c r="W1899">
        <f>excelsalesdata[[#This Row],[Quantity]]*excelsalesdata[[#This Row],[Unit_Price]]</f>
        <v>2300</v>
      </c>
      <c r="X1899">
        <f>excelsalesdata[[#This Row],[Gross_sales]]*excelsalesdata[[#This Row],[Discount_%]]</f>
        <v>230</v>
      </c>
      <c r="Y1899">
        <f>excelsalesdata[[#This Row],[Gross_sales]]-excelsalesdata[[#This Row],[Discount_amt]]</f>
        <v>2070</v>
      </c>
      <c r="Z1899" s="4">
        <f>excelsalesdata[[#This Row],[Net_sales]]-excelsalesdata[[#This Row],[Cost]]</f>
        <v>890</v>
      </c>
      <c r="AA1899" s="5">
        <f>excelsalesdata[[#This Row],[Profit]]/excelsalesdata[[#This Row],[Net_sales]]</f>
        <v>0.42995169082125606</v>
      </c>
      <c r="AB1899" s="4">
        <f>YEAR(excelsalesdata[[#This Row],[Order_Date]])</f>
        <v>2030</v>
      </c>
      <c r="AC1899" s="4" t="str">
        <f>TEXT(excelsalesdata[[#This Row],[Order_Date]],"mmm")</f>
        <v>Jun</v>
      </c>
      <c r="AD1899" s="4" t="str">
        <f>"Q"&amp;ROUNDUP(MONTH(excelsalesdata[[#This Row],[Order_Date]])/3,0)</f>
        <v>Q2</v>
      </c>
    </row>
    <row r="1900" spans="1:30" x14ac:dyDescent="0.35">
      <c r="A1900" t="s">
        <v>2744</v>
      </c>
      <c r="B1900" s="3">
        <v>47658</v>
      </c>
      <c r="C1900" t="s">
        <v>2745</v>
      </c>
      <c r="D1900" t="s">
        <v>605</v>
      </c>
      <c r="E1900" t="str">
        <f>TRIM(excelsalesdata[[#This Row],[Customer_Name]])</f>
        <v>Rahul Gupta</v>
      </c>
      <c r="F1900" t="s">
        <v>44</v>
      </c>
      <c r="G1900">
        <v>28</v>
      </c>
      <c r="H1900" t="s">
        <v>133</v>
      </c>
      <c r="I1900" t="str">
        <f>TRIM(excelsalesdata[[#This Row],[City]])</f>
        <v>Jaipur</v>
      </c>
      <c r="J1900" t="s">
        <v>134</v>
      </c>
      <c r="K1900" t="s">
        <v>61</v>
      </c>
      <c r="L1900" t="s">
        <v>27</v>
      </c>
      <c r="M1900" t="s">
        <v>295</v>
      </c>
      <c r="N1900" t="s">
        <v>295</v>
      </c>
      <c r="O1900">
        <v>3</v>
      </c>
      <c r="P1900">
        <v>4030</v>
      </c>
      <c r="Q1900">
        <v>0.25</v>
      </c>
      <c r="R1900">
        <v>2700</v>
      </c>
      <c r="S1900" t="s">
        <v>29</v>
      </c>
      <c r="T1900" t="s">
        <v>99</v>
      </c>
      <c r="U1900">
        <v>4</v>
      </c>
      <c r="V1900" t="s">
        <v>40</v>
      </c>
      <c r="W1900">
        <f>excelsalesdata[[#This Row],[Quantity]]*excelsalesdata[[#This Row],[Unit_Price]]</f>
        <v>12090</v>
      </c>
      <c r="X1900">
        <f>excelsalesdata[[#This Row],[Gross_sales]]*excelsalesdata[[#This Row],[Discount_%]]</f>
        <v>3022.5</v>
      </c>
      <c r="Y1900">
        <f>excelsalesdata[[#This Row],[Gross_sales]]-excelsalesdata[[#This Row],[Discount_amt]]</f>
        <v>9067.5</v>
      </c>
      <c r="Z1900" s="4">
        <f>excelsalesdata[[#This Row],[Net_sales]]-excelsalesdata[[#This Row],[Cost]]</f>
        <v>6367.5</v>
      </c>
      <c r="AA1900" s="5">
        <f>excelsalesdata[[#This Row],[Profit]]/excelsalesdata[[#This Row],[Net_sales]]</f>
        <v>0.70223325062034736</v>
      </c>
      <c r="AB1900" s="4">
        <f>YEAR(excelsalesdata[[#This Row],[Order_Date]])</f>
        <v>2030</v>
      </c>
      <c r="AC1900" s="4" t="str">
        <f>TEXT(excelsalesdata[[#This Row],[Order_Date]],"mmm")</f>
        <v>Jun</v>
      </c>
      <c r="AD1900" s="4" t="str">
        <f>"Q"&amp;ROUNDUP(MONTH(excelsalesdata[[#This Row],[Order_Date]])/3,0)</f>
        <v>Q2</v>
      </c>
    </row>
    <row r="1901" spans="1:30" x14ac:dyDescent="0.35">
      <c r="A1901" t="s">
        <v>2746</v>
      </c>
      <c r="B1901" s="3">
        <v>47659</v>
      </c>
      <c r="C1901" t="s">
        <v>428</v>
      </c>
      <c r="D1901" t="s">
        <v>154</v>
      </c>
      <c r="E1901" t="str">
        <f>TRIM(excelsalesdata[[#This Row],[Customer_Name]])</f>
        <v>Rohan Rao</v>
      </c>
      <c r="F1901" t="s">
        <v>23</v>
      </c>
      <c r="G1901">
        <v>34</v>
      </c>
      <c r="H1901" t="s">
        <v>168</v>
      </c>
      <c r="I1901" t="str">
        <f>TRIM(excelsalesdata[[#This Row],[City]])</f>
        <v>Delhi</v>
      </c>
      <c r="J1901" t="s">
        <v>168</v>
      </c>
      <c r="K1901" t="s">
        <v>61</v>
      </c>
      <c r="L1901" t="s">
        <v>54</v>
      </c>
      <c r="M1901" t="s">
        <v>66</v>
      </c>
      <c r="N1901" t="s">
        <v>66</v>
      </c>
      <c r="O1901">
        <v>5</v>
      </c>
      <c r="P1901">
        <v>2640</v>
      </c>
      <c r="Q1901">
        <v>0.15</v>
      </c>
      <c r="R1901">
        <v>1430</v>
      </c>
      <c r="S1901" t="s">
        <v>105</v>
      </c>
      <c r="T1901" t="s">
        <v>30</v>
      </c>
      <c r="U1901">
        <v>6</v>
      </c>
      <c r="V1901" t="s">
        <v>40</v>
      </c>
      <c r="W1901">
        <f>excelsalesdata[[#This Row],[Quantity]]*excelsalesdata[[#This Row],[Unit_Price]]</f>
        <v>13200</v>
      </c>
      <c r="X1901">
        <f>excelsalesdata[[#This Row],[Gross_sales]]*excelsalesdata[[#This Row],[Discount_%]]</f>
        <v>1980</v>
      </c>
      <c r="Y1901">
        <f>excelsalesdata[[#This Row],[Gross_sales]]-excelsalesdata[[#This Row],[Discount_amt]]</f>
        <v>11220</v>
      </c>
      <c r="Z1901" s="4">
        <f>excelsalesdata[[#This Row],[Net_sales]]-excelsalesdata[[#This Row],[Cost]]</f>
        <v>9790</v>
      </c>
      <c r="AA1901" s="5">
        <f>excelsalesdata[[#This Row],[Profit]]/excelsalesdata[[#This Row],[Net_sales]]</f>
        <v>0.87254901960784315</v>
      </c>
      <c r="AB1901" s="4">
        <f>YEAR(excelsalesdata[[#This Row],[Order_Date]])</f>
        <v>2030</v>
      </c>
      <c r="AC1901" s="4" t="str">
        <f>TEXT(excelsalesdata[[#This Row],[Order_Date]],"mmm")</f>
        <v>Jun</v>
      </c>
      <c r="AD1901" s="4" t="str">
        <f>"Q"&amp;ROUNDUP(MONTH(excelsalesdata[[#This Row],[Order_Date]])/3,0)</f>
        <v>Q2</v>
      </c>
    </row>
    <row r="1902" spans="1:30" x14ac:dyDescent="0.35">
      <c r="A1902" t="s">
        <v>2747</v>
      </c>
      <c r="B1902" s="3">
        <v>47660</v>
      </c>
      <c r="C1902" t="s">
        <v>2045</v>
      </c>
      <c r="D1902" t="s">
        <v>164</v>
      </c>
      <c r="E1902" t="str">
        <f>TRIM(excelsalesdata[[#This Row],[Customer_Name]])</f>
        <v>Priya Naidu</v>
      </c>
      <c r="F1902" t="s">
        <v>44</v>
      </c>
      <c r="G1902">
        <v>21</v>
      </c>
      <c r="H1902" t="s">
        <v>45</v>
      </c>
      <c r="I1902" t="str">
        <f>TRIM(excelsalesdata[[#This Row],[City]])</f>
        <v>Kochi</v>
      </c>
      <c r="J1902" t="s">
        <v>46</v>
      </c>
      <c r="K1902" t="s">
        <v>47</v>
      </c>
      <c r="L1902" t="s">
        <v>54</v>
      </c>
      <c r="M1902" t="s">
        <v>157</v>
      </c>
      <c r="N1902" t="s">
        <v>157</v>
      </c>
      <c r="O1902">
        <v>1</v>
      </c>
      <c r="P1902">
        <v>53860</v>
      </c>
      <c r="Q1902">
        <v>0.25</v>
      </c>
      <c r="R1902">
        <v>40880</v>
      </c>
      <c r="S1902" t="s">
        <v>151</v>
      </c>
      <c r="T1902" t="s">
        <v>30</v>
      </c>
      <c r="U1902">
        <v>1</v>
      </c>
      <c r="V1902" t="s">
        <v>31</v>
      </c>
      <c r="W1902">
        <f>excelsalesdata[[#This Row],[Quantity]]*excelsalesdata[[#This Row],[Unit_Price]]</f>
        <v>53860</v>
      </c>
      <c r="X1902">
        <f>excelsalesdata[[#This Row],[Gross_sales]]*excelsalesdata[[#This Row],[Discount_%]]</f>
        <v>13465</v>
      </c>
      <c r="Y1902">
        <f>excelsalesdata[[#This Row],[Gross_sales]]-excelsalesdata[[#This Row],[Discount_amt]]</f>
        <v>40395</v>
      </c>
      <c r="Z1902" s="4">
        <f>excelsalesdata[[#This Row],[Net_sales]]-excelsalesdata[[#This Row],[Cost]]</f>
        <v>-485</v>
      </c>
      <c r="AA1902" s="5">
        <f>excelsalesdata[[#This Row],[Profit]]/excelsalesdata[[#This Row],[Net_sales]]</f>
        <v>-1.2006436440153484E-2</v>
      </c>
      <c r="AB1902" s="4">
        <f>YEAR(excelsalesdata[[#This Row],[Order_Date]])</f>
        <v>2030</v>
      </c>
      <c r="AC1902" s="4" t="str">
        <f>TEXT(excelsalesdata[[#This Row],[Order_Date]],"mmm")</f>
        <v>Jun</v>
      </c>
      <c r="AD1902" s="4" t="str">
        <f>"Q"&amp;ROUNDUP(MONTH(excelsalesdata[[#This Row],[Order_Date]])/3,0)</f>
        <v>Q2</v>
      </c>
    </row>
    <row r="1903" spans="1:30" x14ac:dyDescent="0.35">
      <c r="A1903" t="s">
        <v>2748</v>
      </c>
      <c r="B1903" s="3">
        <v>47661</v>
      </c>
      <c r="C1903" t="s">
        <v>1776</v>
      </c>
      <c r="D1903" t="s">
        <v>488</v>
      </c>
      <c r="E1903" t="str">
        <f>TRIM(excelsalesdata[[#This Row],[Customer_Name]])</f>
        <v>Nisha Singh</v>
      </c>
      <c r="F1903" t="s">
        <v>23</v>
      </c>
      <c r="G1903">
        <v>60</v>
      </c>
      <c r="H1903" t="s">
        <v>185</v>
      </c>
      <c r="I1903" t="str">
        <f>TRIM(excelsalesdata[[#This Row],[City]])</f>
        <v>Lucknow</v>
      </c>
      <c r="J1903" t="s">
        <v>186</v>
      </c>
      <c r="K1903" t="s">
        <v>61</v>
      </c>
      <c r="L1903" t="s">
        <v>54</v>
      </c>
      <c r="M1903" t="s">
        <v>62</v>
      </c>
      <c r="N1903" t="s">
        <v>62</v>
      </c>
      <c r="O1903">
        <v>1</v>
      </c>
      <c r="P1903">
        <v>23180</v>
      </c>
      <c r="Q1903">
        <v>0.2</v>
      </c>
      <c r="R1903">
        <v>14980</v>
      </c>
      <c r="S1903" t="s">
        <v>151</v>
      </c>
      <c r="T1903" t="s">
        <v>30</v>
      </c>
      <c r="U1903">
        <v>2</v>
      </c>
      <c r="V1903" t="s">
        <v>40</v>
      </c>
      <c r="W1903">
        <f>excelsalesdata[[#This Row],[Quantity]]*excelsalesdata[[#This Row],[Unit_Price]]</f>
        <v>23180</v>
      </c>
      <c r="X1903">
        <f>excelsalesdata[[#This Row],[Gross_sales]]*excelsalesdata[[#This Row],[Discount_%]]</f>
        <v>4636</v>
      </c>
      <c r="Y1903">
        <f>excelsalesdata[[#This Row],[Gross_sales]]-excelsalesdata[[#This Row],[Discount_amt]]</f>
        <v>18544</v>
      </c>
      <c r="Z1903" s="4">
        <f>excelsalesdata[[#This Row],[Net_sales]]-excelsalesdata[[#This Row],[Cost]]</f>
        <v>3564</v>
      </c>
      <c r="AA1903" s="5">
        <f>excelsalesdata[[#This Row],[Profit]]/excelsalesdata[[#This Row],[Net_sales]]</f>
        <v>0.19219154443485764</v>
      </c>
      <c r="AB1903" s="4">
        <f>YEAR(excelsalesdata[[#This Row],[Order_Date]])</f>
        <v>2030</v>
      </c>
      <c r="AC1903" s="4" t="str">
        <f>TEXT(excelsalesdata[[#This Row],[Order_Date]],"mmm")</f>
        <v>Jun</v>
      </c>
      <c r="AD1903" s="4" t="str">
        <f>"Q"&amp;ROUNDUP(MONTH(excelsalesdata[[#This Row],[Order_Date]])/3,0)</f>
        <v>Q2</v>
      </c>
    </row>
    <row r="1904" spans="1:30" x14ac:dyDescent="0.35">
      <c r="A1904" t="s">
        <v>2749</v>
      </c>
      <c r="B1904" s="3">
        <v>47662</v>
      </c>
      <c r="C1904" t="s">
        <v>890</v>
      </c>
      <c r="D1904" t="s">
        <v>534</v>
      </c>
      <c r="E1904" t="str">
        <f>TRIM(excelsalesdata[[#This Row],[Customer_Name]])</f>
        <v>Ananya Kumar</v>
      </c>
      <c r="F1904" t="s">
        <v>23</v>
      </c>
      <c r="G1904">
        <v>27</v>
      </c>
      <c r="H1904" t="s">
        <v>168</v>
      </c>
      <c r="I1904" t="str">
        <f>TRIM(excelsalesdata[[#This Row],[City]])</f>
        <v>Delhi</v>
      </c>
      <c r="J1904" t="s">
        <v>168</v>
      </c>
      <c r="K1904" t="s">
        <v>61</v>
      </c>
      <c r="L1904" t="s">
        <v>27</v>
      </c>
      <c r="M1904" t="s">
        <v>195</v>
      </c>
      <c r="N1904" t="s">
        <v>195</v>
      </c>
      <c r="O1904">
        <v>3</v>
      </c>
      <c r="P1904">
        <v>2300</v>
      </c>
      <c r="Q1904">
        <v>0</v>
      </c>
      <c r="R1904">
        <v>1200</v>
      </c>
      <c r="S1904" t="s">
        <v>67</v>
      </c>
      <c r="T1904" t="s">
        <v>30</v>
      </c>
      <c r="U1904">
        <v>3</v>
      </c>
      <c r="V1904" t="s">
        <v>40</v>
      </c>
      <c r="W1904">
        <f>excelsalesdata[[#This Row],[Quantity]]*excelsalesdata[[#This Row],[Unit_Price]]</f>
        <v>6900</v>
      </c>
      <c r="X1904">
        <f>excelsalesdata[[#This Row],[Gross_sales]]*excelsalesdata[[#This Row],[Discount_%]]</f>
        <v>0</v>
      </c>
      <c r="Y1904">
        <f>excelsalesdata[[#This Row],[Gross_sales]]-excelsalesdata[[#This Row],[Discount_amt]]</f>
        <v>6900</v>
      </c>
      <c r="Z1904" s="4">
        <f>excelsalesdata[[#This Row],[Net_sales]]-excelsalesdata[[#This Row],[Cost]]</f>
        <v>5700</v>
      </c>
      <c r="AA1904" s="5">
        <f>excelsalesdata[[#This Row],[Profit]]/excelsalesdata[[#This Row],[Net_sales]]</f>
        <v>0.82608695652173914</v>
      </c>
      <c r="AB1904" s="4">
        <f>YEAR(excelsalesdata[[#This Row],[Order_Date]])</f>
        <v>2030</v>
      </c>
      <c r="AC1904" s="4" t="str">
        <f>TEXT(excelsalesdata[[#This Row],[Order_Date]],"mmm")</f>
        <v>Jun</v>
      </c>
      <c r="AD1904" s="4" t="str">
        <f>"Q"&amp;ROUNDUP(MONTH(excelsalesdata[[#This Row],[Order_Date]])/3,0)</f>
        <v>Q2</v>
      </c>
    </row>
    <row r="1905" spans="1:30" x14ac:dyDescent="0.35">
      <c r="A1905" t="s">
        <v>2750</v>
      </c>
      <c r="B1905" s="3">
        <v>47663</v>
      </c>
      <c r="C1905" t="s">
        <v>818</v>
      </c>
      <c r="D1905" t="s">
        <v>299</v>
      </c>
      <c r="E1905" t="str">
        <f>TRIM(excelsalesdata[[#This Row],[Customer_Name]])</f>
        <v>Aarav Joshi</v>
      </c>
      <c r="F1905" t="s">
        <v>23</v>
      </c>
      <c r="G1905">
        <v>21</v>
      </c>
      <c r="H1905" t="s">
        <v>35</v>
      </c>
      <c r="I1905" t="str">
        <f>TRIM(excelsalesdata[[#This Row],[City]])</f>
        <v>Kolkata</v>
      </c>
      <c r="J1905" t="s">
        <v>36</v>
      </c>
      <c r="K1905" t="s">
        <v>37</v>
      </c>
      <c r="L1905" t="s">
        <v>54</v>
      </c>
      <c r="M1905" t="s">
        <v>62</v>
      </c>
      <c r="N1905" t="s">
        <v>62</v>
      </c>
      <c r="O1905">
        <v>1</v>
      </c>
      <c r="P1905">
        <v>20570</v>
      </c>
      <c r="Q1905">
        <v>0.15</v>
      </c>
      <c r="R1905">
        <v>15060</v>
      </c>
      <c r="S1905" t="s">
        <v>67</v>
      </c>
      <c r="T1905" t="s">
        <v>30</v>
      </c>
      <c r="U1905">
        <v>3</v>
      </c>
      <c r="V1905" t="s">
        <v>40</v>
      </c>
      <c r="W1905">
        <f>excelsalesdata[[#This Row],[Quantity]]*excelsalesdata[[#This Row],[Unit_Price]]</f>
        <v>20570</v>
      </c>
      <c r="X1905">
        <f>excelsalesdata[[#This Row],[Gross_sales]]*excelsalesdata[[#This Row],[Discount_%]]</f>
        <v>3085.5</v>
      </c>
      <c r="Y1905">
        <f>excelsalesdata[[#This Row],[Gross_sales]]-excelsalesdata[[#This Row],[Discount_amt]]</f>
        <v>17484.5</v>
      </c>
      <c r="Z1905" s="4">
        <f>excelsalesdata[[#This Row],[Net_sales]]-excelsalesdata[[#This Row],[Cost]]</f>
        <v>2424.5</v>
      </c>
      <c r="AA1905" s="5">
        <f>excelsalesdata[[#This Row],[Profit]]/excelsalesdata[[#This Row],[Net_sales]]</f>
        <v>0.13866567531241958</v>
      </c>
      <c r="AB1905" s="4">
        <f>YEAR(excelsalesdata[[#This Row],[Order_Date]])</f>
        <v>2030</v>
      </c>
      <c r="AC1905" s="4" t="str">
        <f>TEXT(excelsalesdata[[#This Row],[Order_Date]],"mmm")</f>
        <v>Jun</v>
      </c>
      <c r="AD1905" s="4" t="str">
        <f>"Q"&amp;ROUNDUP(MONTH(excelsalesdata[[#This Row],[Order_Date]])/3,0)</f>
        <v>Q2</v>
      </c>
    </row>
    <row r="1906" spans="1:30" x14ac:dyDescent="0.35">
      <c r="A1906" t="s">
        <v>2751</v>
      </c>
      <c r="B1906" s="3">
        <v>47664</v>
      </c>
      <c r="C1906" t="s">
        <v>1623</v>
      </c>
      <c r="D1906" t="s">
        <v>1401</v>
      </c>
      <c r="E1906" t="str">
        <f>TRIM(excelsalesdata[[#This Row],[Customer_Name]])</f>
        <v>Meera Kumar</v>
      </c>
      <c r="F1906" t="s">
        <v>44</v>
      </c>
      <c r="G1906">
        <v>57</v>
      </c>
      <c r="H1906" t="s">
        <v>45</v>
      </c>
      <c r="I1906" t="str">
        <f>TRIM(excelsalesdata[[#This Row],[City]])</f>
        <v>Kochi</v>
      </c>
      <c r="J1906" t="s">
        <v>46</v>
      </c>
      <c r="K1906" t="s">
        <v>47</v>
      </c>
      <c r="L1906" t="s">
        <v>103</v>
      </c>
      <c r="M1906" t="s">
        <v>104</v>
      </c>
      <c r="N1906" t="s">
        <v>104</v>
      </c>
      <c r="O1906">
        <v>1</v>
      </c>
      <c r="P1906">
        <v>8540</v>
      </c>
      <c r="Q1906">
        <v>0.15</v>
      </c>
      <c r="R1906">
        <v>5470</v>
      </c>
      <c r="S1906" t="s">
        <v>151</v>
      </c>
      <c r="T1906" t="s">
        <v>30</v>
      </c>
      <c r="U1906">
        <v>4</v>
      </c>
      <c r="V1906" t="s">
        <v>31</v>
      </c>
      <c r="W1906">
        <f>excelsalesdata[[#This Row],[Quantity]]*excelsalesdata[[#This Row],[Unit_Price]]</f>
        <v>8540</v>
      </c>
      <c r="X1906">
        <f>excelsalesdata[[#This Row],[Gross_sales]]*excelsalesdata[[#This Row],[Discount_%]]</f>
        <v>1281</v>
      </c>
      <c r="Y1906">
        <f>excelsalesdata[[#This Row],[Gross_sales]]-excelsalesdata[[#This Row],[Discount_amt]]</f>
        <v>7259</v>
      </c>
      <c r="Z1906" s="4">
        <f>excelsalesdata[[#This Row],[Net_sales]]-excelsalesdata[[#This Row],[Cost]]</f>
        <v>1789</v>
      </c>
      <c r="AA1906" s="5">
        <f>excelsalesdata[[#This Row],[Profit]]/excelsalesdata[[#This Row],[Net_sales]]</f>
        <v>0.24645267943242871</v>
      </c>
      <c r="AB1906" s="4">
        <f>YEAR(excelsalesdata[[#This Row],[Order_Date]])</f>
        <v>2030</v>
      </c>
      <c r="AC1906" s="4" t="str">
        <f>TEXT(excelsalesdata[[#This Row],[Order_Date]],"mmm")</f>
        <v>Jun</v>
      </c>
      <c r="AD1906" s="4" t="str">
        <f>"Q"&amp;ROUNDUP(MONTH(excelsalesdata[[#This Row],[Order_Date]])/3,0)</f>
        <v>Q2</v>
      </c>
    </row>
    <row r="1907" spans="1:30" x14ac:dyDescent="0.35">
      <c r="A1907" t="s">
        <v>2752</v>
      </c>
      <c r="B1907" s="3">
        <v>47665</v>
      </c>
      <c r="C1907" t="s">
        <v>779</v>
      </c>
      <c r="D1907" t="s">
        <v>482</v>
      </c>
      <c r="E1907" t="str">
        <f>TRIM(excelsalesdata[[#This Row],[Customer_Name]])</f>
        <v>Aditya Gupta</v>
      </c>
      <c r="F1907" t="s">
        <v>44</v>
      </c>
      <c r="G1907">
        <v>22</v>
      </c>
      <c r="H1907" t="s">
        <v>133</v>
      </c>
      <c r="I1907" t="str">
        <f>TRIM(excelsalesdata[[#This Row],[City]])</f>
        <v>Jaipur</v>
      </c>
      <c r="J1907" t="s">
        <v>134</v>
      </c>
      <c r="K1907" t="s">
        <v>61</v>
      </c>
      <c r="L1907" t="s">
        <v>54</v>
      </c>
      <c r="M1907" t="s">
        <v>66</v>
      </c>
      <c r="N1907" t="s">
        <v>66</v>
      </c>
      <c r="O1907">
        <v>1</v>
      </c>
      <c r="P1907">
        <v>2620</v>
      </c>
      <c r="Q1907">
        <v>0.1</v>
      </c>
      <c r="R1907">
        <v>1480</v>
      </c>
      <c r="S1907" t="s">
        <v>105</v>
      </c>
      <c r="T1907" t="s">
        <v>30</v>
      </c>
      <c r="U1907">
        <v>2</v>
      </c>
      <c r="V1907" t="s">
        <v>40</v>
      </c>
      <c r="W1907">
        <f>excelsalesdata[[#This Row],[Quantity]]*excelsalesdata[[#This Row],[Unit_Price]]</f>
        <v>2620</v>
      </c>
      <c r="X1907">
        <f>excelsalesdata[[#This Row],[Gross_sales]]*excelsalesdata[[#This Row],[Discount_%]]</f>
        <v>262</v>
      </c>
      <c r="Y1907">
        <f>excelsalesdata[[#This Row],[Gross_sales]]-excelsalesdata[[#This Row],[Discount_amt]]</f>
        <v>2358</v>
      </c>
      <c r="Z1907" s="4">
        <f>excelsalesdata[[#This Row],[Net_sales]]-excelsalesdata[[#This Row],[Cost]]</f>
        <v>878</v>
      </c>
      <c r="AA1907" s="5">
        <f>excelsalesdata[[#This Row],[Profit]]/excelsalesdata[[#This Row],[Net_sales]]</f>
        <v>0.37234944868532655</v>
      </c>
      <c r="AB1907" s="4">
        <f>YEAR(excelsalesdata[[#This Row],[Order_Date]])</f>
        <v>2030</v>
      </c>
      <c r="AC1907" s="4" t="str">
        <f>TEXT(excelsalesdata[[#This Row],[Order_Date]],"mmm")</f>
        <v>Jul</v>
      </c>
      <c r="AD1907" s="4" t="str">
        <f>"Q"&amp;ROUNDUP(MONTH(excelsalesdata[[#This Row],[Order_Date]])/3,0)</f>
        <v>Q3</v>
      </c>
    </row>
    <row r="1908" spans="1:30" x14ac:dyDescent="0.35">
      <c r="A1908" t="s">
        <v>2753</v>
      </c>
      <c r="B1908" s="3">
        <v>47666</v>
      </c>
      <c r="C1908" t="s">
        <v>487</v>
      </c>
      <c r="D1908" t="s">
        <v>1604</v>
      </c>
      <c r="E1908" t="str">
        <f>TRIM(excelsalesdata[[#This Row],[Customer_Name]])</f>
        <v>Vivaan Gupta</v>
      </c>
      <c r="F1908" t="s">
        <v>44</v>
      </c>
      <c r="G1908">
        <v>55</v>
      </c>
      <c r="H1908" t="s">
        <v>60</v>
      </c>
      <c r="I1908" t="str">
        <f>TRIM(excelsalesdata[[#This Row],[City]])</f>
        <v>Chandigarh</v>
      </c>
      <c r="J1908" t="s">
        <v>60</v>
      </c>
      <c r="K1908" t="s">
        <v>61</v>
      </c>
      <c r="L1908" t="s">
        <v>38</v>
      </c>
      <c r="M1908" t="s">
        <v>39</v>
      </c>
      <c r="N1908" t="s">
        <v>39</v>
      </c>
      <c r="O1908">
        <v>1</v>
      </c>
      <c r="P1908">
        <v>6020</v>
      </c>
      <c r="Q1908">
        <v>0.15</v>
      </c>
      <c r="R1908">
        <v>4280</v>
      </c>
      <c r="S1908" t="s">
        <v>80</v>
      </c>
      <c r="T1908" t="s">
        <v>74</v>
      </c>
      <c r="U1908">
        <v>3</v>
      </c>
      <c r="V1908" t="s">
        <v>40</v>
      </c>
      <c r="W1908">
        <f>excelsalesdata[[#This Row],[Quantity]]*excelsalesdata[[#This Row],[Unit_Price]]</f>
        <v>6020</v>
      </c>
      <c r="X1908">
        <f>excelsalesdata[[#This Row],[Gross_sales]]*excelsalesdata[[#This Row],[Discount_%]]</f>
        <v>903</v>
      </c>
      <c r="Y1908">
        <f>excelsalesdata[[#This Row],[Gross_sales]]-excelsalesdata[[#This Row],[Discount_amt]]</f>
        <v>5117</v>
      </c>
      <c r="Z1908" s="4">
        <f>excelsalesdata[[#This Row],[Net_sales]]-excelsalesdata[[#This Row],[Cost]]</f>
        <v>837</v>
      </c>
      <c r="AA1908" s="5">
        <f>excelsalesdata[[#This Row],[Profit]]/excelsalesdata[[#This Row],[Net_sales]]</f>
        <v>0.16357240570646864</v>
      </c>
      <c r="AB1908" s="4">
        <f>YEAR(excelsalesdata[[#This Row],[Order_Date]])</f>
        <v>2030</v>
      </c>
      <c r="AC1908" s="4" t="str">
        <f>TEXT(excelsalesdata[[#This Row],[Order_Date]],"mmm")</f>
        <v>Jul</v>
      </c>
      <c r="AD1908" s="4" t="str">
        <f>"Q"&amp;ROUNDUP(MONTH(excelsalesdata[[#This Row],[Order_Date]])/3,0)</f>
        <v>Q3</v>
      </c>
    </row>
    <row r="1909" spans="1:30" x14ac:dyDescent="0.35">
      <c r="A1909" t="s">
        <v>2754</v>
      </c>
      <c r="B1909" s="3">
        <v>47667</v>
      </c>
      <c r="C1909" t="s">
        <v>221</v>
      </c>
      <c r="D1909" t="s">
        <v>22</v>
      </c>
      <c r="E1909" t="str">
        <f>TRIM(excelsalesdata[[#This Row],[Customer_Name]])</f>
        <v>Sneha Naidu</v>
      </c>
      <c r="F1909" t="s">
        <v>44</v>
      </c>
      <c r="G1909">
        <v>48</v>
      </c>
      <c r="H1909" t="s">
        <v>155</v>
      </c>
      <c r="I1909" t="str">
        <f>TRIM(excelsalesdata[[#This Row],[City]])</f>
        <v>Chennai</v>
      </c>
      <c r="J1909" t="s">
        <v>156</v>
      </c>
      <c r="K1909" t="s">
        <v>47</v>
      </c>
      <c r="L1909" t="s">
        <v>27</v>
      </c>
      <c r="M1909" t="s">
        <v>48</v>
      </c>
      <c r="N1909" t="s">
        <v>48</v>
      </c>
      <c r="O1909">
        <v>2</v>
      </c>
      <c r="P1909">
        <v>880</v>
      </c>
      <c r="Q1909">
        <v>0</v>
      </c>
      <c r="R1909">
        <v>450</v>
      </c>
      <c r="S1909" t="s">
        <v>80</v>
      </c>
      <c r="T1909" t="s">
        <v>30</v>
      </c>
      <c r="U1909">
        <v>3</v>
      </c>
      <c r="V1909" t="s">
        <v>40</v>
      </c>
      <c r="W1909">
        <f>excelsalesdata[[#This Row],[Quantity]]*excelsalesdata[[#This Row],[Unit_Price]]</f>
        <v>1760</v>
      </c>
      <c r="X1909">
        <f>excelsalesdata[[#This Row],[Gross_sales]]*excelsalesdata[[#This Row],[Discount_%]]</f>
        <v>0</v>
      </c>
      <c r="Y1909">
        <f>excelsalesdata[[#This Row],[Gross_sales]]-excelsalesdata[[#This Row],[Discount_amt]]</f>
        <v>1760</v>
      </c>
      <c r="Z1909" s="4">
        <f>excelsalesdata[[#This Row],[Net_sales]]-excelsalesdata[[#This Row],[Cost]]</f>
        <v>1310</v>
      </c>
      <c r="AA1909" s="5">
        <f>excelsalesdata[[#This Row],[Profit]]/excelsalesdata[[#This Row],[Net_sales]]</f>
        <v>0.74431818181818177</v>
      </c>
      <c r="AB1909" s="4">
        <f>YEAR(excelsalesdata[[#This Row],[Order_Date]])</f>
        <v>2030</v>
      </c>
      <c r="AC1909" s="4" t="str">
        <f>TEXT(excelsalesdata[[#This Row],[Order_Date]],"mmm")</f>
        <v>Jul</v>
      </c>
      <c r="AD1909" s="4" t="str">
        <f>"Q"&amp;ROUNDUP(MONTH(excelsalesdata[[#This Row],[Order_Date]])/3,0)</f>
        <v>Q3</v>
      </c>
    </row>
    <row r="1910" spans="1:30" x14ac:dyDescent="0.35">
      <c r="A1910" t="s">
        <v>2755</v>
      </c>
      <c r="B1910" s="3">
        <v>47668</v>
      </c>
      <c r="C1910" t="s">
        <v>561</v>
      </c>
      <c r="D1910" t="s">
        <v>432</v>
      </c>
      <c r="E1910" t="str">
        <f>TRIM(excelsalesdata[[#This Row],[Customer_Name]])</f>
        <v>Karan Gupta</v>
      </c>
      <c r="F1910" t="s">
        <v>44</v>
      </c>
      <c r="G1910">
        <v>26</v>
      </c>
      <c r="H1910" t="s">
        <v>35</v>
      </c>
      <c r="I1910" t="str">
        <f>TRIM(excelsalesdata[[#This Row],[City]])</f>
        <v>Kolkata</v>
      </c>
      <c r="J1910" t="s">
        <v>36</v>
      </c>
      <c r="K1910" t="s">
        <v>37</v>
      </c>
      <c r="L1910" t="s">
        <v>85</v>
      </c>
      <c r="M1910" t="s">
        <v>110</v>
      </c>
      <c r="N1910" t="s">
        <v>110</v>
      </c>
      <c r="O1910">
        <v>2</v>
      </c>
      <c r="P1910">
        <v>1150</v>
      </c>
      <c r="Q1910">
        <v>0</v>
      </c>
      <c r="R1910">
        <v>620</v>
      </c>
      <c r="S1910" t="s">
        <v>67</v>
      </c>
      <c r="T1910" t="s">
        <v>30</v>
      </c>
      <c r="U1910">
        <v>5</v>
      </c>
      <c r="V1910" t="s">
        <v>31</v>
      </c>
      <c r="W1910">
        <f>excelsalesdata[[#This Row],[Quantity]]*excelsalesdata[[#This Row],[Unit_Price]]</f>
        <v>2300</v>
      </c>
      <c r="X1910">
        <f>excelsalesdata[[#This Row],[Gross_sales]]*excelsalesdata[[#This Row],[Discount_%]]</f>
        <v>0</v>
      </c>
      <c r="Y1910">
        <f>excelsalesdata[[#This Row],[Gross_sales]]-excelsalesdata[[#This Row],[Discount_amt]]</f>
        <v>2300</v>
      </c>
      <c r="Z1910" s="4">
        <f>excelsalesdata[[#This Row],[Net_sales]]-excelsalesdata[[#This Row],[Cost]]</f>
        <v>1680</v>
      </c>
      <c r="AA1910" s="5">
        <f>excelsalesdata[[#This Row],[Profit]]/excelsalesdata[[#This Row],[Net_sales]]</f>
        <v>0.73043478260869565</v>
      </c>
      <c r="AB1910" s="4">
        <f>YEAR(excelsalesdata[[#This Row],[Order_Date]])</f>
        <v>2030</v>
      </c>
      <c r="AC1910" s="4" t="str">
        <f>TEXT(excelsalesdata[[#This Row],[Order_Date]],"mmm")</f>
        <v>Jul</v>
      </c>
      <c r="AD1910" s="4" t="str">
        <f>"Q"&amp;ROUNDUP(MONTH(excelsalesdata[[#This Row],[Order_Date]])/3,0)</f>
        <v>Q3</v>
      </c>
    </row>
    <row r="1911" spans="1:30" x14ac:dyDescent="0.35">
      <c r="A1911" t="s">
        <v>2756</v>
      </c>
      <c r="B1911" s="3">
        <v>47669</v>
      </c>
      <c r="C1911" t="s">
        <v>1028</v>
      </c>
      <c r="D1911" t="s">
        <v>622</v>
      </c>
      <c r="E1911" t="str">
        <f>TRIM(excelsalesdata[[#This Row],[Customer_Name]])</f>
        <v>Vivaan Naidu</v>
      </c>
      <c r="F1911" t="s">
        <v>23</v>
      </c>
      <c r="G1911">
        <v>53</v>
      </c>
      <c r="H1911" t="s">
        <v>133</v>
      </c>
      <c r="I1911" t="str">
        <f>TRIM(excelsalesdata[[#This Row],[City]])</f>
        <v>Jaipur</v>
      </c>
      <c r="J1911" t="s">
        <v>134</v>
      </c>
      <c r="K1911" t="s">
        <v>61</v>
      </c>
      <c r="L1911" t="s">
        <v>103</v>
      </c>
      <c r="M1911" t="s">
        <v>104</v>
      </c>
      <c r="N1911" t="s">
        <v>104</v>
      </c>
      <c r="O1911">
        <v>3</v>
      </c>
      <c r="P1911">
        <v>9170</v>
      </c>
      <c r="Q1911">
        <v>0.05</v>
      </c>
      <c r="R1911">
        <v>5790</v>
      </c>
      <c r="S1911" t="s">
        <v>67</v>
      </c>
      <c r="T1911" t="s">
        <v>30</v>
      </c>
      <c r="U1911">
        <v>3</v>
      </c>
      <c r="V1911" t="s">
        <v>40</v>
      </c>
      <c r="W1911">
        <f>excelsalesdata[[#This Row],[Quantity]]*excelsalesdata[[#This Row],[Unit_Price]]</f>
        <v>27510</v>
      </c>
      <c r="X1911">
        <f>excelsalesdata[[#This Row],[Gross_sales]]*excelsalesdata[[#This Row],[Discount_%]]</f>
        <v>1375.5</v>
      </c>
      <c r="Y1911">
        <f>excelsalesdata[[#This Row],[Gross_sales]]-excelsalesdata[[#This Row],[Discount_amt]]</f>
        <v>26134.5</v>
      </c>
      <c r="Z1911" s="4">
        <f>excelsalesdata[[#This Row],[Net_sales]]-excelsalesdata[[#This Row],[Cost]]</f>
        <v>20344.5</v>
      </c>
      <c r="AA1911" s="5">
        <f>excelsalesdata[[#This Row],[Profit]]/excelsalesdata[[#This Row],[Net_sales]]</f>
        <v>0.77845376800780575</v>
      </c>
      <c r="AB1911" s="4">
        <f>YEAR(excelsalesdata[[#This Row],[Order_Date]])</f>
        <v>2030</v>
      </c>
      <c r="AC1911" s="4" t="str">
        <f>TEXT(excelsalesdata[[#This Row],[Order_Date]],"mmm")</f>
        <v>Jul</v>
      </c>
      <c r="AD1911" s="4" t="str">
        <f>"Q"&amp;ROUNDUP(MONTH(excelsalesdata[[#This Row],[Order_Date]])/3,0)</f>
        <v>Q3</v>
      </c>
    </row>
    <row r="1912" spans="1:30" x14ac:dyDescent="0.35">
      <c r="A1912" t="s">
        <v>2757</v>
      </c>
      <c r="B1912" s="3">
        <v>47670</v>
      </c>
      <c r="C1912" t="s">
        <v>197</v>
      </c>
      <c r="D1912" t="s">
        <v>871</v>
      </c>
      <c r="E1912" t="str">
        <f>TRIM(excelsalesdata[[#This Row],[Customer_Name]])</f>
        <v>Rahul Iyer</v>
      </c>
      <c r="F1912" t="s">
        <v>23</v>
      </c>
      <c r="G1912">
        <v>19</v>
      </c>
      <c r="H1912" t="s">
        <v>190</v>
      </c>
      <c r="I1912" t="str">
        <f>TRIM(excelsalesdata[[#This Row],[City]])</f>
        <v>Ahmedabad</v>
      </c>
      <c r="J1912" t="s">
        <v>191</v>
      </c>
      <c r="K1912" t="s">
        <v>26</v>
      </c>
      <c r="L1912" t="s">
        <v>54</v>
      </c>
      <c r="M1912" t="s">
        <v>157</v>
      </c>
      <c r="N1912" t="s">
        <v>157</v>
      </c>
      <c r="O1912">
        <v>5</v>
      </c>
      <c r="P1912">
        <v>57770</v>
      </c>
      <c r="Q1912">
        <v>0.25</v>
      </c>
      <c r="R1912">
        <v>42400</v>
      </c>
      <c r="S1912" t="s">
        <v>80</v>
      </c>
      <c r="T1912" t="s">
        <v>99</v>
      </c>
      <c r="U1912">
        <v>3</v>
      </c>
      <c r="V1912" t="s">
        <v>40</v>
      </c>
      <c r="W1912">
        <f>excelsalesdata[[#This Row],[Quantity]]*excelsalesdata[[#This Row],[Unit_Price]]</f>
        <v>288850</v>
      </c>
      <c r="X1912">
        <f>excelsalesdata[[#This Row],[Gross_sales]]*excelsalesdata[[#This Row],[Discount_%]]</f>
        <v>72212.5</v>
      </c>
      <c r="Y1912">
        <f>excelsalesdata[[#This Row],[Gross_sales]]-excelsalesdata[[#This Row],[Discount_amt]]</f>
        <v>216637.5</v>
      </c>
      <c r="Z1912" s="4">
        <f>excelsalesdata[[#This Row],[Net_sales]]-excelsalesdata[[#This Row],[Cost]]</f>
        <v>174237.5</v>
      </c>
      <c r="AA1912" s="5">
        <f>excelsalesdata[[#This Row],[Profit]]/excelsalesdata[[#This Row],[Net_sales]]</f>
        <v>0.80428134556574926</v>
      </c>
      <c r="AB1912" s="4">
        <f>YEAR(excelsalesdata[[#This Row],[Order_Date]])</f>
        <v>2030</v>
      </c>
      <c r="AC1912" s="4" t="str">
        <f>TEXT(excelsalesdata[[#This Row],[Order_Date]],"mmm")</f>
        <v>Jul</v>
      </c>
      <c r="AD1912" s="4" t="str">
        <f>"Q"&amp;ROUNDUP(MONTH(excelsalesdata[[#This Row],[Order_Date]])/3,0)</f>
        <v>Q3</v>
      </c>
    </row>
    <row r="1913" spans="1:30" x14ac:dyDescent="0.35">
      <c r="A1913" t="s">
        <v>2758</v>
      </c>
      <c r="B1913" s="3">
        <v>47671</v>
      </c>
      <c r="C1913" t="s">
        <v>1776</v>
      </c>
      <c r="D1913" t="s">
        <v>392</v>
      </c>
      <c r="E1913" t="str">
        <f>TRIM(excelsalesdata[[#This Row],[Customer_Name]])</f>
        <v>Meera Joshi</v>
      </c>
      <c r="F1913" t="s">
        <v>23</v>
      </c>
      <c r="G1913">
        <v>18</v>
      </c>
      <c r="H1913" t="s">
        <v>78</v>
      </c>
      <c r="I1913" t="str">
        <f>TRIM(excelsalesdata[[#This Row],[City]])</f>
        <v>Guwahati</v>
      </c>
      <c r="J1913" t="s">
        <v>79</v>
      </c>
      <c r="K1913" t="s">
        <v>37</v>
      </c>
      <c r="L1913" t="s">
        <v>27</v>
      </c>
      <c r="M1913" t="s">
        <v>123</v>
      </c>
      <c r="N1913" t="s">
        <v>123</v>
      </c>
      <c r="O1913">
        <v>2</v>
      </c>
      <c r="P1913">
        <v>2600</v>
      </c>
      <c r="Q1913">
        <v>0.15</v>
      </c>
      <c r="R1913">
        <v>1530</v>
      </c>
      <c r="S1913" t="s">
        <v>29</v>
      </c>
      <c r="T1913" t="s">
        <v>30</v>
      </c>
      <c r="U1913">
        <v>4</v>
      </c>
      <c r="V1913" t="s">
        <v>40</v>
      </c>
      <c r="W1913">
        <f>excelsalesdata[[#This Row],[Quantity]]*excelsalesdata[[#This Row],[Unit_Price]]</f>
        <v>5200</v>
      </c>
      <c r="X1913">
        <f>excelsalesdata[[#This Row],[Gross_sales]]*excelsalesdata[[#This Row],[Discount_%]]</f>
        <v>780</v>
      </c>
      <c r="Y1913">
        <f>excelsalesdata[[#This Row],[Gross_sales]]-excelsalesdata[[#This Row],[Discount_amt]]</f>
        <v>4420</v>
      </c>
      <c r="Z1913" s="4">
        <f>excelsalesdata[[#This Row],[Net_sales]]-excelsalesdata[[#This Row],[Cost]]</f>
        <v>2890</v>
      </c>
      <c r="AA1913" s="5">
        <f>excelsalesdata[[#This Row],[Profit]]/excelsalesdata[[#This Row],[Net_sales]]</f>
        <v>0.65384615384615385</v>
      </c>
      <c r="AB1913" s="4">
        <f>YEAR(excelsalesdata[[#This Row],[Order_Date]])</f>
        <v>2030</v>
      </c>
      <c r="AC1913" s="4" t="str">
        <f>TEXT(excelsalesdata[[#This Row],[Order_Date]],"mmm")</f>
        <v>Jul</v>
      </c>
      <c r="AD1913" s="4" t="str">
        <f>"Q"&amp;ROUNDUP(MONTH(excelsalesdata[[#This Row],[Order_Date]])/3,0)</f>
        <v>Q3</v>
      </c>
    </row>
    <row r="1914" spans="1:30" x14ac:dyDescent="0.35">
      <c r="A1914" t="s">
        <v>2759</v>
      </c>
      <c r="B1914" s="3">
        <v>47672</v>
      </c>
      <c r="C1914" t="s">
        <v>96</v>
      </c>
      <c r="D1914" t="s">
        <v>1959</v>
      </c>
      <c r="E1914" t="str">
        <f>TRIM(excelsalesdata[[#This Row],[Customer_Name]])</f>
        <v>Nisha Rao</v>
      </c>
      <c r="F1914" t="s">
        <v>44</v>
      </c>
      <c r="G1914">
        <v>44</v>
      </c>
      <c r="H1914" t="s">
        <v>78</v>
      </c>
      <c r="I1914" t="str">
        <f>TRIM(excelsalesdata[[#This Row],[City]])</f>
        <v>Guwahati</v>
      </c>
      <c r="J1914" t="s">
        <v>79</v>
      </c>
      <c r="K1914" t="s">
        <v>37</v>
      </c>
      <c r="L1914" t="s">
        <v>54</v>
      </c>
      <c r="M1914" t="s">
        <v>66</v>
      </c>
      <c r="N1914" t="s">
        <v>66</v>
      </c>
      <c r="O1914">
        <v>4</v>
      </c>
      <c r="P1914">
        <v>2530</v>
      </c>
      <c r="Q1914">
        <v>0.15</v>
      </c>
      <c r="R1914">
        <v>1540</v>
      </c>
      <c r="S1914" t="s">
        <v>29</v>
      </c>
      <c r="T1914" t="s">
        <v>30</v>
      </c>
      <c r="U1914">
        <v>3</v>
      </c>
      <c r="V1914" t="s">
        <v>31</v>
      </c>
      <c r="W1914">
        <f>excelsalesdata[[#This Row],[Quantity]]*excelsalesdata[[#This Row],[Unit_Price]]</f>
        <v>10120</v>
      </c>
      <c r="X1914">
        <f>excelsalesdata[[#This Row],[Gross_sales]]*excelsalesdata[[#This Row],[Discount_%]]</f>
        <v>1518</v>
      </c>
      <c r="Y1914">
        <f>excelsalesdata[[#This Row],[Gross_sales]]-excelsalesdata[[#This Row],[Discount_amt]]</f>
        <v>8602</v>
      </c>
      <c r="Z1914" s="4">
        <f>excelsalesdata[[#This Row],[Net_sales]]-excelsalesdata[[#This Row],[Cost]]</f>
        <v>7062</v>
      </c>
      <c r="AA1914" s="5">
        <f>excelsalesdata[[#This Row],[Profit]]/excelsalesdata[[#This Row],[Net_sales]]</f>
        <v>0.82097186700767266</v>
      </c>
      <c r="AB1914" s="4">
        <f>YEAR(excelsalesdata[[#This Row],[Order_Date]])</f>
        <v>2030</v>
      </c>
      <c r="AC1914" s="4" t="str">
        <f>TEXT(excelsalesdata[[#This Row],[Order_Date]],"mmm")</f>
        <v>Jul</v>
      </c>
      <c r="AD1914" s="4" t="str">
        <f>"Q"&amp;ROUNDUP(MONTH(excelsalesdata[[#This Row],[Order_Date]])/3,0)</f>
        <v>Q3</v>
      </c>
    </row>
    <row r="1915" spans="1:30" x14ac:dyDescent="0.35">
      <c r="A1915" t="s">
        <v>2760</v>
      </c>
      <c r="B1915" s="3">
        <v>47673</v>
      </c>
      <c r="C1915" t="s">
        <v>2041</v>
      </c>
      <c r="D1915" t="s">
        <v>102</v>
      </c>
      <c r="E1915" t="str">
        <f>TRIM(excelsalesdata[[#This Row],[Customer_Name]])</f>
        <v>Nisha Sharma</v>
      </c>
      <c r="F1915" t="s">
        <v>44</v>
      </c>
      <c r="G1915">
        <v>31</v>
      </c>
      <c r="H1915" t="s">
        <v>45</v>
      </c>
      <c r="I1915" t="str">
        <f>TRIM(excelsalesdata[[#This Row],[City]])</f>
        <v>Kochi</v>
      </c>
      <c r="J1915" t="s">
        <v>46</v>
      </c>
      <c r="K1915" t="s">
        <v>47</v>
      </c>
      <c r="L1915" t="s">
        <v>93</v>
      </c>
      <c r="M1915" t="s">
        <v>718</v>
      </c>
      <c r="N1915" t="s">
        <v>718</v>
      </c>
      <c r="O1915">
        <v>3</v>
      </c>
      <c r="P1915">
        <v>1900</v>
      </c>
      <c r="Q1915">
        <v>0.1</v>
      </c>
      <c r="R1915">
        <v>900</v>
      </c>
      <c r="S1915" t="s">
        <v>80</v>
      </c>
      <c r="T1915" t="s">
        <v>30</v>
      </c>
      <c r="U1915">
        <v>2</v>
      </c>
      <c r="V1915" t="s">
        <v>31</v>
      </c>
      <c r="W1915">
        <f>excelsalesdata[[#This Row],[Quantity]]*excelsalesdata[[#This Row],[Unit_Price]]</f>
        <v>5700</v>
      </c>
      <c r="X1915">
        <f>excelsalesdata[[#This Row],[Gross_sales]]*excelsalesdata[[#This Row],[Discount_%]]</f>
        <v>570</v>
      </c>
      <c r="Y1915">
        <f>excelsalesdata[[#This Row],[Gross_sales]]-excelsalesdata[[#This Row],[Discount_amt]]</f>
        <v>5130</v>
      </c>
      <c r="Z1915" s="4">
        <f>excelsalesdata[[#This Row],[Net_sales]]-excelsalesdata[[#This Row],[Cost]]</f>
        <v>4230</v>
      </c>
      <c r="AA1915" s="5">
        <f>excelsalesdata[[#This Row],[Profit]]/excelsalesdata[[#This Row],[Net_sales]]</f>
        <v>0.82456140350877194</v>
      </c>
      <c r="AB1915" s="4">
        <f>YEAR(excelsalesdata[[#This Row],[Order_Date]])</f>
        <v>2030</v>
      </c>
      <c r="AC1915" s="4" t="str">
        <f>TEXT(excelsalesdata[[#This Row],[Order_Date]],"mmm")</f>
        <v>Jul</v>
      </c>
      <c r="AD1915" s="4" t="str">
        <f>"Q"&amp;ROUNDUP(MONTH(excelsalesdata[[#This Row],[Order_Date]])/3,0)</f>
        <v>Q3</v>
      </c>
    </row>
    <row r="1916" spans="1:30" x14ac:dyDescent="0.35">
      <c r="A1916" t="s">
        <v>2761</v>
      </c>
      <c r="B1916" s="3">
        <v>47674</v>
      </c>
      <c r="C1916" t="s">
        <v>425</v>
      </c>
      <c r="D1916" t="s">
        <v>51</v>
      </c>
      <c r="E1916" t="str">
        <f>TRIM(excelsalesdata[[#This Row],[Customer_Name]])</f>
        <v>Sneha Iyer</v>
      </c>
      <c r="F1916" t="s">
        <v>23</v>
      </c>
      <c r="G1916">
        <v>60</v>
      </c>
      <c r="H1916" t="s">
        <v>60</v>
      </c>
      <c r="I1916" t="str">
        <f>TRIM(excelsalesdata[[#This Row],[City]])</f>
        <v>Chandigarh</v>
      </c>
      <c r="J1916" t="s">
        <v>60</v>
      </c>
      <c r="K1916" t="s">
        <v>61</v>
      </c>
      <c r="L1916" t="s">
        <v>54</v>
      </c>
      <c r="M1916" t="s">
        <v>55</v>
      </c>
      <c r="N1916" t="s">
        <v>55</v>
      </c>
      <c r="O1916">
        <v>2</v>
      </c>
      <c r="P1916">
        <v>6910</v>
      </c>
      <c r="Q1916">
        <v>0.1</v>
      </c>
      <c r="R1916">
        <v>4720</v>
      </c>
      <c r="S1916" t="s">
        <v>151</v>
      </c>
      <c r="T1916" t="s">
        <v>81</v>
      </c>
      <c r="U1916">
        <v>0</v>
      </c>
      <c r="V1916" t="s">
        <v>40</v>
      </c>
      <c r="W1916">
        <f>excelsalesdata[[#This Row],[Quantity]]*excelsalesdata[[#This Row],[Unit_Price]]</f>
        <v>13820</v>
      </c>
      <c r="X1916">
        <f>excelsalesdata[[#This Row],[Gross_sales]]*excelsalesdata[[#This Row],[Discount_%]]</f>
        <v>1382</v>
      </c>
      <c r="Y1916">
        <f>excelsalesdata[[#This Row],[Gross_sales]]-excelsalesdata[[#This Row],[Discount_amt]]</f>
        <v>12438</v>
      </c>
      <c r="Z1916" s="4">
        <f>excelsalesdata[[#This Row],[Net_sales]]-excelsalesdata[[#This Row],[Cost]]</f>
        <v>7718</v>
      </c>
      <c r="AA1916" s="5">
        <f>excelsalesdata[[#This Row],[Profit]]/excelsalesdata[[#This Row],[Net_sales]]</f>
        <v>0.62051776812992443</v>
      </c>
      <c r="AB1916" s="4">
        <f>YEAR(excelsalesdata[[#This Row],[Order_Date]])</f>
        <v>2030</v>
      </c>
      <c r="AC1916" s="4" t="str">
        <f>TEXT(excelsalesdata[[#This Row],[Order_Date]],"mmm")</f>
        <v>Jul</v>
      </c>
      <c r="AD1916" s="4" t="str">
        <f>"Q"&amp;ROUNDUP(MONTH(excelsalesdata[[#This Row],[Order_Date]])/3,0)</f>
        <v>Q3</v>
      </c>
    </row>
    <row r="1917" spans="1:30" x14ac:dyDescent="0.35">
      <c r="A1917" t="s">
        <v>2762</v>
      </c>
      <c r="B1917" s="3">
        <v>47675</v>
      </c>
      <c r="C1917" t="s">
        <v>1285</v>
      </c>
      <c r="D1917" t="s">
        <v>184</v>
      </c>
      <c r="E1917" t="str">
        <f>TRIM(excelsalesdata[[#This Row],[Customer_Name]])</f>
        <v>Aditya Verma</v>
      </c>
      <c r="F1917" t="s">
        <v>44</v>
      </c>
      <c r="G1917">
        <v>38</v>
      </c>
      <c r="H1917" t="s">
        <v>190</v>
      </c>
      <c r="I1917" t="str">
        <f>TRIM(excelsalesdata[[#This Row],[City]])</f>
        <v>Ahmedabad</v>
      </c>
      <c r="J1917" t="s">
        <v>191</v>
      </c>
      <c r="K1917" t="s">
        <v>26</v>
      </c>
      <c r="L1917" t="s">
        <v>93</v>
      </c>
      <c r="M1917" t="s">
        <v>94</v>
      </c>
      <c r="N1917" t="s">
        <v>94</v>
      </c>
      <c r="O1917">
        <v>2</v>
      </c>
      <c r="P1917">
        <v>460</v>
      </c>
      <c r="Q1917">
        <v>0.1</v>
      </c>
      <c r="R1917">
        <v>230</v>
      </c>
      <c r="S1917" t="s">
        <v>80</v>
      </c>
      <c r="T1917" t="s">
        <v>30</v>
      </c>
      <c r="U1917">
        <v>4</v>
      </c>
      <c r="V1917" t="s">
        <v>31</v>
      </c>
      <c r="W1917">
        <f>excelsalesdata[[#This Row],[Quantity]]*excelsalesdata[[#This Row],[Unit_Price]]</f>
        <v>920</v>
      </c>
      <c r="X1917">
        <f>excelsalesdata[[#This Row],[Gross_sales]]*excelsalesdata[[#This Row],[Discount_%]]</f>
        <v>92</v>
      </c>
      <c r="Y1917">
        <f>excelsalesdata[[#This Row],[Gross_sales]]-excelsalesdata[[#This Row],[Discount_amt]]</f>
        <v>828</v>
      </c>
      <c r="Z1917" s="4">
        <f>excelsalesdata[[#This Row],[Net_sales]]-excelsalesdata[[#This Row],[Cost]]</f>
        <v>598</v>
      </c>
      <c r="AA1917" s="5">
        <f>excelsalesdata[[#This Row],[Profit]]/excelsalesdata[[#This Row],[Net_sales]]</f>
        <v>0.72222222222222221</v>
      </c>
      <c r="AB1917" s="4">
        <f>YEAR(excelsalesdata[[#This Row],[Order_Date]])</f>
        <v>2030</v>
      </c>
      <c r="AC1917" s="4" t="str">
        <f>TEXT(excelsalesdata[[#This Row],[Order_Date]],"mmm")</f>
        <v>Jul</v>
      </c>
      <c r="AD1917" s="4" t="str">
        <f>"Q"&amp;ROUNDUP(MONTH(excelsalesdata[[#This Row],[Order_Date]])/3,0)</f>
        <v>Q3</v>
      </c>
    </row>
    <row r="1918" spans="1:30" x14ac:dyDescent="0.35">
      <c r="A1918" t="s">
        <v>2763</v>
      </c>
      <c r="B1918" s="3">
        <v>47676</v>
      </c>
      <c r="C1918" t="s">
        <v>2142</v>
      </c>
      <c r="D1918" t="s">
        <v>1271</v>
      </c>
      <c r="E1918" t="str">
        <f>TRIM(excelsalesdata[[#This Row],[Customer_Name]])</f>
        <v>Arjun Sharma</v>
      </c>
      <c r="F1918" t="s">
        <v>23</v>
      </c>
      <c r="G1918">
        <v>48</v>
      </c>
      <c r="H1918" t="s">
        <v>168</v>
      </c>
      <c r="I1918" t="str">
        <f>TRIM(excelsalesdata[[#This Row],[City]])</f>
        <v>Delhi</v>
      </c>
      <c r="J1918" t="s">
        <v>168</v>
      </c>
      <c r="K1918" t="s">
        <v>61</v>
      </c>
      <c r="L1918" t="s">
        <v>85</v>
      </c>
      <c r="M1918" t="s">
        <v>172</v>
      </c>
      <c r="N1918" t="s">
        <v>172</v>
      </c>
      <c r="O1918">
        <v>1</v>
      </c>
      <c r="P1918">
        <v>4530</v>
      </c>
      <c r="Q1918">
        <v>0.05</v>
      </c>
      <c r="R1918">
        <v>2830</v>
      </c>
      <c r="S1918" t="s">
        <v>80</v>
      </c>
      <c r="T1918" t="s">
        <v>30</v>
      </c>
      <c r="U1918">
        <v>7</v>
      </c>
      <c r="V1918" t="s">
        <v>40</v>
      </c>
      <c r="W1918">
        <f>excelsalesdata[[#This Row],[Quantity]]*excelsalesdata[[#This Row],[Unit_Price]]</f>
        <v>4530</v>
      </c>
      <c r="X1918">
        <f>excelsalesdata[[#This Row],[Gross_sales]]*excelsalesdata[[#This Row],[Discount_%]]</f>
        <v>226.5</v>
      </c>
      <c r="Y1918">
        <f>excelsalesdata[[#This Row],[Gross_sales]]-excelsalesdata[[#This Row],[Discount_amt]]</f>
        <v>4303.5</v>
      </c>
      <c r="Z1918" s="4">
        <f>excelsalesdata[[#This Row],[Net_sales]]-excelsalesdata[[#This Row],[Cost]]</f>
        <v>1473.5</v>
      </c>
      <c r="AA1918" s="5">
        <f>excelsalesdata[[#This Row],[Profit]]/excelsalesdata[[#This Row],[Net_sales]]</f>
        <v>0.34239572441036364</v>
      </c>
      <c r="AB1918" s="4">
        <f>YEAR(excelsalesdata[[#This Row],[Order_Date]])</f>
        <v>2030</v>
      </c>
      <c r="AC1918" s="4" t="str">
        <f>TEXT(excelsalesdata[[#This Row],[Order_Date]],"mmm")</f>
        <v>Jul</v>
      </c>
      <c r="AD1918" s="4" t="str">
        <f>"Q"&amp;ROUNDUP(MONTH(excelsalesdata[[#This Row],[Order_Date]])/3,0)</f>
        <v>Q3</v>
      </c>
    </row>
    <row r="1919" spans="1:30" x14ac:dyDescent="0.35">
      <c r="A1919" t="s">
        <v>2764</v>
      </c>
      <c r="B1919" s="3">
        <v>47677</v>
      </c>
      <c r="C1919" t="s">
        <v>249</v>
      </c>
      <c r="D1919" t="s">
        <v>849</v>
      </c>
      <c r="E1919" t="str">
        <f>TRIM(excelsalesdata[[#This Row],[Customer_Name]])</f>
        <v>Rohan Nair</v>
      </c>
      <c r="F1919" t="s">
        <v>44</v>
      </c>
      <c r="G1919">
        <v>59</v>
      </c>
      <c r="H1919" t="s">
        <v>155</v>
      </c>
      <c r="I1919" t="str">
        <f>TRIM(excelsalesdata[[#This Row],[City]])</f>
        <v>Chennai</v>
      </c>
      <c r="J1919" t="s">
        <v>156</v>
      </c>
      <c r="K1919" t="s">
        <v>47</v>
      </c>
      <c r="L1919" t="s">
        <v>103</v>
      </c>
      <c r="M1919" t="s">
        <v>347</v>
      </c>
      <c r="N1919" t="s">
        <v>347</v>
      </c>
      <c r="O1919">
        <v>1</v>
      </c>
      <c r="P1919">
        <v>12360</v>
      </c>
      <c r="Q1919">
        <v>0.1</v>
      </c>
      <c r="R1919">
        <v>8440</v>
      </c>
      <c r="S1919" t="s">
        <v>151</v>
      </c>
      <c r="T1919" t="s">
        <v>30</v>
      </c>
      <c r="U1919">
        <v>1</v>
      </c>
      <c r="V1919" t="s">
        <v>40</v>
      </c>
      <c r="W1919">
        <f>excelsalesdata[[#This Row],[Quantity]]*excelsalesdata[[#This Row],[Unit_Price]]</f>
        <v>12360</v>
      </c>
      <c r="X1919">
        <f>excelsalesdata[[#This Row],[Gross_sales]]*excelsalesdata[[#This Row],[Discount_%]]</f>
        <v>1236</v>
      </c>
      <c r="Y1919">
        <f>excelsalesdata[[#This Row],[Gross_sales]]-excelsalesdata[[#This Row],[Discount_amt]]</f>
        <v>11124</v>
      </c>
      <c r="Z1919" s="4">
        <f>excelsalesdata[[#This Row],[Net_sales]]-excelsalesdata[[#This Row],[Cost]]</f>
        <v>2684</v>
      </c>
      <c r="AA1919" s="5">
        <f>excelsalesdata[[#This Row],[Profit]]/excelsalesdata[[#This Row],[Net_sales]]</f>
        <v>0.24128011506652283</v>
      </c>
      <c r="AB1919" s="4">
        <f>YEAR(excelsalesdata[[#This Row],[Order_Date]])</f>
        <v>2030</v>
      </c>
      <c r="AC1919" s="4" t="str">
        <f>TEXT(excelsalesdata[[#This Row],[Order_Date]],"mmm")</f>
        <v>Jul</v>
      </c>
      <c r="AD1919" s="4" t="str">
        <f>"Q"&amp;ROUNDUP(MONTH(excelsalesdata[[#This Row],[Order_Date]])/3,0)</f>
        <v>Q3</v>
      </c>
    </row>
    <row r="1920" spans="1:30" x14ac:dyDescent="0.35">
      <c r="A1920" t="s">
        <v>2765</v>
      </c>
      <c r="B1920" s="3">
        <v>47678</v>
      </c>
      <c r="C1920" t="s">
        <v>1170</v>
      </c>
      <c r="D1920" t="s">
        <v>485</v>
      </c>
      <c r="E1920" t="str">
        <f>TRIM(excelsalesdata[[#This Row],[Customer_Name]])</f>
        <v>Ishita Mehta</v>
      </c>
      <c r="F1920" t="s">
        <v>44</v>
      </c>
      <c r="G1920">
        <v>56</v>
      </c>
      <c r="H1920" t="s">
        <v>78</v>
      </c>
      <c r="I1920" t="str">
        <f>TRIM(excelsalesdata[[#This Row],[City]])</f>
        <v>Guwahati</v>
      </c>
      <c r="J1920" t="s">
        <v>79</v>
      </c>
      <c r="K1920" t="s">
        <v>37</v>
      </c>
      <c r="L1920" t="s">
        <v>38</v>
      </c>
      <c r="M1920" t="s">
        <v>73</v>
      </c>
      <c r="N1920" t="s">
        <v>73</v>
      </c>
      <c r="O1920">
        <v>2</v>
      </c>
      <c r="P1920">
        <v>4820</v>
      </c>
      <c r="Q1920">
        <v>0</v>
      </c>
      <c r="R1920">
        <v>3160</v>
      </c>
      <c r="S1920" t="s">
        <v>67</v>
      </c>
      <c r="T1920" t="s">
        <v>30</v>
      </c>
      <c r="U1920">
        <v>8</v>
      </c>
      <c r="V1920" t="s">
        <v>40</v>
      </c>
      <c r="W1920">
        <f>excelsalesdata[[#This Row],[Quantity]]*excelsalesdata[[#This Row],[Unit_Price]]</f>
        <v>9640</v>
      </c>
      <c r="X1920">
        <f>excelsalesdata[[#This Row],[Gross_sales]]*excelsalesdata[[#This Row],[Discount_%]]</f>
        <v>0</v>
      </c>
      <c r="Y1920">
        <f>excelsalesdata[[#This Row],[Gross_sales]]-excelsalesdata[[#This Row],[Discount_amt]]</f>
        <v>9640</v>
      </c>
      <c r="Z1920" s="4">
        <f>excelsalesdata[[#This Row],[Net_sales]]-excelsalesdata[[#This Row],[Cost]]</f>
        <v>6480</v>
      </c>
      <c r="AA1920" s="5">
        <f>excelsalesdata[[#This Row],[Profit]]/excelsalesdata[[#This Row],[Net_sales]]</f>
        <v>0.67219917012448138</v>
      </c>
      <c r="AB1920" s="4">
        <f>YEAR(excelsalesdata[[#This Row],[Order_Date]])</f>
        <v>2030</v>
      </c>
      <c r="AC1920" s="4" t="str">
        <f>TEXT(excelsalesdata[[#This Row],[Order_Date]],"mmm")</f>
        <v>Jul</v>
      </c>
      <c r="AD1920" s="4" t="str">
        <f>"Q"&amp;ROUNDUP(MONTH(excelsalesdata[[#This Row],[Order_Date]])/3,0)</f>
        <v>Q3</v>
      </c>
    </row>
    <row r="1921" spans="1:30" x14ac:dyDescent="0.35">
      <c r="A1921" t="s">
        <v>2766</v>
      </c>
      <c r="B1921" s="3">
        <v>47679</v>
      </c>
      <c r="C1921" t="s">
        <v>236</v>
      </c>
      <c r="D1921" t="s">
        <v>318</v>
      </c>
      <c r="E1921" t="str">
        <f>TRIM(excelsalesdata[[#This Row],[Customer_Name]])</f>
        <v>Kavya Joshi</v>
      </c>
      <c r="F1921" t="s">
        <v>44</v>
      </c>
      <c r="G1921">
        <v>44</v>
      </c>
      <c r="H1921" t="s">
        <v>24</v>
      </c>
      <c r="I1921" t="str">
        <f>TRIM(excelsalesdata[[#This Row],[City]])</f>
        <v>Pune</v>
      </c>
      <c r="J1921" t="s">
        <v>25</v>
      </c>
      <c r="K1921" t="s">
        <v>26</v>
      </c>
      <c r="L1921" t="s">
        <v>27</v>
      </c>
      <c r="M1921" t="s">
        <v>28</v>
      </c>
      <c r="N1921" t="s">
        <v>28</v>
      </c>
      <c r="O1921">
        <v>1</v>
      </c>
      <c r="P1921">
        <v>3620</v>
      </c>
      <c r="Q1921">
        <v>0.15</v>
      </c>
      <c r="R1921">
        <v>2140</v>
      </c>
      <c r="S1921" t="s">
        <v>105</v>
      </c>
      <c r="T1921" t="s">
        <v>30</v>
      </c>
      <c r="U1921">
        <v>2</v>
      </c>
      <c r="V1921" t="s">
        <v>40</v>
      </c>
      <c r="W1921">
        <f>excelsalesdata[[#This Row],[Quantity]]*excelsalesdata[[#This Row],[Unit_Price]]</f>
        <v>3620</v>
      </c>
      <c r="X1921">
        <f>excelsalesdata[[#This Row],[Gross_sales]]*excelsalesdata[[#This Row],[Discount_%]]</f>
        <v>543</v>
      </c>
      <c r="Y1921">
        <f>excelsalesdata[[#This Row],[Gross_sales]]-excelsalesdata[[#This Row],[Discount_amt]]</f>
        <v>3077</v>
      </c>
      <c r="Z1921" s="4">
        <f>excelsalesdata[[#This Row],[Net_sales]]-excelsalesdata[[#This Row],[Cost]]</f>
        <v>937</v>
      </c>
      <c r="AA1921" s="5">
        <f>excelsalesdata[[#This Row],[Profit]]/excelsalesdata[[#This Row],[Net_sales]]</f>
        <v>0.30451738706532339</v>
      </c>
      <c r="AB1921" s="4">
        <f>YEAR(excelsalesdata[[#This Row],[Order_Date]])</f>
        <v>2030</v>
      </c>
      <c r="AC1921" s="4" t="str">
        <f>TEXT(excelsalesdata[[#This Row],[Order_Date]],"mmm")</f>
        <v>Jul</v>
      </c>
      <c r="AD1921" s="4" t="str">
        <f>"Q"&amp;ROUNDUP(MONTH(excelsalesdata[[#This Row],[Order_Date]])/3,0)</f>
        <v>Q3</v>
      </c>
    </row>
    <row r="1922" spans="1:30" x14ac:dyDescent="0.35">
      <c r="A1922" t="s">
        <v>2767</v>
      </c>
      <c r="B1922" s="3">
        <v>47680</v>
      </c>
      <c r="C1922" t="s">
        <v>1127</v>
      </c>
      <c r="D1922" t="s">
        <v>265</v>
      </c>
      <c r="E1922" t="str">
        <f>TRIM(excelsalesdata[[#This Row],[Customer_Name]])</f>
        <v>Arjun Bhat</v>
      </c>
      <c r="F1922" t="s">
        <v>23</v>
      </c>
      <c r="G1922">
        <v>42</v>
      </c>
      <c r="H1922" t="s">
        <v>71</v>
      </c>
      <c r="I1922" t="str">
        <f>TRIM(excelsalesdata[[#This Row],[City]])</f>
        <v>Bhubaneswar</v>
      </c>
      <c r="J1922" t="s">
        <v>72</v>
      </c>
      <c r="K1922" t="s">
        <v>37</v>
      </c>
      <c r="L1922" t="s">
        <v>27</v>
      </c>
      <c r="M1922" t="s">
        <v>48</v>
      </c>
      <c r="N1922" t="s">
        <v>48</v>
      </c>
      <c r="O1922">
        <v>1</v>
      </c>
      <c r="P1922">
        <v>880</v>
      </c>
      <c r="Q1922">
        <v>0.2</v>
      </c>
      <c r="R1922">
        <v>440</v>
      </c>
      <c r="S1922" t="s">
        <v>80</v>
      </c>
      <c r="T1922" t="s">
        <v>30</v>
      </c>
      <c r="U1922">
        <v>5</v>
      </c>
      <c r="V1922" t="s">
        <v>31</v>
      </c>
      <c r="W1922">
        <f>excelsalesdata[[#This Row],[Quantity]]*excelsalesdata[[#This Row],[Unit_Price]]</f>
        <v>880</v>
      </c>
      <c r="X1922">
        <f>excelsalesdata[[#This Row],[Gross_sales]]*excelsalesdata[[#This Row],[Discount_%]]</f>
        <v>176</v>
      </c>
      <c r="Y1922">
        <f>excelsalesdata[[#This Row],[Gross_sales]]-excelsalesdata[[#This Row],[Discount_amt]]</f>
        <v>704</v>
      </c>
      <c r="Z1922" s="4">
        <f>excelsalesdata[[#This Row],[Net_sales]]-excelsalesdata[[#This Row],[Cost]]</f>
        <v>264</v>
      </c>
      <c r="AA1922" s="5">
        <f>excelsalesdata[[#This Row],[Profit]]/excelsalesdata[[#This Row],[Net_sales]]</f>
        <v>0.375</v>
      </c>
      <c r="AB1922" s="4">
        <f>YEAR(excelsalesdata[[#This Row],[Order_Date]])</f>
        <v>2030</v>
      </c>
      <c r="AC1922" s="4" t="str">
        <f>TEXT(excelsalesdata[[#This Row],[Order_Date]],"mmm")</f>
        <v>Jul</v>
      </c>
      <c r="AD1922" s="4" t="str">
        <f>"Q"&amp;ROUNDUP(MONTH(excelsalesdata[[#This Row],[Order_Date]])/3,0)</f>
        <v>Q3</v>
      </c>
    </row>
    <row r="1923" spans="1:30" x14ac:dyDescent="0.35">
      <c r="A1923" t="s">
        <v>2768</v>
      </c>
      <c r="B1923" s="3">
        <v>47681</v>
      </c>
      <c r="C1923" t="s">
        <v>253</v>
      </c>
      <c r="D1923" t="s">
        <v>685</v>
      </c>
      <c r="E1923" t="str">
        <f>TRIM(excelsalesdata[[#This Row],[Customer_Name]])</f>
        <v>Arjun Reddy</v>
      </c>
      <c r="F1923" t="s">
        <v>44</v>
      </c>
      <c r="G1923">
        <v>54</v>
      </c>
      <c r="H1923" t="s">
        <v>185</v>
      </c>
      <c r="I1923" t="str">
        <f>TRIM(excelsalesdata[[#This Row],[City]])</f>
        <v>Lucknow</v>
      </c>
      <c r="J1923" t="s">
        <v>186</v>
      </c>
      <c r="K1923" t="s">
        <v>61</v>
      </c>
      <c r="L1923" t="s">
        <v>54</v>
      </c>
      <c r="M1923" t="s">
        <v>62</v>
      </c>
      <c r="N1923" t="s">
        <v>62</v>
      </c>
      <c r="O1923">
        <v>1</v>
      </c>
      <c r="P1923">
        <v>20830</v>
      </c>
      <c r="Q1923">
        <v>0</v>
      </c>
      <c r="R1923">
        <v>15960</v>
      </c>
      <c r="S1923" t="s">
        <v>80</v>
      </c>
      <c r="T1923" t="s">
        <v>30</v>
      </c>
      <c r="U1923">
        <v>3</v>
      </c>
      <c r="V1923" t="s">
        <v>40</v>
      </c>
      <c r="W1923">
        <f>excelsalesdata[[#This Row],[Quantity]]*excelsalesdata[[#This Row],[Unit_Price]]</f>
        <v>20830</v>
      </c>
      <c r="X1923">
        <f>excelsalesdata[[#This Row],[Gross_sales]]*excelsalesdata[[#This Row],[Discount_%]]</f>
        <v>0</v>
      </c>
      <c r="Y1923">
        <f>excelsalesdata[[#This Row],[Gross_sales]]-excelsalesdata[[#This Row],[Discount_amt]]</f>
        <v>20830</v>
      </c>
      <c r="Z1923" s="4">
        <f>excelsalesdata[[#This Row],[Net_sales]]-excelsalesdata[[#This Row],[Cost]]</f>
        <v>4870</v>
      </c>
      <c r="AA1923" s="5">
        <f>excelsalesdata[[#This Row],[Profit]]/excelsalesdata[[#This Row],[Net_sales]]</f>
        <v>0.23379740758521364</v>
      </c>
      <c r="AB1923" s="4">
        <f>YEAR(excelsalesdata[[#This Row],[Order_Date]])</f>
        <v>2030</v>
      </c>
      <c r="AC1923" s="4" t="str">
        <f>TEXT(excelsalesdata[[#This Row],[Order_Date]],"mmm")</f>
        <v>Jul</v>
      </c>
      <c r="AD1923" s="4" t="str">
        <f>"Q"&amp;ROUNDUP(MONTH(excelsalesdata[[#This Row],[Order_Date]])/3,0)</f>
        <v>Q3</v>
      </c>
    </row>
    <row r="1924" spans="1:30" x14ac:dyDescent="0.35">
      <c r="A1924" t="s">
        <v>2769</v>
      </c>
      <c r="B1924" s="3">
        <v>47682</v>
      </c>
      <c r="C1924" t="s">
        <v>696</v>
      </c>
      <c r="D1924" t="s">
        <v>1092</v>
      </c>
      <c r="E1924" t="str">
        <f>TRIM(excelsalesdata[[#This Row],[Customer_Name]])</f>
        <v>Rahul Shah</v>
      </c>
      <c r="F1924" t="s">
        <v>44</v>
      </c>
      <c r="G1924">
        <v>52</v>
      </c>
      <c r="H1924" t="s">
        <v>109</v>
      </c>
      <c r="I1924" t="str">
        <f>TRIM(excelsalesdata[[#This Row],[City]])</f>
        <v>Mysuru</v>
      </c>
      <c r="J1924" t="s">
        <v>53</v>
      </c>
      <c r="K1924" t="s">
        <v>47</v>
      </c>
      <c r="L1924" t="s">
        <v>38</v>
      </c>
      <c r="M1924" t="s">
        <v>119</v>
      </c>
      <c r="N1924" t="s">
        <v>119</v>
      </c>
      <c r="O1924">
        <v>3</v>
      </c>
      <c r="P1924">
        <v>8930</v>
      </c>
      <c r="Q1924">
        <v>0</v>
      </c>
      <c r="R1924">
        <v>5720</v>
      </c>
      <c r="S1924" t="s">
        <v>151</v>
      </c>
      <c r="T1924" t="s">
        <v>30</v>
      </c>
      <c r="U1924">
        <v>2</v>
      </c>
      <c r="V1924" t="s">
        <v>31</v>
      </c>
      <c r="W1924">
        <f>excelsalesdata[[#This Row],[Quantity]]*excelsalesdata[[#This Row],[Unit_Price]]</f>
        <v>26790</v>
      </c>
      <c r="X1924">
        <f>excelsalesdata[[#This Row],[Gross_sales]]*excelsalesdata[[#This Row],[Discount_%]]</f>
        <v>0</v>
      </c>
      <c r="Y1924">
        <f>excelsalesdata[[#This Row],[Gross_sales]]-excelsalesdata[[#This Row],[Discount_amt]]</f>
        <v>26790</v>
      </c>
      <c r="Z1924" s="4">
        <f>excelsalesdata[[#This Row],[Net_sales]]-excelsalesdata[[#This Row],[Cost]]</f>
        <v>21070</v>
      </c>
      <c r="AA1924" s="5">
        <f>excelsalesdata[[#This Row],[Profit]]/excelsalesdata[[#This Row],[Net_sales]]</f>
        <v>0.78648749533407991</v>
      </c>
      <c r="AB1924" s="4">
        <f>YEAR(excelsalesdata[[#This Row],[Order_Date]])</f>
        <v>2030</v>
      </c>
      <c r="AC1924" s="4" t="str">
        <f>TEXT(excelsalesdata[[#This Row],[Order_Date]],"mmm")</f>
        <v>Jul</v>
      </c>
      <c r="AD1924" s="4" t="str">
        <f>"Q"&amp;ROUNDUP(MONTH(excelsalesdata[[#This Row],[Order_Date]])/3,0)</f>
        <v>Q3</v>
      </c>
    </row>
    <row r="1925" spans="1:30" x14ac:dyDescent="0.35">
      <c r="A1925" t="s">
        <v>2770</v>
      </c>
      <c r="B1925" s="3">
        <v>47683</v>
      </c>
      <c r="C1925" t="s">
        <v>816</v>
      </c>
      <c r="D1925" t="s">
        <v>1108</v>
      </c>
      <c r="E1925" t="str">
        <f>TRIM(excelsalesdata[[#This Row],[Customer_Name]])</f>
        <v>Rohan Verma</v>
      </c>
      <c r="F1925" t="s">
        <v>44</v>
      </c>
      <c r="G1925">
        <v>49</v>
      </c>
      <c r="H1925" t="s">
        <v>98</v>
      </c>
      <c r="I1925" t="str">
        <f>TRIM(excelsalesdata[[#This Row],[City]])</f>
        <v>Mumbai</v>
      </c>
      <c r="J1925" t="s">
        <v>25</v>
      </c>
      <c r="K1925" t="s">
        <v>26</v>
      </c>
      <c r="L1925" t="s">
        <v>38</v>
      </c>
      <c r="M1925" t="s">
        <v>119</v>
      </c>
      <c r="N1925" t="s">
        <v>119</v>
      </c>
      <c r="O1925">
        <v>4</v>
      </c>
      <c r="P1925">
        <v>8140</v>
      </c>
      <c r="Q1925">
        <v>0.1</v>
      </c>
      <c r="R1925">
        <v>5860</v>
      </c>
      <c r="S1925" t="s">
        <v>67</v>
      </c>
      <c r="T1925" t="s">
        <v>30</v>
      </c>
      <c r="U1925">
        <v>3</v>
      </c>
      <c r="V1925" t="s">
        <v>40</v>
      </c>
      <c r="W1925">
        <f>excelsalesdata[[#This Row],[Quantity]]*excelsalesdata[[#This Row],[Unit_Price]]</f>
        <v>32560</v>
      </c>
      <c r="X1925">
        <f>excelsalesdata[[#This Row],[Gross_sales]]*excelsalesdata[[#This Row],[Discount_%]]</f>
        <v>3256</v>
      </c>
      <c r="Y1925">
        <f>excelsalesdata[[#This Row],[Gross_sales]]-excelsalesdata[[#This Row],[Discount_amt]]</f>
        <v>29304</v>
      </c>
      <c r="Z1925" s="4">
        <f>excelsalesdata[[#This Row],[Net_sales]]-excelsalesdata[[#This Row],[Cost]]</f>
        <v>23444</v>
      </c>
      <c r="AA1925" s="5">
        <f>excelsalesdata[[#This Row],[Profit]]/excelsalesdata[[#This Row],[Net_sales]]</f>
        <v>0.80002730002730005</v>
      </c>
      <c r="AB1925" s="4">
        <f>YEAR(excelsalesdata[[#This Row],[Order_Date]])</f>
        <v>2030</v>
      </c>
      <c r="AC1925" s="4" t="str">
        <f>TEXT(excelsalesdata[[#This Row],[Order_Date]],"mmm")</f>
        <v>Jul</v>
      </c>
      <c r="AD1925" s="4" t="str">
        <f>"Q"&amp;ROUNDUP(MONTH(excelsalesdata[[#This Row],[Order_Date]])/3,0)</f>
        <v>Q3</v>
      </c>
    </row>
    <row r="1926" spans="1:30" x14ac:dyDescent="0.35">
      <c r="A1926" t="s">
        <v>2771</v>
      </c>
      <c r="B1926" s="3">
        <v>47684</v>
      </c>
      <c r="C1926" t="s">
        <v>494</v>
      </c>
      <c r="D1926" t="s">
        <v>268</v>
      </c>
      <c r="E1926" t="str">
        <f>TRIM(excelsalesdata[[#This Row],[Customer_Name]])</f>
        <v>Diya Shah</v>
      </c>
      <c r="F1926" t="s">
        <v>44</v>
      </c>
      <c r="G1926">
        <v>31</v>
      </c>
      <c r="H1926" t="s">
        <v>114</v>
      </c>
      <c r="I1926" t="str">
        <f>TRIM(excelsalesdata[[#This Row],[City]])</f>
        <v>Hyderabad</v>
      </c>
      <c r="J1926" t="s">
        <v>115</v>
      </c>
      <c r="K1926" t="s">
        <v>47</v>
      </c>
      <c r="L1926" t="s">
        <v>85</v>
      </c>
      <c r="M1926" t="s">
        <v>251</v>
      </c>
      <c r="N1926" t="s">
        <v>251</v>
      </c>
      <c r="O1926">
        <v>1</v>
      </c>
      <c r="P1926">
        <v>3050</v>
      </c>
      <c r="Q1926">
        <v>0.2</v>
      </c>
      <c r="R1926">
        <v>1850</v>
      </c>
      <c r="S1926" t="s">
        <v>105</v>
      </c>
      <c r="T1926" t="s">
        <v>74</v>
      </c>
      <c r="U1926">
        <v>1</v>
      </c>
      <c r="V1926" t="s">
        <v>40</v>
      </c>
      <c r="W1926">
        <f>excelsalesdata[[#This Row],[Quantity]]*excelsalesdata[[#This Row],[Unit_Price]]</f>
        <v>3050</v>
      </c>
      <c r="X1926">
        <f>excelsalesdata[[#This Row],[Gross_sales]]*excelsalesdata[[#This Row],[Discount_%]]</f>
        <v>610</v>
      </c>
      <c r="Y1926">
        <f>excelsalesdata[[#This Row],[Gross_sales]]-excelsalesdata[[#This Row],[Discount_amt]]</f>
        <v>2440</v>
      </c>
      <c r="Z1926" s="4">
        <f>excelsalesdata[[#This Row],[Net_sales]]-excelsalesdata[[#This Row],[Cost]]</f>
        <v>590</v>
      </c>
      <c r="AA1926" s="5">
        <f>excelsalesdata[[#This Row],[Profit]]/excelsalesdata[[#This Row],[Net_sales]]</f>
        <v>0.24180327868852458</v>
      </c>
      <c r="AB1926" s="4">
        <f>YEAR(excelsalesdata[[#This Row],[Order_Date]])</f>
        <v>2030</v>
      </c>
      <c r="AC1926" s="4" t="str">
        <f>TEXT(excelsalesdata[[#This Row],[Order_Date]],"mmm")</f>
        <v>Jul</v>
      </c>
      <c r="AD1926" s="4" t="str">
        <f>"Q"&amp;ROUNDUP(MONTH(excelsalesdata[[#This Row],[Order_Date]])/3,0)</f>
        <v>Q3</v>
      </c>
    </row>
    <row r="1927" spans="1:30" x14ac:dyDescent="0.35">
      <c r="A1927" t="s">
        <v>2772</v>
      </c>
      <c r="B1927" s="3">
        <v>47685</v>
      </c>
      <c r="C1927" t="s">
        <v>979</v>
      </c>
      <c r="D1927" t="s">
        <v>770</v>
      </c>
      <c r="E1927" t="str">
        <f>TRIM(excelsalesdata[[#This Row],[Customer_Name]])</f>
        <v>Karan Naidu</v>
      </c>
      <c r="F1927" t="s">
        <v>23</v>
      </c>
      <c r="G1927">
        <v>42</v>
      </c>
      <c r="H1927" t="s">
        <v>185</v>
      </c>
      <c r="I1927" t="str">
        <f>TRIM(excelsalesdata[[#This Row],[City]])</f>
        <v>Lucknow</v>
      </c>
      <c r="J1927" t="s">
        <v>186</v>
      </c>
      <c r="K1927" t="s">
        <v>61</v>
      </c>
      <c r="L1927" t="s">
        <v>93</v>
      </c>
      <c r="M1927" t="s">
        <v>206</v>
      </c>
      <c r="N1927" t="s">
        <v>206</v>
      </c>
      <c r="O1927">
        <v>2</v>
      </c>
      <c r="P1927">
        <v>660</v>
      </c>
      <c r="Q1927">
        <v>0.2</v>
      </c>
      <c r="R1927">
        <v>290</v>
      </c>
      <c r="S1927" t="s">
        <v>80</v>
      </c>
      <c r="T1927" t="s">
        <v>30</v>
      </c>
      <c r="U1927">
        <v>7</v>
      </c>
      <c r="V1927" t="s">
        <v>31</v>
      </c>
      <c r="W1927">
        <f>excelsalesdata[[#This Row],[Quantity]]*excelsalesdata[[#This Row],[Unit_Price]]</f>
        <v>1320</v>
      </c>
      <c r="X1927">
        <f>excelsalesdata[[#This Row],[Gross_sales]]*excelsalesdata[[#This Row],[Discount_%]]</f>
        <v>264</v>
      </c>
      <c r="Y1927">
        <f>excelsalesdata[[#This Row],[Gross_sales]]-excelsalesdata[[#This Row],[Discount_amt]]</f>
        <v>1056</v>
      </c>
      <c r="Z1927" s="4">
        <f>excelsalesdata[[#This Row],[Net_sales]]-excelsalesdata[[#This Row],[Cost]]</f>
        <v>766</v>
      </c>
      <c r="AA1927" s="5">
        <f>excelsalesdata[[#This Row],[Profit]]/excelsalesdata[[#This Row],[Net_sales]]</f>
        <v>0.72537878787878785</v>
      </c>
      <c r="AB1927" s="4">
        <f>YEAR(excelsalesdata[[#This Row],[Order_Date]])</f>
        <v>2030</v>
      </c>
      <c r="AC1927" s="4" t="str">
        <f>TEXT(excelsalesdata[[#This Row],[Order_Date]],"mmm")</f>
        <v>Jul</v>
      </c>
      <c r="AD1927" s="4" t="str">
        <f>"Q"&amp;ROUNDUP(MONTH(excelsalesdata[[#This Row],[Order_Date]])/3,0)</f>
        <v>Q3</v>
      </c>
    </row>
    <row r="1928" spans="1:30" x14ac:dyDescent="0.35">
      <c r="A1928" t="s">
        <v>2773</v>
      </c>
      <c r="B1928" s="3">
        <v>47686</v>
      </c>
      <c r="C1928" t="s">
        <v>415</v>
      </c>
      <c r="D1928" t="s">
        <v>359</v>
      </c>
      <c r="E1928" t="str">
        <f>TRIM(excelsalesdata[[#This Row],[Customer_Name]])</f>
        <v>Vikram Nair</v>
      </c>
      <c r="F1928" t="s">
        <v>23</v>
      </c>
      <c r="G1928">
        <v>44</v>
      </c>
      <c r="H1928" t="s">
        <v>114</v>
      </c>
      <c r="I1928" t="str">
        <f>TRIM(excelsalesdata[[#This Row],[City]])</f>
        <v>Hyderabad</v>
      </c>
      <c r="J1928" t="s">
        <v>115</v>
      </c>
      <c r="K1928" t="s">
        <v>47</v>
      </c>
      <c r="L1928" t="s">
        <v>103</v>
      </c>
      <c r="M1928" t="s">
        <v>347</v>
      </c>
      <c r="N1928" t="s">
        <v>347</v>
      </c>
      <c r="O1928">
        <v>1</v>
      </c>
      <c r="P1928">
        <v>11710</v>
      </c>
      <c r="Q1928">
        <v>0.15</v>
      </c>
      <c r="R1928">
        <v>8040</v>
      </c>
      <c r="S1928" t="s">
        <v>29</v>
      </c>
      <c r="T1928" t="s">
        <v>30</v>
      </c>
      <c r="U1928">
        <v>5</v>
      </c>
      <c r="V1928" t="s">
        <v>40</v>
      </c>
      <c r="W1928">
        <f>excelsalesdata[[#This Row],[Quantity]]*excelsalesdata[[#This Row],[Unit_Price]]</f>
        <v>11710</v>
      </c>
      <c r="X1928">
        <f>excelsalesdata[[#This Row],[Gross_sales]]*excelsalesdata[[#This Row],[Discount_%]]</f>
        <v>1756.5</v>
      </c>
      <c r="Y1928">
        <f>excelsalesdata[[#This Row],[Gross_sales]]-excelsalesdata[[#This Row],[Discount_amt]]</f>
        <v>9953.5</v>
      </c>
      <c r="Z1928" s="4">
        <f>excelsalesdata[[#This Row],[Net_sales]]-excelsalesdata[[#This Row],[Cost]]</f>
        <v>1913.5</v>
      </c>
      <c r="AA1928" s="5">
        <f>excelsalesdata[[#This Row],[Profit]]/excelsalesdata[[#This Row],[Net_sales]]</f>
        <v>0.19224393429446929</v>
      </c>
      <c r="AB1928" s="4">
        <f>YEAR(excelsalesdata[[#This Row],[Order_Date]])</f>
        <v>2030</v>
      </c>
      <c r="AC1928" s="4" t="str">
        <f>TEXT(excelsalesdata[[#This Row],[Order_Date]],"mmm")</f>
        <v>Jul</v>
      </c>
      <c r="AD1928" s="4" t="str">
        <f>"Q"&amp;ROUNDUP(MONTH(excelsalesdata[[#This Row],[Order_Date]])/3,0)</f>
        <v>Q3</v>
      </c>
    </row>
    <row r="1929" spans="1:30" x14ac:dyDescent="0.35">
      <c r="A1929" t="s">
        <v>2774</v>
      </c>
      <c r="B1929" s="3">
        <v>47687</v>
      </c>
      <c r="C1929" t="s">
        <v>1189</v>
      </c>
      <c r="D1929" t="s">
        <v>268</v>
      </c>
      <c r="E1929" t="str">
        <f>TRIM(excelsalesdata[[#This Row],[Customer_Name]])</f>
        <v>Diya Shah</v>
      </c>
      <c r="F1929" t="s">
        <v>23</v>
      </c>
      <c r="G1929">
        <v>37</v>
      </c>
      <c r="H1929" t="s">
        <v>60</v>
      </c>
      <c r="I1929" t="str">
        <f>TRIM(excelsalesdata[[#This Row],[City]])</f>
        <v>Chandigarh</v>
      </c>
      <c r="J1929" t="s">
        <v>60</v>
      </c>
      <c r="K1929" t="s">
        <v>61</v>
      </c>
      <c r="L1929" t="s">
        <v>103</v>
      </c>
      <c r="M1929" t="s">
        <v>347</v>
      </c>
      <c r="N1929" t="s">
        <v>347</v>
      </c>
      <c r="O1929">
        <v>3</v>
      </c>
      <c r="P1929">
        <v>12360</v>
      </c>
      <c r="Q1929">
        <v>0.2</v>
      </c>
      <c r="R1929">
        <v>8070</v>
      </c>
      <c r="S1929" t="s">
        <v>29</v>
      </c>
      <c r="T1929" t="s">
        <v>74</v>
      </c>
      <c r="U1929">
        <v>3</v>
      </c>
      <c r="V1929" t="s">
        <v>40</v>
      </c>
      <c r="W1929">
        <f>excelsalesdata[[#This Row],[Quantity]]*excelsalesdata[[#This Row],[Unit_Price]]</f>
        <v>37080</v>
      </c>
      <c r="X1929">
        <f>excelsalesdata[[#This Row],[Gross_sales]]*excelsalesdata[[#This Row],[Discount_%]]</f>
        <v>7416</v>
      </c>
      <c r="Y1929">
        <f>excelsalesdata[[#This Row],[Gross_sales]]-excelsalesdata[[#This Row],[Discount_amt]]</f>
        <v>29664</v>
      </c>
      <c r="Z1929" s="4">
        <f>excelsalesdata[[#This Row],[Net_sales]]-excelsalesdata[[#This Row],[Cost]]</f>
        <v>21594</v>
      </c>
      <c r="AA1929" s="5">
        <f>excelsalesdata[[#This Row],[Profit]]/excelsalesdata[[#This Row],[Net_sales]]</f>
        <v>0.72795307443365698</v>
      </c>
      <c r="AB1929" s="4">
        <f>YEAR(excelsalesdata[[#This Row],[Order_Date]])</f>
        <v>2030</v>
      </c>
      <c r="AC1929" s="4" t="str">
        <f>TEXT(excelsalesdata[[#This Row],[Order_Date]],"mmm")</f>
        <v>Jul</v>
      </c>
      <c r="AD1929" s="4" t="str">
        <f>"Q"&amp;ROUNDUP(MONTH(excelsalesdata[[#This Row],[Order_Date]])/3,0)</f>
        <v>Q3</v>
      </c>
    </row>
    <row r="1930" spans="1:30" x14ac:dyDescent="0.35">
      <c r="A1930" t="s">
        <v>2775</v>
      </c>
      <c r="B1930" s="3">
        <v>47688</v>
      </c>
      <c r="C1930" t="s">
        <v>1417</v>
      </c>
      <c r="D1930" t="s">
        <v>262</v>
      </c>
      <c r="E1930" t="str">
        <f>TRIM(excelsalesdata[[#This Row],[Customer_Name]])</f>
        <v>Arjun Joshi</v>
      </c>
      <c r="F1930" t="s">
        <v>23</v>
      </c>
      <c r="G1930">
        <v>52</v>
      </c>
      <c r="H1930" t="s">
        <v>60</v>
      </c>
      <c r="I1930" t="str">
        <f>TRIM(excelsalesdata[[#This Row],[City]])</f>
        <v>Chandigarh</v>
      </c>
      <c r="J1930" t="s">
        <v>60</v>
      </c>
      <c r="K1930" t="s">
        <v>61</v>
      </c>
      <c r="L1930" t="s">
        <v>54</v>
      </c>
      <c r="M1930" t="s">
        <v>66</v>
      </c>
      <c r="N1930" t="s">
        <v>66</v>
      </c>
      <c r="O1930">
        <v>2</v>
      </c>
      <c r="P1930">
        <v>2300</v>
      </c>
      <c r="Q1930">
        <v>0.15</v>
      </c>
      <c r="R1930">
        <v>1510</v>
      </c>
      <c r="S1930" t="s">
        <v>29</v>
      </c>
      <c r="T1930" t="s">
        <v>30</v>
      </c>
      <c r="U1930">
        <v>3</v>
      </c>
      <c r="V1930" t="s">
        <v>31</v>
      </c>
      <c r="W1930">
        <f>excelsalesdata[[#This Row],[Quantity]]*excelsalesdata[[#This Row],[Unit_Price]]</f>
        <v>4600</v>
      </c>
      <c r="X1930">
        <f>excelsalesdata[[#This Row],[Gross_sales]]*excelsalesdata[[#This Row],[Discount_%]]</f>
        <v>690</v>
      </c>
      <c r="Y1930">
        <f>excelsalesdata[[#This Row],[Gross_sales]]-excelsalesdata[[#This Row],[Discount_amt]]</f>
        <v>3910</v>
      </c>
      <c r="Z1930" s="4">
        <f>excelsalesdata[[#This Row],[Net_sales]]-excelsalesdata[[#This Row],[Cost]]</f>
        <v>2400</v>
      </c>
      <c r="AA1930" s="5">
        <f>excelsalesdata[[#This Row],[Profit]]/excelsalesdata[[#This Row],[Net_sales]]</f>
        <v>0.61381074168797956</v>
      </c>
      <c r="AB1930" s="4">
        <f>YEAR(excelsalesdata[[#This Row],[Order_Date]])</f>
        <v>2030</v>
      </c>
      <c r="AC1930" s="4" t="str">
        <f>TEXT(excelsalesdata[[#This Row],[Order_Date]],"mmm")</f>
        <v>Jul</v>
      </c>
      <c r="AD1930" s="4" t="str">
        <f>"Q"&amp;ROUNDUP(MONTH(excelsalesdata[[#This Row],[Order_Date]])/3,0)</f>
        <v>Q3</v>
      </c>
    </row>
    <row r="1931" spans="1:30" x14ac:dyDescent="0.35">
      <c r="A1931" t="s">
        <v>2776</v>
      </c>
      <c r="B1931" s="3">
        <v>47689</v>
      </c>
      <c r="C1931" t="s">
        <v>1440</v>
      </c>
      <c r="D1931" t="s">
        <v>1756</v>
      </c>
      <c r="E1931" t="str">
        <f>TRIM(excelsalesdata[[#This Row],[Customer_Name]])</f>
        <v>Meera Rao</v>
      </c>
      <c r="F1931" t="s">
        <v>23</v>
      </c>
      <c r="G1931">
        <v>27</v>
      </c>
      <c r="H1931" t="s">
        <v>98</v>
      </c>
      <c r="I1931" t="str">
        <f>TRIM(excelsalesdata[[#This Row],[City]])</f>
        <v>Mumbai</v>
      </c>
      <c r="J1931" t="s">
        <v>25</v>
      </c>
      <c r="K1931" t="s">
        <v>26</v>
      </c>
      <c r="L1931" t="s">
        <v>38</v>
      </c>
      <c r="M1931" t="s">
        <v>119</v>
      </c>
      <c r="N1931" t="s">
        <v>119</v>
      </c>
      <c r="O1931">
        <v>4</v>
      </c>
      <c r="P1931">
        <v>9040</v>
      </c>
      <c r="Q1931">
        <v>0.05</v>
      </c>
      <c r="R1931">
        <v>5530</v>
      </c>
      <c r="S1931" t="s">
        <v>105</v>
      </c>
      <c r="T1931" t="s">
        <v>74</v>
      </c>
      <c r="U1931">
        <v>4</v>
      </c>
      <c r="V1931" t="s">
        <v>40</v>
      </c>
      <c r="W1931">
        <f>excelsalesdata[[#This Row],[Quantity]]*excelsalesdata[[#This Row],[Unit_Price]]</f>
        <v>36160</v>
      </c>
      <c r="X1931">
        <f>excelsalesdata[[#This Row],[Gross_sales]]*excelsalesdata[[#This Row],[Discount_%]]</f>
        <v>1808</v>
      </c>
      <c r="Y1931">
        <f>excelsalesdata[[#This Row],[Gross_sales]]-excelsalesdata[[#This Row],[Discount_amt]]</f>
        <v>34352</v>
      </c>
      <c r="Z1931" s="4">
        <f>excelsalesdata[[#This Row],[Net_sales]]-excelsalesdata[[#This Row],[Cost]]</f>
        <v>28822</v>
      </c>
      <c r="AA1931" s="5">
        <f>excelsalesdata[[#This Row],[Profit]]/excelsalesdata[[#This Row],[Net_sales]]</f>
        <v>0.83901956217978579</v>
      </c>
      <c r="AB1931" s="4">
        <f>YEAR(excelsalesdata[[#This Row],[Order_Date]])</f>
        <v>2030</v>
      </c>
      <c r="AC1931" s="4" t="str">
        <f>TEXT(excelsalesdata[[#This Row],[Order_Date]],"mmm")</f>
        <v>Jul</v>
      </c>
      <c r="AD1931" s="4" t="str">
        <f>"Q"&amp;ROUNDUP(MONTH(excelsalesdata[[#This Row],[Order_Date]])/3,0)</f>
        <v>Q3</v>
      </c>
    </row>
    <row r="1932" spans="1:30" x14ac:dyDescent="0.35">
      <c r="A1932" t="s">
        <v>2777</v>
      </c>
      <c r="B1932" s="3">
        <v>47690</v>
      </c>
      <c r="C1932" t="s">
        <v>223</v>
      </c>
      <c r="D1932" t="s">
        <v>448</v>
      </c>
      <c r="E1932" t="str">
        <f>TRIM(excelsalesdata[[#This Row],[Customer_Name]])</f>
        <v>Nisha Mehta</v>
      </c>
      <c r="F1932" t="s">
        <v>23</v>
      </c>
      <c r="G1932">
        <v>51</v>
      </c>
      <c r="H1932" t="s">
        <v>109</v>
      </c>
      <c r="I1932" t="str">
        <f>TRIM(excelsalesdata[[#This Row],[City]])</f>
        <v>Mysuru</v>
      </c>
      <c r="J1932" t="s">
        <v>53</v>
      </c>
      <c r="K1932" t="s">
        <v>47</v>
      </c>
      <c r="L1932" t="s">
        <v>103</v>
      </c>
      <c r="M1932" t="s">
        <v>347</v>
      </c>
      <c r="N1932" t="s">
        <v>347</v>
      </c>
      <c r="O1932">
        <v>5</v>
      </c>
      <c r="P1932">
        <v>11610</v>
      </c>
      <c r="Q1932">
        <v>0.05</v>
      </c>
      <c r="R1932">
        <v>8190</v>
      </c>
      <c r="S1932" t="s">
        <v>80</v>
      </c>
      <c r="T1932" t="s">
        <v>30</v>
      </c>
      <c r="U1932">
        <v>3</v>
      </c>
      <c r="V1932" t="s">
        <v>40</v>
      </c>
      <c r="W1932">
        <f>excelsalesdata[[#This Row],[Quantity]]*excelsalesdata[[#This Row],[Unit_Price]]</f>
        <v>58050</v>
      </c>
      <c r="X1932">
        <f>excelsalesdata[[#This Row],[Gross_sales]]*excelsalesdata[[#This Row],[Discount_%]]</f>
        <v>2902.5</v>
      </c>
      <c r="Y1932">
        <f>excelsalesdata[[#This Row],[Gross_sales]]-excelsalesdata[[#This Row],[Discount_amt]]</f>
        <v>55147.5</v>
      </c>
      <c r="Z1932" s="4">
        <f>excelsalesdata[[#This Row],[Net_sales]]-excelsalesdata[[#This Row],[Cost]]</f>
        <v>46957.5</v>
      </c>
      <c r="AA1932" s="5">
        <f>excelsalesdata[[#This Row],[Profit]]/excelsalesdata[[#This Row],[Net_sales]]</f>
        <v>0.85148918808649532</v>
      </c>
      <c r="AB1932" s="4">
        <f>YEAR(excelsalesdata[[#This Row],[Order_Date]])</f>
        <v>2030</v>
      </c>
      <c r="AC1932" s="4" t="str">
        <f>TEXT(excelsalesdata[[#This Row],[Order_Date]],"mmm")</f>
        <v>Jul</v>
      </c>
      <c r="AD1932" s="4" t="str">
        <f>"Q"&amp;ROUNDUP(MONTH(excelsalesdata[[#This Row],[Order_Date]])/3,0)</f>
        <v>Q3</v>
      </c>
    </row>
    <row r="1933" spans="1:30" x14ac:dyDescent="0.35">
      <c r="A1933" t="s">
        <v>2778</v>
      </c>
      <c r="B1933" s="3">
        <v>47691</v>
      </c>
      <c r="C1933" t="s">
        <v>1123</v>
      </c>
      <c r="D1933" t="s">
        <v>445</v>
      </c>
      <c r="E1933" t="str">
        <f>TRIM(excelsalesdata[[#This Row],[Customer_Name]])</f>
        <v>Priya Gupta</v>
      </c>
      <c r="F1933" t="s">
        <v>44</v>
      </c>
      <c r="G1933">
        <v>49</v>
      </c>
      <c r="H1933" t="s">
        <v>78</v>
      </c>
      <c r="I1933" t="str">
        <f>TRIM(excelsalesdata[[#This Row],[City]])</f>
        <v>Guwahati</v>
      </c>
      <c r="J1933" t="s">
        <v>79</v>
      </c>
      <c r="K1933" t="s">
        <v>37</v>
      </c>
      <c r="L1933" t="s">
        <v>27</v>
      </c>
      <c r="M1933" t="s">
        <v>123</v>
      </c>
      <c r="N1933" t="s">
        <v>123</v>
      </c>
      <c r="O1933">
        <v>5</v>
      </c>
      <c r="P1933">
        <v>2610</v>
      </c>
      <c r="Q1933">
        <v>0.1</v>
      </c>
      <c r="R1933">
        <v>1650</v>
      </c>
      <c r="S1933" t="s">
        <v>80</v>
      </c>
      <c r="T1933" t="s">
        <v>30</v>
      </c>
      <c r="U1933">
        <v>10</v>
      </c>
      <c r="V1933" t="s">
        <v>40</v>
      </c>
      <c r="W1933">
        <f>excelsalesdata[[#This Row],[Quantity]]*excelsalesdata[[#This Row],[Unit_Price]]</f>
        <v>13050</v>
      </c>
      <c r="X1933">
        <f>excelsalesdata[[#This Row],[Gross_sales]]*excelsalesdata[[#This Row],[Discount_%]]</f>
        <v>1305</v>
      </c>
      <c r="Y1933">
        <f>excelsalesdata[[#This Row],[Gross_sales]]-excelsalesdata[[#This Row],[Discount_amt]]</f>
        <v>11745</v>
      </c>
      <c r="Z1933" s="4">
        <f>excelsalesdata[[#This Row],[Net_sales]]-excelsalesdata[[#This Row],[Cost]]</f>
        <v>10095</v>
      </c>
      <c r="AA1933" s="5">
        <f>excelsalesdata[[#This Row],[Profit]]/excelsalesdata[[#This Row],[Net_sales]]</f>
        <v>0.85951468710089396</v>
      </c>
      <c r="AB1933" s="4">
        <f>YEAR(excelsalesdata[[#This Row],[Order_Date]])</f>
        <v>2030</v>
      </c>
      <c r="AC1933" s="4" t="str">
        <f>TEXT(excelsalesdata[[#This Row],[Order_Date]],"mmm")</f>
        <v>Jul</v>
      </c>
      <c r="AD1933" s="4" t="str">
        <f>"Q"&amp;ROUNDUP(MONTH(excelsalesdata[[#This Row],[Order_Date]])/3,0)</f>
        <v>Q3</v>
      </c>
    </row>
    <row r="1934" spans="1:30" x14ac:dyDescent="0.35">
      <c r="A1934" t="s">
        <v>2779</v>
      </c>
      <c r="B1934" s="3">
        <v>47692</v>
      </c>
      <c r="C1934" t="s">
        <v>616</v>
      </c>
      <c r="D1934" t="s">
        <v>544</v>
      </c>
      <c r="E1934" t="str">
        <f>TRIM(excelsalesdata[[#This Row],[Customer_Name]])</f>
        <v>Kavya Iyer</v>
      </c>
      <c r="F1934" t="s">
        <v>23</v>
      </c>
      <c r="G1934">
        <v>28</v>
      </c>
      <c r="H1934" t="s">
        <v>98</v>
      </c>
      <c r="I1934" t="str">
        <f>TRIM(excelsalesdata[[#This Row],[City]])</f>
        <v>Mumbai</v>
      </c>
      <c r="J1934" t="s">
        <v>25</v>
      </c>
      <c r="K1934" t="s">
        <v>26</v>
      </c>
      <c r="L1934" t="s">
        <v>85</v>
      </c>
      <c r="M1934" t="s">
        <v>86</v>
      </c>
      <c r="N1934" t="s">
        <v>86</v>
      </c>
      <c r="O1934">
        <v>2</v>
      </c>
      <c r="P1934">
        <v>2380</v>
      </c>
      <c r="Q1934">
        <v>0.15</v>
      </c>
      <c r="R1934">
        <v>1480</v>
      </c>
      <c r="S1934" t="s">
        <v>80</v>
      </c>
      <c r="T1934" t="s">
        <v>30</v>
      </c>
      <c r="U1934">
        <v>4</v>
      </c>
      <c r="V1934" t="s">
        <v>40</v>
      </c>
      <c r="W1934">
        <f>excelsalesdata[[#This Row],[Quantity]]*excelsalesdata[[#This Row],[Unit_Price]]</f>
        <v>4760</v>
      </c>
      <c r="X1934">
        <f>excelsalesdata[[#This Row],[Gross_sales]]*excelsalesdata[[#This Row],[Discount_%]]</f>
        <v>714</v>
      </c>
      <c r="Y1934">
        <f>excelsalesdata[[#This Row],[Gross_sales]]-excelsalesdata[[#This Row],[Discount_amt]]</f>
        <v>4046</v>
      </c>
      <c r="Z1934" s="4">
        <f>excelsalesdata[[#This Row],[Net_sales]]-excelsalesdata[[#This Row],[Cost]]</f>
        <v>2566</v>
      </c>
      <c r="AA1934" s="5">
        <f>excelsalesdata[[#This Row],[Profit]]/excelsalesdata[[#This Row],[Net_sales]]</f>
        <v>0.63420662382600101</v>
      </c>
      <c r="AB1934" s="4">
        <f>YEAR(excelsalesdata[[#This Row],[Order_Date]])</f>
        <v>2030</v>
      </c>
      <c r="AC1934" s="4" t="str">
        <f>TEXT(excelsalesdata[[#This Row],[Order_Date]],"mmm")</f>
        <v>Jul</v>
      </c>
      <c r="AD1934" s="4" t="str">
        <f>"Q"&amp;ROUNDUP(MONTH(excelsalesdata[[#This Row],[Order_Date]])/3,0)</f>
        <v>Q3</v>
      </c>
    </row>
    <row r="1935" spans="1:30" x14ac:dyDescent="0.35">
      <c r="A1935" t="s">
        <v>2780</v>
      </c>
      <c r="B1935" s="3">
        <v>47693</v>
      </c>
      <c r="C1935" t="s">
        <v>1068</v>
      </c>
      <c r="D1935" t="s">
        <v>89</v>
      </c>
      <c r="E1935" t="str">
        <f>TRIM(excelsalesdata[[#This Row],[Customer_Name]])</f>
        <v>Karan Shah</v>
      </c>
      <c r="F1935" t="s">
        <v>44</v>
      </c>
      <c r="G1935">
        <v>21</v>
      </c>
      <c r="H1935" t="s">
        <v>45</v>
      </c>
      <c r="I1935" t="str">
        <f>TRIM(excelsalesdata[[#This Row],[City]])</f>
        <v>Kochi</v>
      </c>
      <c r="J1935" t="s">
        <v>46</v>
      </c>
      <c r="K1935" t="s">
        <v>47</v>
      </c>
      <c r="L1935" t="s">
        <v>93</v>
      </c>
      <c r="M1935" t="s">
        <v>206</v>
      </c>
      <c r="N1935" t="s">
        <v>206</v>
      </c>
      <c r="O1935">
        <v>1</v>
      </c>
      <c r="P1935">
        <v>640</v>
      </c>
      <c r="Q1935">
        <v>0.3</v>
      </c>
      <c r="R1935">
        <v>290</v>
      </c>
      <c r="S1935" t="s">
        <v>80</v>
      </c>
      <c r="T1935" t="s">
        <v>30</v>
      </c>
      <c r="U1935">
        <v>1</v>
      </c>
      <c r="V1935" t="s">
        <v>31</v>
      </c>
      <c r="W1935">
        <f>excelsalesdata[[#This Row],[Quantity]]*excelsalesdata[[#This Row],[Unit_Price]]</f>
        <v>640</v>
      </c>
      <c r="X1935">
        <f>excelsalesdata[[#This Row],[Gross_sales]]*excelsalesdata[[#This Row],[Discount_%]]</f>
        <v>192</v>
      </c>
      <c r="Y1935">
        <f>excelsalesdata[[#This Row],[Gross_sales]]-excelsalesdata[[#This Row],[Discount_amt]]</f>
        <v>448</v>
      </c>
      <c r="Z1935" s="4">
        <f>excelsalesdata[[#This Row],[Net_sales]]-excelsalesdata[[#This Row],[Cost]]</f>
        <v>158</v>
      </c>
      <c r="AA1935" s="5">
        <f>excelsalesdata[[#This Row],[Profit]]/excelsalesdata[[#This Row],[Net_sales]]</f>
        <v>0.35267857142857145</v>
      </c>
      <c r="AB1935" s="4">
        <f>YEAR(excelsalesdata[[#This Row],[Order_Date]])</f>
        <v>2030</v>
      </c>
      <c r="AC1935" s="4" t="str">
        <f>TEXT(excelsalesdata[[#This Row],[Order_Date]],"mmm")</f>
        <v>Jul</v>
      </c>
      <c r="AD1935" s="4" t="str">
        <f>"Q"&amp;ROUNDUP(MONTH(excelsalesdata[[#This Row],[Order_Date]])/3,0)</f>
        <v>Q3</v>
      </c>
    </row>
    <row r="1936" spans="1:30" x14ac:dyDescent="0.35">
      <c r="A1936" t="s">
        <v>2781</v>
      </c>
      <c r="B1936" s="3">
        <v>47694</v>
      </c>
      <c r="C1936" t="s">
        <v>1399</v>
      </c>
      <c r="D1936" t="s">
        <v>544</v>
      </c>
      <c r="E1936" t="str">
        <f>TRIM(excelsalesdata[[#This Row],[Customer_Name]])</f>
        <v>Kavya Iyer</v>
      </c>
      <c r="F1936" t="s">
        <v>23</v>
      </c>
      <c r="G1936">
        <v>30</v>
      </c>
      <c r="H1936" t="s">
        <v>155</v>
      </c>
      <c r="I1936" t="str">
        <f>TRIM(excelsalesdata[[#This Row],[City]])</f>
        <v>Chennai</v>
      </c>
      <c r="J1936" t="s">
        <v>156</v>
      </c>
      <c r="K1936" t="s">
        <v>47</v>
      </c>
      <c r="L1936" t="s">
        <v>54</v>
      </c>
      <c r="M1936" t="s">
        <v>62</v>
      </c>
      <c r="N1936" t="s">
        <v>62</v>
      </c>
      <c r="O1936">
        <v>2</v>
      </c>
      <c r="P1936">
        <v>21270</v>
      </c>
      <c r="Q1936">
        <v>0.1</v>
      </c>
      <c r="R1936">
        <v>15130</v>
      </c>
      <c r="S1936" t="s">
        <v>29</v>
      </c>
      <c r="T1936" t="s">
        <v>74</v>
      </c>
      <c r="U1936">
        <v>3</v>
      </c>
      <c r="V1936" t="s">
        <v>40</v>
      </c>
      <c r="W1936">
        <f>excelsalesdata[[#This Row],[Quantity]]*excelsalesdata[[#This Row],[Unit_Price]]</f>
        <v>42540</v>
      </c>
      <c r="X1936">
        <f>excelsalesdata[[#This Row],[Gross_sales]]*excelsalesdata[[#This Row],[Discount_%]]</f>
        <v>4254</v>
      </c>
      <c r="Y1936">
        <f>excelsalesdata[[#This Row],[Gross_sales]]-excelsalesdata[[#This Row],[Discount_amt]]</f>
        <v>38286</v>
      </c>
      <c r="Z1936" s="4">
        <f>excelsalesdata[[#This Row],[Net_sales]]-excelsalesdata[[#This Row],[Cost]]</f>
        <v>23156</v>
      </c>
      <c r="AA1936" s="5">
        <f>excelsalesdata[[#This Row],[Profit]]/excelsalesdata[[#This Row],[Net_sales]]</f>
        <v>0.6048163819672987</v>
      </c>
      <c r="AB1936" s="4">
        <f>YEAR(excelsalesdata[[#This Row],[Order_Date]])</f>
        <v>2030</v>
      </c>
      <c r="AC1936" s="4" t="str">
        <f>TEXT(excelsalesdata[[#This Row],[Order_Date]],"mmm")</f>
        <v>Jul</v>
      </c>
      <c r="AD1936" s="4" t="str">
        <f>"Q"&amp;ROUNDUP(MONTH(excelsalesdata[[#This Row],[Order_Date]])/3,0)</f>
        <v>Q3</v>
      </c>
    </row>
    <row r="1937" spans="1:30" x14ac:dyDescent="0.35">
      <c r="A1937" t="s">
        <v>2782</v>
      </c>
      <c r="B1937" s="3">
        <v>47695</v>
      </c>
      <c r="C1937" t="s">
        <v>1837</v>
      </c>
      <c r="D1937" t="s">
        <v>189</v>
      </c>
      <c r="E1937" t="str">
        <f>TRIM(excelsalesdata[[#This Row],[Customer_Name]])</f>
        <v>Aarav Reddy</v>
      </c>
      <c r="F1937" t="s">
        <v>44</v>
      </c>
      <c r="G1937">
        <v>22</v>
      </c>
      <c r="H1937" t="s">
        <v>60</v>
      </c>
      <c r="I1937" t="str">
        <f>TRIM(excelsalesdata[[#This Row],[City]])</f>
        <v>Chandigarh</v>
      </c>
      <c r="J1937" t="s">
        <v>60</v>
      </c>
      <c r="K1937" t="s">
        <v>61</v>
      </c>
      <c r="L1937" t="s">
        <v>38</v>
      </c>
      <c r="M1937" t="s">
        <v>255</v>
      </c>
      <c r="N1937" t="s">
        <v>255</v>
      </c>
      <c r="O1937">
        <v>3</v>
      </c>
      <c r="P1937">
        <v>4830</v>
      </c>
      <c r="Q1937">
        <v>0</v>
      </c>
      <c r="R1937">
        <v>2760</v>
      </c>
      <c r="S1937" t="s">
        <v>80</v>
      </c>
      <c r="T1937" t="s">
        <v>30</v>
      </c>
      <c r="U1937">
        <v>3</v>
      </c>
      <c r="V1937" t="s">
        <v>40</v>
      </c>
      <c r="W1937">
        <f>excelsalesdata[[#This Row],[Quantity]]*excelsalesdata[[#This Row],[Unit_Price]]</f>
        <v>14490</v>
      </c>
      <c r="X1937">
        <f>excelsalesdata[[#This Row],[Gross_sales]]*excelsalesdata[[#This Row],[Discount_%]]</f>
        <v>0</v>
      </c>
      <c r="Y1937">
        <f>excelsalesdata[[#This Row],[Gross_sales]]-excelsalesdata[[#This Row],[Discount_amt]]</f>
        <v>14490</v>
      </c>
      <c r="Z1937" s="4">
        <f>excelsalesdata[[#This Row],[Net_sales]]-excelsalesdata[[#This Row],[Cost]]</f>
        <v>11730</v>
      </c>
      <c r="AA1937" s="5">
        <f>excelsalesdata[[#This Row],[Profit]]/excelsalesdata[[#This Row],[Net_sales]]</f>
        <v>0.80952380952380953</v>
      </c>
      <c r="AB1937" s="4">
        <f>YEAR(excelsalesdata[[#This Row],[Order_Date]])</f>
        <v>2030</v>
      </c>
      <c r="AC1937" s="4" t="str">
        <f>TEXT(excelsalesdata[[#This Row],[Order_Date]],"mmm")</f>
        <v>Jul</v>
      </c>
      <c r="AD1937" s="4" t="str">
        <f>"Q"&amp;ROUNDUP(MONTH(excelsalesdata[[#This Row],[Order_Date]])/3,0)</f>
        <v>Q3</v>
      </c>
    </row>
    <row r="1938" spans="1:30" x14ac:dyDescent="0.35">
      <c r="A1938" t="s">
        <v>2783</v>
      </c>
      <c r="B1938" s="3">
        <v>47696</v>
      </c>
      <c r="C1938" t="s">
        <v>1295</v>
      </c>
      <c r="D1938" t="s">
        <v>138</v>
      </c>
      <c r="E1938" t="str">
        <f>TRIM(excelsalesdata[[#This Row],[Customer_Name]])</f>
        <v>Vikram Bhat</v>
      </c>
      <c r="F1938" t="s">
        <v>44</v>
      </c>
      <c r="G1938">
        <v>56</v>
      </c>
      <c r="H1938" t="s">
        <v>109</v>
      </c>
      <c r="I1938" t="str">
        <f>TRIM(excelsalesdata[[#This Row],[City]])</f>
        <v>Mysuru</v>
      </c>
      <c r="J1938" t="s">
        <v>53</v>
      </c>
      <c r="K1938" t="s">
        <v>47</v>
      </c>
      <c r="L1938" t="s">
        <v>54</v>
      </c>
      <c r="M1938" t="s">
        <v>157</v>
      </c>
      <c r="N1938" t="s">
        <v>157</v>
      </c>
      <c r="O1938">
        <v>1</v>
      </c>
      <c r="P1938">
        <v>55420</v>
      </c>
      <c r="Q1938">
        <v>0.3</v>
      </c>
      <c r="R1938">
        <v>40830</v>
      </c>
      <c r="S1938" t="s">
        <v>80</v>
      </c>
      <c r="T1938" t="s">
        <v>30</v>
      </c>
      <c r="U1938">
        <v>4</v>
      </c>
      <c r="V1938" t="s">
        <v>31</v>
      </c>
      <c r="W1938">
        <f>excelsalesdata[[#This Row],[Quantity]]*excelsalesdata[[#This Row],[Unit_Price]]</f>
        <v>55420</v>
      </c>
      <c r="X1938">
        <f>excelsalesdata[[#This Row],[Gross_sales]]*excelsalesdata[[#This Row],[Discount_%]]</f>
        <v>16626</v>
      </c>
      <c r="Y1938">
        <f>excelsalesdata[[#This Row],[Gross_sales]]-excelsalesdata[[#This Row],[Discount_amt]]</f>
        <v>38794</v>
      </c>
      <c r="Z1938" s="4">
        <f>excelsalesdata[[#This Row],[Net_sales]]-excelsalesdata[[#This Row],[Cost]]</f>
        <v>-2036</v>
      </c>
      <c r="AA1938" s="5">
        <f>excelsalesdata[[#This Row],[Profit]]/excelsalesdata[[#This Row],[Net_sales]]</f>
        <v>-5.2482342630303658E-2</v>
      </c>
      <c r="AB1938" s="4">
        <f>YEAR(excelsalesdata[[#This Row],[Order_Date]])</f>
        <v>2030</v>
      </c>
      <c r="AC1938" s="4" t="str">
        <f>TEXT(excelsalesdata[[#This Row],[Order_Date]],"mmm")</f>
        <v>Aug</v>
      </c>
      <c r="AD1938" s="4" t="str">
        <f>"Q"&amp;ROUNDUP(MONTH(excelsalesdata[[#This Row],[Order_Date]])/3,0)</f>
        <v>Q3</v>
      </c>
    </row>
    <row r="1939" spans="1:30" x14ac:dyDescent="0.35">
      <c r="A1939" t="s">
        <v>2784</v>
      </c>
      <c r="B1939" s="3">
        <v>47697</v>
      </c>
      <c r="C1939" t="s">
        <v>982</v>
      </c>
      <c r="D1939" t="s">
        <v>282</v>
      </c>
      <c r="E1939" t="str">
        <f>TRIM(excelsalesdata[[#This Row],[Customer_Name]])</f>
        <v>Priya Bhat</v>
      </c>
      <c r="F1939" t="s">
        <v>44</v>
      </c>
      <c r="G1939">
        <v>35</v>
      </c>
      <c r="H1939" t="s">
        <v>114</v>
      </c>
      <c r="I1939" t="str">
        <f>TRIM(excelsalesdata[[#This Row],[City]])</f>
        <v>Hyderabad</v>
      </c>
      <c r="J1939" t="s">
        <v>115</v>
      </c>
      <c r="K1939" t="s">
        <v>47</v>
      </c>
      <c r="L1939" t="s">
        <v>27</v>
      </c>
      <c r="M1939" t="s">
        <v>295</v>
      </c>
      <c r="N1939" t="s">
        <v>295</v>
      </c>
      <c r="O1939">
        <v>3</v>
      </c>
      <c r="P1939">
        <v>4140</v>
      </c>
      <c r="Q1939">
        <v>0.2</v>
      </c>
      <c r="R1939">
        <v>2660</v>
      </c>
      <c r="S1939" t="s">
        <v>29</v>
      </c>
      <c r="T1939" t="s">
        <v>81</v>
      </c>
      <c r="U1939">
        <v>0</v>
      </c>
      <c r="V1939" t="s">
        <v>40</v>
      </c>
      <c r="W1939">
        <f>excelsalesdata[[#This Row],[Quantity]]*excelsalesdata[[#This Row],[Unit_Price]]</f>
        <v>12420</v>
      </c>
      <c r="X1939">
        <f>excelsalesdata[[#This Row],[Gross_sales]]*excelsalesdata[[#This Row],[Discount_%]]</f>
        <v>2484</v>
      </c>
      <c r="Y1939">
        <f>excelsalesdata[[#This Row],[Gross_sales]]-excelsalesdata[[#This Row],[Discount_amt]]</f>
        <v>9936</v>
      </c>
      <c r="Z1939" s="4">
        <f>excelsalesdata[[#This Row],[Net_sales]]-excelsalesdata[[#This Row],[Cost]]</f>
        <v>7276</v>
      </c>
      <c r="AA1939" s="5">
        <f>excelsalesdata[[#This Row],[Profit]]/excelsalesdata[[#This Row],[Net_sales]]</f>
        <v>0.73228663446054754</v>
      </c>
      <c r="AB1939" s="4">
        <f>YEAR(excelsalesdata[[#This Row],[Order_Date]])</f>
        <v>2030</v>
      </c>
      <c r="AC1939" s="4" t="str">
        <f>TEXT(excelsalesdata[[#This Row],[Order_Date]],"mmm")</f>
        <v>Aug</v>
      </c>
      <c r="AD1939" s="4" t="str">
        <f>"Q"&amp;ROUNDUP(MONTH(excelsalesdata[[#This Row],[Order_Date]])/3,0)</f>
        <v>Q3</v>
      </c>
    </row>
    <row r="1940" spans="1:30" x14ac:dyDescent="0.35">
      <c r="A1940" t="s">
        <v>2785</v>
      </c>
      <c r="B1940" s="3">
        <v>47698</v>
      </c>
      <c r="C1940" t="s">
        <v>743</v>
      </c>
      <c r="D1940" t="s">
        <v>342</v>
      </c>
      <c r="E1940" t="str">
        <f>TRIM(excelsalesdata[[#This Row],[Customer_Name]])</f>
        <v>Sneha Gupta</v>
      </c>
      <c r="F1940" t="s">
        <v>23</v>
      </c>
      <c r="G1940">
        <v>54</v>
      </c>
      <c r="H1940" t="s">
        <v>114</v>
      </c>
      <c r="I1940" t="str">
        <f>TRIM(excelsalesdata[[#This Row],[City]])</f>
        <v>Hyderabad</v>
      </c>
      <c r="J1940" t="s">
        <v>115</v>
      </c>
      <c r="K1940" t="s">
        <v>47</v>
      </c>
      <c r="L1940" t="s">
        <v>27</v>
      </c>
      <c r="M1940" t="s">
        <v>295</v>
      </c>
      <c r="N1940" t="s">
        <v>295</v>
      </c>
      <c r="O1940">
        <v>2</v>
      </c>
      <c r="P1940">
        <v>4470</v>
      </c>
      <c r="Q1940">
        <v>0.1</v>
      </c>
      <c r="R1940">
        <v>2630</v>
      </c>
      <c r="S1940" t="s">
        <v>29</v>
      </c>
      <c r="T1940" t="s">
        <v>30</v>
      </c>
      <c r="U1940">
        <v>4</v>
      </c>
      <c r="V1940" t="s">
        <v>31</v>
      </c>
      <c r="W1940">
        <f>excelsalesdata[[#This Row],[Quantity]]*excelsalesdata[[#This Row],[Unit_Price]]</f>
        <v>8940</v>
      </c>
      <c r="X1940">
        <f>excelsalesdata[[#This Row],[Gross_sales]]*excelsalesdata[[#This Row],[Discount_%]]</f>
        <v>894</v>
      </c>
      <c r="Y1940">
        <f>excelsalesdata[[#This Row],[Gross_sales]]-excelsalesdata[[#This Row],[Discount_amt]]</f>
        <v>8046</v>
      </c>
      <c r="Z1940" s="4">
        <f>excelsalesdata[[#This Row],[Net_sales]]-excelsalesdata[[#This Row],[Cost]]</f>
        <v>5416</v>
      </c>
      <c r="AA1940" s="5">
        <f>excelsalesdata[[#This Row],[Profit]]/excelsalesdata[[#This Row],[Net_sales]]</f>
        <v>0.67312950534427041</v>
      </c>
      <c r="AB1940" s="4">
        <f>YEAR(excelsalesdata[[#This Row],[Order_Date]])</f>
        <v>2030</v>
      </c>
      <c r="AC1940" s="4" t="str">
        <f>TEXT(excelsalesdata[[#This Row],[Order_Date]],"mmm")</f>
        <v>Aug</v>
      </c>
      <c r="AD1940" s="4" t="str">
        <f>"Q"&amp;ROUNDUP(MONTH(excelsalesdata[[#This Row],[Order_Date]])/3,0)</f>
        <v>Q3</v>
      </c>
    </row>
    <row r="1941" spans="1:30" x14ac:dyDescent="0.35">
      <c r="A1941" t="s">
        <v>2786</v>
      </c>
      <c r="B1941" s="3">
        <v>47699</v>
      </c>
      <c r="C1941" t="s">
        <v>2413</v>
      </c>
      <c r="D1941" t="s">
        <v>1032</v>
      </c>
      <c r="E1941" t="str">
        <f>TRIM(excelsalesdata[[#This Row],[Customer_Name]])</f>
        <v>Aarav Gupta</v>
      </c>
      <c r="F1941" t="s">
        <v>23</v>
      </c>
      <c r="G1941">
        <v>37</v>
      </c>
      <c r="H1941" t="s">
        <v>109</v>
      </c>
      <c r="I1941" t="str">
        <f>TRIM(excelsalesdata[[#This Row],[City]])</f>
        <v>Mysuru</v>
      </c>
      <c r="J1941" t="s">
        <v>53</v>
      </c>
      <c r="K1941" t="s">
        <v>47</v>
      </c>
      <c r="L1941" t="s">
        <v>38</v>
      </c>
      <c r="M1941" t="s">
        <v>161</v>
      </c>
      <c r="N1941" t="s">
        <v>161</v>
      </c>
      <c r="O1941">
        <v>3</v>
      </c>
      <c r="P1941">
        <v>27450</v>
      </c>
      <c r="Q1941">
        <v>0.25</v>
      </c>
      <c r="R1941">
        <v>20340</v>
      </c>
      <c r="S1941" t="s">
        <v>151</v>
      </c>
      <c r="T1941" t="s">
        <v>30</v>
      </c>
      <c r="U1941">
        <v>3</v>
      </c>
      <c r="V1941" t="s">
        <v>40</v>
      </c>
      <c r="W1941">
        <f>excelsalesdata[[#This Row],[Quantity]]*excelsalesdata[[#This Row],[Unit_Price]]</f>
        <v>82350</v>
      </c>
      <c r="X1941">
        <f>excelsalesdata[[#This Row],[Gross_sales]]*excelsalesdata[[#This Row],[Discount_%]]</f>
        <v>20587.5</v>
      </c>
      <c r="Y1941">
        <f>excelsalesdata[[#This Row],[Gross_sales]]-excelsalesdata[[#This Row],[Discount_amt]]</f>
        <v>61762.5</v>
      </c>
      <c r="Z1941" s="4">
        <f>excelsalesdata[[#This Row],[Net_sales]]-excelsalesdata[[#This Row],[Cost]]</f>
        <v>41422.5</v>
      </c>
      <c r="AA1941" s="5">
        <f>excelsalesdata[[#This Row],[Profit]]/excelsalesdata[[#This Row],[Net_sales]]</f>
        <v>0.6706739526411658</v>
      </c>
      <c r="AB1941" s="4">
        <f>YEAR(excelsalesdata[[#This Row],[Order_Date]])</f>
        <v>2030</v>
      </c>
      <c r="AC1941" s="4" t="str">
        <f>TEXT(excelsalesdata[[#This Row],[Order_Date]],"mmm")</f>
        <v>Aug</v>
      </c>
      <c r="AD1941" s="4" t="str">
        <f>"Q"&amp;ROUNDUP(MONTH(excelsalesdata[[#This Row],[Order_Date]])/3,0)</f>
        <v>Q3</v>
      </c>
    </row>
    <row r="1942" spans="1:30" x14ac:dyDescent="0.35">
      <c r="A1942" t="s">
        <v>2787</v>
      </c>
      <c r="B1942" s="3">
        <v>47700</v>
      </c>
      <c r="C1942" t="s">
        <v>982</v>
      </c>
      <c r="D1942" t="s">
        <v>333</v>
      </c>
      <c r="E1942" t="str">
        <f>TRIM(excelsalesdata[[#This Row],[Customer_Name]])</f>
        <v>Ishita Singh</v>
      </c>
      <c r="F1942" t="s">
        <v>44</v>
      </c>
      <c r="G1942">
        <v>18</v>
      </c>
      <c r="H1942" t="s">
        <v>60</v>
      </c>
      <c r="I1942" t="str">
        <f>TRIM(excelsalesdata[[#This Row],[City]])</f>
        <v>Chandigarh</v>
      </c>
      <c r="J1942" t="s">
        <v>60</v>
      </c>
      <c r="K1942" t="s">
        <v>61</v>
      </c>
      <c r="L1942" t="s">
        <v>27</v>
      </c>
      <c r="M1942" t="s">
        <v>295</v>
      </c>
      <c r="N1942" t="s">
        <v>295</v>
      </c>
      <c r="O1942">
        <v>1</v>
      </c>
      <c r="P1942">
        <v>4260</v>
      </c>
      <c r="Q1942">
        <v>0</v>
      </c>
      <c r="R1942">
        <v>2670</v>
      </c>
      <c r="S1942" t="s">
        <v>67</v>
      </c>
      <c r="T1942" t="s">
        <v>99</v>
      </c>
      <c r="U1942">
        <v>5</v>
      </c>
      <c r="V1942" t="s">
        <v>40</v>
      </c>
      <c r="W1942">
        <f>excelsalesdata[[#This Row],[Quantity]]*excelsalesdata[[#This Row],[Unit_Price]]</f>
        <v>4260</v>
      </c>
      <c r="X1942">
        <f>excelsalesdata[[#This Row],[Gross_sales]]*excelsalesdata[[#This Row],[Discount_%]]</f>
        <v>0</v>
      </c>
      <c r="Y1942">
        <f>excelsalesdata[[#This Row],[Gross_sales]]-excelsalesdata[[#This Row],[Discount_amt]]</f>
        <v>4260</v>
      </c>
      <c r="Z1942" s="4">
        <f>excelsalesdata[[#This Row],[Net_sales]]-excelsalesdata[[#This Row],[Cost]]</f>
        <v>1590</v>
      </c>
      <c r="AA1942" s="5">
        <f>excelsalesdata[[#This Row],[Profit]]/excelsalesdata[[#This Row],[Net_sales]]</f>
        <v>0.37323943661971831</v>
      </c>
      <c r="AB1942" s="4">
        <f>YEAR(excelsalesdata[[#This Row],[Order_Date]])</f>
        <v>2030</v>
      </c>
      <c r="AC1942" s="4" t="str">
        <f>TEXT(excelsalesdata[[#This Row],[Order_Date]],"mmm")</f>
        <v>Aug</v>
      </c>
      <c r="AD1942" s="4" t="str">
        <f>"Q"&amp;ROUNDUP(MONTH(excelsalesdata[[#This Row],[Order_Date]])/3,0)</f>
        <v>Q3</v>
      </c>
    </row>
    <row r="1943" spans="1:30" x14ac:dyDescent="0.35">
      <c r="A1943" t="s">
        <v>2788</v>
      </c>
      <c r="B1943" s="3">
        <v>47701</v>
      </c>
      <c r="C1943" t="s">
        <v>748</v>
      </c>
      <c r="D1943" t="s">
        <v>1087</v>
      </c>
      <c r="E1943" t="str">
        <f>TRIM(excelsalesdata[[#This Row],[Customer_Name]])</f>
        <v>Vivaan Verma</v>
      </c>
      <c r="F1943" t="s">
        <v>44</v>
      </c>
      <c r="G1943">
        <v>20</v>
      </c>
      <c r="H1943" t="s">
        <v>98</v>
      </c>
      <c r="I1943" t="str">
        <f>TRIM(excelsalesdata[[#This Row],[City]])</f>
        <v>Mumbai</v>
      </c>
      <c r="J1943" t="s">
        <v>25</v>
      </c>
      <c r="K1943" t="s">
        <v>26</v>
      </c>
      <c r="L1943" t="s">
        <v>54</v>
      </c>
      <c r="M1943" t="s">
        <v>55</v>
      </c>
      <c r="N1943" t="s">
        <v>55</v>
      </c>
      <c r="O1943">
        <v>3</v>
      </c>
      <c r="P1943">
        <v>7510</v>
      </c>
      <c r="Q1943">
        <v>0.1</v>
      </c>
      <c r="R1943">
        <v>4490</v>
      </c>
      <c r="S1943" t="s">
        <v>80</v>
      </c>
      <c r="T1943" t="s">
        <v>30</v>
      </c>
      <c r="U1943">
        <v>3</v>
      </c>
      <c r="V1943" t="s">
        <v>31</v>
      </c>
      <c r="W1943">
        <f>excelsalesdata[[#This Row],[Quantity]]*excelsalesdata[[#This Row],[Unit_Price]]</f>
        <v>22530</v>
      </c>
      <c r="X1943">
        <f>excelsalesdata[[#This Row],[Gross_sales]]*excelsalesdata[[#This Row],[Discount_%]]</f>
        <v>2253</v>
      </c>
      <c r="Y1943">
        <f>excelsalesdata[[#This Row],[Gross_sales]]-excelsalesdata[[#This Row],[Discount_amt]]</f>
        <v>20277</v>
      </c>
      <c r="Z1943" s="4">
        <f>excelsalesdata[[#This Row],[Net_sales]]-excelsalesdata[[#This Row],[Cost]]</f>
        <v>15787</v>
      </c>
      <c r="AA1943" s="5">
        <f>excelsalesdata[[#This Row],[Profit]]/excelsalesdata[[#This Row],[Net_sales]]</f>
        <v>0.77856684913941909</v>
      </c>
      <c r="AB1943" s="4">
        <f>YEAR(excelsalesdata[[#This Row],[Order_Date]])</f>
        <v>2030</v>
      </c>
      <c r="AC1943" s="4" t="str">
        <f>TEXT(excelsalesdata[[#This Row],[Order_Date]],"mmm")</f>
        <v>Aug</v>
      </c>
      <c r="AD1943" s="4" t="str">
        <f>"Q"&amp;ROUNDUP(MONTH(excelsalesdata[[#This Row],[Order_Date]])/3,0)</f>
        <v>Q3</v>
      </c>
    </row>
    <row r="1944" spans="1:30" x14ac:dyDescent="0.35">
      <c r="A1944" t="s">
        <v>2789</v>
      </c>
      <c r="B1944" s="3">
        <v>47702</v>
      </c>
      <c r="C1944" t="s">
        <v>462</v>
      </c>
      <c r="D1944" t="s">
        <v>65</v>
      </c>
      <c r="E1944" t="str">
        <f>TRIM(excelsalesdata[[#This Row],[Customer_Name]])</f>
        <v>Aarav Nair</v>
      </c>
      <c r="F1944" t="s">
        <v>44</v>
      </c>
      <c r="G1944">
        <v>50</v>
      </c>
      <c r="H1944" t="s">
        <v>78</v>
      </c>
      <c r="I1944" t="str">
        <f>TRIM(excelsalesdata[[#This Row],[City]])</f>
        <v>Guwahati</v>
      </c>
      <c r="J1944" t="s">
        <v>79</v>
      </c>
      <c r="K1944" t="s">
        <v>37</v>
      </c>
      <c r="L1944" t="s">
        <v>38</v>
      </c>
      <c r="M1944" t="s">
        <v>119</v>
      </c>
      <c r="N1944" t="s">
        <v>119</v>
      </c>
      <c r="O1944">
        <v>1</v>
      </c>
      <c r="P1944">
        <v>8720</v>
      </c>
      <c r="Q1944">
        <v>0</v>
      </c>
      <c r="R1944">
        <v>5360</v>
      </c>
      <c r="S1944" t="s">
        <v>80</v>
      </c>
      <c r="T1944" t="s">
        <v>74</v>
      </c>
      <c r="U1944">
        <v>2</v>
      </c>
      <c r="V1944" t="s">
        <v>31</v>
      </c>
      <c r="W1944">
        <f>excelsalesdata[[#This Row],[Quantity]]*excelsalesdata[[#This Row],[Unit_Price]]</f>
        <v>8720</v>
      </c>
      <c r="X1944">
        <f>excelsalesdata[[#This Row],[Gross_sales]]*excelsalesdata[[#This Row],[Discount_%]]</f>
        <v>0</v>
      </c>
      <c r="Y1944">
        <f>excelsalesdata[[#This Row],[Gross_sales]]-excelsalesdata[[#This Row],[Discount_amt]]</f>
        <v>8720</v>
      </c>
      <c r="Z1944" s="4">
        <f>excelsalesdata[[#This Row],[Net_sales]]-excelsalesdata[[#This Row],[Cost]]</f>
        <v>3360</v>
      </c>
      <c r="AA1944" s="5">
        <f>excelsalesdata[[#This Row],[Profit]]/excelsalesdata[[#This Row],[Net_sales]]</f>
        <v>0.38532110091743121</v>
      </c>
      <c r="AB1944" s="4">
        <f>YEAR(excelsalesdata[[#This Row],[Order_Date]])</f>
        <v>2030</v>
      </c>
      <c r="AC1944" s="4" t="str">
        <f>TEXT(excelsalesdata[[#This Row],[Order_Date]],"mmm")</f>
        <v>Aug</v>
      </c>
      <c r="AD1944" s="4" t="str">
        <f>"Q"&amp;ROUNDUP(MONTH(excelsalesdata[[#This Row],[Order_Date]])/3,0)</f>
        <v>Q3</v>
      </c>
    </row>
    <row r="1945" spans="1:30" x14ac:dyDescent="0.35">
      <c r="A1945" t="s">
        <v>2790</v>
      </c>
      <c r="B1945" s="3">
        <v>47703</v>
      </c>
      <c r="C1945" t="s">
        <v>391</v>
      </c>
      <c r="D1945" t="s">
        <v>479</v>
      </c>
      <c r="E1945" t="str">
        <f>TRIM(excelsalesdata[[#This Row],[Customer_Name]])</f>
        <v>Karan Kumar</v>
      </c>
      <c r="F1945" t="s">
        <v>44</v>
      </c>
      <c r="G1945">
        <v>47</v>
      </c>
      <c r="H1945" t="s">
        <v>109</v>
      </c>
      <c r="I1945" t="str">
        <f>TRIM(excelsalesdata[[#This Row],[City]])</f>
        <v>Mysuru</v>
      </c>
      <c r="J1945" t="s">
        <v>53</v>
      </c>
      <c r="K1945" t="s">
        <v>47</v>
      </c>
      <c r="L1945" t="s">
        <v>103</v>
      </c>
      <c r="M1945" t="s">
        <v>347</v>
      </c>
      <c r="N1945" t="s">
        <v>347</v>
      </c>
      <c r="O1945">
        <v>1</v>
      </c>
      <c r="P1945">
        <v>12250</v>
      </c>
      <c r="Q1945">
        <v>0.1</v>
      </c>
      <c r="R1945">
        <v>7810</v>
      </c>
      <c r="S1945" t="s">
        <v>29</v>
      </c>
      <c r="T1945" t="s">
        <v>30</v>
      </c>
      <c r="U1945">
        <v>2</v>
      </c>
      <c r="V1945" t="s">
        <v>40</v>
      </c>
      <c r="W1945">
        <f>excelsalesdata[[#This Row],[Quantity]]*excelsalesdata[[#This Row],[Unit_Price]]</f>
        <v>12250</v>
      </c>
      <c r="X1945">
        <f>excelsalesdata[[#This Row],[Gross_sales]]*excelsalesdata[[#This Row],[Discount_%]]</f>
        <v>1225</v>
      </c>
      <c r="Y1945">
        <f>excelsalesdata[[#This Row],[Gross_sales]]-excelsalesdata[[#This Row],[Discount_amt]]</f>
        <v>11025</v>
      </c>
      <c r="Z1945" s="4">
        <f>excelsalesdata[[#This Row],[Net_sales]]-excelsalesdata[[#This Row],[Cost]]</f>
        <v>3215</v>
      </c>
      <c r="AA1945" s="5">
        <f>excelsalesdata[[#This Row],[Profit]]/excelsalesdata[[#This Row],[Net_sales]]</f>
        <v>0.29160997732426303</v>
      </c>
      <c r="AB1945" s="4">
        <f>YEAR(excelsalesdata[[#This Row],[Order_Date]])</f>
        <v>2030</v>
      </c>
      <c r="AC1945" s="4" t="str">
        <f>TEXT(excelsalesdata[[#This Row],[Order_Date]],"mmm")</f>
        <v>Aug</v>
      </c>
      <c r="AD1945" s="4" t="str">
        <f>"Q"&amp;ROUNDUP(MONTH(excelsalesdata[[#This Row],[Order_Date]])/3,0)</f>
        <v>Q3</v>
      </c>
    </row>
    <row r="1946" spans="1:30" x14ac:dyDescent="0.35">
      <c r="A1946" t="s">
        <v>2791</v>
      </c>
      <c r="B1946" s="3">
        <v>47704</v>
      </c>
      <c r="C1946" t="s">
        <v>444</v>
      </c>
      <c r="D1946" t="s">
        <v>677</v>
      </c>
      <c r="E1946" t="str">
        <f>TRIM(excelsalesdata[[#This Row],[Customer_Name]])</f>
        <v>Vivaan Shah</v>
      </c>
      <c r="F1946" t="s">
        <v>44</v>
      </c>
      <c r="G1946">
        <v>27</v>
      </c>
      <c r="H1946" t="s">
        <v>133</v>
      </c>
      <c r="I1946" t="str">
        <f>TRIM(excelsalesdata[[#This Row],[City]])</f>
        <v>Jaipur</v>
      </c>
      <c r="J1946" t="s">
        <v>134</v>
      </c>
      <c r="K1946" t="s">
        <v>61</v>
      </c>
      <c r="L1946" t="s">
        <v>27</v>
      </c>
      <c r="M1946" t="s">
        <v>28</v>
      </c>
      <c r="N1946" t="s">
        <v>28</v>
      </c>
      <c r="O1946">
        <v>2</v>
      </c>
      <c r="P1946">
        <v>3270</v>
      </c>
      <c r="Q1946">
        <v>0.1</v>
      </c>
      <c r="R1946">
        <v>2170</v>
      </c>
      <c r="S1946" t="s">
        <v>29</v>
      </c>
      <c r="T1946" t="s">
        <v>30</v>
      </c>
      <c r="U1946">
        <v>3</v>
      </c>
      <c r="V1946" t="s">
        <v>40</v>
      </c>
      <c r="W1946">
        <f>excelsalesdata[[#This Row],[Quantity]]*excelsalesdata[[#This Row],[Unit_Price]]</f>
        <v>6540</v>
      </c>
      <c r="X1946">
        <f>excelsalesdata[[#This Row],[Gross_sales]]*excelsalesdata[[#This Row],[Discount_%]]</f>
        <v>654</v>
      </c>
      <c r="Y1946">
        <f>excelsalesdata[[#This Row],[Gross_sales]]-excelsalesdata[[#This Row],[Discount_amt]]</f>
        <v>5886</v>
      </c>
      <c r="Z1946" s="4">
        <f>excelsalesdata[[#This Row],[Net_sales]]-excelsalesdata[[#This Row],[Cost]]</f>
        <v>3716</v>
      </c>
      <c r="AA1946" s="5">
        <f>excelsalesdata[[#This Row],[Profit]]/excelsalesdata[[#This Row],[Net_sales]]</f>
        <v>0.63132857628270467</v>
      </c>
      <c r="AB1946" s="4">
        <f>YEAR(excelsalesdata[[#This Row],[Order_Date]])</f>
        <v>2030</v>
      </c>
      <c r="AC1946" s="4" t="str">
        <f>TEXT(excelsalesdata[[#This Row],[Order_Date]],"mmm")</f>
        <v>Aug</v>
      </c>
      <c r="AD1946" s="4" t="str">
        <f>"Q"&amp;ROUNDUP(MONTH(excelsalesdata[[#This Row],[Order_Date]])/3,0)</f>
        <v>Q3</v>
      </c>
    </row>
    <row r="1947" spans="1:30" x14ac:dyDescent="0.35">
      <c r="A1947" t="s">
        <v>2792</v>
      </c>
      <c r="B1947" s="3">
        <v>47705</v>
      </c>
      <c r="C1947" t="s">
        <v>159</v>
      </c>
      <c r="D1947" t="s">
        <v>1496</v>
      </c>
      <c r="E1947" t="str">
        <f>TRIM(excelsalesdata[[#This Row],[Customer_Name]])</f>
        <v>Diya Singh</v>
      </c>
      <c r="F1947" t="s">
        <v>44</v>
      </c>
      <c r="G1947">
        <v>35</v>
      </c>
      <c r="H1947" t="s">
        <v>114</v>
      </c>
      <c r="I1947" t="str">
        <f>TRIM(excelsalesdata[[#This Row],[City]])</f>
        <v>Hyderabad</v>
      </c>
      <c r="J1947" t="s">
        <v>115</v>
      </c>
      <c r="K1947" t="s">
        <v>47</v>
      </c>
      <c r="L1947" t="s">
        <v>27</v>
      </c>
      <c r="M1947" t="s">
        <v>295</v>
      </c>
      <c r="N1947" t="s">
        <v>295</v>
      </c>
      <c r="O1947">
        <v>2</v>
      </c>
      <c r="P1947">
        <v>4030</v>
      </c>
      <c r="Q1947">
        <v>0.1</v>
      </c>
      <c r="R1947">
        <v>2480</v>
      </c>
      <c r="S1947" t="s">
        <v>80</v>
      </c>
      <c r="T1947" t="s">
        <v>30</v>
      </c>
      <c r="U1947">
        <v>2</v>
      </c>
      <c r="V1947" t="s">
        <v>31</v>
      </c>
      <c r="W1947">
        <f>excelsalesdata[[#This Row],[Quantity]]*excelsalesdata[[#This Row],[Unit_Price]]</f>
        <v>8060</v>
      </c>
      <c r="X1947">
        <f>excelsalesdata[[#This Row],[Gross_sales]]*excelsalesdata[[#This Row],[Discount_%]]</f>
        <v>806</v>
      </c>
      <c r="Y1947">
        <f>excelsalesdata[[#This Row],[Gross_sales]]-excelsalesdata[[#This Row],[Discount_amt]]</f>
        <v>7254</v>
      </c>
      <c r="Z1947" s="4">
        <f>excelsalesdata[[#This Row],[Net_sales]]-excelsalesdata[[#This Row],[Cost]]</f>
        <v>4774</v>
      </c>
      <c r="AA1947" s="5">
        <f>excelsalesdata[[#This Row],[Profit]]/excelsalesdata[[#This Row],[Net_sales]]</f>
        <v>0.65811965811965811</v>
      </c>
      <c r="AB1947" s="4">
        <f>YEAR(excelsalesdata[[#This Row],[Order_Date]])</f>
        <v>2030</v>
      </c>
      <c r="AC1947" s="4" t="str">
        <f>TEXT(excelsalesdata[[#This Row],[Order_Date]],"mmm")</f>
        <v>Aug</v>
      </c>
      <c r="AD1947" s="4" t="str">
        <f>"Q"&amp;ROUNDUP(MONTH(excelsalesdata[[#This Row],[Order_Date]])/3,0)</f>
        <v>Q3</v>
      </c>
    </row>
    <row r="1948" spans="1:30" x14ac:dyDescent="0.35">
      <c r="A1948" t="s">
        <v>2793</v>
      </c>
      <c r="B1948" s="3">
        <v>47706</v>
      </c>
      <c r="C1948" t="s">
        <v>805</v>
      </c>
      <c r="D1948" t="s">
        <v>1032</v>
      </c>
      <c r="E1948" t="str">
        <f>TRIM(excelsalesdata[[#This Row],[Customer_Name]])</f>
        <v>Aarav Gupta</v>
      </c>
      <c r="F1948" t="s">
        <v>44</v>
      </c>
      <c r="G1948">
        <v>50</v>
      </c>
      <c r="H1948" t="s">
        <v>45</v>
      </c>
      <c r="I1948" t="str">
        <f>TRIM(excelsalesdata[[#This Row],[City]])</f>
        <v>Kochi</v>
      </c>
      <c r="J1948" t="s">
        <v>46</v>
      </c>
      <c r="K1948" t="s">
        <v>47</v>
      </c>
      <c r="L1948" t="s">
        <v>85</v>
      </c>
      <c r="M1948" t="s">
        <v>86</v>
      </c>
      <c r="N1948" t="s">
        <v>86</v>
      </c>
      <c r="O1948">
        <v>1</v>
      </c>
      <c r="P1948">
        <v>2610</v>
      </c>
      <c r="Q1948">
        <v>0</v>
      </c>
      <c r="R1948">
        <v>1510</v>
      </c>
      <c r="S1948" t="s">
        <v>80</v>
      </c>
      <c r="T1948" t="s">
        <v>30</v>
      </c>
      <c r="U1948">
        <v>5</v>
      </c>
      <c r="V1948" t="s">
        <v>40</v>
      </c>
      <c r="W1948">
        <f>excelsalesdata[[#This Row],[Quantity]]*excelsalesdata[[#This Row],[Unit_Price]]</f>
        <v>2610</v>
      </c>
      <c r="X1948">
        <f>excelsalesdata[[#This Row],[Gross_sales]]*excelsalesdata[[#This Row],[Discount_%]]</f>
        <v>0</v>
      </c>
      <c r="Y1948">
        <f>excelsalesdata[[#This Row],[Gross_sales]]-excelsalesdata[[#This Row],[Discount_amt]]</f>
        <v>2610</v>
      </c>
      <c r="Z1948" s="4">
        <f>excelsalesdata[[#This Row],[Net_sales]]-excelsalesdata[[#This Row],[Cost]]</f>
        <v>1100</v>
      </c>
      <c r="AA1948" s="5">
        <f>excelsalesdata[[#This Row],[Profit]]/excelsalesdata[[#This Row],[Net_sales]]</f>
        <v>0.42145593869731801</v>
      </c>
      <c r="AB1948" s="4">
        <f>YEAR(excelsalesdata[[#This Row],[Order_Date]])</f>
        <v>2030</v>
      </c>
      <c r="AC1948" s="4" t="str">
        <f>TEXT(excelsalesdata[[#This Row],[Order_Date]],"mmm")</f>
        <v>Aug</v>
      </c>
      <c r="AD1948" s="4" t="str">
        <f>"Q"&amp;ROUNDUP(MONTH(excelsalesdata[[#This Row],[Order_Date]])/3,0)</f>
        <v>Q3</v>
      </c>
    </row>
    <row r="1949" spans="1:30" x14ac:dyDescent="0.35">
      <c r="A1949" t="s">
        <v>2794</v>
      </c>
      <c r="B1949" s="3">
        <v>47707</v>
      </c>
      <c r="C1949" t="s">
        <v>595</v>
      </c>
      <c r="D1949" t="s">
        <v>1815</v>
      </c>
      <c r="E1949" t="str">
        <f>TRIM(excelsalesdata[[#This Row],[Customer_Name]])</f>
        <v>Rahul Patel</v>
      </c>
      <c r="F1949" t="s">
        <v>23</v>
      </c>
      <c r="G1949">
        <v>26</v>
      </c>
      <c r="H1949" t="s">
        <v>71</v>
      </c>
      <c r="I1949" t="str">
        <f>TRIM(excelsalesdata[[#This Row],[City]])</f>
        <v>Bhubaneswar</v>
      </c>
      <c r="J1949" t="s">
        <v>72</v>
      </c>
      <c r="K1949" t="s">
        <v>37</v>
      </c>
      <c r="L1949" t="s">
        <v>54</v>
      </c>
      <c r="M1949" t="s">
        <v>66</v>
      </c>
      <c r="N1949" t="s">
        <v>66</v>
      </c>
      <c r="O1949">
        <v>5</v>
      </c>
      <c r="P1949">
        <v>2450</v>
      </c>
      <c r="Q1949">
        <v>0.15</v>
      </c>
      <c r="R1949">
        <v>1430</v>
      </c>
      <c r="S1949" t="s">
        <v>105</v>
      </c>
      <c r="T1949" t="s">
        <v>81</v>
      </c>
      <c r="U1949">
        <v>0</v>
      </c>
      <c r="V1949" t="s">
        <v>31</v>
      </c>
      <c r="W1949">
        <f>excelsalesdata[[#This Row],[Quantity]]*excelsalesdata[[#This Row],[Unit_Price]]</f>
        <v>12250</v>
      </c>
      <c r="X1949">
        <f>excelsalesdata[[#This Row],[Gross_sales]]*excelsalesdata[[#This Row],[Discount_%]]</f>
        <v>1837.5</v>
      </c>
      <c r="Y1949">
        <f>excelsalesdata[[#This Row],[Gross_sales]]-excelsalesdata[[#This Row],[Discount_amt]]</f>
        <v>10412.5</v>
      </c>
      <c r="Z1949" s="4">
        <f>excelsalesdata[[#This Row],[Net_sales]]-excelsalesdata[[#This Row],[Cost]]</f>
        <v>8982.5</v>
      </c>
      <c r="AA1949" s="5">
        <f>excelsalesdata[[#This Row],[Profit]]/excelsalesdata[[#This Row],[Net_sales]]</f>
        <v>0.86266506602641058</v>
      </c>
      <c r="AB1949" s="4">
        <f>YEAR(excelsalesdata[[#This Row],[Order_Date]])</f>
        <v>2030</v>
      </c>
      <c r="AC1949" s="4" t="str">
        <f>TEXT(excelsalesdata[[#This Row],[Order_Date]],"mmm")</f>
        <v>Aug</v>
      </c>
      <c r="AD1949" s="4" t="str">
        <f>"Q"&amp;ROUNDUP(MONTH(excelsalesdata[[#This Row],[Order_Date]])/3,0)</f>
        <v>Q3</v>
      </c>
    </row>
    <row r="1950" spans="1:30" x14ac:dyDescent="0.35">
      <c r="A1950" t="s">
        <v>2795</v>
      </c>
      <c r="B1950" s="3">
        <v>47708</v>
      </c>
      <c r="C1950" t="s">
        <v>249</v>
      </c>
      <c r="D1950" t="s">
        <v>984</v>
      </c>
      <c r="E1950" t="str">
        <f>TRIM(excelsalesdata[[#This Row],[Customer_Name]])</f>
        <v>Ananya Singh</v>
      </c>
      <c r="F1950" t="s">
        <v>44</v>
      </c>
      <c r="G1950">
        <v>44</v>
      </c>
      <c r="H1950" t="s">
        <v>60</v>
      </c>
      <c r="I1950" t="str">
        <f>TRIM(excelsalesdata[[#This Row],[City]])</f>
        <v>Chandigarh</v>
      </c>
      <c r="J1950" t="s">
        <v>60</v>
      </c>
      <c r="K1950" t="s">
        <v>61</v>
      </c>
      <c r="L1950" t="s">
        <v>54</v>
      </c>
      <c r="M1950" t="s">
        <v>129</v>
      </c>
      <c r="N1950" t="s">
        <v>129</v>
      </c>
      <c r="O1950">
        <v>1</v>
      </c>
      <c r="P1950">
        <v>18030</v>
      </c>
      <c r="Q1950">
        <v>0.1</v>
      </c>
      <c r="R1950">
        <v>12080</v>
      </c>
      <c r="S1950" t="s">
        <v>80</v>
      </c>
      <c r="T1950" t="s">
        <v>30</v>
      </c>
      <c r="U1950">
        <v>3</v>
      </c>
      <c r="V1950" t="s">
        <v>40</v>
      </c>
      <c r="W1950">
        <f>excelsalesdata[[#This Row],[Quantity]]*excelsalesdata[[#This Row],[Unit_Price]]</f>
        <v>18030</v>
      </c>
      <c r="X1950">
        <f>excelsalesdata[[#This Row],[Gross_sales]]*excelsalesdata[[#This Row],[Discount_%]]</f>
        <v>1803</v>
      </c>
      <c r="Y1950">
        <f>excelsalesdata[[#This Row],[Gross_sales]]-excelsalesdata[[#This Row],[Discount_amt]]</f>
        <v>16227</v>
      </c>
      <c r="Z1950" s="4">
        <f>excelsalesdata[[#This Row],[Net_sales]]-excelsalesdata[[#This Row],[Cost]]</f>
        <v>4147</v>
      </c>
      <c r="AA1950" s="5">
        <f>excelsalesdata[[#This Row],[Profit]]/excelsalesdata[[#This Row],[Net_sales]]</f>
        <v>0.25556171812411416</v>
      </c>
      <c r="AB1950" s="4">
        <f>YEAR(excelsalesdata[[#This Row],[Order_Date]])</f>
        <v>2030</v>
      </c>
      <c r="AC1950" s="4" t="str">
        <f>TEXT(excelsalesdata[[#This Row],[Order_Date]],"mmm")</f>
        <v>Aug</v>
      </c>
      <c r="AD1950" s="4" t="str">
        <f>"Q"&amp;ROUNDUP(MONTH(excelsalesdata[[#This Row],[Order_Date]])/3,0)</f>
        <v>Q3</v>
      </c>
    </row>
    <row r="1951" spans="1:30" x14ac:dyDescent="0.35">
      <c r="A1951" t="s">
        <v>2796</v>
      </c>
      <c r="B1951" s="3">
        <v>47709</v>
      </c>
      <c r="C1951" t="s">
        <v>1028</v>
      </c>
      <c r="D1951" t="s">
        <v>830</v>
      </c>
      <c r="E1951" t="str">
        <f>TRIM(excelsalesdata[[#This Row],[Customer_Name]])</f>
        <v>Rohan Bhat</v>
      </c>
      <c r="F1951" t="s">
        <v>44</v>
      </c>
      <c r="G1951">
        <v>35</v>
      </c>
      <c r="H1951" t="s">
        <v>114</v>
      </c>
      <c r="I1951" t="str">
        <f>TRIM(excelsalesdata[[#This Row],[City]])</f>
        <v>Hyderabad</v>
      </c>
      <c r="J1951" t="s">
        <v>115</v>
      </c>
      <c r="K1951" t="s">
        <v>47</v>
      </c>
      <c r="L1951" t="s">
        <v>38</v>
      </c>
      <c r="M1951" t="s">
        <v>119</v>
      </c>
      <c r="N1951" t="s">
        <v>119</v>
      </c>
      <c r="O1951">
        <v>2</v>
      </c>
      <c r="P1951">
        <v>8250</v>
      </c>
      <c r="Q1951">
        <v>0.1</v>
      </c>
      <c r="R1951">
        <v>5660</v>
      </c>
      <c r="S1951" t="s">
        <v>105</v>
      </c>
      <c r="T1951" t="s">
        <v>30</v>
      </c>
      <c r="U1951">
        <v>2</v>
      </c>
      <c r="V1951" t="s">
        <v>40</v>
      </c>
      <c r="W1951">
        <f>excelsalesdata[[#This Row],[Quantity]]*excelsalesdata[[#This Row],[Unit_Price]]</f>
        <v>16500</v>
      </c>
      <c r="X1951">
        <f>excelsalesdata[[#This Row],[Gross_sales]]*excelsalesdata[[#This Row],[Discount_%]]</f>
        <v>1650</v>
      </c>
      <c r="Y1951">
        <f>excelsalesdata[[#This Row],[Gross_sales]]-excelsalesdata[[#This Row],[Discount_amt]]</f>
        <v>14850</v>
      </c>
      <c r="Z1951" s="4">
        <f>excelsalesdata[[#This Row],[Net_sales]]-excelsalesdata[[#This Row],[Cost]]</f>
        <v>9190</v>
      </c>
      <c r="AA1951" s="5">
        <f>excelsalesdata[[#This Row],[Profit]]/excelsalesdata[[#This Row],[Net_sales]]</f>
        <v>0.61885521885521888</v>
      </c>
      <c r="AB1951" s="4">
        <f>YEAR(excelsalesdata[[#This Row],[Order_Date]])</f>
        <v>2030</v>
      </c>
      <c r="AC1951" s="4" t="str">
        <f>TEXT(excelsalesdata[[#This Row],[Order_Date]],"mmm")</f>
        <v>Aug</v>
      </c>
      <c r="AD1951" s="4" t="str">
        <f>"Q"&amp;ROUNDUP(MONTH(excelsalesdata[[#This Row],[Order_Date]])/3,0)</f>
        <v>Q3</v>
      </c>
    </row>
    <row r="1952" spans="1:30" x14ac:dyDescent="0.35">
      <c r="A1952" t="s">
        <v>2797</v>
      </c>
      <c r="B1952" s="3">
        <v>47710</v>
      </c>
      <c r="C1952" t="s">
        <v>671</v>
      </c>
      <c r="D1952" t="s">
        <v>833</v>
      </c>
      <c r="E1952" t="str">
        <f>TRIM(excelsalesdata[[#This Row],[Customer_Name]])</f>
        <v>Rohan Mehta</v>
      </c>
      <c r="F1952" t="s">
        <v>23</v>
      </c>
      <c r="G1952">
        <v>22</v>
      </c>
      <c r="H1952" t="s">
        <v>155</v>
      </c>
      <c r="I1952" t="str">
        <f>TRIM(excelsalesdata[[#This Row],[City]])</f>
        <v>Chennai</v>
      </c>
      <c r="J1952" t="s">
        <v>156</v>
      </c>
      <c r="K1952" t="s">
        <v>47</v>
      </c>
      <c r="L1952" t="s">
        <v>38</v>
      </c>
      <c r="M1952" t="s">
        <v>119</v>
      </c>
      <c r="N1952" t="s">
        <v>119</v>
      </c>
      <c r="O1952">
        <v>1</v>
      </c>
      <c r="P1952">
        <v>7990</v>
      </c>
      <c r="Q1952">
        <v>0.1</v>
      </c>
      <c r="R1952">
        <v>5440</v>
      </c>
      <c r="S1952" t="s">
        <v>29</v>
      </c>
      <c r="T1952" t="s">
        <v>30</v>
      </c>
      <c r="U1952">
        <v>3</v>
      </c>
      <c r="V1952" t="s">
        <v>40</v>
      </c>
      <c r="W1952">
        <f>excelsalesdata[[#This Row],[Quantity]]*excelsalesdata[[#This Row],[Unit_Price]]</f>
        <v>7990</v>
      </c>
      <c r="X1952">
        <f>excelsalesdata[[#This Row],[Gross_sales]]*excelsalesdata[[#This Row],[Discount_%]]</f>
        <v>799</v>
      </c>
      <c r="Y1952">
        <f>excelsalesdata[[#This Row],[Gross_sales]]-excelsalesdata[[#This Row],[Discount_amt]]</f>
        <v>7191</v>
      </c>
      <c r="Z1952" s="4">
        <f>excelsalesdata[[#This Row],[Net_sales]]-excelsalesdata[[#This Row],[Cost]]</f>
        <v>1751</v>
      </c>
      <c r="AA1952" s="5">
        <f>excelsalesdata[[#This Row],[Profit]]/excelsalesdata[[#This Row],[Net_sales]]</f>
        <v>0.24349881796690306</v>
      </c>
      <c r="AB1952" s="4">
        <f>YEAR(excelsalesdata[[#This Row],[Order_Date]])</f>
        <v>2030</v>
      </c>
      <c r="AC1952" s="4" t="str">
        <f>TEXT(excelsalesdata[[#This Row],[Order_Date]],"mmm")</f>
        <v>Aug</v>
      </c>
      <c r="AD1952" s="4" t="str">
        <f>"Q"&amp;ROUNDUP(MONTH(excelsalesdata[[#This Row],[Order_Date]])/3,0)</f>
        <v>Q3</v>
      </c>
    </row>
    <row r="1953" spans="1:30" x14ac:dyDescent="0.35">
      <c r="A1953" t="s">
        <v>2798</v>
      </c>
      <c r="B1953" s="3">
        <v>47711</v>
      </c>
      <c r="C1953" t="s">
        <v>1595</v>
      </c>
      <c r="D1953" t="s">
        <v>954</v>
      </c>
      <c r="E1953" t="str">
        <f>TRIM(excelsalesdata[[#This Row],[Customer_Name]])</f>
        <v>Ishita Nair</v>
      </c>
      <c r="F1953" t="s">
        <v>44</v>
      </c>
      <c r="G1953">
        <v>54</v>
      </c>
      <c r="H1953" t="s">
        <v>52</v>
      </c>
      <c r="I1953" t="str">
        <f>TRIM(excelsalesdata[[#This Row],[City]])</f>
        <v>Bengaluru</v>
      </c>
      <c r="J1953" t="s">
        <v>53</v>
      </c>
      <c r="K1953" t="s">
        <v>47</v>
      </c>
      <c r="L1953" t="s">
        <v>103</v>
      </c>
      <c r="M1953" t="s">
        <v>104</v>
      </c>
      <c r="N1953" t="s">
        <v>104</v>
      </c>
      <c r="O1953">
        <v>1</v>
      </c>
      <c r="P1953">
        <v>8350</v>
      </c>
      <c r="Q1953">
        <v>0.2</v>
      </c>
      <c r="R1953">
        <v>5440</v>
      </c>
      <c r="S1953" t="s">
        <v>29</v>
      </c>
      <c r="T1953" t="s">
        <v>30</v>
      </c>
      <c r="U1953">
        <v>4</v>
      </c>
      <c r="V1953" t="s">
        <v>40</v>
      </c>
      <c r="W1953">
        <f>excelsalesdata[[#This Row],[Quantity]]*excelsalesdata[[#This Row],[Unit_Price]]</f>
        <v>8350</v>
      </c>
      <c r="X1953">
        <f>excelsalesdata[[#This Row],[Gross_sales]]*excelsalesdata[[#This Row],[Discount_%]]</f>
        <v>1670</v>
      </c>
      <c r="Y1953">
        <f>excelsalesdata[[#This Row],[Gross_sales]]-excelsalesdata[[#This Row],[Discount_amt]]</f>
        <v>6680</v>
      </c>
      <c r="Z1953" s="4">
        <f>excelsalesdata[[#This Row],[Net_sales]]-excelsalesdata[[#This Row],[Cost]]</f>
        <v>1240</v>
      </c>
      <c r="AA1953" s="5">
        <f>excelsalesdata[[#This Row],[Profit]]/excelsalesdata[[#This Row],[Net_sales]]</f>
        <v>0.18562874251497005</v>
      </c>
      <c r="AB1953" s="4">
        <f>YEAR(excelsalesdata[[#This Row],[Order_Date]])</f>
        <v>2030</v>
      </c>
      <c r="AC1953" s="4" t="str">
        <f>TEXT(excelsalesdata[[#This Row],[Order_Date]],"mmm")</f>
        <v>Aug</v>
      </c>
      <c r="AD1953" s="4" t="str">
        <f>"Q"&amp;ROUNDUP(MONTH(excelsalesdata[[#This Row],[Order_Date]])/3,0)</f>
        <v>Q3</v>
      </c>
    </row>
    <row r="1954" spans="1:30" x14ac:dyDescent="0.35">
      <c r="A1954" t="s">
        <v>2799</v>
      </c>
      <c r="B1954" s="3">
        <v>47712</v>
      </c>
      <c r="C1954" t="s">
        <v>843</v>
      </c>
      <c r="D1954" t="s">
        <v>254</v>
      </c>
      <c r="E1954" t="str">
        <f>TRIM(excelsalesdata[[#This Row],[Customer_Name]])</f>
        <v>Meera Sharma</v>
      </c>
      <c r="F1954" t="s">
        <v>23</v>
      </c>
      <c r="G1954">
        <v>44</v>
      </c>
      <c r="H1954" t="s">
        <v>78</v>
      </c>
      <c r="I1954" t="str">
        <f>TRIM(excelsalesdata[[#This Row],[City]])</f>
        <v>Guwahati</v>
      </c>
      <c r="J1954" t="s">
        <v>79</v>
      </c>
      <c r="K1954" t="s">
        <v>37</v>
      </c>
      <c r="L1954" t="s">
        <v>93</v>
      </c>
      <c r="M1954" t="s">
        <v>718</v>
      </c>
      <c r="N1954" t="s">
        <v>718</v>
      </c>
      <c r="O1954">
        <v>2</v>
      </c>
      <c r="P1954">
        <v>1930</v>
      </c>
      <c r="Q1954">
        <v>0.05</v>
      </c>
      <c r="R1954">
        <v>880</v>
      </c>
      <c r="S1954" t="s">
        <v>29</v>
      </c>
      <c r="T1954" t="s">
        <v>30</v>
      </c>
      <c r="U1954">
        <v>3</v>
      </c>
      <c r="V1954" t="s">
        <v>40</v>
      </c>
      <c r="W1954">
        <f>excelsalesdata[[#This Row],[Quantity]]*excelsalesdata[[#This Row],[Unit_Price]]</f>
        <v>3860</v>
      </c>
      <c r="X1954">
        <f>excelsalesdata[[#This Row],[Gross_sales]]*excelsalesdata[[#This Row],[Discount_%]]</f>
        <v>193</v>
      </c>
      <c r="Y1954">
        <f>excelsalesdata[[#This Row],[Gross_sales]]-excelsalesdata[[#This Row],[Discount_amt]]</f>
        <v>3667</v>
      </c>
      <c r="Z1954" s="4">
        <f>excelsalesdata[[#This Row],[Net_sales]]-excelsalesdata[[#This Row],[Cost]]</f>
        <v>2787</v>
      </c>
      <c r="AA1954" s="5">
        <f>excelsalesdata[[#This Row],[Profit]]/excelsalesdata[[#This Row],[Net_sales]]</f>
        <v>0.76002181619852738</v>
      </c>
      <c r="AB1954" s="4">
        <f>YEAR(excelsalesdata[[#This Row],[Order_Date]])</f>
        <v>2030</v>
      </c>
      <c r="AC1954" s="4" t="str">
        <f>TEXT(excelsalesdata[[#This Row],[Order_Date]],"mmm")</f>
        <v>Aug</v>
      </c>
      <c r="AD1954" s="4" t="str">
        <f>"Q"&amp;ROUNDUP(MONTH(excelsalesdata[[#This Row],[Order_Date]])/3,0)</f>
        <v>Q3</v>
      </c>
    </row>
    <row r="1955" spans="1:30" x14ac:dyDescent="0.35">
      <c r="A1955" t="s">
        <v>2800</v>
      </c>
      <c r="B1955" s="3">
        <v>47713</v>
      </c>
      <c r="C1955" t="s">
        <v>107</v>
      </c>
      <c r="D1955" t="s">
        <v>291</v>
      </c>
      <c r="E1955" t="str">
        <f>TRIM(excelsalesdata[[#This Row],[Customer_Name]])</f>
        <v>Vikram Patel</v>
      </c>
      <c r="F1955" t="s">
        <v>44</v>
      </c>
      <c r="G1955">
        <v>32</v>
      </c>
      <c r="H1955" t="s">
        <v>71</v>
      </c>
      <c r="I1955" t="str">
        <f>TRIM(excelsalesdata[[#This Row],[City]])</f>
        <v>Bhubaneswar</v>
      </c>
      <c r="J1955" t="s">
        <v>72</v>
      </c>
      <c r="K1955" t="s">
        <v>37</v>
      </c>
      <c r="L1955" t="s">
        <v>54</v>
      </c>
      <c r="M1955" t="s">
        <v>129</v>
      </c>
      <c r="N1955" t="s">
        <v>129</v>
      </c>
      <c r="O1955">
        <v>4</v>
      </c>
      <c r="P1955">
        <v>18790</v>
      </c>
      <c r="Q1955">
        <v>0.05</v>
      </c>
      <c r="R1955">
        <v>12970</v>
      </c>
      <c r="S1955" t="s">
        <v>29</v>
      </c>
      <c r="T1955" t="s">
        <v>30</v>
      </c>
      <c r="U1955">
        <v>2</v>
      </c>
      <c r="V1955" t="s">
        <v>31</v>
      </c>
      <c r="W1955">
        <f>excelsalesdata[[#This Row],[Quantity]]*excelsalesdata[[#This Row],[Unit_Price]]</f>
        <v>75160</v>
      </c>
      <c r="X1955">
        <f>excelsalesdata[[#This Row],[Gross_sales]]*excelsalesdata[[#This Row],[Discount_%]]</f>
        <v>3758</v>
      </c>
      <c r="Y1955">
        <f>excelsalesdata[[#This Row],[Gross_sales]]-excelsalesdata[[#This Row],[Discount_amt]]</f>
        <v>71402</v>
      </c>
      <c r="Z1955" s="4">
        <f>excelsalesdata[[#This Row],[Net_sales]]-excelsalesdata[[#This Row],[Cost]]</f>
        <v>58432</v>
      </c>
      <c r="AA1955" s="5">
        <f>excelsalesdata[[#This Row],[Profit]]/excelsalesdata[[#This Row],[Net_sales]]</f>
        <v>0.81835242710288225</v>
      </c>
      <c r="AB1955" s="4">
        <f>YEAR(excelsalesdata[[#This Row],[Order_Date]])</f>
        <v>2030</v>
      </c>
      <c r="AC1955" s="4" t="str">
        <f>TEXT(excelsalesdata[[#This Row],[Order_Date]],"mmm")</f>
        <v>Aug</v>
      </c>
      <c r="AD1955" s="4" t="str">
        <f>"Q"&amp;ROUNDUP(MONTH(excelsalesdata[[#This Row],[Order_Date]])/3,0)</f>
        <v>Q3</v>
      </c>
    </row>
    <row r="1956" spans="1:30" x14ac:dyDescent="0.35">
      <c r="A1956" t="s">
        <v>2801</v>
      </c>
      <c r="B1956" s="3">
        <v>47714</v>
      </c>
      <c r="C1956" t="s">
        <v>582</v>
      </c>
      <c r="D1956" t="s">
        <v>583</v>
      </c>
      <c r="E1956" t="str">
        <f>TRIM(excelsalesdata[[#This Row],[Customer_Name]])</f>
        <v>Ishita Gupta</v>
      </c>
      <c r="F1956" t="s">
        <v>44</v>
      </c>
      <c r="G1956">
        <v>38</v>
      </c>
      <c r="H1956" t="s">
        <v>24</v>
      </c>
      <c r="I1956" t="str">
        <f>TRIM(excelsalesdata[[#This Row],[City]])</f>
        <v>Pune</v>
      </c>
      <c r="J1956" t="s">
        <v>25</v>
      </c>
      <c r="K1956" t="s">
        <v>26</v>
      </c>
      <c r="L1956" t="s">
        <v>27</v>
      </c>
      <c r="M1956" t="s">
        <v>28</v>
      </c>
      <c r="N1956" t="s">
        <v>28</v>
      </c>
      <c r="O1956">
        <v>1</v>
      </c>
      <c r="P1956">
        <v>3270</v>
      </c>
      <c r="Q1956">
        <v>0.05</v>
      </c>
      <c r="R1956">
        <v>2030</v>
      </c>
      <c r="S1956" t="s">
        <v>105</v>
      </c>
      <c r="T1956" t="s">
        <v>30</v>
      </c>
      <c r="U1956">
        <v>5</v>
      </c>
      <c r="V1956" t="s">
        <v>40</v>
      </c>
      <c r="W1956">
        <f>excelsalesdata[[#This Row],[Quantity]]*excelsalesdata[[#This Row],[Unit_Price]]</f>
        <v>3270</v>
      </c>
      <c r="X1956">
        <f>excelsalesdata[[#This Row],[Gross_sales]]*excelsalesdata[[#This Row],[Discount_%]]</f>
        <v>163.5</v>
      </c>
      <c r="Y1956">
        <f>excelsalesdata[[#This Row],[Gross_sales]]-excelsalesdata[[#This Row],[Discount_amt]]</f>
        <v>3106.5</v>
      </c>
      <c r="Z1956" s="4">
        <f>excelsalesdata[[#This Row],[Net_sales]]-excelsalesdata[[#This Row],[Cost]]</f>
        <v>1076.5</v>
      </c>
      <c r="AA1956" s="5">
        <f>excelsalesdata[[#This Row],[Profit]]/excelsalesdata[[#This Row],[Net_sales]]</f>
        <v>0.34653146628037984</v>
      </c>
      <c r="AB1956" s="4">
        <f>YEAR(excelsalesdata[[#This Row],[Order_Date]])</f>
        <v>2030</v>
      </c>
      <c r="AC1956" s="4" t="str">
        <f>TEXT(excelsalesdata[[#This Row],[Order_Date]],"mmm")</f>
        <v>Aug</v>
      </c>
      <c r="AD1956" s="4" t="str">
        <f>"Q"&amp;ROUNDUP(MONTH(excelsalesdata[[#This Row],[Order_Date]])/3,0)</f>
        <v>Q3</v>
      </c>
    </row>
    <row r="1957" spans="1:30" x14ac:dyDescent="0.35">
      <c r="A1957" t="s">
        <v>2802</v>
      </c>
      <c r="B1957" s="3">
        <v>47715</v>
      </c>
      <c r="C1957" t="s">
        <v>1273</v>
      </c>
      <c r="D1957" t="s">
        <v>954</v>
      </c>
      <c r="E1957" t="str">
        <f>TRIM(excelsalesdata[[#This Row],[Customer_Name]])</f>
        <v>Ishita Nair</v>
      </c>
      <c r="F1957" t="s">
        <v>23</v>
      </c>
      <c r="G1957">
        <v>20</v>
      </c>
      <c r="H1957" t="s">
        <v>155</v>
      </c>
      <c r="I1957" t="str">
        <f>TRIM(excelsalesdata[[#This Row],[City]])</f>
        <v>Chennai</v>
      </c>
      <c r="J1957" t="s">
        <v>156</v>
      </c>
      <c r="K1957" t="s">
        <v>47</v>
      </c>
      <c r="L1957" t="s">
        <v>27</v>
      </c>
      <c r="M1957" t="s">
        <v>28</v>
      </c>
      <c r="N1957" t="s">
        <v>28</v>
      </c>
      <c r="O1957">
        <v>4</v>
      </c>
      <c r="P1957">
        <v>3680</v>
      </c>
      <c r="Q1957">
        <v>0.3</v>
      </c>
      <c r="R1957">
        <v>2190</v>
      </c>
      <c r="S1957" t="s">
        <v>105</v>
      </c>
      <c r="T1957" t="s">
        <v>74</v>
      </c>
      <c r="U1957">
        <v>5</v>
      </c>
      <c r="V1957" t="s">
        <v>31</v>
      </c>
      <c r="W1957">
        <f>excelsalesdata[[#This Row],[Quantity]]*excelsalesdata[[#This Row],[Unit_Price]]</f>
        <v>14720</v>
      </c>
      <c r="X1957">
        <f>excelsalesdata[[#This Row],[Gross_sales]]*excelsalesdata[[#This Row],[Discount_%]]</f>
        <v>4416</v>
      </c>
      <c r="Y1957">
        <f>excelsalesdata[[#This Row],[Gross_sales]]-excelsalesdata[[#This Row],[Discount_amt]]</f>
        <v>10304</v>
      </c>
      <c r="Z1957" s="4">
        <f>excelsalesdata[[#This Row],[Net_sales]]-excelsalesdata[[#This Row],[Cost]]</f>
        <v>8114</v>
      </c>
      <c r="AA1957" s="5">
        <f>excelsalesdata[[#This Row],[Profit]]/excelsalesdata[[#This Row],[Net_sales]]</f>
        <v>0.78746118012422361</v>
      </c>
      <c r="AB1957" s="4">
        <f>YEAR(excelsalesdata[[#This Row],[Order_Date]])</f>
        <v>2030</v>
      </c>
      <c r="AC1957" s="4" t="str">
        <f>TEXT(excelsalesdata[[#This Row],[Order_Date]],"mmm")</f>
        <v>Aug</v>
      </c>
      <c r="AD1957" s="4" t="str">
        <f>"Q"&amp;ROUNDUP(MONTH(excelsalesdata[[#This Row],[Order_Date]])/3,0)</f>
        <v>Q3</v>
      </c>
    </row>
    <row r="1958" spans="1:30" x14ac:dyDescent="0.35">
      <c r="A1958" t="s">
        <v>2803</v>
      </c>
      <c r="B1958" s="3">
        <v>47716</v>
      </c>
      <c r="C1958" t="s">
        <v>183</v>
      </c>
      <c r="D1958" t="s">
        <v>282</v>
      </c>
      <c r="E1958" t="str">
        <f>TRIM(excelsalesdata[[#This Row],[Customer_Name]])</f>
        <v>Priya Bhat</v>
      </c>
      <c r="F1958" t="s">
        <v>23</v>
      </c>
      <c r="G1958">
        <v>60</v>
      </c>
      <c r="H1958" t="s">
        <v>133</v>
      </c>
      <c r="I1958" t="str">
        <f>TRIM(excelsalesdata[[#This Row],[City]])</f>
        <v>Jaipur</v>
      </c>
      <c r="J1958" t="s">
        <v>134</v>
      </c>
      <c r="K1958" t="s">
        <v>61</v>
      </c>
      <c r="L1958" t="s">
        <v>38</v>
      </c>
      <c r="M1958" t="s">
        <v>255</v>
      </c>
      <c r="N1958" t="s">
        <v>255</v>
      </c>
      <c r="O1958">
        <v>1</v>
      </c>
      <c r="P1958">
        <v>4470</v>
      </c>
      <c r="Q1958">
        <v>0.2</v>
      </c>
      <c r="R1958">
        <v>2940</v>
      </c>
      <c r="S1958" t="s">
        <v>29</v>
      </c>
      <c r="T1958" t="s">
        <v>30</v>
      </c>
      <c r="U1958">
        <v>7</v>
      </c>
      <c r="V1958" t="s">
        <v>31</v>
      </c>
      <c r="W1958">
        <f>excelsalesdata[[#This Row],[Quantity]]*excelsalesdata[[#This Row],[Unit_Price]]</f>
        <v>4470</v>
      </c>
      <c r="X1958">
        <f>excelsalesdata[[#This Row],[Gross_sales]]*excelsalesdata[[#This Row],[Discount_%]]</f>
        <v>894</v>
      </c>
      <c r="Y1958">
        <f>excelsalesdata[[#This Row],[Gross_sales]]-excelsalesdata[[#This Row],[Discount_amt]]</f>
        <v>3576</v>
      </c>
      <c r="Z1958" s="4">
        <f>excelsalesdata[[#This Row],[Net_sales]]-excelsalesdata[[#This Row],[Cost]]</f>
        <v>636</v>
      </c>
      <c r="AA1958" s="5">
        <f>excelsalesdata[[#This Row],[Profit]]/excelsalesdata[[#This Row],[Net_sales]]</f>
        <v>0.17785234899328858</v>
      </c>
      <c r="AB1958" s="4">
        <f>YEAR(excelsalesdata[[#This Row],[Order_Date]])</f>
        <v>2030</v>
      </c>
      <c r="AC1958" s="4" t="str">
        <f>TEXT(excelsalesdata[[#This Row],[Order_Date]],"mmm")</f>
        <v>Aug</v>
      </c>
      <c r="AD1958" s="4" t="str">
        <f>"Q"&amp;ROUNDUP(MONTH(excelsalesdata[[#This Row],[Order_Date]])/3,0)</f>
        <v>Q3</v>
      </c>
    </row>
    <row r="1959" spans="1:30" x14ac:dyDescent="0.35">
      <c r="A1959" t="s">
        <v>2804</v>
      </c>
      <c r="B1959" s="3">
        <v>47717</v>
      </c>
      <c r="C1959" t="s">
        <v>405</v>
      </c>
      <c r="D1959" t="s">
        <v>507</v>
      </c>
      <c r="E1959" t="str">
        <f>TRIM(excelsalesdata[[#This Row],[Customer_Name]])</f>
        <v>Vikram Iyer</v>
      </c>
      <c r="F1959" t="s">
        <v>44</v>
      </c>
      <c r="G1959">
        <v>49</v>
      </c>
      <c r="H1959" t="s">
        <v>52</v>
      </c>
      <c r="I1959" t="str">
        <f>TRIM(excelsalesdata[[#This Row],[City]])</f>
        <v>Bengaluru</v>
      </c>
      <c r="J1959" t="s">
        <v>53</v>
      </c>
      <c r="K1959" t="s">
        <v>47</v>
      </c>
      <c r="L1959" t="s">
        <v>103</v>
      </c>
      <c r="M1959" t="s">
        <v>104</v>
      </c>
      <c r="N1959" t="s">
        <v>104</v>
      </c>
      <c r="O1959">
        <v>1</v>
      </c>
      <c r="P1959">
        <v>9090</v>
      </c>
      <c r="Q1959">
        <v>0.15</v>
      </c>
      <c r="R1959">
        <v>5470</v>
      </c>
      <c r="S1959" t="s">
        <v>80</v>
      </c>
      <c r="T1959" t="s">
        <v>30</v>
      </c>
      <c r="U1959">
        <v>1</v>
      </c>
      <c r="V1959" t="s">
        <v>31</v>
      </c>
      <c r="W1959">
        <f>excelsalesdata[[#This Row],[Quantity]]*excelsalesdata[[#This Row],[Unit_Price]]</f>
        <v>9090</v>
      </c>
      <c r="X1959">
        <f>excelsalesdata[[#This Row],[Gross_sales]]*excelsalesdata[[#This Row],[Discount_%]]</f>
        <v>1363.5</v>
      </c>
      <c r="Y1959">
        <f>excelsalesdata[[#This Row],[Gross_sales]]-excelsalesdata[[#This Row],[Discount_amt]]</f>
        <v>7726.5</v>
      </c>
      <c r="Z1959" s="4">
        <f>excelsalesdata[[#This Row],[Net_sales]]-excelsalesdata[[#This Row],[Cost]]</f>
        <v>2256.5</v>
      </c>
      <c r="AA1959" s="5">
        <f>excelsalesdata[[#This Row],[Profit]]/excelsalesdata[[#This Row],[Net_sales]]</f>
        <v>0.29204685174399792</v>
      </c>
      <c r="AB1959" s="4">
        <f>YEAR(excelsalesdata[[#This Row],[Order_Date]])</f>
        <v>2030</v>
      </c>
      <c r="AC1959" s="4" t="str">
        <f>TEXT(excelsalesdata[[#This Row],[Order_Date]],"mmm")</f>
        <v>Aug</v>
      </c>
      <c r="AD1959" s="4" t="str">
        <f>"Q"&amp;ROUNDUP(MONTH(excelsalesdata[[#This Row],[Order_Date]])/3,0)</f>
        <v>Q3</v>
      </c>
    </row>
    <row r="1960" spans="1:30" x14ac:dyDescent="0.35">
      <c r="A1960" t="s">
        <v>2805</v>
      </c>
      <c r="B1960" s="3">
        <v>47718</v>
      </c>
      <c r="C1960" t="s">
        <v>2806</v>
      </c>
      <c r="D1960" t="s">
        <v>925</v>
      </c>
      <c r="E1960" t="str">
        <f>TRIM(excelsalesdata[[#This Row],[Customer_Name]])</f>
        <v>Ananya Rao</v>
      </c>
      <c r="F1960" t="s">
        <v>23</v>
      </c>
      <c r="G1960">
        <v>59</v>
      </c>
      <c r="H1960" t="s">
        <v>168</v>
      </c>
      <c r="I1960" t="str">
        <f>TRIM(excelsalesdata[[#This Row],[City]])</f>
        <v>Delhi</v>
      </c>
      <c r="J1960" t="s">
        <v>168</v>
      </c>
      <c r="K1960" t="s">
        <v>61</v>
      </c>
      <c r="L1960" t="s">
        <v>27</v>
      </c>
      <c r="M1960" t="s">
        <v>48</v>
      </c>
      <c r="N1960" t="s">
        <v>48</v>
      </c>
      <c r="O1960">
        <v>1</v>
      </c>
      <c r="P1960">
        <v>920</v>
      </c>
      <c r="Q1960">
        <v>0.15</v>
      </c>
      <c r="R1960">
        <v>440</v>
      </c>
      <c r="S1960" t="s">
        <v>29</v>
      </c>
      <c r="T1960" t="s">
        <v>74</v>
      </c>
      <c r="U1960">
        <v>4</v>
      </c>
      <c r="V1960" t="s">
        <v>40</v>
      </c>
      <c r="W1960">
        <f>excelsalesdata[[#This Row],[Quantity]]*excelsalesdata[[#This Row],[Unit_Price]]</f>
        <v>920</v>
      </c>
      <c r="X1960">
        <f>excelsalesdata[[#This Row],[Gross_sales]]*excelsalesdata[[#This Row],[Discount_%]]</f>
        <v>138</v>
      </c>
      <c r="Y1960">
        <f>excelsalesdata[[#This Row],[Gross_sales]]-excelsalesdata[[#This Row],[Discount_amt]]</f>
        <v>782</v>
      </c>
      <c r="Z1960" s="4">
        <f>excelsalesdata[[#This Row],[Net_sales]]-excelsalesdata[[#This Row],[Cost]]</f>
        <v>342</v>
      </c>
      <c r="AA1960" s="5">
        <f>excelsalesdata[[#This Row],[Profit]]/excelsalesdata[[#This Row],[Net_sales]]</f>
        <v>0.4373401534526854</v>
      </c>
      <c r="AB1960" s="4">
        <f>YEAR(excelsalesdata[[#This Row],[Order_Date]])</f>
        <v>2030</v>
      </c>
      <c r="AC1960" s="4" t="str">
        <f>TEXT(excelsalesdata[[#This Row],[Order_Date]],"mmm")</f>
        <v>Aug</v>
      </c>
      <c r="AD1960" s="4" t="str">
        <f>"Q"&amp;ROUNDUP(MONTH(excelsalesdata[[#This Row],[Order_Date]])/3,0)</f>
        <v>Q3</v>
      </c>
    </row>
    <row r="1961" spans="1:30" x14ac:dyDescent="0.35">
      <c r="A1961" t="s">
        <v>2807</v>
      </c>
      <c r="B1961" s="3">
        <v>47719</v>
      </c>
      <c r="C1961" t="s">
        <v>577</v>
      </c>
      <c r="D1961" t="s">
        <v>113</v>
      </c>
      <c r="E1961" t="str">
        <f>TRIM(excelsalesdata[[#This Row],[Customer_Name]])</f>
        <v>Nisha Joshi</v>
      </c>
      <c r="F1961" t="s">
        <v>23</v>
      </c>
      <c r="G1961">
        <v>42</v>
      </c>
      <c r="H1961" t="s">
        <v>114</v>
      </c>
      <c r="I1961" t="str">
        <f>TRIM(excelsalesdata[[#This Row],[City]])</f>
        <v>Hyderabad</v>
      </c>
      <c r="J1961" t="s">
        <v>115</v>
      </c>
      <c r="K1961" t="s">
        <v>47</v>
      </c>
      <c r="L1961" t="s">
        <v>103</v>
      </c>
      <c r="M1961" t="s">
        <v>312</v>
      </c>
      <c r="N1961" t="s">
        <v>312</v>
      </c>
      <c r="O1961">
        <v>3</v>
      </c>
      <c r="P1961">
        <v>6540</v>
      </c>
      <c r="Q1961">
        <v>0</v>
      </c>
      <c r="R1961">
        <v>4260</v>
      </c>
      <c r="S1961" t="s">
        <v>80</v>
      </c>
      <c r="T1961" t="s">
        <v>30</v>
      </c>
      <c r="U1961">
        <v>5</v>
      </c>
      <c r="V1961" t="s">
        <v>40</v>
      </c>
      <c r="W1961">
        <f>excelsalesdata[[#This Row],[Quantity]]*excelsalesdata[[#This Row],[Unit_Price]]</f>
        <v>19620</v>
      </c>
      <c r="X1961">
        <f>excelsalesdata[[#This Row],[Gross_sales]]*excelsalesdata[[#This Row],[Discount_%]]</f>
        <v>0</v>
      </c>
      <c r="Y1961">
        <f>excelsalesdata[[#This Row],[Gross_sales]]-excelsalesdata[[#This Row],[Discount_amt]]</f>
        <v>19620</v>
      </c>
      <c r="Z1961" s="4">
        <f>excelsalesdata[[#This Row],[Net_sales]]-excelsalesdata[[#This Row],[Cost]]</f>
        <v>15360</v>
      </c>
      <c r="AA1961" s="5">
        <f>excelsalesdata[[#This Row],[Profit]]/excelsalesdata[[#This Row],[Net_sales]]</f>
        <v>0.78287461773700306</v>
      </c>
      <c r="AB1961" s="4">
        <f>YEAR(excelsalesdata[[#This Row],[Order_Date]])</f>
        <v>2030</v>
      </c>
      <c r="AC1961" s="4" t="str">
        <f>TEXT(excelsalesdata[[#This Row],[Order_Date]],"mmm")</f>
        <v>Aug</v>
      </c>
      <c r="AD1961" s="4" t="str">
        <f>"Q"&amp;ROUNDUP(MONTH(excelsalesdata[[#This Row],[Order_Date]])/3,0)</f>
        <v>Q3</v>
      </c>
    </row>
    <row r="1962" spans="1:30" x14ac:dyDescent="0.35">
      <c r="A1962" t="s">
        <v>2808</v>
      </c>
      <c r="B1962" s="3">
        <v>47720</v>
      </c>
      <c r="C1962" t="s">
        <v>230</v>
      </c>
      <c r="D1962" t="s">
        <v>164</v>
      </c>
      <c r="E1962" t="str">
        <f>TRIM(excelsalesdata[[#This Row],[Customer_Name]])</f>
        <v>Priya Naidu</v>
      </c>
      <c r="F1962" t="s">
        <v>44</v>
      </c>
      <c r="G1962">
        <v>40</v>
      </c>
      <c r="H1962" t="s">
        <v>71</v>
      </c>
      <c r="I1962" t="str">
        <f>TRIM(excelsalesdata[[#This Row],[City]])</f>
        <v>Bhubaneswar</v>
      </c>
      <c r="J1962" t="s">
        <v>72</v>
      </c>
      <c r="K1962" t="s">
        <v>37</v>
      </c>
      <c r="L1962" t="s">
        <v>38</v>
      </c>
      <c r="M1962" t="s">
        <v>255</v>
      </c>
      <c r="N1962" t="s">
        <v>255</v>
      </c>
      <c r="O1962">
        <v>2</v>
      </c>
      <c r="P1962">
        <v>4140</v>
      </c>
      <c r="Q1962">
        <v>0.1</v>
      </c>
      <c r="R1962">
        <v>2770</v>
      </c>
      <c r="S1962" t="s">
        <v>105</v>
      </c>
      <c r="T1962" t="s">
        <v>99</v>
      </c>
      <c r="U1962">
        <v>4</v>
      </c>
      <c r="V1962" t="s">
        <v>40</v>
      </c>
      <c r="W1962">
        <f>excelsalesdata[[#This Row],[Quantity]]*excelsalesdata[[#This Row],[Unit_Price]]</f>
        <v>8280</v>
      </c>
      <c r="X1962">
        <f>excelsalesdata[[#This Row],[Gross_sales]]*excelsalesdata[[#This Row],[Discount_%]]</f>
        <v>828</v>
      </c>
      <c r="Y1962">
        <f>excelsalesdata[[#This Row],[Gross_sales]]-excelsalesdata[[#This Row],[Discount_amt]]</f>
        <v>7452</v>
      </c>
      <c r="Z1962" s="4">
        <f>excelsalesdata[[#This Row],[Net_sales]]-excelsalesdata[[#This Row],[Cost]]</f>
        <v>4682</v>
      </c>
      <c r="AA1962" s="5">
        <f>excelsalesdata[[#This Row],[Profit]]/excelsalesdata[[#This Row],[Net_sales]]</f>
        <v>0.62828770799785294</v>
      </c>
      <c r="AB1962" s="4">
        <f>YEAR(excelsalesdata[[#This Row],[Order_Date]])</f>
        <v>2030</v>
      </c>
      <c r="AC1962" s="4" t="str">
        <f>TEXT(excelsalesdata[[#This Row],[Order_Date]],"mmm")</f>
        <v>Aug</v>
      </c>
      <c r="AD1962" s="4" t="str">
        <f>"Q"&amp;ROUNDUP(MONTH(excelsalesdata[[#This Row],[Order_Date]])/3,0)</f>
        <v>Q3</v>
      </c>
    </row>
    <row r="1963" spans="1:30" x14ac:dyDescent="0.35">
      <c r="A1963" t="s">
        <v>2809</v>
      </c>
      <c r="B1963" s="3">
        <v>47721</v>
      </c>
      <c r="C1963" t="s">
        <v>888</v>
      </c>
      <c r="D1963" t="s">
        <v>1394</v>
      </c>
      <c r="E1963" t="str">
        <f>TRIM(excelsalesdata[[#This Row],[Customer_Name]])</f>
        <v>Vikram Kumar</v>
      </c>
      <c r="F1963" t="s">
        <v>23</v>
      </c>
      <c r="G1963">
        <v>57</v>
      </c>
      <c r="H1963" t="s">
        <v>109</v>
      </c>
      <c r="I1963" t="str">
        <f>TRIM(excelsalesdata[[#This Row],[City]])</f>
        <v>Mysuru</v>
      </c>
      <c r="J1963" t="s">
        <v>53</v>
      </c>
      <c r="K1963" t="s">
        <v>47</v>
      </c>
      <c r="L1963" t="s">
        <v>38</v>
      </c>
      <c r="M1963" t="s">
        <v>161</v>
      </c>
      <c r="N1963" t="s">
        <v>161</v>
      </c>
      <c r="O1963">
        <v>3</v>
      </c>
      <c r="P1963">
        <v>29650</v>
      </c>
      <c r="Q1963">
        <v>0.05</v>
      </c>
      <c r="R1963">
        <v>20830</v>
      </c>
      <c r="S1963" t="s">
        <v>80</v>
      </c>
      <c r="T1963" t="s">
        <v>30</v>
      </c>
      <c r="U1963">
        <v>3</v>
      </c>
      <c r="V1963" t="s">
        <v>40</v>
      </c>
      <c r="W1963">
        <f>excelsalesdata[[#This Row],[Quantity]]*excelsalesdata[[#This Row],[Unit_Price]]</f>
        <v>88950</v>
      </c>
      <c r="X1963">
        <f>excelsalesdata[[#This Row],[Gross_sales]]*excelsalesdata[[#This Row],[Discount_%]]</f>
        <v>4447.5</v>
      </c>
      <c r="Y1963">
        <f>excelsalesdata[[#This Row],[Gross_sales]]-excelsalesdata[[#This Row],[Discount_amt]]</f>
        <v>84502.5</v>
      </c>
      <c r="Z1963" s="4">
        <f>excelsalesdata[[#This Row],[Net_sales]]-excelsalesdata[[#This Row],[Cost]]</f>
        <v>63672.5</v>
      </c>
      <c r="AA1963" s="5">
        <f>excelsalesdata[[#This Row],[Profit]]/excelsalesdata[[#This Row],[Net_sales]]</f>
        <v>0.7534984172065915</v>
      </c>
      <c r="AB1963" s="4">
        <f>YEAR(excelsalesdata[[#This Row],[Order_Date]])</f>
        <v>2030</v>
      </c>
      <c r="AC1963" s="4" t="str">
        <f>TEXT(excelsalesdata[[#This Row],[Order_Date]],"mmm")</f>
        <v>Aug</v>
      </c>
      <c r="AD1963" s="4" t="str">
        <f>"Q"&amp;ROUNDUP(MONTH(excelsalesdata[[#This Row],[Order_Date]])/3,0)</f>
        <v>Q3</v>
      </c>
    </row>
    <row r="1964" spans="1:30" x14ac:dyDescent="0.35">
      <c r="A1964" t="s">
        <v>2810</v>
      </c>
      <c r="B1964" s="3">
        <v>47722</v>
      </c>
      <c r="C1964" t="s">
        <v>1353</v>
      </c>
      <c r="D1964" t="s">
        <v>362</v>
      </c>
      <c r="E1964" t="str">
        <f>TRIM(excelsalesdata[[#This Row],[Customer_Name]])</f>
        <v>Diya Gupta</v>
      </c>
      <c r="F1964" t="s">
        <v>44</v>
      </c>
      <c r="G1964">
        <v>40</v>
      </c>
      <c r="H1964" t="s">
        <v>155</v>
      </c>
      <c r="I1964" t="str">
        <f>TRIM(excelsalesdata[[#This Row],[City]])</f>
        <v>Chennai</v>
      </c>
      <c r="J1964" t="s">
        <v>156</v>
      </c>
      <c r="K1964" t="s">
        <v>47</v>
      </c>
      <c r="L1964" t="s">
        <v>38</v>
      </c>
      <c r="M1964" t="s">
        <v>73</v>
      </c>
      <c r="N1964" t="s">
        <v>73</v>
      </c>
      <c r="O1964">
        <v>2</v>
      </c>
      <c r="P1964">
        <v>4650</v>
      </c>
      <c r="Q1964">
        <v>0.25</v>
      </c>
      <c r="R1964">
        <v>3310</v>
      </c>
      <c r="S1964" t="s">
        <v>80</v>
      </c>
      <c r="T1964" t="s">
        <v>30</v>
      </c>
      <c r="U1964">
        <v>5</v>
      </c>
      <c r="V1964" t="s">
        <v>31</v>
      </c>
      <c r="W1964">
        <f>excelsalesdata[[#This Row],[Quantity]]*excelsalesdata[[#This Row],[Unit_Price]]</f>
        <v>9300</v>
      </c>
      <c r="X1964">
        <f>excelsalesdata[[#This Row],[Gross_sales]]*excelsalesdata[[#This Row],[Discount_%]]</f>
        <v>2325</v>
      </c>
      <c r="Y1964">
        <f>excelsalesdata[[#This Row],[Gross_sales]]-excelsalesdata[[#This Row],[Discount_amt]]</f>
        <v>6975</v>
      </c>
      <c r="Z1964" s="4">
        <f>excelsalesdata[[#This Row],[Net_sales]]-excelsalesdata[[#This Row],[Cost]]</f>
        <v>3665</v>
      </c>
      <c r="AA1964" s="5">
        <f>excelsalesdata[[#This Row],[Profit]]/excelsalesdata[[#This Row],[Net_sales]]</f>
        <v>0.52544802867383511</v>
      </c>
      <c r="AB1964" s="4">
        <f>YEAR(excelsalesdata[[#This Row],[Order_Date]])</f>
        <v>2030</v>
      </c>
      <c r="AC1964" s="4" t="str">
        <f>TEXT(excelsalesdata[[#This Row],[Order_Date]],"mmm")</f>
        <v>Aug</v>
      </c>
      <c r="AD1964" s="4" t="str">
        <f>"Q"&amp;ROUNDUP(MONTH(excelsalesdata[[#This Row],[Order_Date]])/3,0)</f>
        <v>Q3</v>
      </c>
    </row>
    <row r="1965" spans="1:30" x14ac:dyDescent="0.35">
      <c r="A1965" t="s">
        <v>2811</v>
      </c>
      <c r="B1965" s="3">
        <v>47723</v>
      </c>
      <c r="C1965" t="s">
        <v>2027</v>
      </c>
      <c r="D1965" t="s">
        <v>102</v>
      </c>
      <c r="E1965" t="str">
        <f>TRIM(excelsalesdata[[#This Row],[Customer_Name]])</f>
        <v>Nisha Sharma</v>
      </c>
      <c r="F1965" t="s">
        <v>23</v>
      </c>
      <c r="G1965">
        <v>28</v>
      </c>
      <c r="H1965" t="s">
        <v>60</v>
      </c>
      <c r="I1965" t="str">
        <f>TRIM(excelsalesdata[[#This Row],[City]])</f>
        <v>Chandigarh</v>
      </c>
      <c r="J1965" t="s">
        <v>60</v>
      </c>
      <c r="K1965" t="s">
        <v>61</v>
      </c>
      <c r="L1965" t="s">
        <v>103</v>
      </c>
      <c r="M1965" t="s">
        <v>347</v>
      </c>
      <c r="N1965" t="s">
        <v>347</v>
      </c>
      <c r="O1965">
        <v>2</v>
      </c>
      <c r="P1965">
        <v>11500</v>
      </c>
      <c r="Q1965">
        <v>0.2</v>
      </c>
      <c r="R1965">
        <v>8420</v>
      </c>
      <c r="S1965" t="s">
        <v>29</v>
      </c>
      <c r="T1965" t="s">
        <v>30</v>
      </c>
      <c r="U1965">
        <v>4</v>
      </c>
      <c r="V1965" t="s">
        <v>31</v>
      </c>
      <c r="W1965">
        <f>excelsalesdata[[#This Row],[Quantity]]*excelsalesdata[[#This Row],[Unit_Price]]</f>
        <v>23000</v>
      </c>
      <c r="X1965">
        <f>excelsalesdata[[#This Row],[Gross_sales]]*excelsalesdata[[#This Row],[Discount_%]]</f>
        <v>4600</v>
      </c>
      <c r="Y1965">
        <f>excelsalesdata[[#This Row],[Gross_sales]]-excelsalesdata[[#This Row],[Discount_amt]]</f>
        <v>18400</v>
      </c>
      <c r="Z1965" s="4">
        <f>excelsalesdata[[#This Row],[Net_sales]]-excelsalesdata[[#This Row],[Cost]]</f>
        <v>9980</v>
      </c>
      <c r="AA1965" s="5">
        <f>excelsalesdata[[#This Row],[Profit]]/excelsalesdata[[#This Row],[Net_sales]]</f>
        <v>0.54239130434782612</v>
      </c>
      <c r="AB1965" s="4">
        <f>YEAR(excelsalesdata[[#This Row],[Order_Date]])</f>
        <v>2030</v>
      </c>
      <c r="AC1965" s="4" t="str">
        <f>TEXT(excelsalesdata[[#This Row],[Order_Date]],"mmm")</f>
        <v>Aug</v>
      </c>
      <c r="AD1965" s="4" t="str">
        <f>"Q"&amp;ROUNDUP(MONTH(excelsalesdata[[#This Row],[Order_Date]])/3,0)</f>
        <v>Q3</v>
      </c>
    </row>
    <row r="1966" spans="1:30" x14ac:dyDescent="0.35">
      <c r="A1966" t="s">
        <v>2812</v>
      </c>
      <c r="B1966" s="3">
        <v>47724</v>
      </c>
      <c r="C1966" t="s">
        <v>389</v>
      </c>
      <c r="D1966" t="s">
        <v>1507</v>
      </c>
      <c r="E1966" t="str">
        <f>TRIM(excelsalesdata[[#This Row],[Customer_Name]])</f>
        <v>Aarav Shah</v>
      </c>
      <c r="F1966" t="s">
        <v>44</v>
      </c>
      <c r="G1966">
        <v>24</v>
      </c>
      <c r="H1966" t="s">
        <v>185</v>
      </c>
      <c r="I1966" t="str">
        <f>TRIM(excelsalesdata[[#This Row],[City]])</f>
        <v>Lucknow</v>
      </c>
      <c r="J1966" t="s">
        <v>186</v>
      </c>
      <c r="K1966" t="s">
        <v>61</v>
      </c>
      <c r="L1966" t="s">
        <v>93</v>
      </c>
      <c r="M1966" t="s">
        <v>135</v>
      </c>
      <c r="N1966" t="s">
        <v>135</v>
      </c>
      <c r="O1966">
        <v>1</v>
      </c>
      <c r="P1966">
        <v>1720</v>
      </c>
      <c r="Q1966">
        <v>0.15</v>
      </c>
      <c r="R1966">
        <v>980</v>
      </c>
      <c r="S1966" t="s">
        <v>67</v>
      </c>
      <c r="T1966" t="s">
        <v>30</v>
      </c>
      <c r="U1966">
        <v>3</v>
      </c>
      <c r="V1966" t="s">
        <v>40</v>
      </c>
      <c r="W1966">
        <f>excelsalesdata[[#This Row],[Quantity]]*excelsalesdata[[#This Row],[Unit_Price]]</f>
        <v>1720</v>
      </c>
      <c r="X1966">
        <f>excelsalesdata[[#This Row],[Gross_sales]]*excelsalesdata[[#This Row],[Discount_%]]</f>
        <v>258</v>
      </c>
      <c r="Y1966">
        <f>excelsalesdata[[#This Row],[Gross_sales]]-excelsalesdata[[#This Row],[Discount_amt]]</f>
        <v>1462</v>
      </c>
      <c r="Z1966" s="4">
        <f>excelsalesdata[[#This Row],[Net_sales]]-excelsalesdata[[#This Row],[Cost]]</f>
        <v>482</v>
      </c>
      <c r="AA1966" s="5">
        <f>excelsalesdata[[#This Row],[Profit]]/excelsalesdata[[#This Row],[Net_sales]]</f>
        <v>0.32968536251709984</v>
      </c>
      <c r="AB1966" s="4">
        <f>YEAR(excelsalesdata[[#This Row],[Order_Date]])</f>
        <v>2030</v>
      </c>
      <c r="AC1966" s="4" t="str">
        <f>TEXT(excelsalesdata[[#This Row],[Order_Date]],"mmm")</f>
        <v>Aug</v>
      </c>
      <c r="AD1966" s="4" t="str">
        <f>"Q"&amp;ROUNDUP(MONTH(excelsalesdata[[#This Row],[Order_Date]])/3,0)</f>
        <v>Q3</v>
      </c>
    </row>
    <row r="1967" spans="1:30" x14ac:dyDescent="0.35">
      <c r="A1967" t="s">
        <v>2813</v>
      </c>
      <c r="B1967" s="3">
        <v>47725</v>
      </c>
      <c r="C1967" t="s">
        <v>1139</v>
      </c>
      <c r="D1967" t="s">
        <v>333</v>
      </c>
      <c r="E1967" t="str">
        <f>TRIM(excelsalesdata[[#This Row],[Customer_Name]])</f>
        <v>Ishita Singh</v>
      </c>
      <c r="F1967" t="s">
        <v>44</v>
      </c>
      <c r="G1967">
        <v>40</v>
      </c>
      <c r="H1967" t="s">
        <v>60</v>
      </c>
      <c r="I1967" t="str">
        <f>TRIM(excelsalesdata[[#This Row],[City]])</f>
        <v>Chandigarh</v>
      </c>
      <c r="J1967" t="s">
        <v>60</v>
      </c>
      <c r="K1967" t="s">
        <v>61</v>
      </c>
      <c r="L1967" t="s">
        <v>85</v>
      </c>
      <c r="M1967" t="s">
        <v>86</v>
      </c>
      <c r="N1967" t="s">
        <v>86</v>
      </c>
      <c r="O1967">
        <v>3</v>
      </c>
      <c r="P1967">
        <v>2700</v>
      </c>
      <c r="Q1967">
        <v>0.1</v>
      </c>
      <c r="R1967">
        <v>1470</v>
      </c>
      <c r="S1967" t="s">
        <v>105</v>
      </c>
      <c r="T1967" t="s">
        <v>74</v>
      </c>
      <c r="U1967">
        <v>2</v>
      </c>
      <c r="V1967" t="s">
        <v>31</v>
      </c>
      <c r="W1967">
        <f>excelsalesdata[[#This Row],[Quantity]]*excelsalesdata[[#This Row],[Unit_Price]]</f>
        <v>8100</v>
      </c>
      <c r="X1967">
        <f>excelsalesdata[[#This Row],[Gross_sales]]*excelsalesdata[[#This Row],[Discount_%]]</f>
        <v>810</v>
      </c>
      <c r="Y1967">
        <f>excelsalesdata[[#This Row],[Gross_sales]]-excelsalesdata[[#This Row],[Discount_amt]]</f>
        <v>7290</v>
      </c>
      <c r="Z1967" s="4">
        <f>excelsalesdata[[#This Row],[Net_sales]]-excelsalesdata[[#This Row],[Cost]]</f>
        <v>5820</v>
      </c>
      <c r="AA1967" s="5">
        <f>excelsalesdata[[#This Row],[Profit]]/excelsalesdata[[#This Row],[Net_sales]]</f>
        <v>0.79835390946502061</v>
      </c>
      <c r="AB1967" s="4">
        <f>YEAR(excelsalesdata[[#This Row],[Order_Date]])</f>
        <v>2030</v>
      </c>
      <c r="AC1967" s="4" t="str">
        <f>TEXT(excelsalesdata[[#This Row],[Order_Date]],"mmm")</f>
        <v>Aug</v>
      </c>
      <c r="AD1967" s="4" t="str">
        <f>"Q"&amp;ROUNDUP(MONTH(excelsalesdata[[#This Row],[Order_Date]])/3,0)</f>
        <v>Q3</v>
      </c>
    </row>
    <row r="1968" spans="1:30" x14ac:dyDescent="0.35">
      <c r="A1968" t="s">
        <v>2814</v>
      </c>
      <c r="B1968" s="3">
        <v>47726</v>
      </c>
      <c r="C1968" t="s">
        <v>2261</v>
      </c>
      <c r="D1968" t="s">
        <v>250</v>
      </c>
      <c r="E1968" t="str">
        <f>TRIM(excelsalesdata[[#This Row],[Customer_Name]])</f>
        <v>Rohan Singh</v>
      </c>
      <c r="F1968" t="s">
        <v>23</v>
      </c>
      <c r="G1968">
        <v>46</v>
      </c>
      <c r="H1968" t="s">
        <v>24</v>
      </c>
      <c r="I1968" t="str">
        <f>TRIM(excelsalesdata[[#This Row],[City]])</f>
        <v>Pune</v>
      </c>
      <c r="J1968" t="s">
        <v>25</v>
      </c>
      <c r="K1968" t="s">
        <v>26</v>
      </c>
      <c r="L1968" t="s">
        <v>38</v>
      </c>
      <c r="M1968" t="s">
        <v>255</v>
      </c>
      <c r="N1968" t="s">
        <v>255</v>
      </c>
      <c r="O1968">
        <v>2</v>
      </c>
      <c r="P1968">
        <v>4530</v>
      </c>
      <c r="Q1968">
        <v>0.3</v>
      </c>
      <c r="R1968">
        <v>2860</v>
      </c>
      <c r="S1968" t="s">
        <v>151</v>
      </c>
      <c r="T1968" t="s">
        <v>30</v>
      </c>
      <c r="U1968">
        <v>3</v>
      </c>
      <c r="V1968" t="s">
        <v>40</v>
      </c>
      <c r="W1968">
        <f>excelsalesdata[[#This Row],[Quantity]]*excelsalesdata[[#This Row],[Unit_Price]]</f>
        <v>9060</v>
      </c>
      <c r="X1968">
        <f>excelsalesdata[[#This Row],[Gross_sales]]*excelsalesdata[[#This Row],[Discount_%]]</f>
        <v>2718</v>
      </c>
      <c r="Y1968">
        <f>excelsalesdata[[#This Row],[Gross_sales]]-excelsalesdata[[#This Row],[Discount_amt]]</f>
        <v>6342</v>
      </c>
      <c r="Z1968" s="4">
        <f>excelsalesdata[[#This Row],[Net_sales]]-excelsalesdata[[#This Row],[Cost]]</f>
        <v>3482</v>
      </c>
      <c r="AA1968" s="5">
        <f>excelsalesdata[[#This Row],[Profit]]/excelsalesdata[[#This Row],[Net_sales]]</f>
        <v>0.5490381583096815</v>
      </c>
      <c r="AB1968" s="4">
        <f>YEAR(excelsalesdata[[#This Row],[Order_Date]])</f>
        <v>2030</v>
      </c>
      <c r="AC1968" s="4" t="str">
        <f>TEXT(excelsalesdata[[#This Row],[Order_Date]],"mmm")</f>
        <v>Aug</v>
      </c>
      <c r="AD1968" s="4" t="str">
        <f>"Q"&amp;ROUNDUP(MONTH(excelsalesdata[[#This Row],[Order_Date]])/3,0)</f>
        <v>Q3</v>
      </c>
    </row>
    <row r="1969" spans="1:30" x14ac:dyDescent="0.35">
      <c r="A1969" t="s">
        <v>2815</v>
      </c>
      <c r="B1969" s="3">
        <v>47727</v>
      </c>
      <c r="C1969" t="s">
        <v>327</v>
      </c>
      <c r="D1969" t="s">
        <v>265</v>
      </c>
      <c r="E1969" t="str">
        <f>TRIM(excelsalesdata[[#This Row],[Customer_Name]])</f>
        <v>Arjun Bhat</v>
      </c>
      <c r="F1969" t="s">
        <v>44</v>
      </c>
      <c r="G1969">
        <v>41</v>
      </c>
      <c r="H1969" t="s">
        <v>60</v>
      </c>
      <c r="I1969" t="str">
        <f>TRIM(excelsalesdata[[#This Row],[City]])</f>
        <v>Chandigarh</v>
      </c>
      <c r="J1969" t="s">
        <v>60</v>
      </c>
      <c r="K1969" t="s">
        <v>61</v>
      </c>
      <c r="L1969" t="s">
        <v>103</v>
      </c>
      <c r="M1969" t="s">
        <v>104</v>
      </c>
      <c r="N1969" t="s">
        <v>104</v>
      </c>
      <c r="O1969">
        <v>2</v>
      </c>
      <c r="P1969">
        <v>8910</v>
      </c>
      <c r="Q1969">
        <v>0.15</v>
      </c>
      <c r="R1969">
        <v>5790</v>
      </c>
      <c r="S1969" t="s">
        <v>80</v>
      </c>
      <c r="T1969" t="s">
        <v>30</v>
      </c>
      <c r="U1969">
        <v>4</v>
      </c>
      <c r="V1969" t="s">
        <v>31</v>
      </c>
      <c r="W1969">
        <f>excelsalesdata[[#This Row],[Quantity]]*excelsalesdata[[#This Row],[Unit_Price]]</f>
        <v>17820</v>
      </c>
      <c r="X1969">
        <f>excelsalesdata[[#This Row],[Gross_sales]]*excelsalesdata[[#This Row],[Discount_%]]</f>
        <v>2673</v>
      </c>
      <c r="Y1969">
        <f>excelsalesdata[[#This Row],[Gross_sales]]-excelsalesdata[[#This Row],[Discount_amt]]</f>
        <v>15147</v>
      </c>
      <c r="Z1969" s="4">
        <f>excelsalesdata[[#This Row],[Net_sales]]-excelsalesdata[[#This Row],[Cost]]</f>
        <v>9357</v>
      </c>
      <c r="AA1969" s="5">
        <f>excelsalesdata[[#This Row],[Profit]]/excelsalesdata[[#This Row],[Net_sales]]</f>
        <v>0.61774608833432365</v>
      </c>
      <c r="AB1969" s="4">
        <f>YEAR(excelsalesdata[[#This Row],[Order_Date]])</f>
        <v>2030</v>
      </c>
      <c r="AC1969" s="4" t="str">
        <f>TEXT(excelsalesdata[[#This Row],[Order_Date]],"mmm")</f>
        <v>Sep</v>
      </c>
      <c r="AD1969" s="4" t="str">
        <f>"Q"&amp;ROUNDUP(MONTH(excelsalesdata[[#This Row],[Order_Date]])/3,0)</f>
        <v>Q3</v>
      </c>
    </row>
    <row r="1970" spans="1:30" x14ac:dyDescent="0.35">
      <c r="A1970" t="s">
        <v>2816</v>
      </c>
      <c r="B1970" s="3">
        <v>47728</v>
      </c>
      <c r="C1970" t="s">
        <v>1317</v>
      </c>
      <c r="D1970" t="s">
        <v>1404</v>
      </c>
      <c r="E1970" t="str">
        <f>TRIM(excelsalesdata[[#This Row],[Customer_Name]])</f>
        <v>Rohan Joshi</v>
      </c>
      <c r="F1970" t="s">
        <v>23</v>
      </c>
      <c r="G1970">
        <v>24</v>
      </c>
      <c r="H1970" t="s">
        <v>155</v>
      </c>
      <c r="I1970" t="str">
        <f>TRIM(excelsalesdata[[#This Row],[City]])</f>
        <v>Chennai</v>
      </c>
      <c r="J1970" t="s">
        <v>156</v>
      </c>
      <c r="K1970" t="s">
        <v>47</v>
      </c>
      <c r="L1970" t="s">
        <v>38</v>
      </c>
      <c r="M1970" t="s">
        <v>73</v>
      </c>
      <c r="N1970" t="s">
        <v>73</v>
      </c>
      <c r="O1970">
        <v>2</v>
      </c>
      <c r="P1970">
        <v>4700</v>
      </c>
      <c r="Q1970">
        <v>0.1</v>
      </c>
      <c r="R1970">
        <v>3270</v>
      </c>
      <c r="S1970" t="s">
        <v>105</v>
      </c>
      <c r="T1970" t="s">
        <v>81</v>
      </c>
      <c r="U1970">
        <v>0</v>
      </c>
      <c r="V1970" t="s">
        <v>31</v>
      </c>
      <c r="W1970">
        <f>excelsalesdata[[#This Row],[Quantity]]*excelsalesdata[[#This Row],[Unit_Price]]</f>
        <v>9400</v>
      </c>
      <c r="X1970">
        <f>excelsalesdata[[#This Row],[Gross_sales]]*excelsalesdata[[#This Row],[Discount_%]]</f>
        <v>940</v>
      </c>
      <c r="Y1970">
        <f>excelsalesdata[[#This Row],[Gross_sales]]-excelsalesdata[[#This Row],[Discount_amt]]</f>
        <v>8460</v>
      </c>
      <c r="Z1970" s="4">
        <f>excelsalesdata[[#This Row],[Net_sales]]-excelsalesdata[[#This Row],[Cost]]</f>
        <v>5190</v>
      </c>
      <c r="AA1970" s="5">
        <f>excelsalesdata[[#This Row],[Profit]]/excelsalesdata[[#This Row],[Net_sales]]</f>
        <v>0.61347517730496459</v>
      </c>
      <c r="AB1970" s="4">
        <f>YEAR(excelsalesdata[[#This Row],[Order_Date]])</f>
        <v>2030</v>
      </c>
      <c r="AC1970" s="4" t="str">
        <f>TEXT(excelsalesdata[[#This Row],[Order_Date]],"mmm")</f>
        <v>Sep</v>
      </c>
      <c r="AD1970" s="4" t="str">
        <f>"Q"&amp;ROUNDUP(MONTH(excelsalesdata[[#This Row],[Order_Date]])/3,0)</f>
        <v>Q3</v>
      </c>
    </row>
    <row r="1971" spans="1:30" x14ac:dyDescent="0.35">
      <c r="A1971" t="s">
        <v>2817</v>
      </c>
      <c r="B1971" s="3">
        <v>47729</v>
      </c>
      <c r="C1971" t="s">
        <v>1568</v>
      </c>
      <c r="D1971" t="s">
        <v>744</v>
      </c>
      <c r="E1971" t="str">
        <f>TRIM(excelsalesdata[[#This Row],[Customer_Name]])</f>
        <v>Meera Nair</v>
      </c>
      <c r="F1971" t="s">
        <v>44</v>
      </c>
      <c r="G1971">
        <v>38</v>
      </c>
      <c r="H1971" t="s">
        <v>45</v>
      </c>
      <c r="I1971" t="str">
        <f>TRIM(excelsalesdata[[#This Row],[City]])</f>
        <v>Kochi</v>
      </c>
      <c r="J1971" t="s">
        <v>46</v>
      </c>
      <c r="K1971" t="s">
        <v>47</v>
      </c>
      <c r="L1971" t="s">
        <v>103</v>
      </c>
      <c r="M1971" t="s">
        <v>238</v>
      </c>
      <c r="N1971" t="s">
        <v>238</v>
      </c>
      <c r="O1971">
        <v>1</v>
      </c>
      <c r="P1971">
        <v>4290</v>
      </c>
      <c r="Q1971">
        <v>0</v>
      </c>
      <c r="R1971">
        <v>2710</v>
      </c>
      <c r="S1971" t="s">
        <v>151</v>
      </c>
      <c r="T1971" t="s">
        <v>30</v>
      </c>
      <c r="U1971">
        <v>4</v>
      </c>
      <c r="V1971" t="s">
        <v>31</v>
      </c>
      <c r="W1971">
        <f>excelsalesdata[[#This Row],[Quantity]]*excelsalesdata[[#This Row],[Unit_Price]]</f>
        <v>4290</v>
      </c>
      <c r="X1971">
        <f>excelsalesdata[[#This Row],[Gross_sales]]*excelsalesdata[[#This Row],[Discount_%]]</f>
        <v>0</v>
      </c>
      <c r="Y1971">
        <f>excelsalesdata[[#This Row],[Gross_sales]]-excelsalesdata[[#This Row],[Discount_amt]]</f>
        <v>4290</v>
      </c>
      <c r="Z1971" s="4">
        <f>excelsalesdata[[#This Row],[Net_sales]]-excelsalesdata[[#This Row],[Cost]]</f>
        <v>1580</v>
      </c>
      <c r="AA1971" s="5">
        <f>excelsalesdata[[#This Row],[Profit]]/excelsalesdata[[#This Row],[Net_sales]]</f>
        <v>0.36829836829836832</v>
      </c>
      <c r="AB1971" s="4">
        <f>YEAR(excelsalesdata[[#This Row],[Order_Date]])</f>
        <v>2030</v>
      </c>
      <c r="AC1971" s="4" t="str">
        <f>TEXT(excelsalesdata[[#This Row],[Order_Date]],"mmm")</f>
        <v>Sep</v>
      </c>
      <c r="AD1971" s="4" t="str">
        <f>"Q"&amp;ROUNDUP(MONTH(excelsalesdata[[#This Row],[Order_Date]])/3,0)</f>
        <v>Q3</v>
      </c>
    </row>
    <row r="1972" spans="1:30" x14ac:dyDescent="0.35">
      <c r="A1972" t="s">
        <v>2818</v>
      </c>
      <c r="B1972" s="3">
        <v>47730</v>
      </c>
      <c r="C1972" t="s">
        <v>1818</v>
      </c>
      <c r="D1972" t="s">
        <v>626</v>
      </c>
      <c r="E1972" t="str">
        <f>TRIM(excelsalesdata[[#This Row],[Customer_Name]])</f>
        <v>Aditya Rao</v>
      </c>
      <c r="F1972" t="s">
        <v>23</v>
      </c>
      <c r="G1972">
        <v>22</v>
      </c>
      <c r="H1972" t="s">
        <v>185</v>
      </c>
      <c r="I1972" t="str">
        <f>TRIM(excelsalesdata[[#This Row],[City]])</f>
        <v>Lucknow</v>
      </c>
      <c r="J1972" t="s">
        <v>186</v>
      </c>
      <c r="K1972" t="s">
        <v>61</v>
      </c>
      <c r="L1972" t="s">
        <v>93</v>
      </c>
      <c r="M1972" t="s">
        <v>135</v>
      </c>
      <c r="N1972" t="s">
        <v>135</v>
      </c>
      <c r="O1972">
        <v>1</v>
      </c>
      <c r="P1972">
        <v>1880</v>
      </c>
      <c r="Q1972">
        <v>0.05</v>
      </c>
      <c r="R1972">
        <v>1020</v>
      </c>
      <c r="S1972" t="s">
        <v>105</v>
      </c>
      <c r="T1972" t="s">
        <v>30</v>
      </c>
      <c r="U1972">
        <v>1</v>
      </c>
      <c r="V1972" t="s">
        <v>40</v>
      </c>
      <c r="W1972">
        <f>excelsalesdata[[#This Row],[Quantity]]*excelsalesdata[[#This Row],[Unit_Price]]</f>
        <v>1880</v>
      </c>
      <c r="X1972">
        <f>excelsalesdata[[#This Row],[Gross_sales]]*excelsalesdata[[#This Row],[Discount_%]]</f>
        <v>94</v>
      </c>
      <c r="Y1972">
        <f>excelsalesdata[[#This Row],[Gross_sales]]-excelsalesdata[[#This Row],[Discount_amt]]</f>
        <v>1786</v>
      </c>
      <c r="Z1972" s="4">
        <f>excelsalesdata[[#This Row],[Net_sales]]-excelsalesdata[[#This Row],[Cost]]</f>
        <v>766</v>
      </c>
      <c r="AA1972" s="5">
        <f>excelsalesdata[[#This Row],[Profit]]/excelsalesdata[[#This Row],[Net_sales]]</f>
        <v>0.42889137737961924</v>
      </c>
      <c r="AB1972" s="4">
        <f>YEAR(excelsalesdata[[#This Row],[Order_Date]])</f>
        <v>2030</v>
      </c>
      <c r="AC1972" s="4" t="str">
        <f>TEXT(excelsalesdata[[#This Row],[Order_Date]],"mmm")</f>
        <v>Sep</v>
      </c>
      <c r="AD1972" s="4" t="str">
        <f>"Q"&amp;ROUNDUP(MONTH(excelsalesdata[[#This Row],[Order_Date]])/3,0)</f>
        <v>Q3</v>
      </c>
    </row>
    <row r="1973" spans="1:30" x14ac:dyDescent="0.35">
      <c r="A1973" t="s">
        <v>2819</v>
      </c>
      <c r="B1973" s="3">
        <v>47731</v>
      </c>
      <c r="C1973" t="s">
        <v>800</v>
      </c>
      <c r="D1973" t="s">
        <v>1016</v>
      </c>
      <c r="E1973" t="str">
        <f>TRIM(excelsalesdata[[#This Row],[Customer_Name]])</f>
        <v>Meera Reddy</v>
      </c>
      <c r="F1973" t="s">
        <v>44</v>
      </c>
      <c r="G1973">
        <v>58</v>
      </c>
      <c r="H1973" t="s">
        <v>78</v>
      </c>
      <c r="I1973" t="str">
        <f>TRIM(excelsalesdata[[#This Row],[City]])</f>
        <v>Guwahati</v>
      </c>
      <c r="J1973" t="s">
        <v>79</v>
      </c>
      <c r="K1973" t="s">
        <v>37</v>
      </c>
      <c r="L1973" t="s">
        <v>93</v>
      </c>
      <c r="M1973" t="s">
        <v>718</v>
      </c>
      <c r="N1973" t="s">
        <v>718</v>
      </c>
      <c r="O1973">
        <v>2</v>
      </c>
      <c r="P1973">
        <v>1830</v>
      </c>
      <c r="Q1973">
        <v>0.1</v>
      </c>
      <c r="R1973">
        <v>910</v>
      </c>
      <c r="S1973" t="s">
        <v>67</v>
      </c>
      <c r="T1973" t="s">
        <v>30</v>
      </c>
      <c r="U1973">
        <v>3</v>
      </c>
      <c r="V1973" t="s">
        <v>40</v>
      </c>
      <c r="W1973">
        <f>excelsalesdata[[#This Row],[Quantity]]*excelsalesdata[[#This Row],[Unit_Price]]</f>
        <v>3660</v>
      </c>
      <c r="X1973">
        <f>excelsalesdata[[#This Row],[Gross_sales]]*excelsalesdata[[#This Row],[Discount_%]]</f>
        <v>366</v>
      </c>
      <c r="Y1973">
        <f>excelsalesdata[[#This Row],[Gross_sales]]-excelsalesdata[[#This Row],[Discount_amt]]</f>
        <v>3294</v>
      </c>
      <c r="Z1973" s="4">
        <f>excelsalesdata[[#This Row],[Net_sales]]-excelsalesdata[[#This Row],[Cost]]</f>
        <v>2384</v>
      </c>
      <c r="AA1973" s="5">
        <f>excelsalesdata[[#This Row],[Profit]]/excelsalesdata[[#This Row],[Net_sales]]</f>
        <v>0.72374013357619915</v>
      </c>
      <c r="AB1973" s="4">
        <f>YEAR(excelsalesdata[[#This Row],[Order_Date]])</f>
        <v>2030</v>
      </c>
      <c r="AC1973" s="4" t="str">
        <f>TEXT(excelsalesdata[[#This Row],[Order_Date]],"mmm")</f>
        <v>Sep</v>
      </c>
      <c r="AD1973" s="4" t="str">
        <f>"Q"&amp;ROUNDUP(MONTH(excelsalesdata[[#This Row],[Order_Date]])/3,0)</f>
        <v>Q3</v>
      </c>
    </row>
    <row r="1974" spans="1:30" x14ac:dyDescent="0.35">
      <c r="A1974" t="s">
        <v>2820</v>
      </c>
      <c r="B1974" s="3">
        <v>47732</v>
      </c>
      <c r="C1974" t="s">
        <v>1538</v>
      </c>
      <c r="D1974" t="s">
        <v>1976</v>
      </c>
      <c r="E1974" t="str">
        <f>TRIM(excelsalesdata[[#This Row],[Customer_Name]])</f>
        <v>Rahul Nair</v>
      </c>
      <c r="F1974" t="s">
        <v>23</v>
      </c>
      <c r="G1974">
        <v>33</v>
      </c>
      <c r="H1974" t="s">
        <v>35</v>
      </c>
      <c r="I1974" t="str">
        <f>TRIM(excelsalesdata[[#This Row],[City]])</f>
        <v>Kolkata</v>
      </c>
      <c r="J1974" t="s">
        <v>36</v>
      </c>
      <c r="K1974" t="s">
        <v>37</v>
      </c>
      <c r="L1974" t="s">
        <v>93</v>
      </c>
      <c r="M1974" t="s">
        <v>718</v>
      </c>
      <c r="N1974" t="s">
        <v>718</v>
      </c>
      <c r="O1974">
        <v>2</v>
      </c>
      <c r="P1974">
        <v>1770</v>
      </c>
      <c r="Q1974">
        <v>0.25</v>
      </c>
      <c r="R1974">
        <v>910</v>
      </c>
      <c r="S1974" t="s">
        <v>151</v>
      </c>
      <c r="T1974" t="s">
        <v>74</v>
      </c>
      <c r="U1974">
        <v>6</v>
      </c>
      <c r="V1974" t="s">
        <v>40</v>
      </c>
      <c r="W1974">
        <f>excelsalesdata[[#This Row],[Quantity]]*excelsalesdata[[#This Row],[Unit_Price]]</f>
        <v>3540</v>
      </c>
      <c r="X1974">
        <f>excelsalesdata[[#This Row],[Gross_sales]]*excelsalesdata[[#This Row],[Discount_%]]</f>
        <v>885</v>
      </c>
      <c r="Y1974">
        <f>excelsalesdata[[#This Row],[Gross_sales]]-excelsalesdata[[#This Row],[Discount_amt]]</f>
        <v>2655</v>
      </c>
      <c r="Z1974" s="4">
        <f>excelsalesdata[[#This Row],[Net_sales]]-excelsalesdata[[#This Row],[Cost]]</f>
        <v>1745</v>
      </c>
      <c r="AA1974" s="5">
        <f>excelsalesdata[[#This Row],[Profit]]/excelsalesdata[[#This Row],[Net_sales]]</f>
        <v>0.65725047080979282</v>
      </c>
      <c r="AB1974" s="4">
        <f>YEAR(excelsalesdata[[#This Row],[Order_Date]])</f>
        <v>2030</v>
      </c>
      <c r="AC1974" s="4" t="str">
        <f>TEXT(excelsalesdata[[#This Row],[Order_Date]],"mmm")</f>
        <v>Sep</v>
      </c>
      <c r="AD1974" s="4" t="str">
        <f>"Q"&amp;ROUNDUP(MONTH(excelsalesdata[[#This Row],[Order_Date]])/3,0)</f>
        <v>Q3</v>
      </c>
    </row>
    <row r="1975" spans="1:30" x14ac:dyDescent="0.35">
      <c r="A1975" t="s">
        <v>2821</v>
      </c>
      <c r="B1975" s="3">
        <v>47733</v>
      </c>
      <c r="C1975" t="s">
        <v>797</v>
      </c>
      <c r="D1975" t="s">
        <v>325</v>
      </c>
      <c r="E1975" t="str">
        <f>TRIM(excelsalesdata[[#This Row],[Customer_Name]])</f>
        <v>Ishita Iyer</v>
      </c>
      <c r="F1975" t="s">
        <v>23</v>
      </c>
      <c r="G1975">
        <v>19</v>
      </c>
      <c r="H1975" t="s">
        <v>114</v>
      </c>
      <c r="I1975" t="str">
        <f>TRIM(excelsalesdata[[#This Row],[City]])</f>
        <v>Hyderabad</v>
      </c>
      <c r="J1975" t="s">
        <v>115</v>
      </c>
      <c r="K1975" t="s">
        <v>47</v>
      </c>
      <c r="L1975" t="s">
        <v>38</v>
      </c>
      <c r="M1975" t="s">
        <v>255</v>
      </c>
      <c r="N1975" t="s">
        <v>255</v>
      </c>
      <c r="O1975">
        <v>1</v>
      </c>
      <c r="P1975">
        <v>4210</v>
      </c>
      <c r="Q1975">
        <v>0.1</v>
      </c>
      <c r="R1975">
        <v>2820</v>
      </c>
      <c r="S1975" t="s">
        <v>80</v>
      </c>
      <c r="T1975" t="s">
        <v>30</v>
      </c>
      <c r="U1975">
        <v>3</v>
      </c>
      <c r="V1975" t="s">
        <v>31</v>
      </c>
      <c r="W1975">
        <f>excelsalesdata[[#This Row],[Quantity]]*excelsalesdata[[#This Row],[Unit_Price]]</f>
        <v>4210</v>
      </c>
      <c r="X1975">
        <f>excelsalesdata[[#This Row],[Gross_sales]]*excelsalesdata[[#This Row],[Discount_%]]</f>
        <v>421</v>
      </c>
      <c r="Y1975">
        <f>excelsalesdata[[#This Row],[Gross_sales]]-excelsalesdata[[#This Row],[Discount_amt]]</f>
        <v>3789</v>
      </c>
      <c r="Z1975" s="4">
        <f>excelsalesdata[[#This Row],[Net_sales]]-excelsalesdata[[#This Row],[Cost]]</f>
        <v>969</v>
      </c>
      <c r="AA1975" s="5">
        <f>excelsalesdata[[#This Row],[Profit]]/excelsalesdata[[#This Row],[Net_sales]]</f>
        <v>0.25574030087094218</v>
      </c>
      <c r="AB1975" s="4">
        <f>YEAR(excelsalesdata[[#This Row],[Order_Date]])</f>
        <v>2030</v>
      </c>
      <c r="AC1975" s="4" t="str">
        <f>TEXT(excelsalesdata[[#This Row],[Order_Date]],"mmm")</f>
        <v>Sep</v>
      </c>
      <c r="AD1975" s="4" t="str">
        <f>"Q"&amp;ROUNDUP(MONTH(excelsalesdata[[#This Row],[Order_Date]])/3,0)</f>
        <v>Q3</v>
      </c>
    </row>
    <row r="1976" spans="1:30" x14ac:dyDescent="0.35">
      <c r="A1976" t="s">
        <v>2822</v>
      </c>
      <c r="B1976" s="3">
        <v>47734</v>
      </c>
      <c r="C1976" t="s">
        <v>137</v>
      </c>
      <c r="D1976" t="s">
        <v>333</v>
      </c>
      <c r="E1976" t="str">
        <f>TRIM(excelsalesdata[[#This Row],[Customer_Name]])</f>
        <v>Ishita Singh</v>
      </c>
      <c r="F1976" t="s">
        <v>23</v>
      </c>
      <c r="G1976">
        <v>39</v>
      </c>
      <c r="H1976" t="s">
        <v>71</v>
      </c>
      <c r="I1976" t="str">
        <f>TRIM(excelsalesdata[[#This Row],[City]])</f>
        <v>Bhubaneswar</v>
      </c>
      <c r="J1976" t="s">
        <v>72</v>
      </c>
      <c r="K1976" t="s">
        <v>37</v>
      </c>
      <c r="L1976" t="s">
        <v>85</v>
      </c>
      <c r="M1976" t="s">
        <v>202</v>
      </c>
      <c r="N1976" t="s">
        <v>202</v>
      </c>
      <c r="O1976">
        <v>2</v>
      </c>
      <c r="P1976">
        <v>950</v>
      </c>
      <c r="Q1976">
        <v>0.1</v>
      </c>
      <c r="R1976">
        <v>400</v>
      </c>
      <c r="S1976" t="s">
        <v>105</v>
      </c>
      <c r="T1976" t="s">
        <v>81</v>
      </c>
      <c r="U1976">
        <v>0</v>
      </c>
      <c r="V1976" t="s">
        <v>31</v>
      </c>
      <c r="W1976">
        <f>excelsalesdata[[#This Row],[Quantity]]*excelsalesdata[[#This Row],[Unit_Price]]</f>
        <v>1900</v>
      </c>
      <c r="X1976">
        <f>excelsalesdata[[#This Row],[Gross_sales]]*excelsalesdata[[#This Row],[Discount_%]]</f>
        <v>190</v>
      </c>
      <c r="Y1976">
        <f>excelsalesdata[[#This Row],[Gross_sales]]-excelsalesdata[[#This Row],[Discount_amt]]</f>
        <v>1710</v>
      </c>
      <c r="Z1976" s="4">
        <f>excelsalesdata[[#This Row],[Net_sales]]-excelsalesdata[[#This Row],[Cost]]</f>
        <v>1310</v>
      </c>
      <c r="AA1976" s="5">
        <f>excelsalesdata[[#This Row],[Profit]]/excelsalesdata[[#This Row],[Net_sales]]</f>
        <v>0.76608187134502925</v>
      </c>
      <c r="AB1976" s="4">
        <f>YEAR(excelsalesdata[[#This Row],[Order_Date]])</f>
        <v>2030</v>
      </c>
      <c r="AC1976" s="4" t="str">
        <f>TEXT(excelsalesdata[[#This Row],[Order_Date]],"mmm")</f>
        <v>Sep</v>
      </c>
      <c r="AD1976" s="4" t="str">
        <f>"Q"&amp;ROUNDUP(MONTH(excelsalesdata[[#This Row],[Order_Date]])/3,0)</f>
        <v>Q3</v>
      </c>
    </row>
    <row r="1977" spans="1:30" x14ac:dyDescent="0.35">
      <c r="A1977" t="s">
        <v>2823</v>
      </c>
      <c r="B1977" s="3">
        <v>47735</v>
      </c>
      <c r="C1977" t="s">
        <v>1308</v>
      </c>
      <c r="D1977" t="s">
        <v>619</v>
      </c>
      <c r="E1977" t="str">
        <f>TRIM(excelsalesdata[[#This Row],[Customer_Name]])</f>
        <v>Aarav Naidu</v>
      </c>
      <c r="F1977" t="s">
        <v>23</v>
      </c>
      <c r="G1977">
        <v>35</v>
      </c>
      <c r="H1977" t="s">
        <v>185</v>
      </c>
      <c r="I1977" t="str">
        <f>TRIM(excelsalesdata[[#This Row],[City]])</f>
        <v>Lucknow</v>
      </c>
      <c r="J1977" t="s">
        <v>186</v>
      </c>
      <c r="K1977" t="s">
        <v>61</v>
      </c>
      <c r="L1977" t="s">
        <v>27</v>
      </c>
      <c r="M1977" t="s">
        <v>195</v>
      </c>
      <c r="N1977" t="s">
        <v>195</v>
      </c>
      <c r="O1977">
        <v>1</v>
      </c>
      <c r="P1977">
        <v>2360</v>
      </c>
      <c r="Q1977">
        <v>0.1</v>
      </c>
      <c r="R1977">
        <v>1160</v>
      </c>
      <c r="S1977" t="s">
        <v>67</v>
      </c>
      <c r="T1977" t="s">
        <v>30</v>
      </c>
      <c r="U1977">
        <v>5</v>
      </c>
      <c r="V1977" t="s">
        <v>31</v>
      </c>
      <c r="W1977">
        <f>excelsalesdata[[#This Row],[Quantity]]*excelsalesdata[[#This Row],[Unit_Price]]</f>
        <v>2360</v>
      </c>
      <c r="X1977">
        <f>excelsalesdata[[#This Row],[Gross_sales]]*excelsalesdata[[#This Row],[Discount_%]]</f>
        <v>236</v>
      </c>
      <c r="Y1977">
        <f>excelsalesdata[[#This Row],[Gross_sales]]-excelsalesdata[[#This Row],[Discount_amt]]</f>
        <v>2124</v>
      </c>
      <c r="Z1977" s="4">
        <f>excelsalesdata[[#This Row],[Net_sales]]-excelsalesdata[[#This Row],[Cost]]</f>
        <v>964</v>
      </c>
      <c r="AA1977" s="5">
        <f>excelsalesdata[[#This Row],[Profit]]/excelsalesdata[[#This Row],[Net_sales]]</f>
        <v>0.45386064030131829</v>
      </c>
      <c r="AB1977" s="4">
        <f>YEAR(excelsalesdata[[#This Row],[Order_Date]])</f>
        <v>2030</v>
      </c>
      <c r="AC1977" s="4" t="str">
        <f>TEXT(excelsalesdata[[#This Row],[Order_Date]],"mmm")</f>
        <v>Sep</v>
      </c>
      <c r="AD1977" s="4" t="str">
        <f>"Q"&amp;ROUNDUP(MONTH(excelsalesdata[[#This Row],[Order_Date]])/3,0)</f>
        <v>Q3</v>
      </c>
    </row>
    <row r="1978" spans="1:30" x14ac:dyDescent="0.35">
      <c r="A1978" t="s">
        <v>2824</v>
      </c>
      <c r="B1978" s="3">
        <v>47736</v>
      </c>
      <c r="C1978" t="s">
        <v>394</v>
      </c>
      <c r="D1978" t="s">
        <v>426</v>
      </c>
      <c r="E1978" t="str">
        <f>TRIM(excelsalesdata[[#This Row],[Customer_Name]])</f>
        <v>Kavya Verma</v>
      </c>
      <c r="F1978" t="s">
        <v>44</v>
      </c>
      <c r="G1978">
        <v>37</v>
      </c>
      <c r="H1978" t="s">
        <v>98</v>
      </c>
      <c r="I1978" t="str">
        <f>TRIM(excelsalesdata[[#This Row],[City]])</f>
        <v>Mumbai</v>
      </c>
      <c r="J1978" t="s">
        <v>25</v>
      </c>
      <c r="K1978" t="s">
        <v>26</v>
      </c>
      <c r="L1978" t="s">
        <v>27</v>
      </c>
      <c r="M1978" t="s">
        <v>48</v>
      </c>
      <c r="N1978" t="s">
        <v>48</v>
      </c>
      <c r="O1978">
        <v>1</v>
      </c>
      <c r="P1978">
        <v>900</v>
      </c>
      <c r="Q1978">
        <v>0.1</v>
      </c>
      <c r="R1978">
        <v>450</v>
      </c>
      <c r="S1978" t="s">
        <v>56</v>
      </c>
      <c r="T1978" t="s">
        <v>30</v>
      </c>
      <c r="U1978">
        <v>5</v>
      </c>
      <c r="V1978" t="s">
        <v>40</v>
      </c>
      <c r="W1978">
        <f>excelsalesdata[[#This Row],[Quantity]]*excelsalesdata[[#This Row],[Unit_Price]]</f>
        <v>900</v>
      </c>
      <c r="X1978">
        <f>excelsalesdata[[#This Row],[Gross_sales]]*excelsalesdata[[#This Row],[Discount_%]]</f>
        <v>90</v>
      </c>
      <c r="Y1978">
        <f>excelsalesdata[[#This Row],[Gross_sales]]-excelsalesdata[[#This Row],[Discount_amt]]</f>
        <v>810</v>
      </c>
      <c r="Z1978" s="4">
        <f>excelsalesdata[[#This Row],[Net_sales]]-excelsalesdata[[#This Row],[Cost]]</f>
        <v>360</v>
      </c>
      <c r="AA1978" s="5">
        <f>excelsalesdata[[#This Row],[Profit]]/excelsalesdata[[#This Row],[Net_sales]]</f>
        <v>0.44444444444444442</v>
      </c>
      <c r="AB1978" s="4">
        <f>YEAR(excelsalesdata[[#This Row],[Order_Date]])</f>
        <v>2030</v>
      </c>
      <c r="AC1978" s="4" t="str">
        <f>TEXT(excelsalesdata[[#This Row],[Order_Date]],"mmm")</f>
        <v>Sep</v>
      </c>
      <c r="AD1978" s="4" t="str">
        <f>"Q"&amp;ROUNDUP(MONTH(excelsalesdata[[#This Row],[Order_Date]])/3,0)</f>
        <v>Q3</v>
      </c>
    </row>
    <row r="1979" spans="1:30" x14ac:dyDescent="0.35">
      <c r="A1979" t="s">
        <v>2825</v>
      </c>
      <c r="B1979" s="3">
        <v>47737</v>
      </c>
      <c r="C1979" t="s">
        <v>1073</v>
      </c>
      <c r="D1979" t="s">
        <v>198</v>
      </c>
      <c r="E1979" t="str">
        <f>TRIM(excelsalesdata[[#This Row],[Customer_Name]])</f>
        <v>Rohan Iyer</v>
      </c>
      <c r="F1979" t="s">
        <v>44</v>
      </c>
      <c r="G1979">
        <v>47</v>
      </c>
      <c r="H1979" t="s">
        <v>60</v>
      </c>
      <c r="I1979" t="str">
        <f>TRIM(excelsalesdata[[#This Row],[City]])</f>
        <v>Chandigarh</v>
      </c>
      <c r="J1979" t="s">
        <v>60</v>
      </c>
      <c r="K1979" t="s">
        <v>61</v>
      </c>
      <c r="L1979" t="s">
        <v>38</v>
      </c>
      <c r="M1979" t="s">
        <v>161</v>
      </c>
      <c r="N1979" t="s">
        <v>161</v>
      </c>
      <c r="O1979">
        <v>2</v>
      </c>
      <c r="P1979">
        <v>25970</v>
      </c>
      <c r="Q1979">
        <v>0.05</v>
      </c>
      <c r="R1979">
        <v>20050</v>
      </c>
      <c r="S1979" t="s">
        <v>151</v>
      </c>
      <c r="T1979" t="s">
        <v>30</v>
      </c>
      <c r="U1979">
        <v>7</v>
      </c>
      <c r="V1979" t="s">
        <v>31</v>
      </c>
      <c r="W1979">
        <f>excelsalesdata[[#This Row],[Quantity]]*excelsalesdata[[#This Row],[Unit_Price]]</f>
        <v>51940</v>
      </c>
      <c r="X1979">
        <f>excelsalesdata[[#This Row],[Gross_sales]]*excelsalesdata[[#This Row],[Discount_%]]</f>
        <v>2597</v>
      </c>
      <c r="Y1979">
        <f>excelsalesdata[[#This Row],[Gross_sales]]-excelsalesdata[[#This Row],[Discount_amt]]</f>
        <v>49343</v>
      </c>
      <c r="Z1979" s="4">
        <f>excelsalesdata[[#This Row],[Net_sales]]-excelsalesdata[[#This Row],[Cost]]</f>
        <v>29293</v>
      </c>
      <c r="AA1979" s="5">
        <f>excelsalesdata[[#This Row],[Profit]]/excelsalesdata[[#This Row],[Net_sales]]</f>
        <v>0.59366070161927731</v>
      </c>
      <c r="AB1979" s="4">
        <f>YEAR(excelsalesdata[[#This Row],[Order_Date]])</f>
        <v>2030</v>
      </c>
      <c r="AC1979" s="4" t="str">
        <f>TEXT(excelsalesdata[[#This Row],[Order_Date]],"mmm")</f>
        <v>Sep</v>
      </c>
      <c r="AD1979" s="4" t="str">
        <f>"Q"&amp;ROUNDUP(MONTH(excelsalesdata[[#This Row],[Order_Date]])/3,0)</f>
        <v>Q3</v>
      </c>
    </row>
    <row r="1980" spans="1:30" x14ac:dyDescent="0.35">
      <c r="A1980" t="s">
        <v>2826</v>
      </c>
      <c r="B1980" s="3">
        <v>47738</v>
      </c>
      <c r="C1980" t="s">
        <v>1223</v>
      </c>
      <c r="D1980" t="s">
        <v>448</v>
      </c>
      <c r="E1980" t="str">
        <f>TRIM(excelsalesdata[[#This Row],[Customer_Name]])</f>
        <v>Nisha Mehta</v>
      </c>
      <c r="F1980" t="s">
        <v>44</v>
      </c>
      <c r="G1980">
        <v>34</v>
      </c>
      <c r="H1980" t="s">
        <v>114</v>
      </c>
      <c r="I1980" t="str">
        <f>TRIM(excelsalesdata[[#This Row],[City]])</f>
        <v>Hyderabad</v>
      </c>
      <c r="J1980" t="s">
        <v>115</v>
      </c>
      <c r="K1980" t="s">
        <v>47</v>
      </c>
      <c r="L1980" t="s">
        <v>27</v>
      </c>
      <c r="M1980" t="s">
        <v>123</v>
      </c>
      <c r="N1980" t="s">
        <v>123</v>
      </c>
      <c r="O1980">
        <v>1</v>
      </c>
      <c r="P1980">
        <v>2780</v>
      </c>
      <c r="Q1980">
        <v>0.15</v>
      </c>
      <c r="R1980">
        <v>1600</v>
      </c>
      <c r="S1980" t="s">
        <v>80</v>
      </c>
      <c r="T1980" t="s">
        <v>30</v>
      </c>
      <c r="U1980">
        <v>4</v>
      </c>
      <c r="V1980" t="s">
        <v>40</v>
      </c>
      <c r="W1980">
        <f>excelsalesdata[[#This Row],[Quantity]]*excelsalesdata[[#This Row],[Unit_Price]]</f>
        <v>2780</v>
      </c>
      <c r="X1980">
        <f>excelsalesdata[[#This Row],[Gross_sales]]*excelsalesdata[[#This Row],[Discount_%]]</f>
        <v>417</v>
      </c>
      <c r="Y1980">
        <f>excelsalesdata[[#This Row],[Gross_sales]]-excelsalesdata[[#This Row],[Discount_amt]]</f>
        <v>2363</v>
      </c>
      <c r="Z1980" s="4">
        <f>excelsalesdata[[#This Row],[Net_sales]]-excelsalesdata[[#This Row],[Cost]]</f>
        <v>763</v>
      </c>
      <c r="AA1980" s="5">
        <f>excelsalesdata[[#This Row],[Profit]]/excelsalesdata[[#This Row],[Net_sales]]</f>
        <v>0.32289462547608971</v>
      </c>
      <c r="AB1980" s="4">
        <f>YEAR(excelsalesdata[[#This Row],[Order_Date]])</f>
        <v>2030</v>
      </c>
      <c r="AC1980" s="4" t="str">
        <f>TEXT(excelsalesdata[[#This Row],[Order_Date]],"mmm")</f>
        <v>Sep</v>
      </c>
      <c r="AD1980" s="4" t="str">
        <f>"Q"&amp;ROUNDUP(MONTH(excelsalesdata[[#This Row],[Order_Date]])/3,0)</f>
        <v>Q3</v>
      </c>
    </row>
    <row r="1981" spans="1:30" x14ac:dyDescent="0.35">
      <c r="A1981" t="s">
        <v>2827</v>
      </c>
      <c r="B1981" s="3">
        <v>47739</v>
      </c>
      <c r="C1981" t="s">
        <v>370</v>
      </c>
      <c r="D1981" t="s">
        <v>922</v>
      </c>
      <c r="E1981" t="str">
        <f>TRIM(excelsalesdata[[#This Row],[Customer_Name]])</f>
        <v>Arjun Kumar</v>
      </c>
      <c r="F1981" t="s">
        <v>44</v>
      </c>
      <c r="G1981">
        <v>33</v>
      </c>
      <c r="H1981" t="s">
        <v>98</v>
      </c>
      <c r="I1981" t="str">
        <f>TRIM(excelsalesdata[[#This Row],[City]])</f>
        <v>Mumbai</v>
      </c>
      <c r="J1981" t="s">
        <v>25</v>
      </c>
      <c r="K1981" t="s">
        <v>26</v>
      </c>
      <c r="L1981" t="s">
        <v>93</v>
      </c>
      <c r="M1981" t="s">
        <v>718</v>
      </c>
      <c r="N1981" t="s">
        <v>718</v>
      </c>
      <c r="O1981">
        <v>2</v>
      </c>
      <c r="P1981">
        <v>1700</v>
      </c>
      <c r="Q1981">
        <v>0.15</v>
      </c>
      <c r="R1981">
        <v>890</v>
      </c>
      <c r="S1981" t="s">
        <v>80</v>
      </c>
      <c r="T1981" t="s">
        <v>30</v>
      </c>
      <c r="U1981">
        <v>4</v>
      </c>
      <c r="V1981" t="s">
        <v>31</v>
      </c>
      <c r="W1981">
        <f>excelsalesdata[[#This Row],[Quantity]]*excelsalesdata[[#This Row],[Unit_Price]]</f>
        <v>3400</v>
      </c>
      <c r="X1981">
        <f>excelsalesdata[[#This Row],[Gross_sales]]*excelsalesdata[[#This Row],[Discount_%]]</f>
        <v>510</v>
      </c>
      <c r="Y1981">
        <f>excelsalesdata[[#This Row],[Gross_sales]]-excelsalesdata[[#This Row],[Discount_amt]]</f>
        <v>2890</v>
      </c>
      <c r="Z1981" s="4">
        <f>excelsalesdata[[#This Row],[Net_sales]]-excelsalesdata[[#This Row],[Cost]]</f>
        <v>2000</v>
      </c>
      <c r="AA1981" s="5">
        <f>excelsalesdata[[#This Row],[Profit]]/excelsalesdata[[#This Row],[Net_sales]]</f>
        <v>0.69204152249134943</v>
      </c>
      <c r="AB1981" s="4">
        <f>YEAR(excelsalesdata[[#This Row],[Order_Date]])</f>
        <v>2030</v>
      </c>
      <c r="AC1981" s="4" t="str">
        <f>TEXT(excelsalesdata[[#This Row],[Order_Date]],"mmm")</f>
        <v>Sep</v>
      </c>
      <c r="AD1981" s="4" t="str">
        <f>"Q"&amp;ROUNDUP(MONTH(excelsalesdata[[#This Row],[Order_Date]])/3,0)</f>
        <v>Q3</v>
      </c>
    </row>
    <row r="1982" spans="1:30" x14ac:dyDescent="0.35">
      <c r="A1982" t="s">
        <v>2828</v>
      </c>
      <c r="B1982" s="3">
        <v>47740</v>
      </c>
      <c r="C1982" t="s">
        <v>1808</v>
      </c>
      <c r="D1982" t="s">
        <v>1982</v>
      </c>
      <c r="E1982" t="str">
        <f>TRIM(excelsalesdata[[#This Row],[Customer_Name]])</f>
        <v>Kavya Nair</v>
      </c>
      <c r="F1982" t="s">
        <v>44</v>
      </c>
      <c r="G1982">
        <v>21</v>
      </c>
      <c r="H1982" t="s">
        <v>109</v>
      </c>
      <c r="I1982" t="str">
        <f>TRIM(excelsalesdata[[#This Row],[City]])</f>
        <v>Mysuru</v>
      </c>
      <c r="J1982" t="s">
        <v>53</v>
      </c>
      <c r="K1982" t="s">
        <v>47</v>
      </c>
      <c r="L1982" t="s">
        <v>103</v>
      </c>
      <c r="M1982" t="s">
        <v>178</v>
      </c>
      <c r="N1982" t="s">
        <v>178</v>
      </c>
      <c r="O1982">
        <v>2</v>
      </c>
      <c r="P1982">
        <v>1740</v>
      </c>
      <c r="Q1982">
        <v>0</v>
      </c>
      <c r="R1982">
        <v>910</v>
      </c>
      <c r="S1982" t="s">
        <v>105</v>
      </c>
      <c r="T1982" t="s">
        <v>30</v>
      </c>
      <c r="U1982">
        <v>3</v>
      </c>
      <c r="V1982" t="s">
        <v>31</v>
      </c>
      <c r="W1982">
        <f>excelsalesdata[[#This Row],[Quantity]]*excelsalesdata[[#This Row],[Unit_Price]]</f>
        <v>3480</v>
      </c>
      <c r="X1982">
        <f>excelsalesdata[[#This Row],[Gross_sales]]*excelsalesdata[[#This Row],[Discount_%]]</f>
        <v>0</v>
      </c>
      <c r="Y1982">
        <f>excelsalesdata[[#This Row],[Gross_sales]]-excelsalesdata[[#This Row],[Discount_amt]]</f>
        <v>3480</v>
      </c>
      <c r="Z1982" s="4">
        <f>excelsalesdata[[#This Row],[Net_sales]]-excelsalesdata[[#This Row],[Cost]]</f>
        <v>2570</v>
      </c>
      <c r="AA1982" s="5">
        <f>excelsalesdata[[#This Row],[Profit]]/excelsalesdata[[#This Row],[Net_sales]]</f>
        <v>0.7385057471264368</v>
      </c>
      <c r="AB1982" s="4">
        <f>YEAR(excelsalesdata[[#This Row],[Order_Date]])</f>
        <v>2030</v>
      </c>
      <c r="AC1982" s="4" t="str">
        <f>TEXT(excelsalesdata[[#This Row],[Order_Date]],"mmm")</f>
        <v>Sep</v>
      </c>
      <c r="AD1982" s="4" t="str">
        <f>"Q"&amp;ROUNDUP(MONTH(excelsalesdata[[#This Row],[Order_Date]])/3,0)</f>
        <v>Q3</v>
      </c>
    </row>
    <row r="1983" spans="1:30" x14ac:dyDescent="0.35">
      <c r="A1983" t="s">
        <v>2829</v>
      </c>
      <c r="B1983" s="3">
        <v>47741</v>
      </c>
      <c r="C1983" t="s">
        <v>1003</v>
      </c>
      <c r="D1983" t="s">
        <v>731</v>
      </c>
      <c r="E1983" t="str">
        <f>TRIM(excelsalesdata[[#This Row],[Customer_Name]])</f>
        <v>Diya Bhat</v>
      </c>
      <c r="F1983" t="s">
        <v>23</v>
      </c>
      <c r="G1983">
        <v>52</v>
      </c>
      <c r="H1983" t="s">
        <v>52</v>
      </c>
      <c r="I1983" t="str">
        <f>TRIM(excelsalesdata[[#This Row],[City]])</f>
        <v>Bengaluru</v>
      </c>
      <c r="J1983" t="s">
        <v>53</v>
      </c>
      <c r="K1983" t="s">
        <v>47</v>
      </c>
      <c r="L1983" t="s">
        <v>85</v>
      </c>
      <c r="M1983" t="s">
        <v>86</v>
      </c>
      <c r="N1983" t="s">
        <v>86</v>
      </c>
      <c r="O1983">
        <v>3</v>
      </c>
      <c r="P1983">
        <v>2430</v>
      </c>
      <c r="Q1983">
        <v>0.05</v>
      </c>
      <c r="R1983">
        <v>1430</v>
      </c>
      <c r="S1983" t="s">
        <v>56</v>
      </c>
      <c r="T1983" t="s">
        <v>30</v>
      </c>
      <c r="U1983">
        <v>3</v>
      </c>
      <c r="V1983" t="s">
        <v>40</v>
      </c>
      <c r="W1983">
        <f>excelsalesdata[[#This Row],[Quantity]]*excelsalesdata[[#This Row],[Unit_Price]]</f>
        <v>7290</v>
      </c>
      <c r="X1983">
        <f>excelsalesdata[[#This Row],[Gross_sales]]*excelsalesdata[[#This Row],[Discount_%]]</f>
        <v>364.5</v>
      </c>
      <c r="Y1983">
        <f>excelsalesdata[[#This Row],[Gross_sales]]-excelsalesdata[[#This Row],[Discount_amt]]</f>
        <v>6925.5</v>
      </c>
      <c r="Z1983" s="4">
        <f>excelsalesdata[[#This Row],[Net_sales]]-excelsalesdata[[#This Row],[Cost]]</f>
        <v>5495.5</v>
      </c>
      <c r="AA1983" s="5">
        <f>excelsalesdata[[#This Row],[Profit]]/excelsalesdata[[#This Row],[Net_sales]]</f>
        <v>0.79351671359468634</v>
      </c>
      <c r="AB1983" s="4">
        <f>YEAR(excelsalesdata[[#This Row],[Order_Date]])</f>
        <v>2030</v>
      </c>
      <c r="AC1983" s="4" t="str">
        <f>TEXT(excelsalesdata[[#This Row],[Order_Date]],"mmm")</f>
        <v>Sep</v>
      </c>
      <c r="AD1983" s="4" t="str">
        <f>"Q"&amp;ROUNDUP(MONTH(excelsalesdata[[#This Row],[Order_Date]])/3,0)</f>
        <v>Q3</v>
      </c>
    </row>
    <row r="1984" spans="1:30" x14ac:dyDescent="0.35">
      <c r="A1984" t="s">
        <v>2830</v>
      </c>
      <c r="B1984" s="3">
        <v>47742</v>
      </c>
      <c r="C1984" t="s">
        <v>200</v>
      </c>
      <c r="D1984" t="s">
        <v>672</v>
      </c>
      <c r="E1984" t="str">
        <f>TRIM(excelsalesdata[[#This Row],[Customer_Name]])</f>
        <v>Aditya Kumar</v>
      </c>
      <c r="F1984" t="s">
        <v>44</v>
      </c>
      <c r="G1984">
        <v>46</v>
      </c>
      <c r="H1984" t="s">
        <v>78</v>
      </c>
      <c r="I1984" t="str">
        <f>TRIM(excelsalesdata[[#This Row],[City]])</f>
        <v>Guwahati</v>
      </c>
      <c r="J1984" t="s">
        <v>79</v>
      </c>
      <c r="K1984" t="s">
        <v>37</v>
      </c>
      <c r="L1984" t="s">
        <v>93</v>
      </c>
      <c r="M1984" t="s">
        <v>135</v>
      </c>
      <c r="N1984" t="s">
        <v>135</v>
      </c>
      <c r="O1984">
        <v>3</v>
      </c>
      <c r="P1984">
        <v>1810</v>
      </c>
      <c r="Q1984">
        <v>0.05</v>
      </c>
      <c r="R1984">
        <v>1000</v>
      </c>
      <c r="S1984" t="s">
        <v>151</v>
      </c>
      <c r="T1984" t="s">
        <v>30</v>
      </c>
      <c r="U1984">
        <v>2</v>
      </c>
      <c r="V1984" t="s">
        <v>40</v>
      </c>
      <c r="W1984">
        <f>excelsalesdata[[#This Row],[Quantity]]*excelsalesdata[[#This Row],[Unit_Price]]</f>
        <v>5430</v>
      </c>
      <c r="X1984">
        <f>excelsalesdata[[#This Row],[Gross_sales]]*excelsalesdata[[#This Row],[Discount_%]]</f>
        <v>271.5</v>
      </c>
      <c r="Y1984">
        <f>excelsalesdata[[#This Row],[Gross_sales]]-excelsalesdata[[#This Row],[Discount_amt]]</f>
        <v>5158.5</v>
      </c>
      <c r="Z1984" s="4">
        <f>excelsalesdata[[#This Row],[Net_sales]]-excelsalesdata[[#This Row],[Cost]]</f>
        <v>4158.5</v>
      </c>
      <c r="AA1984" s="5">
        <f>excelsalesdata[[#This Row],[Profit]]/excelsalesdata[[#This Row],[Net_sales]]</f>
        <v>0.80614519724726175</v>
      </c>
      <c r="AB1984" s="4">
        <f>YEAR(excelsalesdata[[#This Row],[Order_Date]])</f>
        <v>2030</v>
      </c>
      <c r="AC1984" s="4" t="str">
        <f>TEXT(excelsalesdata[[#This Row],[Order_Date]],"mmm")</f>
        <v>Sep</v>
      </c>
      <c r="AD1984" s="4" t="str">
        <f>"Q"&amp;ROUNDUP(MONTH(excelsalesdata[[#This Row],[Order_Date]])/3,0)</f>
        <v>Q3</v>
      </c>
    </row>
    <row r="1985" spans="1:30" x14ac:dyDescent="0.35">
      <c r="A1985" t="s">
        <v>2831</v>
      </c>
      <c r="B1985" s="3">
        <v>47743</v>
      </c>
      <c r="C1985" t="s">
        <v>1431</v>
      </c>
      <c r="D1985" t="s">
        <v>51</v>
      </c>
      <c r="E1985" t="str">
        <f>TRIM(excelsalesdata[[#This Row],[Customer_Name]])</f>
        <v>Sneha Iyer</v>
      </c>
      <c r="F1985" t="s">
        <v>23</v>
      </c>
      <c r="G1985">
        <v>45</v>
      </c>
      <c r="H1985" t="s">
        <v>185</v>
      </c>
      <c r="I1985" t="str">
        <f>TRIM(excelsalesdata[[#This Row],[City]])</f>
        <v>Lucknow</v>
      </c>
      <c r="J1985" t="s">
        <v>186</v>
      </c>
      <c r="K1985" t="s">
        <v>61</v>
      </c>
      <c r="L1985" t="s">
        <v>103</v>
      </c>
      <c r="M1985" t="s">
        <v>238</v>
      </c>
      <c r="N1985" t="s">
        <v>238</v>
      </c>
      <c r="O1985">
        <v>4</v>
      </c>
      <c r="P1985">
        <v>4270</v>
      </c>
      <c r="Q1985">
        <v>0.2</v>
      </c>
      <c r="R1985">
        <v>2640</v>
      </c>
      <c r="S1985" t="s">
        <v>80</v>
      </c>
      <c r="T1985" t="s">
        <v>74</v>
      </c>
      <c r="U1985">
        <v>3</v>
      </c>
      <c r="V1985" t="s">
        <v>40</v>
      </c>
      <c r="W1985">
        <f>excelsalesdata[[#This Row],[Quantity]]*excelsalesdata[[#This Row],[Unit_Price]]</f>
        <v>17080</v>
      </c>
      <c r="X1985">
        <f>excelsalesdata[[#This Row],[Gross_sales]]*excelsalesdata[[#This Row],[Discount_%]]</f>
        <v>3416</v>
      </c>
      <c r="Y1985">
        <f>excelsalesdata[[#This Row],[Gross_sales]]-excelsalesdata[[#This Row],[Discount_amt]]</f>
        <v>13664</v>
      </c>
      <c r="Z1985" s="4">
        <f>excelsalesdata[[#This Row],[Net_sales]]-excelsalesdata[[#This Row],[Cost]]</f>
        <v>11024</v>
      </c>
      <c r="AA1985" s="5">
        <f>excelsalesdata[[#This Row],[Profit]]/excelsalesdata[[#This Row],[Net_sales]]</f>
        <v>0.80679156908665106</v>
      </c>
      <c r="AB1985" s="4">
        <f>YEAR(excelsalesdata[[#This Row],[Order_Date]])</f>
        <v>2030</v>
      </c>
      <c r="AC1985" s="4" t="str">
        <f>TEXT(excelsalesdata[[#This Row],[Order_Date]],"mmm")</f>
        <v>Sep</v>
      </c>
      <c r="AD1985" s="4" t="str">
        <f>"Q"&amp;ROUNDUP(MONTH(excelsalesdata[[#This Row],[Order_Date]])/3,0)</f>
        <v>Q3</v>
      </c>
    </row>
    <row r="1986" spans="1:30" x14ac:dyDescent="0.35">
      <c r="A1986" t="s">
        <v>2832</v>
      </c>
      <c r="B1986" s="3">
        <v>47744</v>
      </c>
      <c r="C1986" t="s">
        <v>676</v>
      </c>
      <c r="D1986" t="s">
        <v>708</v>
      </c>
      <c r="E1986" t="str">
        <f>TRIM(excelsalesdata[[#This Row],[Customer_Name]])</f>
        <v>Diya Mehta</v>
      </c>
      <c r="F1986" t="s">
        <v>44</v>
      </c>
      <c r="G1986">
        <v>58</v>
      </c>
      <c r="H1986" t="s">
        <v>155</v>
      </c>
      <c r="I1986" t="str">
        <f>TRIM(excelsalesdata[[#This Row],[City]])</f>
        <v>Chennai</v>
      </c>
      <c r="J1986" t="s">
        <v>156</v>
      </c>
      <c r="K1986" t="s">
        <v>47</v>
      </c>
      <c r="L1986" t="s">
        <v>27</v>
      </c>
      <c r="M1986" t="s">
        <v>295</v>
      </c>
      <c r="N1986" t="s">
        <v>295</v>
      </c>
      <c r="O1986">
        <v>1</v>
      </c>
      <c r="P1986">
        <v>4470</v>
      </c>
      <c r="Q1986">
        <v>0.25</v>
      </c>
      <c r="R1986">
        <v>2490</v>
      </c>
      <c r="S1986" t="s">
        <v>80</v>
      </c>
      <c r="T1986" t="s">
        <v>30</v>
      </c>
      <c r="U1986">
        <v>3</v>
      </c>
      <c r="V1986" t="s">
        <v>40</v>
      </c>
      <c r="W1986">
        <f>excelsalesdata[[#This Row],[Quantity]]*excelsalesdata[[#This Row],[Unit_Price]]</f>
        <v>4470</v>
      </c>
      <c r="X1986">
        <f>excelsalesdata[[#This Row],[Gross_sales]]*excelsalesdata[[#This Row],[Discount_%]]</f>
        <v>1117.5</v>
      </c>
      <c r="Y1986">
        <f>excelsalesdata[[#This Row],[Gross_sales]]-excelsalesdata[[#This Row],[Discount_amt]]</f>
        <v>3352.5</v>
      </c>
      <c r="Z1986" s="4">
        <f>excelsalesdata[[#This Row],[Net_sales]]-excelsalesdata[[#This Row],[Cost]]</f>
        <v>862.5</v>
      </c>
      <c r="AA1986" s="5">
        <f>excelsalesdata[[#This Row],[Profit]]/excelsalesdata[[#This Row],[Net_sales]]</f>
        <v>0.25727069351230425</v>
      </c>
      <c r="AB1986" s="4">
        <f>YEAR(excelsalesdata[[#This Row],[Order_Date]])</f>
        <v>2030</v>
      </c>
      <c r="AC1986" s="4" t="str">
        <f>TEXT(excelsalesdata[[#This Row],[Order_Date]],"mmm")</f>
        <v>Sep</v>
      </c>
      <c r="AD1986" s="4" t="str">
        <f>"Q"&amp;ROUNDUP(MONTH(excelsalesdata[[#This Row],[Order_Date]])/3,0)</f>
        <v>Q3</v>
      </c>
    </row>
    <row r="1987" spans="1:30" x14ac:dyDescent="0.35">
      <c r="A1987" t="s">
        <v>2833</v>
      </c>
      <c r="B1987" s="3">
        <v>47745</v>
      </c>
      <c r="C1987" t="s">
        <v>1119</v>
      </c>
      <c r="D1987" t="s">
        <v>588</v>
      </c>
      <c r="E1987" t="str">
        <f>TRIM(excelsalesdata[[#This Row],[Customer_Name]])</f>
        <v>Karan Rao</v>
      </c>
      <c r="F1987" t="s">
        <v>44</v>
      </c>
      <c r="G1987">
        <v>45</v>
      </c>
      <c r="H1987" t="s">
        <v>114</v>
      </c>
      <c r="I1987" t="str">
        <f>TRIM(excelsalesdata[[#This Row],[City]])</f>
        <v>Hyderabad</v>
      </c>
      <c r="J1987" t="s">
        <v>115</v>
      </c>
      <c r="K1987" t="s">
        <v>47</v>
      </c>
      <c r="L1987" t="s">
        <v>54</v>
      </c>
      <c r="M1987" t="s">
        <v>157</v>
      </c>
      <c r="N1987" t="s">
        <v>157</v>
      </c>
      <c r="O1987">
        <v>1</v>
      </c>
      <c r="P1987">
        <v>56710</v>
      </c>
      <c r="Q1987">
        <v>0.2</v>
      </c>
      <c r="R1987">
        <v>43690</v>
      </c>
      <c r="S1987" t="s">
        <v>29</v>
      </c>
      <c r="T1987" t="s">
        <v>74</v>
      </c>
      <c r="U1987">
        <v>2</v>
      </c>
      <c r="V1987" t="s">
        <v>40</v>
      </c>
      <c r="W1987">
        <f>excelsalesdata[[#This Row],[Quantity]]*excelsalesdata[[#This Row],[Unit_Price]]</f>
        <v>56710</v>
      </c>
      <c r="X1987">
        <f>excelsalesdata[[#This Row],[Gross_sales]]*excelsalesdata[[#This Row],[Discount_%]]</f>
        <v>11342</v>
      </c>
      <c r="Y1987">
        <f>excelsalesdata[[#This Row],[Gross_sales]]-excelsalesdata[[#This Row],[Discount_amt]]</f>
        <v>45368</v>
      </c>
      <c r="Z1987" s="4">
        <f>excelsalesdata[[#This Row],[Net_sales]]-excelsalesdata[[#This Row],[Cost]]</f>
        <v>1678</v>
      </c>
      <c r="AA1987" s="5">
        <f>excelsalesdata[[#This Row],[Profit]]/excelsalesdata[[#This Row],[Net_sales]]</f>
        <v>3.698642214776935E-2</v>
      </c>
      <c r="AB1987" s="4">
        <f>YEAR(excelsalesdata[[#This Row],[Order_Date]])</f>
        <v>2030</v>
      </c>
      <c r="AC1987" s="4" t="str">
        <f>TEXT(excelsalesdata[[#This Row],[Order_Date]],"mmm")</f>
        <v>Sep</v>
      </c>
      <c r="AD1987" s="4" t="str">
        <f>"Q"&amp;ROUNDUP(MONTH(excelsalesdata[[#This Row],[Order_Date]])/3,0)</f>
        <v>Q3</v>
      </c>
    </row>
    <row r="1988" spans="1:30" x14ac:dyDescent="0.35">
      <c r="A1988" t="s">
        <v>2834</v>
      </c>
      <c r="B1988" s="3">
        <v>47746</v>
      </c>
      <c r="C1988" t="s">
        <v>398</v>
      </c>
      <c r="D1988" t="s">
        <v>922</v>
      </c>
      <c r="E1988" t="str">
        <f>TRIM(excelsalesdata[[#This Row],[Customer_Name]])</f>
        <v>Arjun Kumar</v>
      </c>
      <c r="F1988" t="s">
        <v>44</v>
      </c>
      <c r="G1988">
        <v>33</v>
      </c>
      <c r="H1988" t="s">
        <v>114</v>
      </c>
      <c r="I1988" t="str">
        <f>TRIM(excelsalesdata[[#This Row],[City]])</f>
        <v>Hyderabad</v>
      </c>
      <c r="J1988" t="s">
        <v>115</v>
      </c>
      <c r="K1988" t="s">
        <v>47</v>
      </c>
      <c r="L1988" t="s">
        <v>27</v>
      </c>
      <c r="M1988" t="s">
        <v>123</v>
      </c>
      <c r="N1988" t="s">
        <v>123</v>
      </c>
      <c r="O1988">
        <v>4</v>
      </c>
      <c r="P1988">
        <v>2780</v>
      </c>
      <c r="Q1988">
        <v>0.25</v>
      </c>
      <c r="R1988">
        <v>1640</v>
      </c>
      <c r="S1988" t="s">
        <v>151</v>
      </c>
      <c r="T1988" t="s">
        <v>30</v>
      </c>
      <c r="U1988">
        <v>4</v>
      </c>
      <c r="V1988" t="s">
        <v>31</v>
      </c>
      <c r="W1988">
        <f>excelsalesdata[[#This Row],[Quantity]]*excelsalesdata[[#This Row],[Unit_Price]]</f>
        <v>11120</v>
      </c>
      <c r="X1988">
        <f>excelsalesdata[[#This Row],[Gross_sales]]*excelsalesdata[[#This Row],[Discount_%]]</f>
        <v>2780</v>
      </c>
      <c r="Y1988">
        <f>excelsalesdata[[#This Row],[Gross_sales]]-excelsalesdata[[#This Row],[Discount_amt]]</f>
        <v>8340</v>
      </c>
      <c r="Z1988" s="4">
        <f>excelsalesdata[[#This Row],[Net_sales]]-excelsalesdata[[#This Row],[Cost]]</f>
        <v>6700</v>
      </c>
      <c r="AA1988" s="5">
        <f>excelsalesdata[[#This Row],[Profit]]/excelsalesdata[[#This Row],[Net_sales]]</f>
        <v>0.80335731414868106</v>
      </c>
      <c r="AB1988" s="4">
        <f>YEAR(excelsalesdata[[#This Row],[Order_Date]])</f>
        <v>2030</v>
      </c>
      <c r="AC1988" s="4" t="str">
        <f>TEXT(excelsalesdata[[#This Row],[Order_Date]],"mmm")</f>
        <v>Sep</v>
      </c>
      <c r="AD1988" s="4" t="str">
        <f>"Q"&amp;ROUNDUP(MONTH(excelsalesdata[[#This Row],[Order_Date]])/3,0)</f>
        <v>Q3</v>
      </c>
    </row>
    <row r="1989" spans="1:30" x14ac:dyDescent="0.35">
      <c r="A1989" t="s">
        <v>2835</v>
      </c>
      <c r="B1989" s="3">
        <v>47747</v>
      </c>
      <c r="C1989" t="s">
        <v>1495</v>
      </c>
      <c r="D1989" t="s">
        <v>241</v>
      </c>
      <c r="E1989" t="str">
        <f>TRIM(excelsalesdata[[#This Row],[Customer_Name]])</f>
        <v>Rahul Kumar</v>
      </c>
      <c r="F1989" t="s">
        <v>44</v>
      </c>
      <c r="G1989">
        <v>39</v>
      </c>
      <c r="H1989" t="s">
        <v>78</v>
      </c>
      <c r="I1989" t="str">
        <f>TRIM(excelsalesdata[[#This Row],[City]])</f>
        <v>Guwahati</v>
      </c>
      <c r="J1989" t="s">
        <v>79</v>
      </c>
      <c r="K1989" t="s">
        <v>37</v>
      </c>
      <c r="L1989" t="s">
        <v>54</v>
      </c>
      <c r="M1989" t="s">
        <v>55</v>
      </c>
      <c r="N1989" t="s">
        <v>55</v>
      </c>
      <c r="O1989">
        <v>2</v>
      </c>
      <c r="P1989">
        <v>6530</v>
      </c>
      <c r="Q1989">
        <v>0.1</v>
      </c>
      <c r="R1989">
        <v>4600</v>
      </c>
      <c r="S1989" t="s">
        <v>29</v>
      </c>
      <c r="T1989" t="s">
        <v>30</v>
      </c>
      <c r="U1989">
        <v>4</v>
      </c>
      <c r="V1989" t="s">
        <v>31</v>
      </c>
      <c r="W1989">
        <f>excelsalesdata[[#This Row],[Quantity]]*excelsalesdata[[#This Row],[Unit_Price]]</f>
        <v>13060</v>
      </c>
      <c r="X1989">
        <f>excelsalesdata[[#This Row],[Gross_sales]]*excelsalesdata[[#This Row],[Discount_%]]</f>
        <v>1306</v>
      </c>
      <c r="Y1989">
        <f>excelsalesdata[[#This Row],[Gross_sales]]-excelsalesdata[[#This Row],[Discount_amt]]</f>
        <v>11754</v>
      </c>
      <c r="Z1989" s="4">
        <f>excelsalesdata[[#This Row],[Net_sales]]-excelsalesdata[[#This Row],[Cost]]</f>
        <v>7154</v>
      </c>
      <c r="AA1989" s="5">
        <f>excelsalesdata[[#This Row],[Profit]]/excelsalesdata[[#This Row],[Net_sales]]</f>
        <v>0.60864386591798536</v>
      </c>
      <c r="AB1989" s="4">
        <f>YEAR(excelsalesdata[[#This Row],[Order_Date]])</f>
        <v>2030</v>
      </c>
      <c r="AC1989" s="4" t="str">
        <f>TEXT(excelsalesdata[[#This Row],[Order_Date]],"mmm")</f>
        <v>Sep</v>
      </c>
      <c r="AD1989" s="4" t="str">
        <f>"Q"&amp;ROUNDUP(MONTH(excelsalesdata[[#This Row],[Order_Date]])/3,0)</f>
        <v>Q3</v>
      </c>
    </row>
    <row r="1990" spans="1:30" x14ac:dyDescent="0.35">
      <c r="A1990" t="s">
        <v>2836</v>
      </c>
      <c r="B1990" s="3">
        <v>47748</v>
      </c>
      <c r="C1990" t="s">
        <v>2388</v>
      </c>
      <c r="D1990" t="s">
        <v>325</v>
      </c>
      <c r="E1990" t="str">
        <f>TRIM(excelsalesdata[[#This Row],[Customer_Name]])</f>
        <v>Ishita Iyer</v>
      </c>
      <c r="F1990" t="s">
        <v>23</v>
      </c>
      <c r="G1990">
        <v>27</v>
      </c>
      <c r="H1990" t="s">
        <v>98</v>
      </c>
      <c r="I1990" t="str">
        <f>TRIM(excelsalesdata[[#This Row],[City]])</f>
        <v>Mumbai</v>
      </c>
      <c r="J1990" t="s">
        <v>25</v>
      </c>
      <c r="K1990" t="s">
        <v>26</v>
      </c>
      <c r="L1990" t="s">
        <v>54</v>
      </c>
      <c r="M1990" t="s">
        <v>157</v>
      </c>
      <c r="N1990" t="s">
        <v>157</v>
      </c>
      <c r="O1990">
        <v>1</v>
      </c>
      <c r="P1990">
        <v>51560</v>
      </c>
      <c r="Q1990">
        <v>0</v>
      </c>
      <c r="R1990">
        <v>40820</v>
      </c>
      <c r="S1990" t="s">
        <v>29</v>
      </c>
      <c r="T1990" t="s">
        <v>81</v>
      </c>
      <c r="U1990">
        <v>0</v>
      </c>
      <c r="V1990" t="s">
        <v>40</v>
      </c>
      <c r="W1990">
        <f>excelsalesdata[[#This Row],[Quantity]]*excelsalesdata[[#This Row],[Unit_Price]]</f>
        <v>51560</v>
      </c>
      <c r="X1990">
        <f>excelsalesdata[[#This Row],[Gross_sales]]*excelsalesdata[[#This Row],[Discount_%]]</f>
        <v>0</v>
      </c>
      <c r="Y1990">
        <f>excelsalesdata[[#This Row],[Gross_sales]]-excelsalesdata[[#This Row],[Discount_amt]]</f>
        <v>51560</v>
      </c>
      <c r="Z1990" s="4">
        <f>excelsalesdata[[#This Row],[Net_sales]]-excelsalesdata[[#This Row],[Cost]]</f>
        <v>10740</v>
      </c>
      <c r="AA1990" s="5">
        <f>excelsalesdata[[#This Row],[Profit]]/excelsalesdata[[#This Row],[Net_sales]]</f>
        <v>0.20830100853374708</v>
      </c>
      <c r="AB1990" s="4">
        <f>YEAR(excelsalesdata[[#This Row],[Order_Date]])</f>
        <v>2030</v>
      </c>
      <c r="AC1990" s="4" t="str">
        <f>TEXT(excelsalesdata[[#This Row],[Order_Date]],"mmm")</f>
        <v>Sep</v>
      </c>
      <c r="AD1990" s="4" t="str">
        <f>"Q"&amp;ROUNDUP(MONTH(excelsalesdata[[#This Row],[Order_Date]])/3,0)</f>
        <v>Q3</v>
      </c>
    </row>
    <row r="1991" spans="1:30" x14ac:dyDescent="0.35">
      <c r="A1991" t="s">
        <v>2837</v>
      </c>
      <c r="B1991" s="3">
        <v>47749</v>
      </c>
      <c r="C1991" t="s">
        <v>405</v>
      </c>
      <c r="D1991" t="s">
        <v>918</v>
      </c>
      <c r="E1991" t="str">
        <f>TRIM(excelsalesdata[[#This Row],[Customer_Name]])</f>
        <v>Vikram Naidu</v>
      </c>
      <c r="F1991" t="s">
        <v>23</v>
      </c>
      <c r="G1991">
        <v>40</v>
      </c>
      <c r="H1991" t="s">
        <v>52</v>
      </c>
      <c r="I1991" t="str">
        <f>TRIM(excelsalesdata[[#This Row],[City]])</f>
        <v>Bengaluru</v>
      </c>
      <c r="J1991" t="s">
        <v>53</v>
      </c>
      <c r="K1991" t="s">
        <v>47</v>
      </c>
      <c r="L1991" t="s">
        <v>93</v>
      </c>
      <c r="M1991" t="s">
        <v>206</v>
      </c>
      <c r="N1991" t="s">
        <v>206</v>
      </c>
      <c r="O1991">
        <v>2</v>
      </c>
      <c r="P1991">
        <v>660</v>
      </c>
      <c r="Q1991">
        <v>0.25</v>
      </c>
      <c r="R1991">
        <v>310</v>
      </c>
      <c r="S1991" t="s">
        <v>29</v>
      </c>
      <c r="T1991" t="s">
        <v>30</v>
      </c>
      <c r="U1991">
        <v>5</v>
      </c>
      <c r="V1991" t="s">
        <v>31</v>
      </c>
      <c r="W1991">
        <f>excelsalesdata[[#This Row],[Quantity]]*excelsalesdata[[#This Row],[Unit_Price]]</f>
        <v>1320</v>
      </c>
      <c r="X1991">
        <f>excelsalesdata[[#This Row],[Gross_sales]]*excelsalesdata[[#This Row],[Discount_%]]</f>
        <v>330</v>
      </c>
      <c r="Y1991">
        <f>excelsalesdata[[#This Row],[Gross_sales]]-excelsalesdata[[#This Row],[Discount_amt]]</f>
        <v>990</v>
      </c>
      <c r="Z1991" s="4">
        <f>excelsalesdata[[#This Row],[Net_sales]]-excelsalesdata[[#This Row],[Cost]]</f>
        <v>680</v>
      </c>
      <c r="AA1991" s="5">
        <f>excelsalesdata[[#This Row],[Profit]]/excelsalesdata[[#This Row],[Net_sales]]</f>
        <v>0.68686868686868685</v>
      </c>
      <c r="AB1991" s="4">
        <f>YEAR(excelsalesdata[[#This Row],[Order_Date]])</f>
        <v>2030</v>
      </c>
      <c r="AC1991" s="4" t="str">
        <f>TEXT(excelsalesdata[[#This Row],[Order_Date]],"mmm")</f>
        <v>Sep</v>
      </c>
      <c r="AD1991" s="4" t="str">
        <f>"Q"&amp;ROUNDUP(MONTH(excelsalesdata[[#This Row],[Order_Date]])/3,0)</f>
        <v>Q3</v>
      </c>
    </row>
    <row r="1992" spans="1:30" x14ac:dyDescent="0.35">
      <c r="A1992" t="s">
        <v>2838</v>
      </c>
      <c r="B1992" s="3">
        <v>47750</v>
      </c>
      <c r="C1992" t="s">
        <v>890</v>
      </c>
      <c r="D1992" t="s">
        <v>138</v>
      </c>
      <c r="E1992" t="str">
        <f>TRIM(excelsalesdata[[#This Row],[Customer_Name]])</f>
        <v>Vikram Bhat</v>
      </c>
      <c r="F1992" t="s">
        <v>23</v>
      </c>
      <c r="G1992">
        <v>29</v>
      </c>
      <c r="H1992" t="s">
        <v>78</v>
      </c>
      <c r="I1992" t="str">
        <f>TRIM(excelsalesdata[[#This Row],[City]])</f>
        <v>Guwahati</v>
      </c>
      <c r="J1992" t="s">
        <v>79</v>
      </c>
      <c r="K1992" t="s">
        <v>37</v>
      </c>
      <c r="L1992" t="s">
        <v>54</v>
      </c>
      <c r="M1992" t="s">
        <v>66</v>
      </c>
      <c r="N1992" t="s">
        <v>66</v>
      </c>
      <c r="O1992">
        <v>3</v>
      </c>
      <c r="P1992">
        <v>2650</v>
      </c>
      <c r="Q1992">
        <v>0.1</v>
      </c>
      <c r="R1992">
        <v>1490</v>
      </c>
      <c r="S1992" t="s">
        <v>80</v>
      </c>
      <c r="T1992" t="s">
        <v>74</v>
      </c>
      <c r="U1992">
        <v>4</v>
      </c>
      <c r="V1992" t="s">
        <v>40</v>
      </c>
      <c r="W1992">
        <f>excelsalesdata[[#This Row],[Quantity]]*excelsalesdata[[#This Row],[Unit_Price]]</f>
        <v>7950</v>
      </c>
      <c r="X1992">
        <f>excelsalesdata[[#This Row],[Gross_sales]]*excelsalesdata[[#This Row],[Discount_%]]</f>
        <v>795</v>
      </c>
      <c r="Y1992">
        <f>excelsalesdata[[#This Row],[Gross_sales]]-excelsalesdata[[#This Row],[Discount_amt]]</f>
        <v>7155</v>
      </c>
      <c r="Z1992" s="4">
        <f>excelsalesdata[[#This Row],[Net_sales]]-excelsalesdata[[#This Row],[Cost]]</f>
        <v>5665</v>
      </c>
      <c r="AA1992" s="5">
        <f>excelsalesdata[[#This Row],[Profit]]/excelsalesdata[[#This Row],[Net_sales]]</f>
        <v>0.79175401816911251</v>
      </c>
      <c r="AB1992" s="4">
        <f>YEAR(excelsalesdata[[#This Row],[Order_Date]])</f>
        <v>2030</v>
      </c>
      <c r="AC1992" s="4" t="str">
        <f>TEXT(excelsalesdata[[#This Row],[Order_Date]],"mmm")</f>
        <v>Sep</v>
      </c>
      <c r="AD1992" s="4" t="str">
        <f>"Q"&amp;ROUNDUP(MONTH(excelsalesdata[[#This Row],[Order_Date]])/3,0)</f>
        <v>Q3</v>
      </c>
    </row>
    <row r="1993" spans="1:30" x14ac:dyDescent="0.35">
      <c r="A1993" t="s">
        <v>2839</v>
      </c>
      <c r="B1993" s="3">
        <v>47751</v>
      </c>
      <c r="C1993" t="s">
        <v>1751</v>
      </c>
      <c r="D1993" t="s">
        <v>43</v>
      </c>
      <c r="E1993" t="str">
        <f>TRIM(excelsalesdata[[#This Row],[Customer_Name]])</f>
        <v>Nisha Nair</v>
      </c>
      <c r="F1993" t="s">
        <v>44</v>
      </c>
      <c r="G1993">
        <v>54</v>
      </c>
      <c r="H1993" t="s">
        <v>185</v>
      </c>
      <c r="I1993" t="str">
        <f>TRIM(excelsalesdata[[#This Row],[City]])</f>
        <v>Lucknow</v>
      </c>
      <c r="J1993" t="s">
        <v>186</v>
      </c>
      <c r="K1993" t="s">
        <v>61</v>
      </c>
      <c r="L1993" t="s">
        <v>85</v>
      </c>
      <c r="M1993" t="s">
        <v>110</v>
      </c>
      <c r="N1993" t="s">
        <v>110</v>
      </c>
      <c r="O1993">
        <v>2</v>
      </c>
      <c r="P1993">
        <v>1200</v>
      </c>
      <c r="Q1993">
        <v>0</v>
      </c>
      <c r="R1993">
        <v>570</v>
      </c>
      <c r="S1993" t="s">
        <v>29</v>
      </c>
      <c r="T1993" t="s">
        <v>81</v>
      </c>
      <c r="U1993">
        <v>0</v>
      </c>
      <c r="V1993" t="s">
        <v>40</v>
      </c>
      <c r="W1993">
        <f>excelsalesdata[[#This Row],[Quantity]]*excelsalesdata[[#This Row],[Unit_Price]]</f>
        <v>2400</v>
      </c>
      <c r="X1993">
        <f>excelsalesdata[[#This Row],[Gross_sales]]*excelsalesdata[[#This Row],[Discount_%]]</f>
        <v>0</v>
      </c>
      <c r="Y1993">
        <f>excelsalesdata[[#This Row],[Gross_sales]]-excelsalesdata[[#This Row],[Discount_amt]]</f>
        <v>2400</v>
      </c>
      <c r="Z1993" s="4">
        <f>excelsalesdata[[#This Row],[Net_sales]]-excelsalesdata[[#This Row],[Cost]]</f>
        <v>1830</v>
      </c>
      <c r="AA1993" s="5">
        <f>excelsalesdata[[#This Row],[Profit]]/excelsalesdata[[#This Row],[Net_sales]]</f>
        <v>0.76249999999999996</v>
      </c>
      <c r="AB1993" s="4">
        <f>YEAR(excelsalesdata[[#This Row],[Order_Date]])</f>
        <v>2030</v>
      </c>
      <c r="AC1993" s="4" t="str">
        <f>TEXT(excelsalesdata[[#This Row],[Order_Date]],"mmm")</f>
        <v>Sep</v>
      </c>
      <c r="AD1993" s="4" t="str">
        <f>"Q"&amp;ROUNDUP(MONTH(excelsalesdata[[#This Row],[Order_Date]])/3,0)</f>
        <v>Q3</v>
      </c>
    </row>
    <row r="1994" spans="1:30" x14ac:dyDescent="0.35">
      <c r="A1994" t="s">
        <v>2840</v>
      </c>
      <c r="B1994" s="3">
        <v>47752</v>
      </c>
      <c r="C1994" t="s">
        <v>193</v>
      </c>
      <c r="D1994" t="s">
        <v>406</v>
      </c>
      <c r="E1994" t="str">
        <f>TRIM(excelsalesdata[[#This Row],[Customer_Name]])</f>
        <v>Ishita Joshi</v>
      </c>
      <c r="F1994" t="s">
        <v>44</v>
      </c>
      <c r="G1994">
        <v>27</v>
      </c>
      <c r="H1994" t="s">
        <v>114</v>
      </c>
      <c r="I1994" t="str">
        <f>TRIM(excelsalesdata[[#This Row],[City]])</f>
        <v>Hyderabad</v>
      </c>
      <c r="J1994" t="s">
        <v>115</v>
      </c>
      <c r="K1994" t="s">
        <v>47</v>
      </c>
      <c r="L1994" t="s">
        <v>38</v>
      </c>
      <c r="M1994" t="s">
        <v>255</v>
      </c>
      <c r="N1994" t="s">
        <v>255</v>
      </c>
      <c r="O1994">
        <v>1</v>
      </c>
      <c r="P1994">
        <v>4550</v>
      </c>
      <c r="Q1994">
        <v>0.05</v>
      </c>
      <c r="R1994">
        <v>2950</v>
      </c>
      <c r="S1994" t="s">
        <v>105</v>
      </c>
      <c r="T1994" t="s">
        <v>30</v>
      </c>
      <c r="U1994">
        <v>10</v>
      </c>
      <c r="V1994" t="s">
        <v>40</v>
      </c>
      <c r="W1994">
        <f>excelsalesdata[[#This Row],[Quantity]]*excelsalesdata[[#This Row],[Unit_Price]]</f>
        <v>4550</v>
      </c>
      <c r="X1994">
        <f>excelsalesdata[[#This Row],[Gross_sales]]*excelsalesdata[[#This Row],[Discount_%]]</f>
        <v>227.5</v>
      </c>
      <c r="Y1994">
        <f>excelsalesdata[[#This Row],[Gross_sales]]-excelsalesdata[[#This Row],[Discount_amt]]</f>
        <v>4322.5</v>
      </c>
      <c r="Z1994" s="4">
        <f>excelsalesdata[[#This Row],[Net_sales]]-excelsalesdata[[#This Row],[Cost]]</f>
        <v>1372.5</v>
      </c>
      <c r="AA1994" s="5">
        <f>excelsalesdata[[#This Row],[Profit]]/excelsalesdata[[#This Row],[Net_sales]]</f>
        <v>0.31752458068247541</v>
      </c>
      <c r="AB1994" s="4">
        <f>YEAR(excelsalesdata[[#This Row],[Order_Date]])</f>
        <v>2030</v>
      </c>
      <c r="AC1994" s="4" t="str">
        <f>TEXT(excelsalesdata[[#This Row],[Order_Date]],"mmm")</f>
        <v>Sep</v>
      </c>
      <c r="AD1994" s="4" t="str">
        <f>"Q"&amp;ROUNDUP(MONTH(excelsalesdata[[#This Row],[Order_Date]])/3,0)</f>
        <v>Q3</v>
      </c>
    </row>
    <row r="1995" spans="1:30" x14ac:dyDescent="0.35">
      <c r="A1995" t="s">
        <v>2841</v>
      </c>
      <c r="B1995" s="3">
        <v>47753</v>
      </c>
      <c r="C1995" t="s">
        <v>775</v>
      </c>
      <c r="D1995" t="s">
        <v>752</v>
      </c>
      <c r="E1995" t="str">
        <f>TRIM(excelsalesdata[[#This Row],[Customer_Name]])</f>
        <v>Kavya Mehta</v>
      </c>
      <c r="F1995" t="s">
        <v>23</v>
      </c>
      <c r="G1995">
        <v>40</v>
      </c>
      <c r="H1995" t="s">
        <v>52</v>
      </c>
      <c r="I1995" t="str">
        <f>TRIM(excelsalesdata[[#This Row],[City]])</f>
        <v>Bengaluru</v>
      </c>
      <c r="J1995" t="s">
        <v>53</v>
      </c>
      <c r="K1995" t="s">
        <v>47</v>
      </c>
      <c r="L1995" t="s">
        <v>103</v>
      </c>
      <c r="M1995" t="s">
        <v>347</v>
      </c>
      <c r="N1995" t="s">
        <v>347</v>
      </c>
      <c r="O1995">
        <v>1</v>
      </c>
      <c r="P1995">
        <v>12220</v>
      </c>
      <c r="Q1995">
        <v>0.05</v>
      </c>
      <c r="R1995">
        <v>8380</v>
      </c>
      <c r="S1995" t="s">
        <v>105</v>
      </c>
      <c r="T1995" t="s">
        <v>30</v>
      </c>
      <c r="U1995">
        <v>5</v>
      </c>
      <c r="V1995" t="s">
        <v>40</v>
      </c>
      <c r="W1995">
        <f>excelsalesdata[[#This Row],[Quantity]]*excelsalesdata[[#This Row],[Unit_Price]]</f>
        <v>12220</v>
      </c>
      <c r="X1995">
        <f>excelsalesdata[[#This Row],[Gross_sales]]*excelsalesdata[[#This Row],[Discount_%]]</f>
        <v>611</v>
      </c>
      <c r="Y1995">
        <f>excelsalesdata[[#This Row],[Gross_sales]]-excelsalesdata[[#This Row],[Discount_amt]]</f>
        <v>11609</v>
      </c>
      <c r="Z1995" s="4">
        <f>excelsalesdata[[#This Row],[Net_sales]]-excelsalesdata[[#This Row],[Cost]]</f>
        <v>3229</v>
      </c>
      <c r="AA1995" s="5">
        <f>excelsalesdata[[#This Row],[Profit]]/excelsalesdata[[#This Row],[Net_sales]]</f>
        <v>0.27814626582823671</v>
      </c>
      <c r="AB1995" s="4">
        <f>YEAR(excelsalesdata[[#This Row],[Order_Date]])</f>
        <v>2030</v>
      </c>
      <c r="AC1995" s="4" t="str">
        <f>TEXT(excelsalesdata[[#This Row],[Order_Date]],"mmm")</f>
        <v>Sep</v>
      </c>
      <c r="AD1995" s="4" t="str">
        <f>"Q"&amp;ROUNDUP(MONTH(excelsalesdata[[#This Row],[Order_Date]])/3,0)</f>
        <v>Q3</v>
      </c>
    </row>
    <row r="1996" spans="1:30" x14ac:dyDescent="0.35">
      <c r="A1996" t="s">
        <v>2842</v>
      </c>
      <c r="B1996" s="3">
        <v>47754</v>
      </c>
      <c r="C1996" t="s">
        <v>1945</v>
      </c>
      <c r="D1996" t="s">
        <v>171</v>
      </c>
      <c r="E1996" t="str">
        <f>TRIM(excelsalesdata[[#This Row],[Customer_Name]])</f>
        <v>Sneha Rao</v>
      </c>
      <c r="F1996" t="s">
        <v>44</v>
      </c>
      <c r="G1996">
        <v>48</v>
      </c>
      <c r="H1996" t="s">
        <v>109</v>
      </c>
      <c r="I1996" t="str">
        <f>TRIM(excelsalesdata[[#This Row],[City]])</f>
        <v>Mysuru</v>
      </c>
      <c r="J1996" t="s">
        <v>53</v>
      </c>
      <c r="K1996" t="s">
        <v>47</v>
      </c>
      <c r="L1996" t="s">
        <v>27</v>
      </c>
      <c r="M1996" t="s">
        <v>48</v>
      </c>
      <c r="N1996" t="s">
        <v>48</v>
      </c>
      <c r="O1996">
        <v>1</v>
      </c>
      <c r="P1996">
        <v>870</v>
      </c>
      <c r="Q1996">
        <v>0.1</v>
      </c>
      <c r="R1996">
        <v>460</v>
      </c>
      <c r="S1996" t="s">
        <v>105</v>
      </c>
      <c r="T1996" t="s">
        <v>81</v>
      </c>
      <c r="U1996">
        <v>0</v>
      </c>
      <c r="V1996" t="s">
        <v>40</v>
      </c>
      <c r="W1996">
        <f>excelsalesdata[[#This Row],[Quantity]]*excelsalesdata[[#This Row],[Unit_Price]]</f>
        <v>870</v>
      </c>
      <c r="X1996">
        <f>excelsalesdata[[#This Row],[Gross_sales]]*excelsalesdata[[#This Row],[Discount_%]]</f>
        <v>87</v>
      </c>
      <c r="Y1996">
        <f>excelsalesdata[[#This Row],[Gross_sales]]-excelsalesdata[[#This Row],[Discount_amt]]</f>
        <v>783</v>
      </c>
      <c r="Z1996" s="4">
        <f>excelsalesdata[[#This Row],[Net_sales]]-excelsalesdata[[#This Row],[Cost]]</f>
        <v>323</v>
      </c>
      <c r="AA1996" s="5">
        <f>excelsalesdata[[#This Row],[Profit]]/excelsalesdata[[#This Row],[Net_sales]]</f>
        <v>0.41251596424010217</v>
      </c>
      <c r="AB1996" s="4">
        <f>YEAR(excelsalesdata[[#This Row],[Order_Date]])</f>
        <v>2030</v>
      </c>
      <c r="AC1996" s="4" t="str">
        <f>TEXT(excelsalesdata[[#This Row],[Order_Date]],"mmm")</f>
        <v>Sep</v>
      </c>
      <c r="AD1996" s="4" t="str">
        <f>"Q"&amp;ROUNDUP(MONTH(excelsalesdata[[#This Row],[Order_Date]])/3,0)</f>
        <v>Q3</v>
      </c>
    </row>
    <row r="1997" spans="1:30" x14ac:dyDescent="0.35">
      <c r="A1997" t="s">
        <v>2843</v>
      </c>
      <c r="B1997" s="3">
        <v>47755</v>
      </c>
      <c r="C1997" t="s">
        <v>597</v>
      </c>
      <c r="D1997" t="s">
        <v>658</v>
      </c>
      <c r="E1997" t="str">
        <f>TRIM(excelsalesdata[[#This Row],[Customer_Name]])</f>
        <v>Vikram Mehta</v>
      </c>
      <c r="F1997" t="s">
        <v>44</v>
      </c>
      <c r="G1997">
        <v>59</v>
      </c>
      <c r="H1997" t="s">
        <v>109</v>
      </c>
      <c r="I1997" t="str">
        <f>TRIM(excelsalesdata[[#This Row],[City]])</f>
        <v>Mysuru</v>
      </c>
      <c r="J1997" t="s">
        <v>53</v>
      </c>
      <c r="K1997" t="s">
        <v>47</v>
      </c>
      <c r="L1997" t="s">
        <v>27</v>
      </c>
      <c r="M1997" t="s">
        <v>123</v>
      </c>
      <c r="N1997" t="s">
        <v>123</v>
      </c>
      <c r="O1997">
        <v>2</v>
      </c>
      <c r="P1997">
        <v>2990</v>
      </c>
      <c r="Q1997">
        <v>0.25</v>
      </c>
      <c r="R1997">
        <v>1550</v>
      </c>
      <c r="S1997" t="s">
        <v>29</v>
      </c>
      <c r="T1997" t="s">
        <v>30</v>
      </c>
      <c r="U1997">
        <v>4</v>
      </c>
      <c r="V1997" t="s">
        <v>40</v>
      </c>
      <c r="W1997">
        <f>excelsalesdata[[#This Row],[Quantity]]*excelsalesdata[[#This Row],[Unit_Price]]</f>
        <v>5980</v>
      </c>
      <c r="X1997">
        <f>excelsalesdata[[#This Row],[Gross_sales]]*excelsalesdata[[#This Row],[Discount_%]]</f>
        <v>1495</v>
      </c>
      <c r="Y1997">
        <f>excelsalesdata[[#This Row],[Gross_sales]]-excelsalesdata[[#This Row],[Discount_amt]]</f>
        <v>4485</v>
      </c>
      <c r="Z1997" s="4">
        <f>excelsalesdata[[#This Row],[Net_sales]]-excelsalesdata[[#This Row],[Cost]]</f>
        <v>2935</v>
      </c>
      <c r="AA1997" s="5">
        <f>excelsalesdata[[#This Row],[Profit]]/excelsalesdata[[#This Row],[Net_sales]]</f>
        <v>0.65440356744704575</v>
      </c>
      <c r="AB1997" s="4">
        <f>YEAR(excelsalesdata[[#This Row],[Order_Date]])</f>
        <v>2030</v>
      </c>
      <c r="AC1997" s="4" t="str">
        <f>TEXT(excelsalesdata[[#This Row],[Order_Date]],"mmm")</f>
        <v>Sep</v>
      </c>
      <c r="AD1997" s="4" t="str">
        <f>"Q"&amp;ROUNDUP(MONTH(excelsalesdata[[#This Row],[Order_Date]])/3,0)</f>
        <v>Q3</v>
      </c>
    </row>
    <row r="1998" spans="1:30" x14ac:dyDescent="0.35">
      <c r="A1998" t="s">
        <v>2844</v>
      </c>
      <c r="B1998" s="3">
        <v>47756</v>
      </c>
      <c r="C1998" t="s">
        <v>193</v>
      </c>
      <c r="D1998" t="s">
        <v>1371</v>
      </c>
      <c r="E1998" t="str">
        <f>TRIM(excelsalesdata[[#This Row],[Customer_Name]])</f>
        <v>Aditya Das</v>
      </c>
      <c r="F1998" t="s">
        <v>23</v>
      </c>
      <c r="G1998">
        <v>48</v>
      </c>
      <c r="H1998" t="s">
        <v>24</v>
      </c>
      <c r="I1998" t="str">
        <f>TRIM(excelsalesdata[[#This Row],[City]])</f>
        <v>Pune</v>
      </c>
      <c r="J1998" t="s">
        <v>25</v>
      </c>
      <c r="K1998" t="s">
        <v>26</v>
      </c>
      <c r="L1998" t="s">
        <v>27</v>
      </c>
      <c r="M1998" t="s">
        <v>48</v>
      </c>
      <c r="N1998" t="s">
        <v>48</v>
      </c>
      <c r="O1998">
        <v>1</v>
      </c>
      <c r="P1998">
        <v>850</v>
      </c>
      <c r="Q1998">
        <v>0.15</v>
      </c>
      <c r="R1998">
        <v>440</v>
      </c>
      <c r="S1998" t="s">
        <v>67</v>
      </c>
      <c r="T1998" t="s">
        <v>30</v>
      </c>
      <c r="U1998">
        <v>4</v>
      </c>
      <c r="V1998" t="s">
        <v>40</v>
      </c>
      <c r="W1998">
        <f>excelsalesdata[[#This Row],[Quantity]]*excelsalesdata[[#This Row],[Unit_Price]]</f>
        <v>850</v>
      </c>
      <c r="X1998">
        <f>excelsalesdata[[#This Row],[Gross_sales]]*excelsalesdata[[#This Row],[Discount_%]]</f>
        <v>127.5</v>
      </c>
      <c r="Y1998">
        <f>excelsalesdata[[#This Row],[Gross_sales]]-excelsalesdata[[#This Row],[Discount_amt]]</f>
        <v>722.5</v>
      </c>
      <c r="Z1998" s="4">
        <f>excelsalesdata[[#This Row],[Net_sales]]-excelsalesdata[[#This Row],[Cost]]</f>
        <v>282.5</v>
      </c>
      <c r="AA1998" s="5">
        <f>excelsalesdata[[#This Row],[Profit]]/excelsalesdata[[#This Row],[Net_sales]]</f>
        <v>0.39100346020761245</v>
      </c>
      <c r="AB1998" s="4">
        <f>YEAR(excelsalesdata[[#This Row],[Order_Date]])</f>
        <v>2030</v>
      </c>
      <c r="AC1998" s="4" t="str">
        <f>TEXT(excelsalesdata[[#This Row],[Order_Date]],"mmm")</f>
        <v>Sep</v>
      </c>
      <c r="AD1998" s="4" t="str">
        <f>"Q"&amp;ROUNDUP(MONTH(excelsalesdata[[#This Row],[Order_Date]])/3,0)</f>
        <v>Q3</v>
      </c>
    </row>
    <row r="1999" spans="1:30" x14ac:dyDescent="0.35">
      <c r="A1999" t="s">
        <v>2845</v>
      </c>
      <c r="B1999" s="3">
        <v>47757</v>
      </c>
      <c r="C1999" t="s">
        <v>125</v>
      </c>
      <c r="D1999" t="s">
        <v>776</v>
      </c>
      <c r="E1999" t="str">
        <f>TRIM(excelsalesdata[[#This Row],[Customer_Name]])</f>
        <v>Ananya Shah</v>
      </c>
      <c r="F1999" t="s">
        <v>23</v>
      </c>
      <c r="G1999">
        <v>25</v>
      </c>
      <c r="H1999" t="s">
        <v>133</v>
      </c>
      <c r="I1999" t="str">
        <f>TRIM(excelsalesdata[[#This Row],[City]])</f>
        <v>Jaipur</v>
      </c>
      <c r="J1999" t="s">
        <v>134</v>
      </c>
      <c r="K1999" t="s">
        <v>61</v>
      </c>
      <c r="L1999" t="s">
        <v>103</v>
      </c>
      <c r="M1999" t="s">
        <v>238</v>
      </c>
      <c r="N1999" t="s">
        <v>238</v>
      </c>
      <c r="O1999">
        <v>1</v>
      </c>
      <c r="P1999">
        <v>4350</v>
      </c>
      <c r="Q1999">
        <v>0.15</v>
      </c>
      <c r="R1999">
        <v>2610</v>
      </c>
      <c r="S1999" t="s">
        <v>56</v>
      </c>
      <c r="T1999" t="s">
        <v>30</v>
      </c>
      <c r="U1999">
        <v>4</v>
      </c>
      <c r="V1999" t="s">
        <v>40</v>
      </c>
      <c r="W1999">
        <f>excelsalesdata[[#This Row],[Quantity]]*excelsalesdata[[#This Row],[Unit_Price]]</f>
        <v>4350</v>
      </c>
      <c r="X1999">
        <f>excelsalesdata[[#This Row],[Gross_sales]]*excelsalesdata[[#This Row],[Discount_%]]</f>
        <v>652.5</v>
      </c>
      <c r="Y1999">
        <f>excelsalesdata[[#This Row],[Gross_sales]]-excelsalesdata[[#This Row],[Discount_amt]]</f>
        <v>3697.5</v>
      </c>
      <c r="Z1999" s="4">
        <f>excelsalesdata[[#This Row],[Net_sales]]-excelsalesdata[[#This Row],[Cost]]</f>
        <v>1087.5</v>
      </c>
      <c r="AA1999" s="5">
        <f>excelsalesdata[[#This Row],[Profit]]/excelsalesdata[[#This Row],[Net_sales]]</f>
        <v>0.29411764705882354</v>
      </c>
      <c r="AB1999" s="4">
        <f>YEAR(excelsalesdata[[#This Row],[Order_Date]])</f>
        <v>2030</v>
      </c>
      <c r="AC1999" s="4" t="str">
        <f>TEXT(excelsalesdata[[#This Row],[Order_Date]],"mmm")</f>
        <v>Oct</v>
      </c>
      <c r="AD1999" s="4" t="str">
        <f>"Q"&amp;ROUNDUP(MONTH(excelsalesdata[[#This Row],[Order_Date]])/3,0)</f>
        <v>Q4</v>
      </c>
    </row>
    <row r="2000" spans="1:30" x14ac:dyDescent="0.35">
      <c r="A2000" t="s">
        <v>2846</v>
      </c>
      <c r="B2000" s="3">
        <v>47758</v>
      </c>
      <c r="C2000" t="s">
        <v>1317</v>
      </c>
      <c r="D2000" t="s">
        <v>392</v>
      </c>
      <c r="E2000" t="str">
        <f>TRIM(excelsalesdata[[#This Row],[Customer_Name]])</f>
        <v>Meera Joshi</v>
      </c>
      <c r="F2000" t="s">
        <v>44</v>
      </c>
      <c r="G2000">
        <v>48</v>
      </c>
      <c r="H2000" t="s">
        <v>45</v>
      </c>
      <c r="I2000" t="str">
        <f>TRIM(excelsalesdata[[#This Row],[City]])</f>
        <v>Kochi</v>
      </c>
      <c r="J2000" t="s">
        <v>46</v>
      </c>
      <c r="K2000" t="s">
        <v>47</v>
      </c>
      <c r="L2000" t="s">
        <v>103</v>
      </c>
      <c r="M2000" t="s">
        <v>104</v>
      </c>
      <c r="N2000" t="s">
        <v>104</v>
      </c>
      <c r="O2000">
        <v>5</v>
      </c>
      <c r="P2000">
        <v>7850</v>
      </c>
      <c r="Q2000">
        <v>0.05</v>
      </c>
      <c r="R2000">
        <v>5630</v>
      </c>
      <c r="S2000" t="s">
        <v>105</v>
      </c>
      <c r="T2000" t="s">
        <v>30</v>
      </c>
      <c r="U2000">
        <v>5</v>
      </c>
      <c r="V2000" t="s">
        <v>31</v>
      </c>
      <c r="W2000">
        <f>excelsalesdata[[#This Row],[Quantity]]*excelsalesdata[[#This Row],[Unit_Price]]</f>
        <v>39250</v>
      </c>
      <c r="X2000">
        <f>excelsalesdata[[#This Row],[Gross_sales]]*excelsalesdata[[#This Row],[Discount_%]]</f>
        <v>1962.5</v>
      </c>
      <c r="Y2000">
        <f>excelsalesdata[[#This Row],[Gross_sales]]-excelsalesdata[[#This Row],[Discount_amt]]</f>
        <v>37287.5</v>
      </c>
      <c r="Z2000" s="4">
        <f>excelsalesdata[[#This Row],[Net_sales]]-excelsalesdata[[#This Row],[Cost]]</f>
        <v>31657.5</v>
      </c>
      <c r="AA2000" s="5">
        <f>excelsalesdata[[#This Row],[Profit]]/excelsalesdata[[#This Row],[Net_sales]]</f>
        <v>0.84901106268856852</v>
      </c>
      <c r="AB2000" s="4">
        <f>YEAR(excelsalesdata[[#This Row],[Order_Date]])</f>
        <v>2030</v>
      </c>
      <c r="AC2000" s="4" t="str">
        <f>TEXT(excelsalesdata[[#This Row],[Order_Date]],"mmm")</f>
        <v>Oct</v>
      </c>
      <c r="AD2000" s="4" t="str">
        <f>"Q"&amp;ROUNDUP(MONTH(excelsalesdata[[#This Row],[Order_Date]])/3,0)</f>
        <v>Q4</v>
      </c>
    </row>
    <row r="2001" spans="1:30" x14ac:dyDescent="0.35">
      <c r="A2001" t="s">
        <v>2847</v>
      </c>
      <c r="B2001" s="3">
        <v>47759</v>
      </c>
      <c r="C2001" t="s">
        <v>373</v>
      </c>
      <c r="D2001" t="s">
        <v>392</v>
      </c>
      <c r="E2001" t="str">
        <f>TRIM(excelsalesdata[[#This Row],[Customer_Name]])</f>
        <v>Meera Joshi</v>
      </c>
      <c r="F2001" t="s">
        <v>23</v>
      </c>
      <c r="G2001">
        <v>26</v>
      </c>
      <c r="H2001" t="s">
        <v>114</v>
      </c>
      <c r="I2001" t="str">
        <f>TRIM(excelsalesdata[[#This Row],[City]])</f>
        <v>Hyderabad</v>
      </c>
      <c r="J2001" t="s">
        <v>115</v>
      </c>
      <c r="K2001" t="s">
        <v>47</v>
      </c>
      <c r="L2001" t="s">
        <v>93</v>
      </c>
      <c r="M2001" t="s">
        <v>206</v>
      </c>
      <c r="N2001" t="s">
        <v>206</v>
      </c>
      <c r="O2001">
        <v>2</v>
      </c>
      <c r="P2001">
        <v>610</v>
      </c>
      <c r="Q2001">
        <v>0.1</v>
      </c>
      <c r="R2001">
        <v>300</v>
      </c>
      <c r="S2001" t="s">
        <v>67</v>
      </c>
      <c r="T2001" t="s">
        <v>30</v>
      </c>
      <c r="U2001">
        <v>3</v>
      </c>
      <c r="V2001" t="s">
        <v>31</v>
      </c>
      <c r="W2001">
        <f>excelsalesdata[[#This Row],[Quantity]]*excelsalesdata[[#This Row],[Unit_Price]]</f>
        <v>1220</v>
      </c>
      <c r="X2001">
        <f>excelsalesdata[[#This Row],[Gross_sales]]*excelsalesdata[[#This Row],[Discount_%]]</f>
        <v>122</v>
      </c>
      <c r="Y2001">
        <f>excelsalesdata[[#This Row],[Gross_sales]]-excelsalesdata[[#This Row],[Discount_amt]]</f>
        <v>1098</v>
      </c>
      <c r="Z2001" s="4">
        <f>excelsalesdata[[#This Row],[Net_sales]]-excelsalesdata[[#This Row],[Cost]]</f>
        <v>798</v>
      </c>
      <c r="AA2001" s="5">
        <f>excelsalesdata[[#This Row],[Profit]]/excelsalesdata[[#This Row],[Net_sales]]</f>
        <v>0.72677595628415304</v>
      </c>
      <c r="AB2001" s="4">
        <f>YEAR(excelsalesdata[[#This Row],[Order_Date]])</f>
        <v>2030</v>
      </c>
      <c r="AC2001" s="4" t="str">
        <f>TEXT(excelsalesdata[[#This Row],[Order_Date]],"mmm")</f>
        <v>Oct</v>
      </c>
      <c r="AD2001" s="4" t="str">
        <f>"Q"&amp;ROUNDUP(MONTH(excelsalesdata[[#This Row],[Order_Date]])/3,0)</f>
        <v>Q4</v>
      </c>
    </row>
    <row r="2002" spans="1:30" x14ac:dyDescent="0.35">
      <c r="B2002" s="3"/>
      <c r="E2002" s="4"/>
      <c r="I2002" s="4"/>
      <c r="Z2002" s="4"/>
      <c r="AA2002" s="5"/>
      <c r="AB2002" s="4"/>
      <c r="AC2002" s="4"/>
      <c r="AD2002" s="4"/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97327-7E50-46D2-AD6E-31DA98720A4E}">
  <dimension ref="A1:F4"/>
  <sheetViews>
    <sheetView showGridLines="0" zoomScale="55" zoomScaleNormal="55" workbookViewId="0">
      <selection activeCell="F3" sqref="F3:F4"/>
    </sheetView>
  </sheetViews>
  <sheetFormatPr defaultRowHeight="14.5" x14ac:dyDescent="0.35"/>
  <cols>
    <col min="1" max="1" width="29.453125" customWidth="1"/>
    <col min="2" max="2" width="35.90625" customWidth="1"/>
    <col min="3" max="3" width="29.08984375" customWidth="1"/>
    <col min="4" max="4" width="22.08984375" customWidth="1"/>
    <col min="5" max="5" width="25.08984375" customWidth="1"/>
    <col min="6" max="6" width="22.453125" customWidth="1"/>
  </cols>
  <sheetData>
    <row r="1" spans="1:6" ht="31" x14ac:dyDescent="0.35">
      <c r="A1" s="11" t="s">
        <v>2892</v>
      </c>
      <c r="B1" s="12"/>
      <c r="C1" s="12"/>
      <c r="D1" s="13"/>
    </row>
    <row r="2" spans="1:6" ht="15" thickBot="1" x14ac:dyDescent="0.4"/>
    <row r="3" spans="1:6" s="9" customFormat="1" ht="15.5" x14ac:dyDescent="0.35">
      <c r="B3" s="14" t="s">
        <v>2893</v>
      </c>
      <c r="C3" s="14" t="s">
        <v>2894</v>
      </c>
      <c r="D3" s="14" t="s">
        <v>2895</v>
      </c>
      <c r="E3" s="14" t="s">
        <v>2896</v>
      </c>
      <c r="F3" s="14" t="s">
        <v>2897</v>
      </c>
    </row>
    <row r="4" spans="1:6" s="10" customFormat="1" ht="21.5" thickBot="1" x14ac:dyDescent="0.55000000000000004">
      <c r="B4" s="15">
        <f>SUM(excelsalesdata[Net_sales])</f>
        <v>33695656.5</v>
      </c>
      <c r="C4" s="15">
        <f>SUM(excelsalesdata[Profit])</f>
        <v>20393706.5</v>
      </c>
      <c r="D4" s="16">
        <f>COUNTA(excelsalesdata[Order_ID])</f>
        <v>2000</v>
      </c>
      <c r="E4" s="15">
        <f>SUM(excelsalesdata[Net_sales])/COUNTA(excelsalesdata[Order_ID])</f>
        <v>16847.828249999999</v>
      </c>
      <c r="F4" s="17">
        <f>SUM(excelsalesdata[Profit])/SUM(excelsalesdata[Net_sales])</f>
        <v>0.60523250229595615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3A84F-772B-442A-97B3-7B55AA48F972}">
  <dimension ref="A1:AB97"/>
  <sheetViews>
    <sheetView topLeftCell="M67" zoomScale="70" zoomScaleNormal="70" workbookViewId="0">
      <selection activeCell="M77" sqref="M77:O84"/>
    </sheetView>
  </sheetViews>
  <sheetFormatPr defaultRowHeight="14.5" x14ac:dyDescent="0.35"/>
  <cols>
    <col min="1" max="1" width="18" customWidth="1"/>
    <col min="2" max="2" width="15.36328125" customWidth="1"/>
    <col min="3" max="3" width="10.1796875" customWidth="1"/>
    <col min="5" max="5" width="15.36328125" bestFit="1" customWidth="1"/>
    <col min="6" max="6" width="15.26953125" bestFit="1" customWidth="1"/>
    <col min="14" max="15" width="13.08984375" bestFit="1" customWidth="1"/>
    <col min="16" max="16" width="15.36328125" bestFit="1" customWidth="1"/>
    <col min="17" max="17" width="11.81640625" bestFit="1" customWidth="1"/>
    <col min="27" max="27" width="13.08984375" bestFit="1" customWidth="1"/>
    <col min="28" max="28" width="15.26953125" bestFit="1" customWidth="1"/>
  </cols>
  <sheetData>
    <row r="1" spans="1:28" x14ac:dyDescent="0.35">
      <c r="A1" t="s">
        <v>2859</v>
      </c>
      <c r="B1" t="s">
        <v>2860</v>
      </c>
    </row>
    <row r="2" spans="1:28" x14ac:dyDescent="0.35">
      <c r="A2">
        <f>SUM(excelsalesdata[Net_sales])</f>
        <v>33695656.5</v>
      </c>
      <c r="B2">
        <f>SUM(excelsalesdata[Profit])</f>
        <v>20393706.5</v>
      </c>
    </row>
    <row r="3" spans="1:28" x14ac:dyDescent="0.35">
      <c r="A3" t="s">
        <v>2861</v>
      </c>
      <c r="B3">
        <f>COUNTA(excelsalesdata[Order_ID])</f>
        <v>2000</v>
      </c>
      <c r="AA3" s="6" t="s">
        <v>2864</v>
      </c>
      <c r="AB3" t="s">
        <v>2867</v>
      </c>
    </row>
    <row r="4" spans="1:28" x14ac:dyDescent="0.35">
      <c r="A4" t="s">
        <v>2862</v>
      </c>
      <c r="B4">
        <f>SUM(excelsalesdata[Net_sales])/COUNTA(excelsalesdata[Order_ID])</f>
        <v>16847.828249999999</v>
      </c>
      <c r="AA4" s="7" t="s">
        <v>98</v>
      </c>
      <c r="AB4" s="4">
        <v>3256416.5</v>
      </c>
    </row>
    <row r="5" spans="1:28" x14ac:dyDescent="0.35">
      <c r="A5" t="s">
        <v>2863</v>
      </c>
      <c r="B5" s="5">
        <f>SUM(excelsalesdata[Profit])/SUM(excelsalesdata[Net_sales])</f>
        <v>0.60523250229595615</v>
      </c>
      <c r="AA5" s="7" t="s">
        <v>71</v>
      </c>
      <c r="AB5" s="4">
        <v>3214807.5</v>
      </c>
    </row>
    <row r="6" spans="1:28" x14ac:dyDescent="0.35">
      <c r="P6" s="6" t="s">
        <v>2864</v>
      </c>
      <c r="Q6" t="s">
        <v>2886</v>
      </c>
      <c r="AA6" s="7" t="s">
        <v>190</v>
      </c>
      <c r="AB6" s="4">
        <v>2634493</v>
      </c>
    </row>
    <row r="7" spans="1:28" x14ac:dyDescent="0.35">
      <c r="P7" s="7" t="s">
        <v>54</v>
      </c>
      <c r="Q7" s="4">
        <v>12321398.5</v>
      </c>
      <c r="AA7" s="7" t="s">
        <v>109</v>
      </c>
      <c r="AB7" s="4">
        <v>2473331</v>
      </c>
    </row>
    <row r="8" spans="1:28" x14ac:dyDescent="0.35">
      <c r="P8" s="7" t="s">
        <v>38</v>
      </c>
      <c r="Q8" s="4">
        <v>3568537</v>
      </c>
      <c r="AA8" s="7" t="s">
        <v>52</v>
      </c>
      <c r="AB8" s="4">
        <v>2372152</v>
      </c>
    </row>
    <row r="9" spans="1:28" x14ac:dyDescent="0.35">
      <c r="P9" s="7" t="s">
        <v>103</v>
      </c>
      <c r="Q9" s="4">
        <v>2408197.5</v>
      </c>
      <c r="AA9" s="7" t="s">
        <v>114</v>
      </c>
      <c r="AB9" s="4">
        <v>2253992.5</v>
      </c>
    </row>
    <row r="10" spans="1:28" x14ac:dyDescent="0.35">
      <c r="P10" s="7" t="s">
        <v>27</v>
      </c>
      <c r="Q10" s="4">
        <v>1153401</v>
      </c>
      <c r="AA10" s="7" t="s">
        <v>78</v>
      </c>
      <c r="AB10" s="4">
        <v>2246591.5</v>
      </c>
    </row>
    <row r="11" spans="1:28" x14ac:dyDescent="0.35">
      <c r="P11" s="7" t="s">
        <v>85</v>
      </c>
      <c r="Q11" s="4">
        <v>536612.5</v>
      </c>
      <c r="AA11" s="7" t="s">
        <v>133</v>
      </c>
      <c r="AB11" s="4">
        <v>2239553.5</v>
      </c>
    </row>
    <row r="12" spans="1:28" x14ac:dyDescent="0.35">
      <c r="E12" s="6" t="s">
        <v>2864</v>
      </c>
      <c r="F12" t="s">
        <v>2867</v>
      </c>
      <c r="P12" s="7" t="s">
        <v>93</v>
      </c>
      <c r="Q12" s="4">
        <v>405560</v>
      </c>
      <c r="AA12" s="7" t="s">
        <v>155</v>
      </c>
      <c r="AB12" s="4">
        <v>2144842</v>
      </c>
    </row>
    <row r="13" spans="1:28" x14ac:dyDescent="0.35">
      <c r="E13" s="7" t="s">
        <v>54</v>
      </c>
      <c r="F13" s="4">
        <v>20882718.5</v>
      </c>
      <c r="P13" s="7" t="s">
        <v>2866</v>
      </c>
      <c r="Q13" s="4">
        <v>20393706.5</v>
      </c>
      <c r="AA13" s="7" t="s">
        <v>60</v>
      </c>
      <c r="AB13" s="4">
        <v>2094107.5</v>
      </c>
    </row>
    <row r="14" spans="1:28" x14ac:dyDescent="0.35">
      <c r="E14" s="7" t="s">
        <v>38</v>
      </c>
      <c r="F14" s="4">
        <v>5822967</v>
      </c>
      <c r="AA14" s="7" t="s">
        <v>2866</v>
      </c>
      <c r="AB14" s="4">
        <v>24930287</v>
      </c>
    </row>
    <row r="15" spans="1:28" x14ac:dyDescent="0.35">
      <c r="E15" s="7" t="s">
        <v>103</v>
      </c>
      <c r="F15" s="4">
        <v>3847647.5</v>
      </c>
    </row>
    <row r="16" spans="1:28" x14ac:dyDescent="0.35">
      <c r="E16" s="7" t="s">
        <v>27</v>
      </c>
      <c r="F16" s="4">
        <v>1775341</v>
      </c>
    </row>
    <row r="17" spans="5:28" x14ac:dyDescent="0.35">
      <c r="E17" s="7" t="s">
        <v>85</v>
      </c>
      <c r="F17" s="4">
        <v>797122.5</v>
      </c>
    </row>
    <row r="18" spans="5:28" x14ac:dyDescent="0.35">
      <c r="E18" s="7" t="s">
        <v>93</v>
      </c>
      <c r="F18" s="4">
        <v>569860</v>
      </c>
    </row>
    <row r="19" spans="5:28" x14ac:dyDescent="0.35">
      <c r="E19" s="7" t="s">
        <v>2866</v>
      </c>
      <c r="F19" s="4">
        <v>33695656.5</v>
      </c>
    </row>
    <row r="20" spans="5:28" x14ac:dyDescent="0.35">
      <c r="AA20" s="6" t="s">
        <v>2864</v>
      </c>
      <c r="AB20" t="s">
        <v>2867</v>
      </c>
    </row>
    <row r="21" spans="5:28" x14ac:dyDescent="0.35">
      <c r="AA21" s="7" t="s">
        <v>2865</v>
      </c>
      <c r="AB21" s="4"/>
    </row>
    <row r="22" spans="5:28" x14ac:dyDescent="0.35">
      <c r="AA22" s="7" t="s">
        <v>2887</v>
      </c>
      <c r="AB22" s="4">
        <v>8518370.5</v>
      </c>
    </row>
    <row r="23" spans="5:28" x14ac:dyDescent="0.35">
      <c r="E23" s="6" t="s">
        <v>2864</v>
      </c>
      <c r="F23" t="s">
        <v>2867</v>
      </c>
      <c r="AA23" s="7" t="s">
        <v>2888</v>
      </c>
      <c r="AB23" s="4">
        <v>6914265</v>
      </c>
    </row>
    <row r="24" spans="5:28" x14ac:dyDescent="0.35">
      <c r="E24" s="7" t="s">
        <v>2868</v>
      </c>
      <c r="F24" s="4">
        <v>4455259.5</v>
      </c>
      <c r="P24" s="6" t="s">
        <v>2864</v>
      </c>
      <c r="Q24" t="s">
        <v>2867</v>
      </c>
      <c r="AA24" s="7" t="s">
        <v>2889</v>
      </c>
      <c r="AB24" s="4">
        <v>7934251.5</v>
      </c>
    </row>
    <row r="25" spans="5:28" x14ac:dyDescent="0.35">
      <c r="E25" s="8" t="s">
        <v>2869</v>
      </c>
      <c r="F25" s="4">
        <v>165333.5</v>
      </c>
      <c r="P25" s="7" t="s">
        <v>157</v>
      </c>
      <c r="Q25" s="4">
        <v>11260961.5</v>
      </c>
      <c r="AA25" s="7" t="s">
        <v>2890</v>
      </c>
      <c r="AB25" s="4">
        <v>7935078</v>
      </c>
    </row>
    <row r="26" spans="5:28" x14ac:dyDescent="0.35">
      <c r="E26" s="8" t="s">
        <v>2870</v>
      </c>
      <c r="F26" s="4">
        <v>539684.5</v>
      </c>
      <c r="P26" s="7" t="s">
        <v>62</v>
      </c>
      <c r="Q26" s="4">
        <v>4422201.5</v>
      </c>
      <c r="AA26" s="7" t="s">
        <v>2891</v>
      </c>
      <c r="AB26" s="4">
        <v>2393691.5</v>
      </c>
    </row>
    <row r="27" spans="5:28" x14ac:dyDescent="0.35">
      <c r="E27" s="8" t="s">
        <v>2871</v>
      </c>
      <c r="F27" s="4">
        <v>491442.5</v>
      </c>
      <c r="P27" s="7" t="s">
        <v>129</v>
      </c>
      <c r="Q27" s="4">
        <v>3488194</v>
      </c>
      <c r="AA27" s="7" t="s">
        <v>2866</v>
      </c>
      <c r="AB27" s="4">
        <v>33695656.5</v>
      </c>
    </row>
    <row r="28" spans="5:28" x14ac:dyDescent="0.35">
      <c r="E28" s="8" t="s">
        <v>2872</v>
      </c>
      <c r="F28" s="4">
        <v>497697</v>
      </c>
      <c r="P28" s="7" t="s">
        <v>161</v>
      </c>
      <c r="Q28" s="4">
        <v>2886941.5</v>
      </c>
    </row>
    <row r="29" spans="5:28" x14ac:dyDescent="0.35">
      <c r="E29" s="8" t="s">
        <v>2873</v>
      </c>
      <c r="F29" s="4">
        <v>519126</v>
      </c>
      <c r="P29" s="7" t="s">
        <v>347</v>
      </c>
      <c r="Q29" s="4">
        <v>1281555</v>
      </c>
    </row>
    <row r="30" spans="5:28" x14ac:dyDescent="0.35">
      <c r="E30" s="8" t="s">
        <v>2874</v>
      </c>
      <c r="F30" s="4">
        <v>793732</v>
      </c>
      <c r="P30" s="7" t="s">
        <v>55</v>
      </c>
      <c r="Q30" s="4">
        <v>1201779.5</v>
      </c>
    </row>
    <row r="31" spans="5:28" x14ac:dyDescent="0.35">
      <c r="E31" s="8" t="s">
        <v>2875</v>
      </c>
      <c r="F31" s="4">
        <v>297207</v>
      </c>
      <c r="P31" s="7" t="s">
        <v>119</v>
      </c>
      <c r="Q31" s="4">
        <v>1126566</v>
      </c>
    </row>
    <row r="32" spans="5:28" x14ac:dyDescent="0.35">
      <c r="E32" s="8" t="s">
        <v>2876</v>
      </c>
      <c r="F32" s="4">
        <v>674577.5</v>
      </c>
      <c r="P32" s="7" t="s">
        <v>104</v>
      </c>
      <c r="Q32" s="4">
        <v>1060545.5</v>
      </c>
    </row>
    <row r="33" spans="5:28" x14ac:dyDescent="0.35">
      <c r="E33" s="8" t="s">
        <v>2877</v>
      </c>
      <c r="F33" s="4">
        <v>476459.5</v>
      </c>
      <c r="P33" s="7" t="s">
        <v>312</v>
      </c>
      <c r="Q33" s="4">
        <v>752107</v>
      </c>
    </row>
    <row r="34" spans="5:28" x14ac:dyDescent="0.35">
      <c r="E34" s="7" t="s">
        <v>2878</v>
      </c>
      <c r="F34" s="4">
        <v>5848749.5</v>
      </c>
      <c r="P34" s="7" t="s">
        <v>39</v>
      </c>
      <c r="Q34" s="4">
        <v>724129</v>
      </c>
    </row>
    <row r="35" spans="5:28" x14ac:dyDescent="0.35">
      <c r="E35" s="8" t="s">
        <v>2879</v>
      </c>
      <c r="F35" s="4">
        <v>473481.5</v>
      </c>
      <c r="P35" s="7" t="s">
        <v>2866</v>
      </c>
      <c r="Q35" s="4">
        <v>28204980.5</v>
      </c>
    </row>
    <row r="36" spans="5:28" x14ac:dyDescent="0.35">
      <c r="E36" s="8" t="s">
        <v>2880</v>
      </c>
      <c r="F36" s="4">
        <v>330468.5</v>
      </c>
    </row>
    <row r="37" spans="5:28" x14ac:dyDescent="0.35">
      <c r="E37" s="8" t="s">
        <v>2881</v>
      </c>
      <c r="F37" s="4">
        <v>597427</v>
      </c>
    </row>
    <row r="38" spans="5:28" x14ac:dyDescent="0.35">
      <c r="E38" s="8" t="s">
        <v>2869</v>
      </c>
      <c r="F38" s="4">
        <v>369321</v>
      </c>
    </row>
    <row r="39" spans="5:28" x14ac:dyDescent="0.35">
      <c r="E39" s="8" t="s">
        <v>2870</v>
      </c>
      <c r="F39" s="4">
        <v>684818.5</v>
      </c>
    </row>
    <row r="40" spans="5:28" x14ac:dyDescent="0.35">
      <c r="E40" s="8" t="s">
        <v>2871</v>
      </c>
      <c r="F40" s="4">
        <v>543603</v>
      </c>
    </row>
    <row r="41" spans="5:28" x14ac:dyDescent="0.35">
      <c r="E41" s="8" t="s">
        <v>2872</v>
      </c>
      <c r="F41" s="4">
        <v>323914.5</v>
      </c>
    </row>
    <row r="42" spans="5:28" x14ac:dyDescent="0.35">
      <c r="E42" s="8" t="s">
        <v>2873</v>
      </c>
      <c r="F42" s="4">
        <v>478307</v>
      </c>
      <c r="AA42" s="6" t="s">
        <v>2864</v>
      </c>
      <c r="AB42" t="s">
        <v>2867</v>
      </c>
    </row>
    <row r="43" spans="5:28" x14ac:dyDescent="0.35">
      <c r="E43" s="8" t="s">
        <v>2874</v>
      </c>
      <c r="F43" s="4">
        <v>541582.5</v>
      </c>
      <c r="P43" s="6" t="s">
        <v>2864</v>
      </c>
      <c r="Q43" t="s">
        <v>2867</v>
      </c>
      <c r="AA43" s="7" t="s">
        <v>792</v>
      </c>
      <c r="AB43" s="4">
        <v>422396.5</v>
      </c>
    </row>
    <row r="44" spans="5:28" x14ac:dyDescent="0.35">
      <c r="E44" s="8" t="s">
        <v>2875</v>
      </c>
      <c r="F44" s="4">
        <v>274041</v>
      </c>
      <c r="P44" s="7" t="s">
        <v>47</v>
      </c>
      <c r="Q44" s="4">
        <v>11154670.5</v>
      </c>
      <c r="AA44" s="7" t="s">
        <v>867</v>
      </c>
      <c r="AB44" s="4">
        <v>422046</v>
      </c>
    </row>
    <row r="45" spans="5:28" x14ac:dyDescent="0.35">
      <c r="E45" s="8" t="s">
        <v>2876</v>
      </c>
      <c r="F45" s="4">
        <v>632926</v>
      </c>
      <c r="P45" s="7" t="s">
        <v>26</v>
      </c>
      <c r="Q45" s="4">
        <v>7958378.5</v>
      </c>
      <c r="AA45" s="7" t="s">
        <v>469</v>
      </c>
      <c r="AB45" s="4">
        <v>418428.5</v>
      </c>
    </row>
    <row r="46" spans="5:28" x14ac:dyDescent="0.35">
      <c r="E46" s="8" t="s">
        <v>2877</v>
      </c>
      <c r="F46" s="4">
        <v>598859</v>
      </c>
      <c r="P46" s="7" t="s">
        <v>61</v>
      </c>
      <c r="Q46" s="4">
        <v>7562344</v>
      </c>
      <c r="AA46" s="7" t="s">
        <v>752</v>
      </c>
      <c r="AB46" s="4">
        <v>369431.5</v>
      </c>
    </row>
    <row r="47" spans="5:28" x14ac:dyDescent="0.35">
      <c r="E47" s="7" t="s">
        <v>2882</v>
      </c>
      <c r="F47" s="4">
        <v>6571012</v>
      </c>
      <c r="P47" s="7" t="s">
        <v>37</v>
      </c>
      <c r="Q47" s="4">
        <v>7020263.5</v>
      </c>
      <c r="AA47" s="7" t="s">
        <v>1029</v>
      </c>
      <c r="AB47" s="4">
        <v>358266</v>
      </c>
    </row>
    <row r="48" spans="5:28" x14ac:dyDescent="0.35">
      <c r="E48" s="8" t="s">
        <v>2879</v>
      </c>
      <c r="F48" s="4">
        <v>646283</v>
      </c>
      <c r="P48" s="7" t="s">
        <v>2866</v>
      </c>
      <c r="Q48" s="4">
        <v>33695656.5</v>
      </c>
      <c r="AA48" s="7" t="s">
        <v>482</v>
      </c>
      <c r="AB48" s="4">
        <v>329893.5</v>
      </c>
    </row>
    <row r="49" spans="5:28" x14ac:dyDescent="0.35">
      <c r="E49" s="8" t="s">
        <v>2880</v>
      </c>
      <c r="F49" s="4">
        <v>412718</v>
      </c>
      <c r="AA49" s="7" t="s">
        <v>262</v>
      </c>
      <c r="AB49" s="4">
        <v>329204</v>
      </c>
    </row>
    <row r="50" spans="5:28" x14ac:dyDescent="0.35">
      <c r="E50" s="8" t="s">
        <v>2881</v>
      </c>
      <c r="F50" s="4">
        <v>459652</v>
      </c>
      <c r="AA50" s="7" t="s">
        <v>984</v>
      </c>
      <c r="AB50" s="4">
        <v>328928.5</v>
      </c>
    </row>
    <row r="51" spans="5:28" x14ac:dyDescent="0.35">
      <c r="E51" s="8" t="s">
        <v>2869</v>
      </c>
      <c r="F51" s="4">
        <v>285427.5</v>
      </c>
      <c r="AA51" s="7" t="s">
        <v>655</v>
      </c>
      <c r="AB51" s="4">
        <v>322582.5</v>
      </c>
    </row>
    <row r="52" spans="5:28" x14ac:dyDescent="0.35">
      <c r="E52" s="8" t="s">
        <v>2870</v>
      </c>
      <c r="F52" s="4">
        <v>716136</v>
      </c>
      <c r="AA52" s="7" t="s">
        <v>1051</v>
      </c>
      <c r="AB52" s="4">
        <v>320128</v>
      </c>
    </row>
    <row r="53" spans="5:28" x14ac:dyDescent="0.35">
      <c r="E53" s="8" t="s">
        <v>2871</v>
      </c>
      <c r="F53" s="4">
        <v>489588.5</v>
      </c>
      <c r="AA53" s="7" t="s">
        <v>2866</v>
      </c>
      <c r="AB53" s="4">
        <v>3621305</v>
      </c>
    </row>
    <row r="54" spans="5:28" x14ac:dyDescent="0.35">
      <c r="E54" s="8" t="s">
        <v>2872</v>
      </c>
      <c r="F54" s="4">
        <v>411209.5</v>
      </c>
    </row>
    <row r="55" spans="5:28" x14ac:dyDescent="0.35">
      <c r="E55" s="8" t="s">
        <v>2873</v>
      </c>
      <c r="F55" s="4">
        <v>470991</v>
      </c>
    </row>
    <row r="56" spans="5:28" x14ac:dyDescent="0.35">
      <c r="E56" s="8" t="s">
        <v>2874</v>
      </c>
      <c r="F56" s="4">
        <v>675306</v>
      </c>
    </row>
    <row r="57" spans="5:28" x14ac:dyDescent="0.35">
      <c r="E57" s="8" t="s">
        <v>2875</v>
      </c>
      <c r="F57" s="4">
        <v>663196</v>
      </c>
    </row>
    <row r="58" spans="5:28" x14ac:dyDescent="0.35">
      <c r="E58" s="8" t="s">
        <v>2876</v>
      </c>
      <c r="F58" s="4">
        <v>760336</v>
      </c>
    </row>
    <row r="59" spans="5:28" x14ac:dyDescent="0.35">
      <c r="E59" s="8" t="s">
        <v>2877</v>
      </c>
      <c r="F59" s="4">
        <v>580168.5</v>
      </c>
    </row>
    <row r="60" spans="5:28" x14ac:dyDescent="0.35">
      <c r="E60" s="7" t="s">
        <v>2883</v>
      </c>
      <c r="F60" s="4">
        <v>5806907.5</v>
      </c>
    </row>
    <row r="61" spans="5:28" x14ac:dyDescent="0.35">
      <c r="E61" s="8" t="s">
        <v>2879</v>
      </c>
      <c r="F61" s="4">
        <v>761561.5</v>
      </c>
      <c r="O61" s="6" t="s">
        <v>2864</v>
      </c>
      <c r="P61" t="s">
        <v>2886</v>
      </c>
      <c r="AA61" s="6" t="s">
        <v>2864</v>
      </c>
      <c r="AB61" t="s">
        <v>2886</v>
      </c>
    </row>
    <row r="62" spans="5:28" x14ac:dyDescent="0.35">
      <c r="E62" s="8" t="s">
        <v>2880</v>
      </c>
      <c r="F62" s="4">
        <v>349457.5</v>
      </c>
      <c r="O62" s="7" t="s">
        <v>47</v>
      </c>
      <c r="P62" s="4">
        <v>6571640.5</v>
      </c>
      <c r="AA62" s="7" t="s">
        <v>157</v>
      </c>
      <c r="AB62" s="4">
        <v>6341031.5</v>
      </c>
    </row>
    <row r="63" spans="5:28" x14ac:dyDescent="0.35">
      <c r="E63" s="8" t="s">
        <v>2881</v>
      </c>
      <c r="F63" s="4">
        <v>680343</v>
      </c>
      <c r="O63" s="7" t="s">
        <v>26</v>
      </c>
      <c r="P63" s="4">
        <v>4848168.5</v>
      </c>
      <c r="AA63" s="7" t="s">
        <v>62</v>
      </c>
      <c r="AB63" s="4">
        <v>2722401.5</v>
      </c>
    </row>
    <row r="64" spans="5:28" x14ac:dyDescent="0.35">
      <c r="E64" s="8" t="s">
        <v>2869</v>
      </c>
      <c r="F64" s="4">
        <v>629119.5</v>
      </c>
      <c r="O64" s="7" t="s">
        <v>37</v>
      </c>
      <c r="P64" s="4">
        <v>4526973.5</v>
      </c>
      <c r="AA64" s="7" t="s">
        <v>129</v>
      </c>
      <c r="AB64" s="4">
        <v>2171404</v>
      </c>
    </row>
    <row r="65" spans="5:28" x14ac:dyDescent="0.35">
      <c r="E65" s="8" t="s">
        <v>2870</v>
      </c>
      <c r="F65" s="4">
        <v>571591</v>
      </c>
      <c r="O65" s="7" t="s">
        <v>61</v>
      </c>
      <c r="P65" s="4">
        <v>4446924</v>
      </c>
      <c r="AA65" s="7" t="s">
        <v>161</v>
      </c>
      <c r="AB65" s="4">
        <v>1681271.5</v>
      </c>
    </row>
    <row r="66" spans="5:28" x14ac:dyDescent="0.35">
      <c r="E66" s="8" t="s">
        <v>2871</v>
      </c>
      <c r="F66" s="4">
        <v>355163.5</v>
      </c>
      <c r="O66" s="7" t="s">
        <v>2866</v>
      </c>
      <c r="P66" s="4">
        <v>20393706.5</v>
      </c>
      <c r="AA66" s="7" t="s">
        <v>347</v>
      </c>
      <c r="AB66" s="4">
        <v>765855</v>
      </c>
    </row>
    <row r="67" spans="5:28" x14ac:dyDescent="0.35">
      <c r="E67" s="8" t="s">
        <v>2872</v>
      </c>
      <c r="F67" s="4">
        <v>356126.5</v>
      </c>
      <c r="AA67" s="7" t="s">
        <v>55</v>
      </c>
      <c r="AB67" s="4">
        <v>744719.5</v>
      </c>
    </row>
    <row r="68" spans="5:28" x14ac:dyDescent="0.35">
      <c r="E68" s="8" t="s">
        <v>2873</v>
      </c>
      <c r="F68" s="4">
        <v>321200</v>
      </c>
      <c r="AA68" s="7" t="s">
        <v>119</v>
      </c>
      <c r="AB68" s="4">
        <v>728456</v>
      </c>
    </row>
    <row r="69" spans="5:28" x14ac:dyDescent="0.35">
      <c r="E69" s="8" t="s">
        <v>2874</v>
      </c>
      <c r="F69" s="4">
        <v>382089</v>
      </c>
      <c r="AA69" s="7" t="s">
        <v>104</v>
      </c>
      <c r="AB69" s="4">
        <v>648825.5</v>
      </c>
    </row>
    <row r="70" spans="5:28" x14ac:dyDescent="0.35">
      <c r="E70" s="8" t="s">
        <v>2875</v>
      </c>
      <c r="F70" s="4">
        <v>309882</v>
      </c>
      <c r="AA70" s="7" t="s">
        <v>312</v>
      </c>
      <c r="AB70" s="4">
        <v>496577</v>
      </c>
    </row>
    <row r="71" spans="5:28" x14ac:dyDescent="0.35">
      <c r="E71" s="8" t="s">
        <v>2876</v>
      </c>
      <c r="F71" s="4">
        <v>529022.5</v>
      </c>
      <c r="AA71" s="7" t="s">
        <v>39</v>
      </c>
      <c r="AB71" s="4">
        <v>453849</v>
      </c>
    </row>
    <row r="72" spans="5:28" x14ac:dyDescent="0.35">
      <c r="E72" s="8" t="s">
        <v>2877</v>
      </c>
      <c r="F72" s="4">
        <v>561351.5</v>
      </c>
      <c r="AA72" s="7" t="s">
        <v>2866</v>
      </c>
      <c r="AB72" s="4">
        <v>16754390.5</v>
      </c>
    </row>
    <row r="73" spans="5:28" x14ac:dyDescent="0.35">
      <c r="E73" s="7" t="s">
        <v>2884</v>
      </c>
      <c r="F73" s="4">
        <v>6511285.5</v>
      </c>
    </row>
    <row r="74" spans="5:28" x14ac:dyDescent="0.35">
      <c r="E74" s="8" t="s">
        <v>2879</v>
      </c>
      <c r="F74" s="4">
        <v>621613</v>
      </c>
    </row>
    <row r="75" spans="5:28" x14ac:dyDescent="0.35">
      <c r="E75" s="8" t="s">
        <v>2880</v>
      </c>
      <c r="F75" s="4">
        <v>899410</v>
      </c>
    </row>
    <row r="76" spans="5:28" x14ac:dyDescent="0.35">
      <c r="E76" s="8" t="s">
        <v>2881</v>
      </c>
      <c r="F76" s="4">
        <v>665590.5</v>
      </c>
    </row>
    <row r="77" spans="5:28" x14ac:dyDescent="0.35">
      <c r="E77" s="8" t="s">
        <v>2869</v>
      </c>
      <c r="F77" s="4">
        <v>376206</v>
      </c>
    </row>
    <row r="78" spans="5:28" x14ac:dyDescent="0.35">
      <c r="E78" s="8" t="s">
        <v>2870</v>
      </c>
      <c r="F78" s="4">
        <v>371584.5</v>
      </c>
    </row>
    <row r="79" spans="5:28" x14ac:dyDescent="0.35">
      <c r="E79" s="8" t="s">
        <v>2871</v>
      </c>
      <c r="F79" s="4">
        <v>703866</v>
      </c>
      <c r="N79" s="6" t="s">
        <v>2864</v>
      </c>
      <c r="O79" t="s">
        <v>2867</v>
      </c>
    </row>
    <row r="80" spans="5:28" x14ac:dyDescent="0.35">
      <c r="E80" s="8" t="s">
        <v>2872</v>
      </c>
      <c r="F80" s="4">
        <v>548658</v>
      </c>
      <c r="N80" s="7" t="s">
        <v>44</v>
      </c>
      <c r="O80" s="4">
        <v>17234867</v>
      </c>
    </row>
    <row r="81" spans="5:15" x14ac:dyDescent="0.35">
      <c r="E81" s="8" t="s">
        <v>2873</v>
      </c>
      <c r="F81" s="4">
        <v>397033.5</v>
      </c>
      <c r="N81" s="7" t="s">
        <v>23</v>
      </c>
      <c r="O81" s="4">
        <v>16460789.5</v>
      </c>
    </row>
    <row r="82" spans="5:15" x14ac:dyDescent="0.35">
      <c r="E82" s="8" t="s">
        <v>2874</v>
      </c>
      <c r="F82" s="4">
        <v>456859.5</v>
      </c>
      <c r="N82" s="7" t="s">
        <v>2866</v>
      </c>
      <c r="O82" s="4">
        <v>33695656.5</v>
      </c>
    </row>
    <row r="83" spans="5:15" x14ac:dyDescent="0.35">
      <c r="E83" s="8" t="s">
        <v>2875</v>
      </c>
      <c r="F83" s="4">
        <v>542354.5</v>
      </c>
    </row>
    <row r="84" spans="5:15" x14ac:dyDescent="0.35">
      <c r="E84" s="8" t="s">
        <v>2876</v>
      </c>
      <c r="F84" s="4">
        <v>255687</v>
      </c>
    </row>
    <row r="85" spans="5:15" x14ac:dyDescent="0.35">
      <c r="E85" s="8" t="s">
        <v>2877</v>
      </c>
      <c r="F85" s="4">
        <v>672423</v>
      </c>
    </row>
    <row r="86" spans="5:15" x14ac:dyDescent="0.35">
      <c r="E86" s="7" t="s">
        <v>2885</v>
      </c>
      <c r="F86" s="4">
        <v>4502442.5</v>
      </c>
    </row>
    <row r="87" spans="5:15" x14ac:dyDescent="0.35">
      <c r="E87" s="8" t="s">
        <v>2879</v>
      </c>
      <c r="F87" s="4">
        <v>528159.5</v>
      </c>
    </row>
    <row r="88" spans="5:15" x14ac:dyDescent="0.35">
      <c r="E88" s="8" t="s">
        <v>2880</v>
      </c>
      <c r="F88" s="4">
        <v>475590</v>
      </c>
    </row>
    <row r="89" spans="5:15" x14ac:dyDescent="0.35">
      <c r="E89" s="8" t="s">
        <v>2881</v>
      </c>
      <c r="F89" s="4">
        <v>595860</v>
      </c>
    </row>
    <row r="90" spans="5:15" x14ac:dyDescent="0.35">
      <c r="E90" s="8" t="s">
        <v>2869</v>
      </c>
      <c r="F90" s="4">
        <v>530158</v>
      </c>
    </row>
    <row r="91" spans="5:15" x14ac:dyDescent="0.35">
      <c r="E91" s="8" t="s">
        <v>2870</v>
      </c>
      <c r="F91" s="4">
        <v>517685.5</v>
      </c>
    </row>
    <row r="92" spans="5:15" x14ac:dyDescent="0.35">
      <c r="E92" s="8" t="s">
        <v>2871</v>
      </c>
      <c r="F92" s="4">
        <v>448602</v>
      </c>
    </row>
    <row r="93" spans="5:15" x14ac:dyDescent="0.35">
      <c r="E93" s="8" t="s">
        <v>2872</v>
      </c>
      <c r="F93" s="4">
        <v>597035.5</v>
      </c>
    </row>
    <row r="94" spans="5:15" x14ac:dyDescent="0.35">
      <c r="E94" s="8" t="s">
        <v>2873</v>
      </c>
      <c r="F94" s="4">
        <v>486538.5</v>
      </c>
    </row>
    <row r="95" spans="5:15" x14ac:dyDescent="0.35">
      <c r="E95" s="8" t="s">
        <v>2874</v>
      </c>
      <c r="F95" s="4">
        <v>280730.5</v>
      </c>
    </row>
    <row r="96" spans="5:15" x14ac:dyDescent="0.35">
      <c r="E96" s="8" t="s">
        <v>2875</v>
      </c>
      <c r="F96" s="4">
        <v>42083</v>
      </c>
    </row>
    <row r="97" spans="5:6" x14ac:dyDescent="0.35">
      <c r="E97" s="7" t="s">
        <v>2866</v>
      </c>
      <c r="F97" s="4">
        <v>33695656.5</v>
      </c>
    </row>
  </sheetData>
  <pageMargins left="0.7" right="0.7" top="0.75" bottom="0.75" header="0.3" footer="0.3"/>
  <pageSetup paperSize="9" orientation="portrait" r:id="rId12"/>
  <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DashBoard</vt:lpstr>
      <vt:lpstr>KPI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nikitha gb</cp:lastModifiedBy>
  <dcterms:created xsi:type="dcterms:W3CDTF">2026-10-03T13:58:48Z</dcterms:created>
  <dcterms:modified xsi:type="dcterms:W3CDTF">2026-10-04T17:27:34Z</dcterms:modified>
</cp:coreProperties>
</file>